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trlProps/ctrlProp12.xml" ContentType="application/vnd.ms-excel.controlproperties+xml"/>
  <Override PartName="/xl/drawings/drawing5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harts/chart6.xml" ContentType="application/vnd.openxmlformats-officedocument.drawingml.chart+xml"/>
  <Override PartName="/xl/drawings/drawing6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harts/chart7.xml" ContentType="application/vnd.openxmlformats-officedocument.drawingml.chart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Stock\pairs_trade\pair_trade\stock_data\master\"/>
    </mc:Choice>
  </mc:AlternateContent>
  <bookViews>
    <workbookView minimized="1" xWindow="0" yWindow="105" windowWidth="12765" windowHeight="5715" activeTab="7"/>
  </bookViews>
  <sheets>
    <sheet name="Cover" sheetId="1" r:id="rId1"/>
    <sheet name="Open Position" sheetId="2" r:id="rId2"/>
    <sheet name="Trade History" sheetId="13" r:id="rId3"/>
    <sheet name="Asset " sheetId="15" r:id="rId4"/>
    <sheet name="Profit Analysis" sheetId="20" r:id="rId5"/>
    <sheet name="BACK_TEST" sheetId="23" r:id="rId6"/>
    <sheet name="Search" sheetId="4" r:id="rId7"/>
    <sheet name="Search Result" sheetId="5" r:id="rId8"/>
    <sheet name="Graph" sheetId="7" r:id="rId9"/>
    <sheet name="Detail" sheetId="6" r:id="rId10"/>
    <sheet name="NiKKe Saya" sheetId="11" r:id="rId11"/>
    <sheet name="refer⇒" sheetId="24" r:id="rId12"/>
    <sheet name="Monitoring" sheetId="3" r:id="rId13"/>
    <sheet name="Source Data" sheetId="9" r:id="rId14"/>
    <sheet name="Fiscal_date" sheetId="19" r:id="rId15"/>
    <sheet name="gyakunipo_data" sheetId="22" r:id="rId16"/>
    <sheet name="Fee_Refer" sheetId="17" r:id="rId17"/>
    <sheet name="Faiue" sheetId="18" r:id="rId18"/>
  </sheets>
  <functionGroups builtInGroupCount="18"/>
  <definedNames>
    <definedName name="_xlnm._FilterDatabase" localSheetId="13" hidden="1">'Source Data'!$A$1:$AH$1</definedName>
    <definedName name="_xlnm._FilterDatabase" localSheetId="2" hidden="1">'Trade History'!$B$3:$AC$23</definedName>
  </definedNames>
  <calcPr calcId="162913"/>
</workbook>
</file>

<file path=xl/calcChain.xml><?xml version="1.0" encoding="utf-8"?>
<calcChain xmlns="http://schemas.openxmlformats.org/spreadsheetml/2006/main">
  <c r="C6" i="17" l="1"/>
  <c r="C5" i="17"/>
  <c r="C4" i="17"/>
  <c r="C3" i="17"/>
  <c r="Q4" i="3"/>
  <c r="P4" i="3"/>
  <c r="N4" i="3"/>
  <c r="J4" i="3"/>
  <c r="V3" i="3"/>
  <c r="U3" i="3"/>
  <c r="S3" i="3"/>
  <c r="R3" i="3"/>
  <c r="Q3" i="3"/>
  <c r="P3" i="3"/>
  <c r="N3" i="3"/>
  <c r="J3" i="3"/>
  <c r="C3" i="3"/>
  <c r="P3" i="6"/>
  <c r="O3" i="6"/>
  <c r="P2" i="6"/>
  <c r="O2" i="6"/>
  <c r="A5" i="7"/>
  <c r="C22" i="4"/>
  <c r="C21" i="4"/>
  <c r="C20" i="4"/>
  <c r="C19" i="4"/>
  <c r="C18" i="4"/>
  <c r="A40" i="23"/>
  <c r="A39" i="23"/>
  <c r="A36" i="23"/>
  <c r="A35" i="23"/>
  <c r="L4" i="23"/>
  <c r="H4" i="23"/>
  <c r="H3" i="23"/>
  <c r="L3" i="23" s="1"/>
  <c r="V5" i="20"/>
  <c r="P5" i="20"/>
  <c r="M5" i="20"/>
  <c r="L5" i="20"/>
  <c r="K5" i="20"/>
  <c r="E5" i="20"/>
  <c r="C5" i="20"/>
  <c r="V4" i="20"/>
  <c r="P4" i="20"/>
  <c r="M4" i="20"/>
  <c r="L4" i="20"/>
  <c r="K4" i="20"/>
  <c r="E4" i="20"/>
  <c r="C4" i="20"/>
  <c r="V3" i="20"/>
  <c r="P3" i="20"/>
  <c r="M3" i="20"/>
  <c r="L3" i="20"/>
  <c r="K3" i="20"/>
  <c r="E3" i="20"/>
  <c r="Q35" i="13"/>
  <c r="P35" i="13"/>
  <c r="N35" i="13"/>
  <c r="J35" i="13"/>
  <c r="AC34" i="13"/>
  <c r="AB34" i="13"/>
  <c r="AA34" i="13"/>
  <c r="V34" i="13"/>
  <c r="S34" i="13"/>
  <c r="R34" i="13"/>
  <c r="Q34" i="13"/>
  <c r="P34" i="13"/>
  <c r="N34" i="13"/>
  <c r="J34" i="13"/>
  <c r="Q33" i="13"/>
  <c r="P33" i="13"/>
  <c r="M33" i="13"/>
  <c r="J33" i="13"/>
  <c r="AC32" i="13"/>
  <c r="AB32" i="13"/>
  <c r="AA32" i="13"/>
  <c r="V32" i="13"/>
  <c r="S32" i="13"/>
  <c r="R32" i="13"/>
  <c r="Q32" i="13"/>
  <c r="P32" i="13"/>
  <c r="N32" i="13"/>
  <c r="M32" i="13"/>
  <c r="J32" i="13"/>
  <c r="Q31" i="13"/>
  <c r="P31" i="13"/>
  <c r="M31" i="13"/>
  <c r="J31" i="13"/>
  <c r="AC30" i="13"/>
  <c r="AB30" i="13"/>
  <c r="AA30" i="13"/>
  <c r="V30" i="13"/>
  <c r="S30" i="13"/>
  <c r="R30" i="13"/>
  <c r="Q30" i="13"/>
  <c r="P30" i="13"/>
  <c r="N30" i="13"/>
  <c r="M30" i="13"/>
  <c r="J30" i="13"/>
  <c r="Q29" i="13"/>
  <c r="P29" i="13"/>
  <c r="M29" i="13"/>
  <c r="AC28" i="13"/>
  <c r="AB28" i="13"/>
  <c r="AA28" i="13"/>
  <c r="Q28" i="13"/>
  <c r="P28" i="13"/>
  <c r="M28" i="13"/>
  <c r="Q27" i="13"/>
  <c r="P27" i="13"/>
  <c r="M27" i="13"/>
  <c r="J27" i="13"/>
  <c r="AC26" i="13"/>
  <c r="AB26" i="13"/>
  <c r="AA26" i="13"/>
  <c r="V26" i="13"/>
  <c r="S26" i="13"/>
  <c r="R26" i="13"/>
  <c r="Q26" i="13"/>
  <c r="P26" i="13"/>
  <c r="M26" i="13"/>
  <c r="J26" i="13"/>
  <c r="C26" i="13"/>
  <c r="Q25" i="13"/>
  <c r="P25" i="13"/>
  <c r="M25" i="13"/>
  <c r="J25" i="13"/>
  <c r="AC24" i="13"/>
  <c r="AB24" i="13"/>
  <c r="AA24" i="13"/>
  <c r="V24" i="13"/>
  <c r="S24" i="13"/>
  <c r="R24" i="13"/>
  <c r="Q24" i="13"/>
  <c r="P24" i="13"/>
  <c r="M24" i="13"/>
  <c r="J24" i="13"/>
  <c r="C24" i="13"/>
  <c r="Q23" i="13"/>
  <c r="P23" i="13"/>
  <c r="M23" i="13"/>
  <c r="J23" i="13"/>
  <c r="AC22" i="13"/>
  <c r="AB22" i="13"/>
  <c r="AA22" i="13"/>
  <c r="V22" i="13"/>
  <c r="S22" i="13"/>
  <c r="R22" i="13"/>
  <c r="Q22" i="13"/>
  <c r="P22" i="13"/>
  <c r="M22" i="13"/>
  <c r="J22" i="13"/>
  <c r="C22" i="13"/>
  <c r="Q21" i="13"/>
  <c r="P21" i="13"/>
  <c r="M21" i="13"/>
  <c r="J21" i="13"/>
  <c r="AC20" i="13"/>
  <c r="AB20" i="13"/>
  <c r="AA20" i="13"/>
  <c r="V20" i="13"/>
  <c r="S20" i="13"/>
  <c r="R20" i="13"/>
  <c r="Q20" i="13"/>
  <c r="P20" i="13"/>
  <c r="M20" i="13"/>
  <c r="J20" i="13"/>
  <c r="C20" i="13"/>
  <c r="Q19" i="13"/>
  <c r="P19" i="13"/>
  <c r="M19" i="13"/>
  <c r="J19" i="13"/>
  <c r="AC18" i="13"/>
  <c r="AB18" i="13"/>
  <c r="AA18" i="13"/>
  <c r="V18" i="13"/>
  <c r="S18" i="13"/>
  <c r="R18" i="13"/>
  <c r="Q18" i="13"/>
  <c r="P18" i="13"/>
  <c r="M18" i="13"/>
  <c r="J18" i="13"/>
  <c r="C18" i="13"/>
  <c r="Q17" i="13"/>
  <c r="P17" i="13"/>
  <c r="M17" i="13"/>
  <c r="J17" i="13"/>
  <c r="AC16" i="13"/>
  <c r="AB16" i="13"/>
  <c r="AA16" i="13"/>
  <c r="V16" i="13"/>
  <c r="S16" i="13"/>
  <c r="R16" i="13"/>
  <c r="Q16" i="13"/>
  <c r="P16" i="13"/>
  <c r="M16" i="13"/>
  <c r="J16" i="13"/>
  <c r="C16" i="13"/>
  <c r="Q15" i="13"/>
  <c r="P15" i="13"/>
  <c r="M15" i="13"/>
  <c r="J15" i="13"/>
  <c r="AC14" i="13"/>
  <c r="AB14" i="13"/>
  <c r="AA14" i="13"/>
  <c r="V14" i="13"/>
  <c r="S14" i="13"/>
  <c r="R14" i="13"/>
  <c r="Q14" i="13"/>
  <c r="P14" i="13"/>
  <c r="M14" i="13"/>
  <c r="J14" i="13"/>
  <c r="C14" i="13"/>
  <c r="Q13" i="13"/>
  <c r="P13" i="13"/>
  <c r="M13" i="13"/>
  <c r="J13" i="13"/>
  <c r="AC12" i="13"/>
  <c r="AB12" i="13"/>
  <c r="AA12" i="13"/>
  <c r="V12" i="13"/>
  <c r="S12" i="13"/>
  <c r="R12" i="13"/>
  <c r="Q12" i="13"/>
  <c r="P12" i="13"/>
  <c r="M12" i="13"/>
  <c r="J12" i="13"/>
  <c r="C12" i="13"/>
  <c r="Q11" i="13"/>
  <c r="P11" i="13"/>
  <c r="M11" i="13"/>
  <c r="J11" i="13"/>
  <c r="AC10" i="13"/>
  <c r="AB10" i="13"/>
  <c r="AA10" i="13"/>
  <c r="V10" i="13"/>
  <c r="S10" i="13"/>
  <c r="R10" i="13"/>
  <c r="Q10" i="13"/>
  <c r="P10" i="13"/>
  <c r="M10" i="13"/>
  <c r="J10" i="13"/>
  <c r="C10" i="13"/>
  <c r="Q9" i="13"/>
  <c r="P9" i="13"/>
  <c r="M9" i="13"/>
  <c r="J9" i="13"/>
  <c r="AC8" i="13"/>
  <c r="AB8" i="13"/>
  <c r="AA8" i="13"/>
  <c r="V8" i="13"/>
  <c r="S8" i="13"/>
  <c r="R8" i="13"/>
  <c r="Q8" i="13"/>
  <c r="P8" i="13"/>
  <c r="M8" i="13"/>
  <c r="J8" i="13"/>
  <c r="C8" i="13"/>
  <c r="Q7" i="13"/>
  <c r="P7" i="13"/>
  <c r="M7" i="13"/>
  <c r="AC6" i="13"/>
  <c r="AB6" i="13"/>
  <c r="AA6" i="13"/>
  <c r="V6" i="13"/>
  <c r="S6" i="13"/>
  <c r="R6" i="13"/>
  <c r="Q6" i="13"/>
  <c r="P6" i="13"/>
  <c r="M6" i="13"/>
  <c r="Q5" i="13"/>
  <c r="P5" i="13"/>
  <c r="O5" i="13"/>
  <c r="M5" i="13"/>
  <c r="AC4" i="13"/>
  <c r="AB4" i="13"/>
  <c r="AA4" i="13"/>
  <c r="V4" i="13"/>
  <c r="S4" i="13"/>
  <c r="R4" i="13"/>
  <c r="Q4" i="13"/>
  <c r="P4" i="13"/>
  <c r="M4" i="13"/>
  <c r="R2" i="13"/>
  <c r="J9" i="2"/>
  <c r="J8" i="2"/>
  <c r="C8" i="2"/>
  <c r="J7" i="2"/>
  <c r="J6" i="2"/>
  <c r="C6" i="2"/>
  <c r="J5" i="2"/>
  <c r="J4" i="2"/>
  <c r="C4" i="2"/>
  <c r="J2" i="2"/>
  <c r="P1" i="2"/>
  <c r="U4" i="2" s="1"/>
  <c r="V4" i="2" s="1"/>
  <c r="N5" i="2" l="1"/>
  <c r="P5" i="2" s="1"/>
  <c r="Q5" i="2" s="1"/>
  <c r="N4" i="2"/>
  <c r="P4" i="2" s="1"/>
  <c r="U6" i="2"/>
  <c r="V6" i="2" s="1"/>
  <c r="U8" i="2"/>
  <c r="V8" i="2" s="1"/>
  <c r="N9" i="2" l="1"/>
  <c r="P9" i="2" s="1"/>
  <c r="Q9" i="2" s="1"/>
  <c r="N8" i="2"/>
  <c r="P8" i="2" s="1"/>
  <c r="N7" i="2"/>
  <c r="P7" i="2" s="1"/>
  <c r="Q7" i="2" s="1"/>
  <c r="N6" i="2"/>
  <c r="P6" i="2" s="1"/>
  <c r="R4" i="2"/>
  <c r="Q4" i="2"/>
  <c r="R6" i="2" l="1"/>
  <c r="S6" i="2" s="1"/>
  <c r="Q6" i="2"/>
  <c r="S4" i="2"/>
  <c r="Q8" i="2"/>
  <c r="R8" i="2"/>
  <c r="S8" i="2" s="1"/>
  <c r="S2" i="2" l="1"/>
  <c r="R2" i="2"/>
</calcChain>
</file>

<file path=xl/sharedStrings.xml><?xml version="1.0" encoding="utf-8"?>
<sst xmlns="http://schemas.openxmlformats.org/spreadsheetml/2006/main" count="8077" uniqueCount="2566">
  <si>
    <t>サヤ取り抽出条件入力画面</t>
    <phoneticPr fontId="1" type="noConversion"/>
  </si>
  <si>
    <t>計算期間</t>
    <phoneticPr fontId="1" type="noConversion"/>
  </si>
  <si>
    <t>１年</t>
    <phoneticPr fontId="1" type="noConversion"/>
  </si>
  <si>
    <t>計算基準日</t>
    <phoneticPr fontId="1" type="noConversion"/>
  </si>
  <si>
    <t>サヤ基準</t>
    <phoneticPr fontId="1" type="noConversion"/>
  </si>
  <si>
    <t>下限値</t>
    <phoneticPr fontId="1" type="noConversion"/>
  </si>
  <si>
    <t>上限値</t>
    <phoneticPr fontId="1" type="noConversion"/>
  </si>
  <si>
    <t>最低指数（σ）</t>
    <phoneticPr fontId="1" type="noConversion"/>
  </si>
  <si>
    <t>相関係数</t>
    <phoneticPr fontId="1" type="noConversion"/>
  </si>
  <si>
    <t>サヤ移動平均</t>
    <phoneticPr fontId="1" type="noConversion"/>
  </si>
  <si>
    <t>サヤ取り対象</t>
    <phoneticPr fontId="1" type="noConversion"/>
  </si>
  <si>
    <t>信用倍率</t>
    <phoneticPr fontId="1" type="noConversion"/>
  </si>
  <si>
    <t>除外株価（以下）</t>
    <phoneticPr fontId="1" type="noConversion"/>
  </si>
  <si>
    <t>考慮しない</t>
    <phoneticPr fontId="1" type="noConversion"/>
  </si>
  <si>
    <t>全ての組合せ</t>
    <phoneticPr fontId="1" type="noConversion"/>
  </si>
  <si>
    <t>投資金額（1銘柄）</t>
    <phoneticPr fontId="1" type="noConversion"/>
  </si>
  <si>
    <t>許容ペア金額差</t>
    <phoneticPr fontId="1" type="noConversion"/>
  </si>
  <si>
    <t>バックテストパラメータ</t>
    <phoneticPr fontId="1" type="noConversion"/>
  </si>
  <si>
    <t>利益確定水準</t>
    <phoneticPr fontId="1" type="noConversion"/>
  </si>
  <si>
    <t>同業/異業</t>
    <phoneticPr fontId="1" type="noConversion"/>
  </si>
  <si>
    <t>銘柄コード</t>
    <phoneticPr fontId="1" type="noConversion"/>
  </si>
  <si>
    <t>会社名</t>
    <phoneticPr fontId="1" type="noConversion"/>
  </si>
  <si>
    <t>約定代金</t>
    <phoneticPr fontId="1" type="noConversion"/>
  </si>
  <si>
    <t>決済管理</t>
    <phoneticPr fontId="1" type="noConversion"/>
  </si>
  <si>
    <t>データ更新日</t>
    <phoneticPr fontId="1" type="noConversion"/>
  </si>
  <si>
    <t>アルプスアルパイン</t>
  </si>
  <si>
    <t>大和証券グループ本社</t>
  </si>
  <si>
    <t>フジクラ</t>
  </si>
  <si>
    <t>アイシン精機</t>
  </si>
  <si>
    <t>三菱自動車工業</t>
  </si>
  <si>
    <t>丸紅</t>
  </si>
  <si>
    <t>第一生命ホールディングス</t>
  </si>
  <si>
    <t>日立建機</t>
  </si>
  <si>
    <t>CORR_3M</t>
  </si>
  <si>
    <t>CORR_1Y</t>
  </si>
  <si>
    <t>COINT_3M</t>
  </si>
  <si>
    <t>COINT_1Y</t>
  </si>
  <si>
    <t>三越伊勢丹ホールディングス</t>
  </si>
  <si>
    <t>王子ホールディングス</t>
  </si>
  <si>
    <t>マスタファイル</t>
    <phoneticPr fontId="1" type="noConversion"/>
  </si>
  <si>
    <t>入力データパス</t>
    <phoneticPr fontId="1" type="noConversion"/>
  </si>
  <si>
    <t>資産残高の推移</t>
  </si>
  <si>
    <t>Code</t>
    <phoneticPr fontId="1" type="noConversion"/>
  </si>
  <si>
    <t>Name</t>
    <phoneticPr fontId="1" type="noConversion"/>
  </si>
  <si>
    <t>損切り水準</t>
    <phoneticPr fontId="1" type="noConversion"/>
  </si>
  <si>
    <t>Max Open Days</t>
    <phoneticPr fontId="1" type="noConversion"/>
  </si>
  <si>
    <t>仕掛けタイミング（σ）</t>
    <phoneticPr fontId="1" type="noConversion"/>
  </si>
  <si>
    <t>西日本フィナンシャルホールディングス</t>
  </si>
  <si>
    <t>エクセディ</t>
  </si>
  <si>
    <t>コーエーテクモホールディングス</t>
  </si>
  <si>
    <t>レーザーテック</t>
  </si>
  <si>
    <t>三菱瓦斯化学</t>
  </si>
  <si>
    <t>ダイセル</t>
  </si>
  <si>
    <t>日清紡ホールディングス</t>
  </si>
  <si>
    <t>東海理化電機製作所</t>
  </si>
  <si>
    <t>ほくほくフィナンシャルグループ</t>
  </si>
  <si>
    <t>日本たばこ産業</t>
  </si>
  <si>
    <t>宇部興産</t>
  </si>
  <si>
    <t>りそなホールディングス</t>
  </si>
  <si>
    <t>住友林業</t>
  </si>
  <si>
    <t>良品計画</t>
  </si>
  <si>
    <t>パナソニック</t>
  </si>
  <si>
    <t>シチズン時計</t>
  </si>
  <si>
    <t>椿本チエイン</t>
  </si>
  <si>
    <t>小松製作所</t>
  </si>
  <si>
    <t>戸田建設</t>
  </si>
  <si>
    <t>スタンレー電気</t>
  </si>
  <si>
    <t>飯田グループホールディングス</t>
  </si>
  <si>
    <t>日野自動車</t>
  </si>
  <si>
    <t>本田技研工業</t>
  </si>
  <si>
    <t>西松建設</t>
  </si>
  <si>
    <t>トヨタ紡織</t>
  </si>
  <si>
    <t>日鉄物産</t>
  </si>
  <si>
    <t>住友ゴム工業</t>
  </si>
  <si>
    <t>住友電気工業</t>
  </si>
  <si>
    <t>ＮＴＮ</t>
  </si>
  <si>
    <t>Ｔ＆Ｄホールディングス</t>
  </si>
  <si>
    <t>かんぽ生命保険</t>
  </si>
  <si>
    <t>日東電工</t>
  </si>
  <si>
    <t>東洋インキＳＣホールディングス</t>
  </si>
  <si>
    <t>丸一鋼管</t>
  </si>
  <si>
    <t>決済</t>
    <phoneticPr fontId="1" type="noConversion"/>
  </si>
  <si>
    <t>現物</t>
    <phoneticPr fontId="1" type="noConversion"/>
  </si>
  <si>
    <t>No.</t>
    <phoneticPr fontId="1" type="noConversion"/>
  </si>
  <si>
    <t>約定単価</t>
    <phoneticPr fontId="1" type="noConversion"/>
  </si>
  <si>
    <t>約定数量</t>
    <phoneticPr fontId="1" type="noConversion"/>
  </si>
  <si>
    <t>区分</t>
    <phoneticPr fontId="1" type="noConversion"/>
  </si>
  <si>
    <t>現在値</t>
    <phoneticPr fontId="1" type="noConversion"/>
  </si>
  <si>
    <t>金利</t>
    <phoneticPr fontId="1" type="noConversion"/>
  </si>
  <si>
    <t>損益率</t>
    <phoneticPr fontId="1" type="noConversion"/>
  </si>
  <si>
    <t>損益率</t>
    <phoneticPr fontId="1" type="noConversion"/>
  </si>
  <si>
    <r>
      <rPr>
        <sz val="10"/>
        <color theme="1"/>
        <rFont val="FangSong"/>
        <family val="3"/>
        <charset val="134"/>
      </rPr>
      <t>売</t>
    </r>
    <phoneticPr fontId="1" type="noConversion"/>
  </si>
  <si>
    <r>
      <rPr>
        <sz val="10"/>
        <color theme="1"/>
        <rFont val="FangSong"/>
        <family val="3"/>
        <charset val="134"/>
      </rPr>
      <t>買</t>
    </r>
    <phoneticPr fontId="1" type="noConversion"/>
  </si>
  <si>
    <r>
      <t>コンコルディア</t>
    </r>
    <r>
      <rPr>
        <sz val="10"/>
        <color theme="1"/>
        <rFont val="FangSong"/>
        <family val="3"/>
        <charset val="134"/>
      </rPr>
      <t>・</t>
    </r>
    <r>
      <rPr>
        <sz val="10"/>
        <color theme="1"/>
        <rFont val="FangSong"/>
        <family val="3"/>
      </rPr>
      <t>フィナンシャルグループ</t>
    </r>
  </si>
  <si>
    <r>
      <t>三井住友トラスト</t>
    </r>
    <r>
      <rPr>
        <sz val="10"/>
        <color theme="1"/>
        <rFont val="FangSong"/>
        <family val="3"/>
        <charset val="134"/>
      </rPr>
      <t>・</t>
    </r>
    <r>
      <rPr>
        <sz val="10"/>
        <color theme="1"/>
        <rFont val="FangSong"/>
        <family val="3"/>
      </rPr>
      <t>ホールディングス</t>
    </r>
  </si>
  <si>
    <t>制度信用</t>
  </si>
  <si>
    <t>制度</t>
  </si>
  <si>
    <t>制度</t>
    <phoneticPr fontId="1" type="noConversion"/>
  </si>
  <si>
    <t>制度</t>
    <phoneticPr fontId="1" type="noConversion"/>
  </si>
  <si>
    <r>
      <rPr>
        <sz val="10"/>
        <color theme="1"/>
        <rFont val="FangSong"/>
        <family val="3"/>
        <charset val="134"/>
      </rPr>
      <t>売</t>
    </r>
    <phoneticPr fontId="1" type="noConversion"/>
  </si>
  <si>
    <t>建玉管理</t>
    <phoneticPr fontId="1" type="noConversion"/>
  </si>
  <si>
    <t>手数料</t>
  </si>
  <si>
    <t>Other 
Fee</t>
    <phoneticPr fontId="1" type="noConversion"/>
  </si>
  <si>
    <t>結果</t>
    <phoneticPr fontId="1" type="noConversion"/>
  </si>
  <si>
    <t>合計
損益額</t>
    <phoneticPr fontId="1" type="noConversion"/>
  </si>
  <si>
    <t>合計
損益率</t>
    <phoneticPr fontId="1" type="noConversion"/>
  </si>
  <si>
    <t>経過
日数</t>
    <phoneticPr fontId="1" type="noConversion"/>
  </si>
  <si>
    <t>新規
約定日</t>
    <phoneticPr fontId="1" type="noConversion"/>
  </si>
  <si>
    <t>取引
手数料</t>
    <phoneticPr fontId="1" type="noConversion"/>
  </si>
  <si>
    <t>超割コース</t>
    <phoneticPr fontId="1" type="noConversion"/>
  </si>
  <si>
    <t>現物取引手数料</t>
  </si>
  <si>
    <t>取引金額</t>
  </si>
  <si>
    <t>新手数料</t>
  </si>
  <si>
    <t>5万円まで</t>
  </si>
  <si>
    <t>50円＋消費税</t>
  </si>
  <si>
    <t>10万円まで</t>
  </si>
  <si>
    <t>90円＋消費税</t>
  </si>
  <si>
    <t>20万円まで</t>
  </si>
  <si>
    <t>105円＋消費税</t>
  </si>
  <si>
    <t>50万円まで</t>
  </si>
  <si>
    <t>250円＋消費税</t>
  </si>
  <si>
    <t>100万円まで</t>
  </si>
  <si>
    <t>487円＋消費税</t>
  </si>
  <si>
    <t>150万円まで</t>
  </si>
  <si>
    <t>582円＋消費税</t>
  </si>
  <si>
    <t>3,000万円まで</t>
  </si>
  <si>
    <t>921円＋消費税</t>
  </si>
  <si>
    <t>3,000万円超</t>
  </si>
  <si>
    <t>973円＋消費税</t>
  </si>
  <si>
    <t>信用取引手数料</t>
  </si>
  <si>
    <t>135円＋消費税</t>
  </si>
  <si>
    <t>180円＋消費税</t>
  </si>
  <si>
    <t>50万円超</t>
  </si>
  <si>
    <t>350円＋消費税</t>
  </si>
  <si>
    <t>いちにち定額コース</t>
    <phoneticPr fontId="1" type="noConversion"/>
  </si>
  <si>
    <t>1日の取引金額合計</t>
  </si>
  <si>
    <t>0円</t>
  </si>
  <si>
    <t>191円＋消費税</t>
  </si>
  <si>
    <t>30万円まで</t>
  </si>
  <si>
    <t>286円＋消費税</t>
  </si>
  <si>
    <t>429円＋消費税</t>
  </si>
  <si>
    <t>858円＋消費税</t>
  </si>
  <si>
    <t>200万円まで</t>
  </si>
  <si>
    <t>2,000円＋消費税</t>
  </si>
  <si>
    <t>300万円まで</t>
  </si>
  <si>
    <t>以降、100万円増えるごとに1,000円＋消費税を追加。</t>
  </si>
  <si>
    <t>3,000円＋消費税</t>
  </si>
  <si>
    <t>一般信用</t>
  </si>
  <si>
    <t>無期限</t>
  </si>
  <si>
    <t>短期</t>
  </si>
  <si>
    <t>いちにち信用</t>
  </si>
  <si>
    <t>信用新規建区分</t>
  </si>
  <si>
    <t>買建</t>
  </si>
  <si>
    <t>売建</t>
  </si>
  <si>
    <t>対象銘柄</t>
  </si>
  <si>
    <t>証券取引所が定めた一定の基準を満たした銘柄</t>
  </si>
  <si>
    <t>東証（マザーズ、JASDAQを含む）のうち当社選定銘柄</t>
  </si>
  <si>
    <t>IPO銘柄</t>
  </si>
  <si>
    <t>各取引所などが制度信用銘柄として選定後から取引可能</t>
  </si>
  <si>
    <t>上場初日から取引可能</t>
  </si>
  <si>
    <t>当社選定日から取引可能</t>
  </si>
  <si>
    <t>返済期限</t>
  </si>
  <si>
    <t>6カ月※1</t>
  </si>
  <si>
    <t>14日</t>
  </si>
  <si>
    <t>当日中</t>
  </si>
  <si>
    <t>手数料コースに応じた手数料がかかります。</t>
  </si>
  <si>
    <t>0円※2</t>
  </si>
  <si>
    <t>（年率）</t>
  </si>
  <si>
    <t>通常</t>
  </si>
  <si>
    <t>優遇</t>
  </si>
  <si>
    <t>：2.28％</t>
  </si>
  <si>
    <t>-</t>
  </si>
  <si>
    <t>：2.80%</t>
  </si>
  <si>
    <t>：2.10%</t>
  </si>
  <si>
    <t>1約定当たりの売買代金</t>
  </si>
  <si>
    <t>100万円以上：0％</t>
  </si>
  <si>
    <t>100万円未満：1.90％</t>
  </si>
  <si>
    <t>貸株料</t>
  </si>
  <si>
    <t>逆日歩</t>
  </si>
  <si>
    <t>（逆日歩/特別空売り料）</t>
  </si>
  <si>
    <t>当日の取引終了後に1株あたりの単価で決定。（銘柄別）</t>
  </si>
  <si>
    <t>特別空売り銘柄には特別空売り料がかかります。特別空売り料は、日々変動します。</t>
  </si>
  <si>
    <t>建玉限度額</t>
  </si>
  <si>
    <t>建玉全体の保有上限額　90億円</t>
  </si>
  <si>
    <t>建玉上限</t>
  </si>
  <si>
    <t>建玉は、1銘柄あたりで保有できる上限を設定しております。</t>
  </si>
  <si>
    <t>※「いちにち信用」売建サービスの場合、1顧客当たりの売建可能数量が銘柄ごとに設定されます。</t>
  </si>
  <si>
    <t>取引時間</t>
  </si>
  <si>
    <t>制度信用/一般信用買建（いちにち・無期限）・・・当日17時～翌営業日15時</t>
  </si>
  <si>
    <t>一般信用売建（いちにち・短期・無期限）・・・当日19時～翌営業日15時</t>
  </si>
  <si>
    <t>取引チャネル</t>
  </si>
  <si>
    <t>全チャネル</t>
  </si>
  <si>
    <t>ウェブ・マーケットスピード・スマホアプリ iSPEED</t>
  </si>
  <si>
    <t>カスタマーセンターのオペレーター取次ぎ</t>
  </si>
  <si>
    <t>※マーケットスピード for Mac、マーケットスピード nanoは対象外</t>
  </si>
  <si>
    <t>損益</t>
    <phoneticPr fontId="1" type="noConversion"/>
  </si>
  <si>
    <t>新規</t>
    <phoneticPr fontId="1" type="noConversion"/>
  </si>
  <si>
    <t>決済日</t>
    <phoneticPr fontId="1" type="noConversion"/>
  </si>
  <si>
    <t>売</t>
  </si>
  <si>
    <t>MTN</t>
  </si>
  <si>
    <t>買</t>
  </si>
  <si>
    <t>現在日</t>
    <phoneticPr fontId="1" type="noConversion"/>
  </si>
  <si>
    <t>現在日(Today)</t>
    <phoneticPr fontId="1" type="noConversion"/>
  </si>
  <si>
    <t>年度</t>
    <phoneticPr fontId="1" type="noConversion"/>
  </si>
  <si>
    <t>月度</t>
    <phoneticPr fontId="1" type="noConversion"/>
  </si>
  <si>
    <t>結果</t>
    <phoneticPr fontId="1" type="noConversion"/>
  </si>
  <si>
    <t>約定
数量</t>
    <phoneticPr fontId="1" type="noConversion"/>
  </si>
  <si>
    <t>決済
単価</t>
    <phoneticPr fontId="1" type="noConversion"/>
  </si>
  <si>
    <t>損益</t>
    <phoneticPr fontId="1" type="noConversion"/>
  </si>
  <si>
    <t>約定
単価</t>
    <phoneticPr fontId="1" type="noConversion"/>
  </si>
  <si>
    <t>Select</t>
  </si>
  <si>
    <t>+1-Sigama</t>
  </si>
  <si>
    <t>-1-Sigama</t>
  </si>
  <si>
    <t>+2-Sigama</t>
  </si>
  <si>
    <t>-2-Sigama</t>
  </si>
  <si>
    <t>STOP LOSS</t>
    <phoneticPr fontId="1" type="noConversion"/>
  </si>
  <si>
    <t>銘柄２（買い銘柄）</t>
  </si>
  <si>
    <t>バックテスト</t>
  </si>
  <si>
    <t>Code</t>
  </si>
  <si>
    <t>Name</t>
  </si>
  <si>
    <t>業種</t>
  </si>
  <si>
    <t>Price</t>
  </si>
  <si>
    <t>Lot</t>
  </si>
  <si>
    <t>Ave Profit</t>
  </si>
  <si>
    <t>Total 
Times</t>
  </si>
  <si>
    <t>Profit
Times</t>
  </si>
  <si>
    <t>ST/SP/OM</t>
  </si>
  <si>
    <t>PL</t>
  </si>
  <si>
    <t>Open
Days</t>
  </si>
  <si>
    <t>CORR
1Y</t>
  </si>
  <si>
    <t>Coint 
1Y</t>
  </si>
  <si>
    <t>決算直後に新規やると。。</t>
    <phoneticPr fontId="1" type="noConversion"/>
  </si>
  <si>
    <t>翌日にロッスカットできなかった</t>
    <phoneticPr fontId="1" type="noConversion"/>
  </si>
  <si>
    <t>STOP PROFIT</t>
    <phoneticPr fontId="1" type="noConversion"/>
  </si>
  <si>
    <t>ヤマハ発動機</t>
  </si>
  <si>
    <t>三井化学</t>
  </si>
  <si>
    <t>積水ハウス</t>
  </si>
  <si>
    <t>大同特殊鋼</t>
  </si>
  <si>
    <t>イオン</t>
  </si>
  <si>
    <t>日本軽金属ホールディングス</t>
  </si>
  <si>
    <t>アズビル</t>
  </si>
  <si>
    <t>牧野フライス製作所</t>
  </si>
  <si>
    <t>田辺三菱製薬</t>
  </si>
  <si>
    <t>ＮＥＣネッツエスアイ</t>
  </si>
  <si>
    <t>三菱ＵＦＪリース</t>
  </si>
  <si>
    <t>前田建設工業</t>
  </si>
  <si>
    <t>グローリー</t>
  </si>
  <si>
    <t>不二越</t>
  </si>
  <si>
    <t>ＡＤＥＫＡ</t>
  </si>
  <si>
    <t>関西ペイント</t>
  </si>
  <si>
    <t>東洋製罐グループホールディングス</t>
  </si>
  <si>
    <t>日本電子</t>
  </si>
  <si>
    <t>積水化学工業</t>
  </si>
  <si>
    <t>リンナイ</t>
  </si>
  <si>
    <t>イビデン</t>
  </si>
  <si>
    <t>エス・エム・エス</t>
  </si>
  <si>
    <t>クミアイ化学工業</t>
  </si>
  <si>
    <t>トヨタ自動車</t>
  </si>
  <si>
    <t>ジーエス・ユアサ　コーポレーション</t>
  </si>
  <si>
    <t>堀場製作所</t>
  </si>
  <si>
    <t>富士通</t>
  </si>
  <si>
    <t>ニチアス</t>
  </si>
  <si>
    <t>日本碍子</t>
  </si>
  <si>
    <t>日本航空電子工業</t>
  </si>
  <si>
    <t>日本空港ビルデング</t>
  </si>
  <si>
    <t>リクルートホールディングス</t>
  </si>
  <si>
    <t>決算日</t>
    <phoneticPr fontId="1" type="noConversion"/>
  </si>
  <si>
    <t>決算日ファイル</t>
    <phoneticPr fontId="1" type="noConversion"/>
  </si>
  <si>
    <t xml:space="preserve"> 発表日</t>
  </si>
  <si>
    <t xml:space="preserve"> 時刻</t>
  </si>
  <si>
    <t xml:space="preserve"> 決算</t>
  </si>
  <si>
    <t xml:space="preserve"> 連単</t>
  </si>
  <si>
    <t xml:space="preserve"> コード</t>
  </si>
  <si>
    <t xml:space="preserve"> 銘柄</t>
  </si>
  <si>
    <t xml:space="preserve"> 市場</t>
  </si>
  <si>
    <t xml:space="preserve"> 業種</t>
  </si>
  <si>
    <t xml:space="preserve"> 時価総額</t>
  </si>
  <si>
    <t xml:space="preserve"> -</t>
  </si>
  <si>
    <t xml:space="preserve"> 3Q</t>
  </si>
  <si>
    <t xml:space="preserve"> 連</t>
  </si>
  <si>
    <t xml:space="preserve"> 東1</t>
  </si>
  <si>
    <t xml:space="preserve"> 食料品</t>
  </si>
  <si>
    <t xml:space="preserve"> 1Q</t>
  </si>
  <si>
    <t xml:space="preserve"> 単</t>
  </si>
  <si>
    <t xml:space="preserve"> JQ</t>
  </si>
  <si>
    <t xml:space="preserve"> サービス業</t>
  </si>
  <si>
    <t xml:space="preserve"> 卸売業</t>
  </si>
  <si>
    <t xml:space="preserve"> 本</t>
  </si>
  <si>
    <t xml:space="preserve"> 東2</t>
  </si>
  <si>
    <t xml:space="preserve"> 2Q</t>
  </si>
  <si>
    <t xml:space="preserve"> 小売業</t>
  </si>
  <si>
    <t xml:space="preserve"> 情報・通信業</t>
  </si>
  <si>
    <t xml:space="preserve"> マザ</t>
  </si>
  <si>
    <t xml:space="preserve"> 化学</t>
  </si>
  <si>
    <t xml:space="preserve"> ダイサン</t>
  </si>
  <si>
    <t xml:space="preserve"> 金属製品</t>
  </si>
  <si>
    <t xml:space="preserve"> 伊藤園</t>
  </si>
  <si>
    <t>" 5</t>
  </si>
  <si>
    <t xml:space="preserve"> ロックフィール</t>
  </si>
  <si>
    <t xml:space="preserve"> ザッパラス</t>
  </si>
  <si>
    <t xml:space="preserve"> ゼネパッカー</t>
  </si>
  <si>
    <t xml:space="preserve"> 機械</t>
  </si>
  <si>
    <t xml:space="preserve"> その他製品</t>
  </si>
  <si>
    <t>" 2</t>
  </si>
  <si>
    <t xml:space="preserve"> 15:30</t>
  </si>
  <si>
    <t xml:space="preserve"> 電気機器</t>
  </si>
  <si>
    <t xml:space="preserve"> 不動産業</t>
  </si>
  <si>
    <t xml:space="preserve"> 建設業</t>
  </si>
  <si>
    <t>" 16</t>
  </si>
  <si>
    <t xml:space="preserve"> 日本スキー</t>
  </si>
  <si>
    <t xml:space="preserve"> 輸送用機器</t>
  </si>
  <si>
    <t>" 1</t>
  </si>
  <si>
    <t xml:space="preserve"> アルトナー</t>
  </si>
  <si>
    <t xml:space="preserve"> 繊維製品</t>
  </si>
  <si>
    <t xml:space="preserve"> パルプ・紙</t>
  </si>
  <si>
    <t xml:space="preserve"> ライクキッズ</t>
  </si>
  <si>
    <t xml:space="preserve"> その他金融業</t>
  </si>
  <si>
    <t xml:space="preserve"> 東証</t>
  </si>
  <si>
    <t xml:space="preserve"> ETF・REIT等</t>
  </si>
  <si>
    <t xml:space="preserve"> トビラシステム</t>
  </si>
  <si>
    <t xml:space="preserve"> トランザス</t>
  </si>
  <si>
    <t xml:space="preserve"> シルバーライフ</t>
  </si>
  <si>
    <t xml:space="preserve"> ｶﾞﾗｽ土石製品</t>
  </si>
  <si>
    <t xml:space="preserve"> ハウテレビ</t>
  </si>
  <si>
    <t xml:space="preserve"> VALUENEX</t>
  </si>
  <si>
    <t xml:space="preserve"> 医薬品</t>
  </si>
  <si>
    <t xml:space="preserve"> Ｍマート</t>
  </si>
  <si>
    <t xml:space="preserve"> ベルグアース</t>
  </si>
  <si>
    <t xml:space="preserve"> 水産・農林業</t>
  </si>
  <si>
    <t xml:space="preserve"> ブラス</t>
  </si>
  <si>
    <t>" 4</t>
  </si>
  <si>
    <t xml:space="preserve"> リーガル不</t>
  </si>
  <si>
    <t xml:space="preserve"> SKIYAKI</t>
  </si>
  <si>
    <t xml:space="preserve"> スマレジ</t>
  </si>
  <si>
    <t xml:space="preserve"> クミアイ化</t>
  </si>
  <si>
    <t xml:space="preserve"> ジェイック</t>
  </si>
  <si>
    <t xml:space="preserve"> 浜木綿</t>
  </si>
  <si>
    <t xml:space="preserve"> ダブルエー</t>
  </si>
  <si>
    <t xml:space="preserve"> パーク24</t>
  </si>
  <si>
    <t>" 6</t>
  </si>
  <si>
    <t xml:space="preserve"> 12/25</t>
  </si>
  <si>
    <t xml:space="preserve"> ＫＴＫ</t>
  </si>
  <si>
    <t xml:space="preserve"> NaITO</t>
  </si>
  <si>
    <t xml:space="preserve"> 12/26</t>
  </si>
  <si>
    <t xml:space="preserve"> 15:00</t>
  </si>
  <si>
    <t xml:space="preserve"> オプトエレクト</t>
  </si>
  <si>
    <t xml:space="preserve"> ハイデ日高</t>
  </si>
  <si>
    <t xml:space="preserve"> 瑞  光</t>
  </si>
  <si>
    <t xml:space="preserve"> フィードフォー</t>
  </si>
  <si>
    <t xml:space="preserve"> タキヒヨー</t>
  </si>
  <si>
    <t xml:space="preserve"> 12/27</t>
  </si>
  <si>
    <t xml:space="preserve"> ソーバル</t>
  </si>
  <si>
    <t xml:space="preserve"> アダストリア</t>
  </si>
  <si>
    <t xml:space="preserve"> パイプドH</t>
  </si>
  <si>
    <t xml:space="preserve"> 日プロセス</t>
  </si>
  <si>
    <t xml:space="preserve"> 1/6</t>
  </si>
  <si>
    <t xml:space="preserve"> ダイセキソリュ</t>
  </si>
  <si>
    <t xml:space="preserve"> ダイセキ</t>
  </si>
  <si>
    <t xml:space="preserve"> 1/7</t>
  </si>
  <si>
    <t xml:space="preserve"> ハニーズHLD</t>
  </si>
  <si>
    <t xml:space="preserve"> 1/8</t>
  </si>
  <si>
    <t xml:space="preserve"> リソー教育</t>
  </si>
  <si>
    <t xml:space="preserve"> 1/9</t>
  </si>
  <si>
    <t xml:space="preserve"> キユーピー</t>
  </si>
  <si>
    <t>" 3</t>
  </si>
  <si>
    <t xml:space="preserve"> AFC-HD</t>
  </si>
  <si>
    <t xml:space="preserve"> フェリシモ</t>
  </si>
  <si>
    <t xml:space="preserve"> 毎コムネット</t>
  </si>
  <si>
    <t xml:space="preserve"> ファーストリテイ</t>
  </si>
  <si>
    <t xml:space="preserve"> 1/10</t>
  </si>
  <si>
    <t xml:space="preserve"> SERIOHD</t>
  </si>
  <si>
    <t xml:space="preserve"> ビットワンG</t>
  </si>
  <si>
    <t xml:space="preserve"> ローソン</t>
  </si>
  <si>
    <t xml:space="preserve"> ブロッコリー</t>
  </si>
  <si>
    <t xml:space="preserve"> アレンザHD</t>
  </si>
  <si>
    <t xml:space="preserve"> PRTIMES</t>
  </si>
  <si>
    <t xml:space="preserve"> 日本エンタ</t>
  </si>
  <si>
    <t xml:space="preserve"> ベクトル</t>
  </si>
  <si>
    <t xml:space="preserve"> 岡野バル</t>
  </si>
  <si>
    <t xml:space="preserve"> ベイカレント</t>
  </si>
  <si>
    <t xml:space="preserve"> トーセイ</t>
  </si>
  <si>
    <t xml:space="preserve"> 1/14</t>
  </si>
  <si>
    <t xml:space="preserve"> エスプール</t>
  </si>
  <si>
    <t xml:space="preserve"> 北の達人</t>
  </si>
  <si>
    <t xml:space="preserve"> ハ　ブ</t>
  </si>
  <si>
    <t xml:space="preserve"> ＴＫＰ</t>
  </si>
  <si>
    <t xml:space="preserve"> Ｎｏ．１</t>
  </si>
  <si>
    <t xml:space="preserve"> メディアドゥ</t>
  </si>
  <si>
    <t xml:space="preserve"> 明光ネット</t>
  </si>
  <si>
    <t xml:space="preserve"> 古野電</t>
  </si>
  <si>
    <t xml:space="preserve"> 東京衡機</t>
  </si>
  <si>
    <t xml:space="preserve"> 精密機器</t>
  </si>
  <si>
    <t xml:space="preserve"> 東　宝</t>
  </si>
  <si>
    <t>" 8</t>
  </si>
  <si>
    <t xml:space="preserve"> 1/15</t>
  </si>
  <si>
    <t xml:space="preserve"> シリコンスタシオ</t>
  </si>
  <si>
    <t xml:space="preserve"> エヌリンクス</t>
  </si>
  <si>
    <t xml:space="preserve"> テイツー</t>
  </si>
  <si>
    <t xml:space="preserve"> 1/17</t>
  </si>
  <si>
    <t xml:space="preserve"> ＡＰＩ</t>
  </si>
  <si>
    <t xml:space="preserve"> ネクスＧ</t>
  </si>
  <si>
    <t xml:space="preserve"> ティムコ</t>
  </si>
  <si>
    <t xml:space="preserve"> 1/23</t>
  </si>
  <si>
    <t xml:space="preserve"> ディスコ</t>
  </si>
  <si>
    <t xml:space="preserve"> 1/26</t>
  </si>
  <si>
    <t xml:space="preserve"> ＫＤＤＩ</t>
  </si>
  <si>
    <t xml:space="preserve"> 1/27</t>
  </si>
  <si>
    <t xml:space="preserve"> 高純度化</t>
  </si>
  <si>
    <t xml:space="preserve"> 1/28</t>
  </si>
  <si>
    <t xml:space="preserve"> 石原ケミカル</t>
  </si>
  <si>
    <t xml:space="preserve"> 1/29</t>
  </si>
  <si>
    <t xml:space="preserve"> サカイ引越</t>
  </si>
  <si>
    <t xml:space="preserve"> 陸運業</t>
  </si>
  <si>
    <t xml:space="preserve"> 1/30</t>
  </si>
  <si>
    <t xml:space="preserve"> 大東建</t>
  </si>
  <si>
    <t>" 10</t>
  </si>
  <si>
    <t xml:space="preserve"> トーメンデバ</t>
  </si>
  <si>
    <t xml:space="preserve"> Eギャランティ</t>
  </si>
  <si>
    <t xml:space="preserve"> ハマキョウ</t>
  </si>
  <si>
    <t xml:space="preserve"> グローセル</t>
  </si>
  <si>
    <t xml:space="preserve"> 1/31</t>
  </si>
  <si>
    <t xml:space="preserve"> エレマテック</t>
  </si>
  <si>
    <t xml:space="preserve"> 日食品</t>
  </si>
  <si>
    <t xml:space="preserve"> ラサ商事</t>
  </si>
  <si>
    <t xml:space="preserve"> テクマトリックス</t>
  </si>
  <si>
    <t xml:space="preserve"> ジーダット</t>
  </si>
  <si>
    <t xml:space="preserve"> Ｄ　Ｉ</t>
  </si>
  <si>
    <t xml:space="preserve"> 扶桑化学</t>
  </si>
  <si>
    <t xml:space="preserve"> 邦チタニウム</t>
  </si>
  <si>
    <t xml:space="preserve"> 非鉄金属</t>
  </si>
  <si>
    <t xml:space="preserve"> タクミナ</t>
  </si>
  <si>
    <t xml:space="preserve"> メディアリンク</t>
  </si>
  <si>
    <t xml:space="preserve"> ウシオ電</t>
  </si>
  <si>
    <t xml:space="preserve"> 豊田合</t>
  </si>
  <si>
    <t xml:space="preserve"> たけびし</t>
  </si>
  <si>
    <t xml:space="preserve"> 日本MDM</t>
  </si>
  <si>
    <t xml:space="preserve"> 共立印刷</t>
  </si>
  <si>
    <t xml:space="preserve"> 前澤化</t>
  </si>
  <si>
    <t xml:space="preserve"> ダイビル</t>
  </si>
  <si>
    <t xml:space="preserve"> 2/3</t>
  </si>
  <si>
    <t xml:space="preserve"> ホクト</t>
  </si>
  <si>
    <t xml:space="preserve"> あじかん</t>
  </si>
  <si>
    <t xml:space="preserve"> ワールド</t>
  </si>
  <si>
    <t xml:space="preserve"> ハウスローゼ</t>
  </si>
  <si>
    <t xml:space="preserve"> アルメディオ</t>
  </si>
  <si>
    <t xml:space="preserve"> 2/4</t>
  </si>
  <si>
    <t xml:space="preserve"> 武　田</t>
  </si>
  <si>
    <t xml:space="preserve"> サーティワン</t>
  </si>
  <si>
    <t xml:space="preserve"> 日東工器</t>
  </si>
  <si>
    <t xml:space="preserve"> ノジマ</t>
  </si>
  <si>
    <t xml:space="preserve"> 2/5</t>
  </si>
  <si>
    <t xml:space="preserve"> メンバーズ</t>
  </si>
  <si>
    <t xml:space="preserve"> テクノメディカ</t>
  </si>
  <si>
    <t xml:space="preserve"> メガチップス</t>
  </si>
  <si>
    <t xml:space="preserve"> 2/6</t>
  </si>
  <si>
    <t xml:space="preserve"> アイロムG</t>
  </si>
  <si>
    <t xml:space="preserve"> アーバネット</t>
  </si>
  <si>
    <t xml:space="preserve"> 太陽ＨＤ</t>
  </si>
  <si>
    <t xml:space="preserve"> 日総工産</t>
  </si>
  <si>
    <t xml:space="preserve"> 川澄化</t>
  </si>
  <si>
    <t xml:space="preserve"> 河合楽</t>
  </si>
  <si>
    <t xml:space="preserve"> 2/7</t>
  </si>
  <si>
    <t xml:space="preserve"> 大成建</t>
  </si>
  <si>
    <t>" 9</t>
  </si>
  <si>
    <t xml:space="preserve"> 不動テトラ</t>
  </si>
  <si>
    <t xml:space="preserve"> 東鉄工</t>
  </si>
  <si>
    <t xml:space="preserve"> 森　組</t>
  </si>
  <si>
    <t xml:space="preserve"> 日本ドライ</t>
  </si>
  <si>
    <t xml:space="preserve"> 三機工</t>
  </si>
  <si>
    <t xml:space="preserve"> 高砂熱</t>
  </si>
  <si>
    <t xml:space="preserve"> アリアケ</t>
  </si>
  <si>
    <t xml:space="preserve"> シキボウ</t>
  </si>
  <si>
    <t xml:space="preserve"> システムズD</t>
  </si>
  <si>
    <t xml:space="preserve"> ツムラ</t>
  </si>
  <si>
    <t xml:space="preserve"> オンコリス</t>
  </si>
  <si>
    <t xml:space="preserve"> ガーラ</t>
  </si>
  <si>
    <t xml:space="preserve"> 住友鉱</t>
  </si>
  <si>
    <t xml:space="preserve"> 前澤給</t>
  </si>
  <si>
    <t xml:space="preserve"> 日セラミ</t>
  </si>
  <si>
    <t xml:space="preserve"> スズデン</t>
  </si>
  <si>
    <t xml:space="preserve"> イノテック</t>
  </si>
  <si>
    <t xml:space="preserve"> やまや</t>
  </si>
  <si>
    <t xml:space="preserve"> 2/10</t>
  </si>
  <si>
    <t xml:space="preserve"> 大気社</t>
  </si>
  <si>
    <t xml:space="preserve"> ヤマエ久</t>
  </si>
  <si>
    <t xml:space="preserve"> 福証</t>
  </si>
  <si>
    <t xml:space="preserve"> 2/12</t>
  </si>
  <si>
    <t xml:space="preserve"> 高松Ｇ</t>
  </si>
  <si>
    <t xml:space="preserve"> 三住建設</t>
  </si>
  <si>
    <t xml:space="preserve"> 大戸屋HD</t>
  </si>
  <si>
    <t xml:space="preserve"> ＤＯＷＡ</t>
  </si>
  <si>
    <t xml:space="preserve"> ヨロズ</t>
  </si>
  <si>
    <t xml:space="preserve"> アイ・テック</t>
  </si>
  <si>
    <t xml:space="preserve"> 2/13</t>
  </si>
  <si>
    <t xml:space="preserve"> ホクリヨウ</t>
  </si>
  <si>
    <t xml:space="preserve"> ケアネット</t>
  </si>
  <si>
    <t xml:space="preserve"> LINK&amp;M</t>
  </si>
  <si>
    <t xml:space="preserve"> アスモ</t>
  </si>
  <si>
    <t xml:space="preserve"> オイラ大地</t>
  </si>
  <si>
    <t xml:space="preserve"> ベネフィットJ</t>
  </si>
  <si>
    <t xml:space="preserve"> バリュデザ</t>
  </si>
  <si>
    <t xml:space="preserve"> 楽　天</t>
  </si>
  <si>
    <t>" 13</t>
  </si>
  <si>
    <t xml:space="preserve"> SECカーボン</t>
  </si>
  <si>
    <t xml:space="preserve"> エクストリーム</t>
  </si>
  <si>
    <t xml:space="preserve"> ＳＩＨＤ</t>
  </si>
  <si>
    <t xml:space="preserve"> メニコン</t>
  </si>
  <si>
    <t xml:space="preserve"> ユニマットRC</t>
  </si>
  <si>
    <t xml:space="preserve"> 2/14</t>
  </si>
  <si>
    <t xml:space="preserve"> マーケットエンタ</t>
  </si>
  <si>
    <t xml:space="preserve"> 藤倉化</t>
  </si>
  <si>
    <t xml:space="preserve"> DMG森精</t>
  </si>
  <si>
    <t xml:space="preserve"> 日阪製</t>
  </si>
  <si>
    <t xml:space="preserve"> プレミアG</t>
  </si>
  <si>
    <t xml:space="preserve"> 2/20</t>
  </si>
  <si>
    <t xml:space="preserve"> ＪＨＲ</t>
  </si>
  <si>
    <t xml:space="preserve"> 01月下旬</t>
  </si>
  <si>
    <t xml:space="preserve"> 日本電技</t>
  </si>
  <si>
    <t xml:space="preserve"> 中電工</t>
  </si>
  <si>
    <t xml:space="preserve"> トーエネク</t>
  </si>
  <si>
    <t xml:space="preserve"> 九電工</t>
  </si>
  <si>
    <t xml:space="preserve"> クエスト</t>
  </si>
  <si>
    <t xml:space="preserve"> ありがと</t>
  </si>
  <si>
    <t xml:space="preserve"> 野村不HD</t>
  </si>
  <si>
    <t xml:space="preserve"> 東邦システム</t>
  </si>
  <si>
    <t xml:space="preserve"> バンクイノベ</t>
  </si>
  <si>
    <t xml:space="preserve"> 医学生物</t>
  </si>
  <si>
    <t xml:space="preserve"> オービック</t>
  </si>
  <si>
    <t>" 14</t>
  </si>
  <si>
    <t xml:space="preserve"> ＺＨＤ</t>
  </si>
  <si>
    <t xml:space="preserve"> 赤阪鉄</t>
  </si>
  <si>
    <t xml:space="preserve"> 豊田織機</t>
  </si>
  <si>
    <t>" 21</t>
  </si>
  <si>
    <t xml:space="preserve"> コマツ</t>
  </si>
  <si>
    <t xml:space="preserve"> タダノ</t>
  </si>
  <si>
    <t xml:space="preserve"> オムロン</t>
  </si>
  <si>
    <t xml:space="preserve"> 日本トリム</t>
  </si>
  <si>
    <t xml:space="preserve"> エクセディ</t>
  </si>
  <si>
    <t xml:space="preserve"> バルカー</t>
  </si>
  <si>
    <t xml:space="preserve"> H2Oリテイル</t>
  </si>
  <si>
    <t xml:space="preserve"> あおぞら</t>
  </si>
  <si>
    <t xml:space="preserve"> 銀行業</t>
  </si>
  <si>
    <t xml:space="preserve"> ＡＮＡ</t>
  </si>
  <si>
    <t xml:space="preserve"> 空運業</t>
  </si>
  <si>
    <t xml:space="preserve"> ゼンリン</t>
  </si>
  <si>
    <t xml:space="preserve"> 中部電</t>
  </si>
  <si>
    <t xml:space="preserve"> 電気・ガス業</t>
  </si>
  <si>
    <t>" 11</t>
  </si>
  <si>
    <t xml:space="preserve"> 中国電</t>
  </si>
  <si>
    <t xml:space="preserve"> 東ガス</t>
  </si>
  <si>
    <t xml:space="preserve"> ＳＣＳＫ</t>
  </si>
  <si>
    <t xml:space="preserve"> 王将フード</t>
  </si>
  <si>
    <t xml:space="preserve"> 01月上旬</t>
  </si>
  <si>
    <t xml:space="preserve"> ファーストコポ</t>
  </si>
  <si>
    <t xml:space="preserve"> サーラ</t>
  </si>
  <si>
    <t xml:space="preserve"> 黒　谷</t>
  </si>
  <si>
    <t xml:space="preserve"> ネクステージ</t>
  </si>
  <si>
    <t xml:space="preserve"> メディ一光</t>
  </si>
  <si>
    <t xml:space="preserve"> 7&amp;I-HD</t>
  </si>
  <si>
    <t xml:space="preserve"> Fブラザース</t>
  </si>
  <si>
    <t xml:space="preserve"> リックソフト</t>
  </si>
  <si>
    <t xml:space="preserve"> 東海ソフト</t>
  </si>
  <si>
    <t xml:space="preserve"> Sansan</t>
  </si>
  <si>
    <t xml:space="preserve"> マルマエ</t>
  </si>
  <si>
    <t xml:space="preserve"> 中北製</t>
  </si>
  <si>
    <t xml:space="preserve"> ４℃ＨＤ</t>
  </si>
  <si>
    <t xml:space="preserve"> ワキタ</t>
  </si>
  <si>
    <t xml:space="preserve"> 01月中旬</t>
  </si>
  <si>
    <t xml:space="preserve"> サカタのタネ</t>
  </si>
  <si>
    <t xml:space="preserve"> 日本国土</t>
  </si>
  <si>
    <t xml:space="preserve"> 柿安本店</t>
  </si>
  <si>
    <t xml:space="preserve"> ドーン</t>
  </si>
  <si>
    <t xml:space="preserve"> ライク</t>
  </si>
  <si>
    <t xml:space="preserve"> キャンドゥ</t>
  </si>
  <si>
    <t xml:space="preserve"> 東武住販</t>
  </si>
  <si>
    <t xml:space="preserve"> バイク王</t>
  </si>
  <si>
    <t xml:space="preserve"> クリレスHD</t>
  </si>
  <si>
    <t xml:space="preserve"> バロック</t>
  </si>
  <si>
    <t xml:space="preserve"> Ｕ＆Ｃ</t>
  </si>
  <si>
    <t xml:space="preserve"> サインポスト</t>
  </si>
  <si>
    <t xml:space="preserve"> ヒトコムHD</t>
  </si>
  <si>
    <t xml:space="preserve"> サーバーワクス</t>
  </si>
  <si>
    <t xml:space="preserve"> ヴィッツ</t>
  </si>
  <si>
    <t xml:space="preserve"> ＴＯＮＥ</t>
  </si>
  <si>
    <t xml:space="preserve"> アクアライン</t>
  </si>
  <si>
    <t xml:space="preserve"> 前沢工</t>
  </si>
  <si>
    <t xml:space="preserve"> 日　宣</t>
  </si>
  <si>
    <t xml:space="preserve"> 識　学</t>
  </si>
  <si>
    <t xml:space="preserve"> 共栄セキュリ</t>
  </si>
  <si>
    <t xml:space="preserve"> ユーピーアール</t>
  </si>
  <si>
    <t xml:space="preserve"> ダイコー通</t>
  </si>
  <si>
    <t xml:space="preserve"> 中本パクス</t>
  </si>
  <si>
    <t xml:space="preserve"> 02月上旬</t>
  </si>
  <si>
    <t xml:space="preserve"> 安藤ハザマ</t>
  </si>
  <si>
    <t xml:space="preserve"> 鹿　島</t>
  </si>
  <si>
    <t>" 7</t>
  </si>
  <si>
    <t xml:space="preserve"> 前田建</t>
  </si>
  <si>
    <t xml:space="preserve"> 戸田建</t>
  </si>
  <si>
    <t xml:space="preserve"> 中外炉</t>
  </si>
  <si>
    <t xml:space="preserve"> 甜菜糖</t>
  </si>
  <si>
    <t xml:space="preserve"> サニーサイド</t>
  </si>
  <si>
    <t xml:space="preserve"> 丸大食</t>
  </si>
  <si>
    <t xml:space="preserve"> ダイナックHD</t>
  </si>
  <si>
    <t xml:space="preserve"> 信　和</t>
  </si>
  <si>
    <t xml:space="preserve"> プロパティA</t>
  </si>
  <si>
    <t xml:space="preserve"> アグレ都市</t>
  </si>
  <si>
    <t xml:space="preserve"> 大石産</t>
  </si>
  <si>
    <t xml:space="preserve"> 大阪ソーダ</t>
  </si>
  <si>
    <t xml:space="preserve"> 田中化研</t>
  </si>
  <si>
    <t xml:space="preserve"> PBシステムズ</t>
  </si>
  <si>
    <t xml:space="preserve"> 生化学</t>
  </si>
  <si>
    <t xml:space="preserve"> 三星ベ</t>
  </si>
  <si>
    <t xml:space="preserve"> ゴム製品</t>
  </si>
  <si>
    <t xml:space="preserve"> 洋刃物</t>
  </si>
  <si>
    <t xml:space="preserve"> エイチワン</t>
  </si>
  <si>
    <t xml:space="preserve"> ヤマシンフィルタ</t>
  </si>
  <si>
    <t xml:space="preserve"> WASHハウス</t>
  </si>
  <si>
    <t xml:space="preserve"> アオイ電子</t>
  </si>
  <si>
    <t xml:space="preserve"> エヌ・シー・エヌ</t>
  </si>
  <si>
    <t xml:space="preserve"> 全国保証</t>
  </si>
  <si>
    <t xml:space="preserve"> 日信工業</t>
  </si>
  <si>
    <t xml:space="preserve"> アイシン精</t>
  </si>
  <si>
    <t>" 12</t>
  </si>
  <si>
    <t xml:space="preserve"> 尾家産業</t>
  </si>
  <si>
    <t xml:space="preserve"> ＪＭＳ</t>
  </si>
  <si>
    <t xml:space="preserve"> プラッツ</t>
  </si>
  <si>
    <t xml:space="preserve"> 興　研</t>
  </si>
  <si>
    <t xml:space="preserve"> 三京化</t>
  </si>
  <si>
    <t xml:space="preserve"> モスフード</t>
  </si>
  <si>
    <t xml:space="preserve"> 理　経</t>
  </si>
  <si>
    <t xml:space="preserve"> ゼビオHD</t>
  </si>
  <si>
    <t xml:space="preserve"> 東　武</t>
  </si>
  <si>
    <t xml:space="preserve"> 上　組</t>
  </si>
  <si>
    <t xml:space="preserve"> 倉庫運輸関連</t>
  </si>
  <si>
    <t xml:space="preserve"> NTTデータ</t>
  </si>
  <si>
    <t xml:space="preserve"> よみラント</t>
  </si>
  <si>
    <t xml:space="preserve"> 松屋フーズ</t>
  </si>
  <si>
    <t xml:space="preserve"> ＪＫＨＤ</t>
  </si>
  <si>
    <t xml:space="preserve"> 02月中旬</t>
  </si>
  <si>
    <t xml:space="preserve"> 田中建設</t>
  </si>
  <si>
    <t xml:space="preserve"> ＫＨＣ</t>
  </si>
  <si>
    <t xml:space="preserve"> 国際帝石</t>
  </si>
  <si>
    <t xml:space="preserve"> 鉱業</t>
  </si>
  <si>
    <t xml:space="preserve"> 北野建</t>
  </si>
  <si>
    <t xml:space="preserve"> 福田組</t>
  </si>
  <si>
    <t xml:space="preserve"> 日空調</t>
  </si>
  <si>
    <t xml:space="preserve"> サンキャピタル</t>
  </si>
  <si>
    <t xml:space="preserve"> 大英産業</t>
  </si>
  <si>
    <t xml:space="preserve"> Nグランデ</t>
  </si>
  <si>
    <t xml:space="preserve"> 札証</t>
  </si>
  <si>
    <t xml:space="preserve"> レナウン</t>
  </si>
  <si>
    <t xml:space="preserve"> Abalance</t>
  </si>
  <si>
    <t xml:space="preserve"> 阿波製紙</t>
  </si>
  <si>
    <t xml:space="preserve"> ＭＤＶ</t>
  </si>
  <si>
    <t xml:space="preserve"> シンクロフード</t>
  </si>
  <si>
    <t xml:space="preserve"> ダイキアクシス</t>
  </si>
  <si>
    <t xml:space="preserve"> 恵　和</t>
  </si>
  <si>
    <t xml:space="preserve"> Kudan</t>
  </si>
  <si>
    <t xml:space="preserve"> カオナビ</t>
  </si>
  <si>
    <t xml:space="preserve"> バルテス</t>
  </si>
  <si>
    <t xml:space="preserve"> Chatwork</t>
  </si>
  <si>
    <t xml:space="preserve"> ギフティ</t>
  </si>
  <si>
    <t xml:space="preserve"> ＰＳＯＬ</t>
  </si>
  <si>
    <t xml:space="preserve"> HENNGE</t>
  </si>
  <si>
    <t xml:space="preserve"> AI CROSS</t>
  </si>
  <si>
    <t xml:space="preserve"> ＢＡＳＥ</t>
  </si>
  <si>
    <t xml:space="preserve"> ＤＩＣ</t>
  </si>
  <si>
    <t xml:space="preserve"> ワシントンホテル</t>
  </si>
  <si>
    <t xml:space="preserve"> スカラ</t>
  </si>
  <si>
    <t xml:space="preserve"> ライドオンEX</t>
  </si>
  <si>
    <t xml:space="preserve"> 小倉クラ</t>
  </si>
  <si>
    <t xml:space="preserve"> 高見サイ</t>
  </si>
  <si>
    <t xml:space="preserve"> デンヨー</t>
  </si>
  <si>
    <t xml:space="preserve"> コンヴァノ</t>
  </si>
  <si>
    <t xml:space="preserve"> HPCシステムス</t>
  </si>
  <si>
    <t xml:space="preserve"> 電気興</t>
  </si>
  <si>
    <t xml:space="preserve"> 伊豆ＳＲ</t>
  </si>
  <si>
    <t xml:space="preserve"> フェンオール</t>
  </si>
  <si>
    <t xml:space="preserve"> ギークス</t>
  </si>
  <si>
    <t xml:space="preserve"> エードット</t>
  </si>
  <si>
    <t xml:space="preserve"> ブランディン</t>
  </si>
  <si>
    <t xml:space="preserve"> インテＭ</t>
  </si>
  <si>
    <t xml:space="preserve"> タチエス</t>
  </si>
  <si>
    <t xml:space="preserve"> ＫＹＢ</t>
  </si>
  <si>
    <t xml:space="preserve"> NATTY</t>
  </si>
  <si>
    <t xml:space="preserve"> グッドスピ</t>
  </si>
  <si>
    <t xml:space="preserve"> ヤシマキザイ</t>
  </si>
  <si>
    <t xml:space="preserve"> レオクラン</t>
  </si>
  <si>
    <t xml:space="preserve"> メディキット</t>
  </si>
  <si>
    <t xml:space="preserve"> アミファ</t>
  </si>
  <si>
    <t xml:space="preserve"> ソマール</t>
  </si>
  <si>
    <t xml:space="preserve"> 都競馬</t>
  </si>
  <si>
    <t xml:space="preserve"> 03月中旬</t>
  </si>
  <si>
    <t xml:space="preserve"> コンフォリア</t>
  </si>
  <si>
    <t xml:space="preserve"> いちごホテ</t>
  </si>
  <si>
    <t xml:space="preserve"> 04月中旬</t>
  </si>
  <si>
    <t xml:space="preserve"> ＧＬＰ</t>
  </si>
  <si>
    <t xml:space="preserve"> ラサールロジ</t>
  </si>
  <si>
    <t xml:space="preserve"> 12月下旬</t>
  </si>
  <si>
    <t xml:space="preserve"> YE DIGIT</t>
  </si>
  <si>
    <t xml:space="preserve"> 大　光</t>
  </si>
  <si>
    <t xml:space="preserve"> 壱番屋</t>
  </si>
  <si>
    <t xml:space="preserve"> 三益半</t>
  </si>
  <si>
    <t xml:space="preserve"> オークワ</t>
  </si>
  <si>
    <t xml:space="preserve"> しまむら</t>
  </si>
  <si>
    <t xml:space="preserve"> OSGコーポ</t>
  </si>
  <si>
    <t xml:space="preserve"> コーセル</t>
  </si>
  <si>
    <t>ＦＵＪＩ</t>
  </si>
  <si>
    <t>サトーホールディングス</t>
  </si>
  <si>
    <t>ホシザキ</t>
  </si>
  <si>
    <t>豊田合成</t>
  </si>
  <si>
    <t>中外製薬</t>
  </si>
  <si>
    <t>東芝テック</t>
  </si>
  <si>
    <t>日本通運</t>
  </si>
  <si>
    <t>カシオ計算機</t>
  </si>
  <si>
    <t>野村ホールディングス</t>
  </si>
  <si>
    <t>ブラザー工業</t>
  </si>
  <si>
    <t>浜松ホトニクス</t>
  </si>
  <si>
    <t>野村不動産ホールディングス</t>
  </si>
  <si>
    <t xml:space="preserve"> 象　印</t>
  </si>
  <si>
    <t xml:space="preserve"> ヒマラヤ</t>
  </si>
  <si>
    <t xml:space="preserve"> Ｍ＆Ａ</t>
  </si>
  <si>
    <t xml:space="preserve"> ベネ・ワン</t>
  </si>
  <si>
    <t xml:space="preserve"> ＳＭＳ</t>
  </si>
  <si>
    <t xml:space="preserve"> 亀田菓</t>
  </si>
  <si>
    <t xml:space="preserve"> ALSOK</t>
  </si>
  <si>
    <t xml:space="preserve"> テクノプロHD</t>
  </si>
  <si>
    <t xml:space="preserve"> レーザーテク</t>
  </si>
  <si>
    <t xml:space="preserve"> 日新製糖</t>
  </si>
  <si>
    <t xml:space="preserve"> 社宅Ｓ</t>
  </si>
  <si>
    <t xml:space="preserve"> パンパシHD</t>
  </si>
  <si>
    <t xml:space="preserve"> Ｊ　Ｔ</t>
  </si>
  <si>
    <t xml:space="preserve"> 森永菓</t>
  </si>
  <si>
    <t xml:space="preserve"> SBSHD</t>
  </si>
  <si>
    <t xml:space="preserve"> ツクイ</t>
  </si>
  <si>
    <t xml:space="preserve"> リビン保証</t>
  </si>
  <si>
    <t xml:space="preserve"> エスクリ</t>
  </si>
  <si>
    <t xml:space="preserve"> 共同ＰＲ</t>
  </si>
  <si>
    <t xml:space="preserve"> シイエム・シイ</t>
  </si>
  <si>
    <t xml:space="preserve"> fonfun</t>
  </si>
  <si>
    <t xml:space="preserve"> 岡本工</t>
  </si>
  <si>
    <t xml:space="preserve"> パーソルHD</t>
  </si>
  <si>
    <t xml:space="preserve"> イオレ</t>
  </si>
  <si>
    <t xml:space="preserve"> ＩＴＭ</t>
  </si>
  <si>
    <t xml:space="preserve"> デジアーツ</t>
  </si>
  <si>
    <t xml:space="preserve"> 博　展</t>
  </si>
  <si>
    <t xml:space="preserve"> エヌアイデイ</t>
  </si>
  <si>
    <t xml:space="preserve"> ユビテック</t>
  </si>
  <si>
    <t xml:space="preserve"> カナディアン</t>
  </si>
  <si>
    <t xml:space="preserve"> アイリック</t>
  </si>
  <si>
    <t xml:space="preserve"> 保険業</t>
  </si>
  <si>
    <t xml:space="preserve"> 穴吹興産</t>
  </si>
  <si>
    <t>`</t>
    <phoneticPr fontId="1" type="noConversion"/>
  </si>
  <si>
    <t>現物</t>
    <phoneticPr fontId="1" type="noConversion"/>
  </si>
  <si>
    <t>税込</t>
    <phoneticPr fontId="1" type="noConversion"/>
  </si>
  <si>
    <t>税率</t>
    <phoneticPr fontId="1" type="noConversion"/>
  </si>
  <si>
    <t>制度信用</t>
    <phoneticPr fontId="1" type="noConversion"/>
  </si>
  <si>
    <t>&lt;500000</t>
    <phoneticPr fontId="1" type="noConversion"/>
  </si>
  <si>
    <t>&gt;500000</t>
    <phoneticPr fontId="1" type="noConversion"/>
  </si>
  <si>
    <t>買方金利</t>
    <phoneticPr fontId="1" type="noConversion"/>
  </si>
  <si>
    <t>貸株料</t>
    <phoneticPr fontId="1" type="noConversion"/>
  </si>
  <si>
    <r>
      <rPr>
        <sz val="11"/>
        <color rgb="FF000000"/>
        <rFont val="FangSong"/>
        <family val="3"/>
        <charset val="134"/>
      </rPr>
      <t>：</t>
    </r>
    <r>
      <rPr>
        <sz val="11"/>
        <color rgb="FF000000"/>
        <rFont val="Arial"/>
        <family val="2"/>
      </rPr>
      <t>2.80</t>
    </r>
    <r>
      <rPr>
        <sz val="11"/>
        <color rgb="FF000000"/>
        <rFont val="FangSong"/>
        <family val="3"/>
        <charset val="134"/>
      </rPr>
      <t>％</t>
    </r>
    <phoneticPr fontId="1" type="noConversion"/>
  </si>
  <si>
    <t>(超割コース　税抜)</t>
    <phoneticPr fontId="1" type="noConversion"/>
  </si>
  <si>
    <t>(税込)</t>
    <phoneticPr fontId="1" type="noConversion"/>
  </si>
  <si>
    <t>Close</t>
  </si>
  <si>
    <t>ＮＳＤ</t>
  </si>
  <si>
    <t>ディップ</t>
  </si>
  <si>
    <t>ＮＴＴドコモ</t>
  </si>
  <si>
    <t xml:space="preserve"> 12/24</t>
  </si>
  <si>
    <t xml:space="preserve"> TAKARA&amp;C</t>
  </si>
  <si>
    <t xml:space="preserve"> トレファク</t>
  </si>
  <si>
    <t xml:space="preserve"> いちご</t>
  </si>
  <si>
    <t xml:space="preserve"> コスモス薬品</t>
  </si>
  <si>
    <t xml:space="preserve"> 久光薬</t>
  </si>
  <si>
    <t xml:space="preserve"> 佐鳥電機</t>
  </si>
  <si>
    <t xml:space="preserve"> 良品計画</t>
  </si>
  <si>
    <t xml:space="preserve"> シグマ光機</t>
  </si>
  <si>
    <t xml:space="preserve"> ＡＩＴ</t>
  </si>
  <si>
    <t xml:space="preserve"> 12:00</t>
  </si>
  <si>
    <t xml:space="preserve"> トウキョベース</t>
  </si>
  <si>
    <t xml:space="preserve"> プレナス</t>
  </si>
  <si>
    <t xml:space="preserve"> 阪急神RE</t>
  </si>
  <si>
    <t xml:space="preserve"> 14:00</t>
  </si>
  <si>
    <t xml:space="preserve"> 大豊工業</t>
  </si>
  <si>
    <t xml:space="preserve"> 味の素</t>
  </si>
  <si>
    <t xml:space="preserve"> ヒューリック</t>
  </si>
  <si>
    <t xml:space="preserve"> TOKAI HD</t>
  </si>
  <si>
    <t xml:space="preserve"> 明治電機</t>
  </si>
  <si>
    <t xml:space="preserve"> 電　算</t>
  </si>
  <si>
    <t xml:space="preserve"> JR東日本</t>
  </si>
  <si>
    <t>" 37</t>
  </si>
  <si>
    <t xml:space="preserve"> トーカロ</t>
  </si>
  <si>
    <t xml:space="preserve"> UNITED</t>
  </si>
  <si>
    <t xml:space="preserve"> ＺＯＺＯ</t>
  </si>
  <si>
    <t xml:space="preserve"> ココカラファイン</t>
  </si>
  <si>
    <t xml:space="preserve"> ファンデリー</t>
  </si>
  <si>
    <t xml:space="preserve"> イチカワ</t>
  </si>
  <si>
    <t xml:space="preserve"> ワコールHD</t>
  </si>
  <si>
    <t xml:space="preserve"> テクノスJPN</t>
  </si>
  <si>
    <t xml:space="preserve"> 東映アニメ</t>
  </si>
  <si>
    <t xml:space="preserve"> ＴＯＴＯ</t>
  </si>
  <si>
    <t xml:space="preserve"> 高千穂交</t>
  </si>
  <si>
    <t xml:space="preserve"> クリエイト</t>
  </si>
  <si>
    <t xml:space="preserve"> テンポイノベ</t>
  </si>
  <si>
    <t xml:space="preserve"> 科研薬</t>
  </si>
  <si>
    <t xml:space="preserve"> 京　王</t>
  </si>
  <si>
    <t xml:space="preserve"> 不二製油</t>
  </si>
  <si>
    <t xml:space="preserve"> ウェルネット</t>
  </si>
  <si>
    <t xml:space="preserve"> ニチレイ</t>
  </si>
  <si>
    <t>" 50</t>
  </si>
  <si>
    <t xml:space="preserve"> メルカリ</t>
  </si>
  <si>
    <t xml:space="preserve"> ＣＤＧ</t>
  </si>
  <si>
    <t xml:space="preserve"> ソケッツ</t>
  </si>
  <si>
    <t xml:space="preserve"> アドソル</t>
  </si>
  <si>
    <t xml:space="preserve"> 極東貿</t>
  </si>
  <si>
    <t xml:space="preserve"> クロスキャット</t>
  </si>
  <si>
    <t xml:space="preserve"> ＷＤＢ</t>
  </si>
  <si>
    <t xml:space="preserve"> シスロケ</t>
  </si>
  <si>
    <t xml:space="preserve"> 旭松食</t>
  </si>
  <si>
    <t xml:space="preserve"> ロードスター</t>
  </si>
  <si>
    <t xml:space="preserve"> イルグルム</t>
  </si>
  <si>
    <t xml:space="preserve"> 東洋合成</t>
  </si>
  <si>
    <t xml:space="preserve"> 栗本鉄</t>
  </si>
  <si>
    <t xml:space="preserve"> 鉄鋼</t>
  </si>
  <si>
    <t xml:space="preserve"> ハーモニック</t>
  </si>
  <si>
    <t xml:space="preserve"> ヴィンクス</t>
  </si>
  <si>
    <t xml:space="preserve"> テラプロ</t>
  </si>
  <si>
    <t xml:space="preserve"> フォーライフ</t>
  </si>
  <si>
    <t xml:space="preserve"> ファインデクス</t>
  </si>
  <si>
    <t xml:space="preserve"> モブキャストH</t>
  </si>
  <si>
    <t xml:space="preserve"> ササクラ</t>
  </si>
  <si>
    <t xml:space="preserve"> インフォマート</t>
  </si>
  <si>
    <t xml:space="preserve"> ＩＣＤＡ</t>
  </si>
  <si>
    <t xml:space="preserve"> フェイスNW</t>
  </si>
  <si>
    <t xml:space="preserve"> 3/2</t>
  </si>
  <si>
    <t xml:space="preserve"> 3/3</t>
  </si>
  <si>
    <t xml:space="preserve"> トヨタ紡織</t>
  </si>
  <si>
    <t xml:space="preserve"> マクニカ富士</t>
  </si>
  <si>
    <t xml:space="preserve"> LIXILビ</t>
  </si>
  <si>
    <t xml:space="preserve"> イーブック</t>
  </si>
  <si>
    <t xml:space="preserve"> さくら</t>
  </si>
  <si>
    <t>" 20</t>
  </si>
  <si>
    <t xml:space="preserve"> 西川計測</t>
  </si>
  <si>
    <t xml:space="preserve"> 技研製</t>
  </si>
  <si>
    <t xml:space="preserve"> オールアバウト</t>
  </si>
  <si>
    <t xml:space="preserve"> あらた</t>
  </si>
  <si>
    <t xml:space="preserve"> 双  日</t>
  </si>
  <si>
    <t xml:space="preserve"> 焼津水</t>
  </si>
  <si>
    <t xml:space="preserve"> シノブフース</t>
  </si>
  <si>
    <t xml:space="preserve"> ケンコーマヨ</t>
  </si>
  <si>
    <t xml:space="preserve"> フージャース</t>
  </si>
  <si>
    <t xml:space="preserve"> 東急不HD</t>
  </si>
  <si>
    <t xml:space="preserve"> 帝　人</t>
  </si>
  <si>
    <t xml:space="preserve"> ソトー</t>
  </si>
  <si>
    <t xml:space="preserve"> フジックス</t>
  </si>
  <si>
    <t xml:space="preserve"> ネットイヤー</t>
  </si>
  <si>
    <t xml:space="preserve"> ＴＩＳ</t>
  </si>
  <si>
    <t xml:space="preserve"> セック</t>
  </si>
  <si>
    <t xml:space="preserve"> はごろも</t>
  </si>
  <si>
    <t xml:space="preserve"> 飯田GHD</t>
  </si>
  <si>
    <t xml:space="preserve"> 関門海</t>
  </si>
  <si>
    <t xml:space="preserve"> ＤＭＰ</t>
  </si>
  <si>
    <t xml:space="preserve"> ジェクシード</t>
  </si>
  <si>
    <t xml:space="preserve"> コプロHD</t>
  </si>
  <si>
    <t xml:space="preserve"> ＶＴＨＤ</t>
  </si>
  <si>
    <t xml:space="preserve"> 03月上旬</t>
  </si>
  <si>
    <t>fiscal_data.csv</t>
  </si>
  <si>
    <t>master.csv</t>
    <phoneticPr fontId="1" type="noConversion"/>
  </si>
  <si>
    <t>DATE</t>
  </si>
  <si>
    <t>saya_divide</t>
  </si>
  <si>
    <t>saya_divide_mean</t>
  </si>
  <si>
    <t>saya_divide_std</t>
  </si>
  <si>
    <t>saya_divide_sigma</t>
  </si>
  <si>
    <t>deviation_rate(%)</t>
  </si>
  <si>
    <t>STOP PROFIT</t>
  </si>
  <si>
    <t>YEAR</t>
    <phoneticPr fontId="1" type="noConversion"/>
  </si>
  <si>
    <t>MONTH</t>
    <phoneticPr fontId="1" type="noConversion"/>
  </si>
  <si>
    <t>Avg Trade
Loss</t>
    <phoneticPr fontId="1" type="noConversion"/>
  </si>
  <si>
    <t>Avg Trade
Period</t>
    <phoneticPr fontId="1" type="noConversion"/>
  </si>
  <si>
    <t>Max
Drawdown</t>
    <phoneticPr fontId="1" type="noConversion"/>
  </si>
  <si>
    <t>Max
consecutive
Losing</t>
    <phoneticPr fontId="1" type="noConversion"/>
  </si>
  <si>
    <t>Stop
Profit
Trades</t>
    <phoneticPr fontId="1" type="noConversion"/>
  </si>
  <si>
    <t>Stop
Loss
Trades</t>
    <phoneticPr fontId="1" type="noConversion"/>
  </si>
  <si>
    <t>Initial 
Amount</t>
    <phoneticPr fontId="1" type="noConversion"/>
  </si>
  <si>
    <t>Total
Return</t>
    <phoneticPr fontId="1" type="noConversion"/>
  </si>
  <si>
    <t>Total
Return
%</t>
    <phoneticPr fontId="1" type="noConversion"/>
  </si>
  <si>
    <t>Completed
trades</t>
    <phoneticPr fontId="1" type="noConversion"/>
  </si>
  <si>
    <t>Winning
trades</t>
    <phoneticPr fontId="1" type="noConversion"/>
  </si>
  <si>
    <t>Losing
trades</t>
    <phoneticPr fontId="1" type="noConversion"/>
  </si>
  <si>
    <t>Avg Trade
Profit</t>
    <phoneticPr fontId="1" type="noConversion"/>
  </si>
  <si>
    <t>Max
Drawdown%</t>
    <phoneticPr fontId="1" type="noConversion"/>
  </si>
  <si>
    <t>Max
consecutive
Winning</t>
    <phoneticPr fontId="1" type="noConversion"/>
  </si>
  <si>
    <t>Other
Trades</t>
    <phoneticPr fontId="1" type="noConversion"/>
  </si>
  <si>
    <t>Total
Profit
+</t>
    <phoneticPr fontId="1" type="noConversion"/>
  </si>
  <si>
    <t>Total
Loss
-</t>
    <phoneticPr fontId="1" type="noConversion"/>
  </si>
  <si>
    <t>Winning
(勝率)</t>
    <phoneticPr fontId="1" type="noConversion"/>
  </si>
  <si>
    <t>OVER
MAX  
Day
Trades</t>
    <phoneticPr fontId="1" type="noConversion"/>
  </si>
  <si>
    <t>月次</t>
    <phoneticPr fontId="1" type="noConversion"/>
  </si>
  <si>
    <r>
      <t xml:space="preserve">OVER MAX </t>
    </r>
    <r>
      <rPr>
        <b/>
        <sz val="10"/>
        <color theme="1"/>
        <rFont val="FangSong"/>
        <family val="3"/>
        <charset val="134"/>
      </rPr>
      <t>DAY</t>
    </r>
    <phoneticPr fontId="1" type="noConversion"/>
  </si>
  <si>
    <t>OVER MAX DAY</t>
  </si>
  <si>
    <t>STOP PROFIT</t>
    <phoneticPr fontId="1" type="noConversion"/>
  </si>
  <si>
    <t>エムスリー</t>
  </si>
  <si>
    <t>クレディセゾン</t>
  </si>
  <si>
    <t>富士通ゼネラル</t>
  </si>
  <si>
    <t>三井住友フィナンシャルグループ</t>
  </si>
  <si>
    <t>現物</t>
    <phoneticPr fontId="1" type="noConversion"/>
  </si>
  <si>
    <t>制度</t>
    <phoneticPr fontId="1" type="noConversion"/>
  </si>
  <si>
    <t>シグマ</t>
    <phoneticPr fontId="1" type="noConversion"/>
  </si>
  <si>
    <t>σ</t>
    <phoneticPr fontId="1" type="noConversion"/>
  </si>
  <si>
    <t>離率</t>
    <phoneticPr fontId="1" type="noConversion"/>
  </si>
  <si>
    <t>CORR
3M</t>
    <phoneticPr fontId="1" type="noConversion"/>
  </si>
  <si>
    <t>Coint 
3M</t>
    <phoneticPr fontId="1" type="noConversion"/>
  </si>
  <si>
    <t>日清紡ホールディングス</t>
    <phoneticPr fontId="1" type="noConversion"/>
  </si>
  <si>
    <t>シチズン時計</t>
    <phoneticPr fontId="1" type="noConversion"/>
  </si>
  <si>
    <t>制度</t>
    <phoneticPr fontId="1" type="noConversion"/>
  </si>
  <si>
    <t>日本発條</t>
    <phoneticPr fontId="1" type="noConversion"/>
  </si>
  <si>
    <t>本田技研工業</t>
    <phoneticPr fontId="1" type="noConversion"/>
  </si>
  <si>
    <r>
      <t>3105</t>
    </r>
    <r>
      <rPr>
        <sz val="11"/>
        <color theme="1"/>
        <rFont val="FangSong"/>
        <family val="3"/>
        <charset val="134"/>
      </rPr>
      <t>空売り危ない、高値更新したため、保留</t>
    </r>
    <phoneticPr fontId="1" type="noConversion"/>
  </si>
  <si>
    <t>日本精工</t>
    <phoneticPr fontId="1" type="noConversion"/>
  </si>
  <si>
    <t>ジェイテクト</t>
    <phoneticPr fontId="1" type="noConversion"/>
  </si>
  <si>
    <t>制度</t>
    <phoneticPr fontId="1" type="noConversion"/>
  </si>
  <si>
    <t>制度</t>
    <phoneticPr fontId="1" type="noConversion"/>
  </si>
  <si>
    <t>戸田建設</t>
    <phoneticPr fontId="1" type="noConversion"/>
  </si>
  <si>
    <t>住友ゴム工業</t>
    <phoneticPr fontId="1" type="noConversion"/>
  </si>
  <si>
    <t>ＴＫＣ</t>
  </si>
  <si>
    <t>日東紡績</t>
  </si>
  <si>
    <t>逆日歩</t>
    <phoneticPr fontId="1" type="noConversion"/>
  </si>
  <si>
    <t>No</t>
    <phoneticPr fontId="1" type="noConversion"/>
  </si>
  <si>
    <t>コンコルディア・フィナンシャルグループ</t>
  </si>
  <si>
    <t>東ソー</t>
  </si>
  <si>
    <t>東京精密</t>
  </si>
  <si>
    <t>安藤・間</t>
  </si>
  <si>
    <t>清水建設</t>
  </si>
  <si>
    <t>エン・ジャパン</t>
  </si>
  <si>
    <t>ＫＤＤＩ</t>
  </si>
  <si>
    <t>ニプロ</t>
  </si>
  <si>
    <t>ミネベアミツミ</t>
  </si>
  <si>
    <t>東洋紡</t>
  </si>
  <si>
    <t>ヒューリック</t>
  </si>
  <si>
    <t>サンドラッグ</t>
  </si>
  <si>
    <t>日清オイリオグループ</t>
  </si>
  <si>
    <t>テクノプロ・ホールディングス</t>
  </si>
  <si>
    <t>住友重機械工業</t>
  </si>
  <si>
    <t>マツダ</t>
  </si>
  <si>
    <t>スカパーＪＳＡＴホールディングス</t>
  </si>
  <si>
    <t>パラマウントベッドホールディングス</t>
  </si>
  <si>
    <t>エイチ・アイ・エス</t>
  </si>
  <si>
    <t>旭化成</t>
  </si>
  <si>
    <t>八十二銀行</t>
  </si>
  <si>
    <t>ダイフク</t>
  </si>
  <si>
    <t>逆日歩ファイル</t>
    <phoneticPr fontId="1" type="noConversion"/>
  </si>
  <si>
    <t>gyakunipo_data.csv</t>
    <phoneticPr fontId="1" type="noConversion"/>
  </si>
  <si>
    <t>コード</t>
  </si>
  <si>
    <t>銘柄名</t>
  </si>
  <si>
    <t>極洋</t>
  </si>
  <si>
    <t>ホクト</t>
  </si>
  <si>
    <t>タマホーム</t>
  </si>
  <si>
    <t>サンヨーホームズ</t>
  </si>
  <si>
    <t>ファーストコーポレーション</t>
  </si>
  <si>
    <t>ベステラ</t>
  </si>
  <si>
    <t>国際石油開発帝石</t>
  </si>
  <si>
    <t>石油資源開発</t>
  </si>
  <si>
    <t>Ｋ＆Ｏエナジーグループ</t>
  </si>
  <si>
    <t>ミサワホーム</t>
  </si>
  <si>
    <t>東建コーポレーション</t>
  </si>
  <si>
    <t>ソネック</t>
  </si>
  <si>
    <t>ヤマウラ</t>
  </si>
  <si>
    <t>長谷工コーポレーション</t>
  </si>
  <si>
    <t>松井建設</t>
  </si>
  <si>
    <t>佐田建設</t>
  </si>
  <si>
    <t>富士ピー・エス</t>
  </si>
  <si>
    <t>矢作建設工業</t>
  </si>
  <si>
    <t>大東建託</t>
  </si>
  <si>
    <t>ＮＩＰＰＯ</t>
  </si>
  <si>
    <t>前田道路</t>
  </si>
  <si>
    <t>日本道路</t>
  </si>
  <si>
    <t>巴コーポレーション</t>
  </si>
  <si>
    <t>北陸電気工事</t>
  </si>
  <si>
    <t>四電工</t>
  </si>
  <si>
    <t>住友電設</t>
  </si>
  <si>
    <t>新日本空調</t>
  </si>
  <si>
    <t>日本工営</t>
  </si>
  <si>
    <t>三機工業</t>
  </si>
  <si>
    <t>中外炉工業</t>
  </si>
  <si>
    <t>高砂熱学工業</t>
  </si>
  <si>
    <t>明星工業</t>
  </si>
  <si>
    <t>大氣社</t>
  </si>
  <si>
    <t>ダイダン</t>
  </si>
  <si>
    <t>東芝プラントシステム</t>
  </si>
  <si>
    <t>昭和産業</t>
  </si>
  <si>
    <t>メンバーズ</t>
  </si>
  <si>
    <t>中広</t>
  </si>
  <si>
    <t>ＵＴグループ</t>
  </si>
  <si>
    <t>リンクアンドモチベーション</t>
  </si>
  <si>
    <t>クックパッド</t>
  </si>
  <si>
    <t>アイ・ケイ・ケイ</t>
  </si>
  <si>
    <t>森永製菓</t>
  </si>
  <si>
    <t>中村屋</t>
  </si>
  <si>
    <t>江崎グリコ</t>
  </si>
  <si>
    <t>山崎製パン</t>
  </si>
  <si>
    <t>第一屋製パン</t>
  </si>
  <si>
    <t>モロゾフ</t>
  </si>
  <si>
    <t>寿スピリッツ</t>
  </si>
  <si>
    <t>カルビー</t>
  </si>
  <si>
    <t>六甲バター</t>
  </si>
  <si>
    <t>日本ハム</t>
  </si>
  <si>
    <t>柿安本店</t>
  </si>
  <si>
    <t>学情</t>
  </si>
  <si>
    <t>スタジオアリス</t>
  </si>
  <si>
    <t>いちご</t>
  </si>
  <si>
    <t>カカクコム</t>
  </si>
  <si>
    <t>ＳＢＳホールディングス</t>
  </si>
  <si>
    <t>ウェルネット</t>
  </si>
  <si>
    <t>博報堂ＤＹホールディングス</t>
  </si>
  <si>
    <t>ぐるなび</t>
  </si>
  <si>
    <t>ライク</t>
  </si>
  <si>
    <t>エスプール</t>
  </si>
  <si>
    <t>ＣＤＧ</t>
  </si>
  <si>
    <t>インフォマート</t>
  </si>
  <si>
    <t>サッポロホールディングス</t>
  </si>
  <si>
    <t>アサヒグループホールディングス</t>
  </si>
  <si>
    <t>伊藤園</t>
  </si>
  <si>
    <t>キーコーヒー</t>
  </si>
  <si>
    <t>ジャパンフーズ</t>
  </si>
  <si>
    <t>ローソン</t>
  </si>
  <si>
    <t>サンエー</t>
  </si>
  <si>
    <t>カワチ薬品</t>
  </si>
  <si>
    <t>エービーシー・マート</t>
  </si>
  <si>
    <t>アスクル</t>
  </si>
  <si>
    <t>アダストリア</t>
  </si>
  <si>
    <t>シー・ヴイ・エス・ベイエリア</t>
  </si>
  <si>
    <t>伊藤忠食品</t>
  </si>
  <si>
    <t>くら寿司</t>
  </si>
  <si>
    <t>キャンドゥ</t>
  </si>
  <si>
    <t>エディオン</t>
  </si>
  <si>
    <t>ハニーズホールディングス</t>
  </si>
  <si>
    <t>キッコーマン</t>
  </si>
  <si>
    <t>アリアケジャパン</t>
  </si>
  <si>
    <t>エバラ食品工業</t>
  </si>
  <si>
    <t>東洋水産</t>
  </si>
  <si>
    <t>イートアンド</t>
  </si>
  <si>
    <t>ヨシムラ・フード・ホールディングス</t>
  </si>
  <si>
    <t>日清食品ホールディングス</t>
  </si>
  <si>
    <t>一正蒲鉾</t>
  </si>
  <si>
    <t>フジッコ</t>
  </si>
  <si>
    <t>ロック・フィールド</t>
  </si>
  <si>
    <t>ケンコーマヨネーズ</t>
  </si>
  <si>
    <t>なとり</t>
  </si>
  <si>
    <t>イフジ産業</t>
  </si>
  <si>
    <t>北の達人コーポレーション</t>
  </si>
  <si>
    <t>ユーグレナ</t>
  </si>
  <si>
    <t>スター・マイカ・ホールディングス</t>
  </si>
  <si>
    <t>神栄</t>
  </si>
  <si>
    <t>ジンズホールディングス</t>
  </si>
  <si>
    <t>ビックカメラ</t>
  </si>
  <si>
    <t>東京一番フーズ</t>
  </si>
  <si>
    <t>きちりホールディングス</t>
  </si>
  <si>
    <t>Ｊ．フロント　リテイリング</t>
  </si>
  <si>
    <t>マツモトキヨシホールディングス</t>
  </si>
  <si>
    <t>ＺＯＺＯ</t>
  </si>
  <si>
    <t>ユニチカ</t>
  </si>
  <si>
    <t>富士紡ホールディングス</t>
  </si>
  <si>
    <t>倉敷紡績</t>
  </si>
  <si>
    <t>マクニカ・富士エレホールディングス</t>
  </si>
  <si>
    <t>ウエルシアホールディングス</t>
  </si>
  <si>
    <t>クリエイトＳＤホールディングス</t>
  </si>
  <si>
    <t>バイタルケーエスケー・ホールディングス</t>
  </si>
  <si>
    <t>メディアスホールディングス</t>
  </si>
  <si>
    <t>丸善ＣＨＩホールディングス</t>
  </si>
  <si>
    <t>大光</t>
  </si>
  <si>
    <t>ＯＣＨＩホールディングス</t>
  </si>
  <si>
    <t>ＴＯＫＡＩホールディングス</t>
  </si>
  <si>
    <t>黒谷</t>
  </si>
  <si>
    <t>チムニー</t>
  </si>
  <si>
    <t>シュッピン</t>
  </si>
  <si>
    <t>ビューティガレージ</t>
  </si>
  <si>
    <t>ウイン・パートナーズ</t>
  </si>
  <si>
    <t>ネクステージ</t>
  </si>
  <si>
    <t>鳥貴族</t>
  </si>
  <si>
    <t>すかいらーくホールディングス</t>
  </si>
  <si>
    <t>日本毛織</t>
  </si>
  <si>
    <t>トーア紡コーポレーション</t>
  </si>
  <si>
    <t>ダイドーリミテッド</t>
  </si>
  <si>
    <t>ユナイテッド・スーパーマーケット・ホールディングス</t>
  </si>
  <si>
    <t>三重交通グループホールディングス</t>
  </si>
  <si>
    <t>サムティ</t>
  </si>
  <si>
    <t>ＴＨＥグローバル社</t>
  </si>
  <si>
    <t>日本管理センター</t>
  </si>
  <si>
    <t>フージャースホールディングス</t>
  </si>
  <si>
    <t>東急不動産ホールディングス</t>
  </si>
  <si>
    <t>ムゲンエステート</t>
  </si>
  <si>
    <t>コスモス薬品</t>
  </si>
  <si>
    <t>セブン＆アイ・ホールディングス</t>
  </si>
  <si>
    <t>クリエイト・レストランツ・ホールディングス</t>
  </si>
  <si>
    <t>ツルハホールディングス</t>
  </si>
  <si>
    <t>スターティアホールディングス</t>
  </si>
  <si>
    <t>トリドールホールディングス</t>
  </si>
  <si>
    <t>帝人</t>
  </si>
  <si>
    <t>トーカロ</t>
  </si>
  <si>
    <t>ファーストブラザーズ</t>
  </si>
  <si>
    <t>ハウスドゥ</t>
  </si>
  <si>
    <t>テンポイノベーション</t>
  </si>
  <si>
    <t>住江織物</t>
  </si>
  <si>
    <t>アツギ</t>
  </si>
  <si>
    <t>ウイルプラスホールディングス</t>
  </si>
  <si>
    <t>ジャパンミート</t>
  </si>
  <si>
    <t>サツドラホールディングス</t>
  </si>
  <si>
    <t>串カツ田中ホールディングス</t>
  </si>
  <si>
    <t>ソトー</t>
  </si>
  <si>
    <t>小松マテーレ</t>
  </si>
  <si>
    <t>ワコールホールディングス</t>
  </si>
  <si>
    <t>ホギメディカル</t>
  </si>
  <si>
    <t>レナウン</t>
  </si>
  <si>
    <t>ワールド</t>
  </si>
  <si>
    <t>ネオス</t>
  </si>
  <si>
    <t>ボルテージ</t>
  </si>
  <si>
    <t>電算</t>
  </si>
  <si>
    <t>ＡＧＳ</t>
  </si>
  <si>
    <t>ブレインパッド</t>
  </si>
  <si>
    <t>ＫＬａｂ</t>
  </si>
  <si>
    <t>ネクソン</t>
  </si>
  <si>
    <t>アイスタイル</t>
  </si>
  <si>
    <t>エムアップ</t>
  </si>
  <si>
    <t>エイチーム</t>
  </si>
  <si>
    <t>コロプラ</t>
  </si>
  <si>
    <t>メディアドゥホールディングス</t>
  </si>
  <si>
    <t>ブイキューブ</t>
  </si>
  <si>
    <t>オプティム</t>
  </si>
  <si>
    <t>ＳＨＩＦＴ</t>
  </si>
  <si>
    <t>特種東海製紙</t>
  </si>
  <si>
    <t>ティーガイア</t>
  </si>
  <si>
    <t>インターネットイニシアティブ</t>
  </si>
  <si>
    <t>さくらインターネット</t>
  </si>
  <si>
    <t>Ｍｉｎｏｒｉソリューションズ</t>
  </si>
  <si>
    <t>北越コーポレーション</t>
  </si>
  <si>
    <t>中越パルプ工業</t>
  </si>
  <si>
    <t>巴川製紙所</t>
  </si>
  <si>
    <t>オークネット</t>
  </si>
  <si>
    <t>セグエグループ</t>
  </si>
  <si>
    <t>ＡＯＩ　ＴＹＯ　Ｈｏｌｄｉｎｇｓ</t>
  </si>
  <si>
    <t>オロ</t>
  </si>
  <si>
    <t>サインポスト</t>
  </si>
  <si>
    <t>多木化学</t>
  </si>
  <si>
    <t>片倉コープアグリ</t>
  </si>
  <si>
    <t>日本曹達</t>
  </si>
  <si>
    <t>トクヤマ</t>
  </si>
  <si>
    <t>セントラル硝子</t>
  </si>
  <si>
    <t>東亞合成</t>
  </si>
  <si>
    <t>関東電化工業</t>
  </si>
  <si>
    <t>大陽日酸</t>
  </si>
  <si>
    <t>日本化学工業</t>
  </si>
  <si>
    <t>戸田工業</t>
  </si>
  <si>
    <t>保土谷化学工業</t>
  </si>
  <si>
    <t>日本触媒</t>
  </si>
  <si>
    <t>大日精化工業</t>
  </si>
  <si>
    <t>協和キリン</t>
  </si>
  <si>
    <t>東京応化工業</t>
  </si>
  <si>
    <t>住友ベークライト</t>
  </si>
  <si>
    <t>日本ゼオン</t>
  </si>
  <si>
    <t>積水樹脂</t>
  </si>
  <si>
    <t>旭有機材</t>
  </si>
  <si>
    <t>ニチバン</t>
  </si>
  <si>
    <t>日本化薬</t>
  </si>
  <si>
    <t>レッグス</t>
  </si>
  <si>
    <t>プレステージ・インターナショナル</t>
  </si>
  <si>
    <t>ハイマックス</t>
  </si>
  <si>
    <t>野村総合研究所</t>
  </si>
  <si>
    <t>ドリームインキュベータ</t>
  </si>
  <si>
    <t>ケネディクス</t>
  </si>
  <si>
    <t>ぴあ</t>
  </si>
  <si>
    <t>ソースネクスト</t>
  </si>
  <si>
    <t>シーティーエス</t>
  </si>
  <si>
    <t>扶桑化学工業</t>
  </si>
  <si>
    <t>日油</t>
  </si>
  <si>
    <t>ハリマ化成グループ</t>
  </si>
  <si>
    <t>花王</t>
  </si>
  <si>
    <t>第一工業製薬</t>
  </si>
  <si>
    <t>アステラス製薬</t>
  </si>
  <si>
    <t>わかもと製薬</t>
  </si>
  <si>
    <t>科研製薬</t>
  </si>
  <si>
    <t>理研ビタミン</t>
  </si>
  <si>
    <t>ロート製薬</t>
  </si>
  <si>
    <t>小野薬品工業</t>
  </si>
  <si>
    <t>持田製薬</t>
  </si>
  <si>
    <t>参天製薬</t>
  </si>
  <si>
    <t>扶桑薬品工業</t>
  </si>
  <si>
    <t>ツムラ</t>
  </si>
  <si>
    <t>テルモ</t>
  </si>
  <si>
    <t>キッセイ薬品工業</t>
  </si>
  <si>
    <t>東和薬品</t>
  </si>
  <si>
    <t>富士製薬工業</t>
  </si>
  <si>
    <t>沢井製薬</t>
  </si>
  <si>
    <t>ゼリア新薬工業</t>
  </si>
  <si>
    <t>大幸薬品</t>
  </si>
  <si>
    <t>日本ペイントホールディングス</t>
  </si>
  <si>
    <t>中国塗料</t>
  </si>
  <si>
    <t>サカタインクス</t>
  </si>
  <si>
    <t>日本空調サービス</t>
  </si>
  <si>
    <t>ダスキン</t>
  </si>
  <si>
    <t>明光ネットワークジャパン</t>
  </si>
  <si>
    <t>ファルコホールディングス</t>
  </si>
  <si>
    <t>フジ・メディア・ホールディングス</t>
  </si>
  <si>
    <t>ワタベウェディング</t>
  </si>
  <si>
    <t>日本オラクル</t>
  </si>
  <si>
    <t>アルファシステムズ</t>
  </si>
  <si>
    <t>ＣＡＣ　Ｈｏｌｄｉｎｇｓ</t>
  </si>
  <si>
    <t>ユー・エス・エス</t>
  </si>
  <si>
    <t>電通国際情報サービス</t>
  </si>
  <si>
    <t>イーエムシステムズ</t>
  </si>
  <si>
    <t>ウェザーニューズ</t>
  </si>
  <si>
    <t>ＣＩＪ</t>
  </si>
  <si>
    <t>ビジネスエンジニアリング</t>
  </si>
  <si>
    <t>ＷＯＷＯＷ</t>
  </si>
  <si>
    <t>フルキャストホールディングス</t>
  </si>
  <si>
    <t>マンダム</t>
  </si>
  <si>
    <t>ミルボン</t>
  </si>
  <si>
    <t>アジュバンコスメジャパン</t>
  </si>
  <si>
    <t>エステー</t>
  </si>
  <si>
    <t>アグロ　カネショウ</t>
  </si>
  <si>
    <t>長谷川香料</t>
  </si>
  <si>
    <t>小林製薬</t>
  </si>
  <si>
    <t>荒川化学工業</t>
  </si>
  <si>
    <t>ＪＣＵ</t>
  </si>
  <si>
    <t>アース製薬</t>
  </si>
  <si>
    <t>日本農薬</t>
  </si>
  <si>
    <t>ＭＯＲＥＳＣＯ</t>
  </si>
  <si>
    <t>ＴＯＹＯ　ＴＩＲＥ</t>
  </si>
  <si>
    <t>藤倉コンポジット</t>
  </si>
  <si>
    <t>フコク</t>
  </si>
  <si>
    <t>ニッタ</t>
  </si>
  <si>
    <t>住友理工</t>
  </si>
  <si>
    <t>三ツ星ベルト</t>
  </si>
  <si>
    <t>ＡＧＣ</t>
  </si>
  <si>
    <t>日本山村硝子</t>
  </si>
  <si>
    <t>オハラ</t>
  </si>
  <si>
    <t>住友大阪セメント</t>
  </si>
  <si>
    <t>三谷セキサン</t>
  </si>
  <si>
    <t>東海カーボン</t>
  </si>
  <si>
    <t>日本カーボン</t>
  </si>
  <si>
    <t>東洋炭素</t>
  </si>
  <si>
    <t>ＴＯＴＯ</t>
  </si>
  <si>
    <t>ＭＡＲＵＷＡ</t>
  </si>
  <si>
    <t>黒崎播磨</t>
  </si>
  <si>
    <t>イソライト工業</t>
  </si>
  <si>
    <t>日本製鉄</t>
  </si>
  <si>
    <t>合同製鐵</t>
  </si>
  <si>
    <t>共英製鋼</t>
  </si>
  <si>
    <t>淀川製鋼所</t>
  </si>
  <si>
    <t>日本高周波鋼業</t>
  </si>
  <si>
    <t>日本冶金工業</t>
  </si>
  <si>
    <t>山陽特殊製鋼</t>
  </si>
  <si>
    <t>愛知製鋼</t>
  </si>
  <si>
    <t>日立金属</t>
  </si>
  <si>
    <t>栗本鐵工所</t>
  </si>
  <si>
    <t>虹技</t>
  </si>
  <si>
    <t>日本製鋼所</t>
  </si>
  <si>
    <t>三菱製鋼</t>
  </si>
  <si>
    <t>日本精線</t>
  </si>
  <si>
    <t>三菱マテリアル</t>
  </si>
  <si>
    <t>ＤＯＷＡホールディングス</t>
  </si>
  <si>
    <t>ＵＡＣＪ</t>
  </si>
  <si>
    <t>東京特殊電線</t>
  </si>
  <si>
    <t>タツタ電線</t>
  </si>
  <si>
    <t>ホッカンホールディングス</t>
  </si>
  <si>
    <t>横河ブリッジホールディングス</t>
  </si>
  <si>
    <t>三協立山</t>
  </si>
  <si>
    <t>アルインコ</t>
  </si>
  <si>
    <t>ノーリツ</t>
  </si>
  <si>
    <t>長府製作所</t>
  </si>
  <si>
    <t>ユニプレス</t>
  </si>
  <si>
    <t>ダイニチ工業</t>
  </si>
  <si>
    <t>日東精工</t>
  </si>
  <si>
    <t>高周波熱錬</t>
  </si>
  <si>
    <t>東京製綱</t>
  </si>
  <si>
    <t>日本発条</t>
  </si>
  <si>
    <t>アドバネクス</t>
  </si>
  <si>
    <t>三浦工業</t>
  </si>
  <si>
    <t>ファーストロジック</t>
  </si>
  <si>
    <t>Ｇｕｎｏｓｙ</t>
  </si>
  <si>
    <t>デザインワン・ジャパン</t>
  </si>
  <si>
    <t>リブセンス</t>
  </si>
  <si>
    <t>ジャパンマテリアル</t>
  </si>
  <si>
    <t>ベクトル</t>
  </si>
  <si>
    <t>シグマクシス</t>
  </si>
  <si>
    <t>エスクロー・エージェント・ジャパン</t>
  </si>
  <si>
    <t>エラン</t>
  </si>
  <si>
    <t>ツガミ</t>
  </si>
  <si>
    <t>オークマ</t>
  </si>
  <si>
    <t>東芝機械</t>
  </si>
  <si>
    <t>アイダエンジニアリング</t>
  </si>
  <si>
    <t>オーエスジー</t>
  </si>
  <si>
    <t>旭ダイヤモンド工業</t>
  </si>
  <si>
    <t>ソディック</t>
  </si>
  <si>
    <t>ディスコ</t>
  </si>
  <si>
    <t>日東工器</t>
  </si>
  <si>
    <t>日進工具</t>
  </si>
  <si>
    <t>パンチ工業</t>
  </si>
  <si>
    <t>鎌倉新書</t>
  </si>
  <si>
    <t>アトラエ</t>
  </si>
  <si>
    <t>ストライク</t>
  </si>
  <si>
    <t>インソース</t>
  </si>
  <si>
    <t>ＯＫＫ</t>
  </si>
  <si>
    <t>津田駒工業</t>
  </si>
  <si>
    <t>エンシュウ</t>
  </si>
  <si>
    <t>島精機製作所</t>
  </si>
  <si>
    <t>イワキ</t>
  </si>
  <si>
    <t>ヤマシンフィルタ</t>
  </si>
  <si>
    <t>日阪製作所</t>
  </si>
  <si>
    <t>平田機工</t>
  </si>
  <si>
    <t>ペガサスミシン製造</t>
  </si>
  <si>
    <t>三井海洋開発</t>
  </si>
  <si>
    <t>ＳＭＣ</t>
  </si>
  <si>
    <t>ヤマハモーターロボティクスホールディングス</t>
  </si>
  <si>
    <t>ユニオンツール</t>
  </si>
  <si>
    <t>日精エー・エス・ビー機械</t>
  </si>
  <si>
    <t>井関農機</t>
  </si>
  <si>
    <t>ＴＯＷＡ</t>
  </si>
  <si>
    <t>丸山製作所</t>
  </si>
  <si>
    <t>タカキタ</t>
  </si>
  <si>
    <t>クボタ</t>
  </si>
  <si>
    <t>東洋エンジニアリング</t>
  </si>
  <si>
    <t>三菱化工機</t>
  </si>
  <si>
    <t>月島機械</t>
  </si>
  <si>
    <t>小森コーポレーション</t>
  </si>
  <si>
    <t>鶴見製作所</t>
  </si>
  <si>
    <t>酒井重工業</t>
  </si>
  <si>
    <t>荏原製作所</t>
  </si>
  <si>
    <t>石井鐵工所</t>
  </si>
  <si>
    <t>酉島製作所</t>
  </si>
  <si>
    <t>ダイキン工業</t>
  </si>
  <si>
    <t>オルガノ</t>
  </si>
  <si>
    <t>アネスト岩田</t>
  </si>
  <si>
    <t>油研工業</t>
  </si>
  <si>
    <t>ＣＫＤ</t>
  </si>
  <si>
    <t>平和</t>
  </si>
  <si>
    <t>理想科学工業</t>
  </si>
  <si>
    <t>オーイズミ</t>
  </si>
  <si>
    <t>ダイコク電機</t>
  </si>
  <si>
    <t>アマノ</t>
  </si>
  <si>
    <t>サンデンホールディングス</t>
  </si>
  <si>
    <t>マックス</t>
  </si>
  <si>
    <t>ＴＰＲ</t>
  </si>
  <si>
    <t>日本トムソン</t>
  </si>
  <si>
    <t>ユーシン精機</t>
  </si>
  <si>
    <t>日本ピラー工業</t>
  </si>
  <si>
    <t>東洋電機製造</t>
  </si>
  <si>
    <t>安川電機</t>
  </si>
  <si>
    <t>明電舎</t>
  </si>
  <si>
    <t>アイモバイル</t>
  </si>
  <si>
    <t>グリーンズ</t>
  </si>
  <si>
    <t>ツナググループ・ホールディングス</t>
  </si>
  <si>
    <t>ＧａｍｅＷｉｔｈ</t>
  </si>
  <si>
    <t>マキタ</t>
  </si>
  <si>
    <t>ダイヘン</t>
  </si>
  <si>
    <t>第一精工</t>
  </si>
  <si>
    <t>日新電機</t>
  </si>
  <si>
    <t>オムロン</t>
  </si>
  <si>
    <t>ＩＤＥＣ</t>
  </si>
  <si>
    <t>正興電機製作所</t>
  </si>
  <si>
    <t>メルコホールディングス</t>
  </si>
  <si>
    <t>岩崎通信機</t>
  </si>
  <si>
    <t>電気興業</t>
  </si>
  <si>
    <t>サンケン電気</t>
  </si>
  <si>
    <t>ナカヨ</t>
  </si>
  <si>
    <t>ルネサスエレクトロニクス</t>
  </si>
  <si>
    <t>セイコーエプソン</t>
  </si>
  <si>
    <t>京三製作所</t>
  </si>
  <si>
    <t>星和電機</t>
  </si>
  <si>
    <t>エレコム</t>
  </si>
  <si>
    <t>アンリツ</t>
  </si>
  <si>
    <t>ＴＤＫ</t>
  </si>
  <si>
    <t>帝国通信工業</t>
  </si>
  <si>
    <t>鈴木</t>
  </si>
  <si>
    <t>フォスター電機</t>
  </si>
  <si>
    <t>ＳＭＫ</t>
  </si>
  <si>
    <t>ホシデン</t>
  </si>
  <si>
    <t>ヒロセ電機</t>
  </si>
  <si>
    <t>古野電気</t>
  </si>
  <si>
    <t>スミダコーポレーション</t>
  </si>
  <si>
    <t>リオン</t>
  </si>
  <si>
    <t>船井電機</t>
  </si>
  <si>
    <t>東亜ディーケーケー</t>
  </si>
  <si>
    <t>アドバンテスト</t>
  </si>
  <si>
    <t>キーエンス</t>
  </si>
  <si>
    <t>日本マイクロニクス</t>
  </si>
  <si>
    <t>メガチップス</t>
  </si>
  <si>
    <t>ＩＭＡＧＩＣＡ　ＧＲＯＵＰ</t>
  </si>
  <si>
    <t>デンソー</t>
  </si>
  <si>
    <t>千代田インテグレ</t>
  </si>
  <si>
    <t>アイ・オー・データ機器</t>
  </si>
  <si>
    <t>岡谷電機産業</t>
  </si>
  <si>
    <t>山一電機</t>
  </si>
  <si>
    <t>図研</t>
  </si>
  <si>
    <t>日本シイエムケイ</t>
  </si>
  <si>
    <t>エンプラス</t>
  </si>
  <si>
    <t>大真空</t>
  </si>
  <si>
    <t>新光電気工業</t>
  </si>
  <si>
    <t>京セラ</t>
  </si>
  <si>
    <t>太陽誘電</t>
  </si>
  <si>
    <t>双葉電子工業</t>
  </si>
  <si>
    <t>北陸電気工業</t>
  </si>
  <si>
    <t>三井Ｅ＆Ｓホールディングス</t>
  </si>
  <si>
    <t>川崎重工業</t>
  </si>
  <si>
    <t>名村造船所</t>
  </si>
  <si>
    <t>スプリックス</t>
  </si>
  <si>
    <t>日本車輌製造</t>
  </si>
  <si>
    <t>三菱ロジスネクスト</t>
  </si>
  <si>
    <t>島根銀行</t>
  </si>
  <si>
    <t>全国保証</t>
  </si>
  <si>
    <t>東京きらぼしフィナンシャルグループ</t>
  </si>
  <si>
    <t>富山第一銀行</t>
  </si>
  <si>
    <t>マーキュリアインベストメント</t>
  </si>
  <si>
    <t>日産自動車</t>
  </si>
  <si>
    <t>いすゞ自動車</t>
  </si>
  <si>
    <t>武蔵精密工業</t>
  </si>
  <si>
    <t>日産車体</t>
  </si>
  <si>
    <t>新明和工業</t>
  </si>
  <si>
    <t>極東開発工業</t>
  </si>
  <si>
    <t>トピー工業</t>
  </si>
  <si>
    <t>ティラド</t>
  </si>
  <si>
    <t>タチエス</t>
  </si>
  <si>
    <t>ＮＯＫ</t>
  </si>
  <si>
    <t>市光工業</t>
  </si>
  <si>
    <t>ＴＢＫ</t>
  </si>
  <si>
    <t>ミツバ</t>
  </si>
  <si>
    <t>愛三工業</t>
  </si>
  <si>
    <t>エフ・シー・シー</t>
  </si>
  <si>
    <t>シマノ</t>
  </si>
  <si>
    <t>テイ・エス　テック</t>
  </si>
  <si>
    <t>関西みらいフィナンシャルグループ</t>
  </si>
  <si>
    <t>はるやまホールディングス</t>
  </si>
  <si>
    <t>佐鳥電機</t>
  </si>
  <si>
    <t>エコートレーディング</t>
  </si>
  <si>
    <t>中山福</t>
  </si>
  <si>
    <t>ライトオン</t>
  </si>
  <si>
    <t>三菱食品</t>
  </si>
  <si>
    <t>第一興商</t>
  </si>
  <si>
    <t>メディパルホールディングス</t>
  </si>
  <si>
    <t>アドヴァン</t>
  </si>
  <si>
    <t>アルビス</t>
  </si>
  <si>
    <t>アズワン</t>
  </si>
  <si>
    <t>スズデン</t>
  </si>
  <si>
    <t>シモジマ</t>
  </si>
  <si>
    <t>小津産業</t>
  </si>
  <si>
    <t>コナカ</t>
  </si>
  <si>
    <t>ハウス　オブ　ローゼ</t>
  </si>
  <si>
    <t>たけびし</t>
  </si>
  <si>
    <t>ワタミ</t>
  </si>
  <si>
    <t>マルシェ</t>
  </si>
  <si>
    <t>パン・パシフィック・インターナショナルホールディングス</t>
  </si>
  <si>
    <t>西松屋チェーン</t>
  </si>
  <si>
    <t>橋本総業ホールディングス</t>
  </si>
  <si>
    <t>ＶＴホールディングス</t>
  </si>
  <si>
    <t>ＩＤＯＭ</t>
  </si>
  <si>
    <t>ポプラ</t>
  </si>
  <si>
    <t>ハイデイ日高</t>
  </si>
  <si>
    <t>シークス</t>
  </si>
  <si>
    <t>京都きもの友禅</t>
  </si>
  <si>
    <t>コロワイド</t>
  </si>
  <si>
    <t>オーハシテクニカ</t>
  </si>
  <si>
    <t>壱番屋</t>
  </si>
  <si>
    <t>白銅</t>
  </si>
  <si>
    <t>トップカルチャー</t>
  </si>
  <si>
    <t>島津製作所</t>
  </si>
  <si>
    <t>ＪＭＳ</t>
  </si>
  <si>
    <t>愛知時計電機</t>
  </si>
  <si>
    <t>オリンパス</t>
  </si>
  <si>
    <t>タムロン</t>
  </si>
  <si>
    <t>シード</t>
  </si>
  <si>
    <t>朝日インテック</t>
  </si>
  <si>
    <t>リコー</t>
  </si>
  <si>
    <t>リズム時計工業</t>
  </si>
  <si>
    <t>シンシア</t>
  </si>
  <si>
    <t>ＳＨＯ－ＢＩ</t>
  </si>
  <si>
    <t>永大産業</t>
  </si>
  <si>
    <t>フランスベッドホールディングス</t>
  </si>
  <si>
    <t>マーベラス</t>
  </si>
  <si>
    <t>パイロットコーポレーション</t>
  </si>
  <si>
    <t>萩原工業</t>
  </si>
  <si>
    <t>エイベックス</t>
  </si>
  <si>
    <t>タカノ</t>
  </si>
  <si>
    <t>ウッドワン</t>
  </si>
  <si>
    <t>凸版印刷</t>
  </si>
  <si>
    <t>大日本印刷</t>
  </si>
  <si>
    <t>光村印刷</t>
  </si>
  <si>
    <t>アシックス</t>
  </si>
  <si>
    <t>ツツミ</t>
  </si>
  <si>
    <t>小松ウオール工業</t>
  </si>
  <si>
    <t>ヤマハ</t>
  </si>
  <si>
    <t>河合楽器製作所</t>
  </si>
  <si>
    <t>キングジム</t>
  </si>
  <si>
    <t>象印マホービン</t>
  </si>
  <si>
    <t>信越ポリマー</t>
  </si>
  <si>
    <t>タカラスタンダード</t>
  </si>
  <si>
    <t>コクヨ</t>
  </si>
  <si>
    <t>ニフコ</t>
  </si>
  <si>
    <t>オカムラ</t>
  </si>
  <si>
    <t>ＭＵＴＯＨホールディングス</t>
  </si>
  <si>
    <t>伊藤忠商事</t>
  </si>
  <si>
    <t>ヨンドシーホールディングス</t>
  </si>
  <si>
    <t>三陽商会</t>
  </si>
  <si>
    <t>豊田通商</t>
  </si>
  <si>
    <t>オンワードホールディングス</t>
  </si>
  <si>
    <t>ファミリーマート</t>
  </si>
  <si>
    <t>三井物産</t>
  </si>
  <si>
    <t>日本紙パルプ商事</t>
  </si>
  <si>
    <t>東京エレクトロン</t>
  </si>
  <si>
    <t>ＯＵＧホールディングス</t>
  </si>
  <si>
    <t>スターゼン</t>
  </si>
  <si>
    <t>セイコーホールディングス</t>
  </si>
  <si>
    <t>内田洋行</t>
  </si>
  <si>
    <t>第一実業</t>
  </si>
  <si>
    <t>菱洋エレクトロ</t>
  </si>
  <si>
    <t>ユアサ商事</t>
  </si>
  <si>
    <t>神鋼商事</t>
  </si>
  <si>
    <t>小林産業</t>
  </si>
  <si>
    <t>正栄食品工業</t>
  </si>
  <si>
    <t>すてきナイスグループ</t>
  </si>
  <si>
    <t>極東貿易</t>
  </si>
  <si>
    <t>三愛石油</t>
  </si>
  <si>
    <t>稲畑産業</t>
  </si>
  <si>
    <t>ＧＳＩクレオス</t>
  </si>
  <si>
    <t>明和産業</t>
  </si>
  <si>
    <t>ユニ・チャーム</t>
  </si>
  <si>
    <t>デサント</t>
  </si>
  <si>
    <t>サンゲツ</t>
  </si>
  <si>
    <t>ミツウロコグループホールディングス</t>
  </si>
  <si>
    <t>シナネンホールディングス</t>
  </si>
  <si>
    <t>サンワテクノス</t>
  </si>
  <si>
    <t>リョーサン</t>
  </si>
  <si>
    <t>新光商事</t>
  </si>
  <si>
    <t>トーホー</t>
  </si>
  <si>
    <t>三信電気</t>
  </si>
  <si>
    <t>モスフードサービス</t>
  </si>
  <si>
    <t>ソーダニッカ</t>
  </si>
  <si>
    <t>木曽路</t>
  </si>
  <si>
    <t>ＳＲＳホールディングス</t>
  </si>
  <si>
    <t>千趣会</t>
  </si>
  <si>
    <t>上新電機</t>
  </si>
  <si>
    <t>日本瓦斯</t>
  </si>
  <si>
    <t>ロイヤルホールディングス</t>
  </si>
  <si>
    <t>いなげや</t>
  </si>
  <si>
    <t>島忠</t>
  </si>
  <si>
    <t>チヨダ</t>
  </si>
  <si>
    <t>ライフコーポレーション</t>
  </si>
  <si>
    <t>リンガーハット</t>
  </si>
  <si>
    <t>ＭｒＭａｘＨＤ</t>
  </si>
  <si>
    <t>ＡＯＫＩホールディングス</t>
  </si>
  <si>
    <t>オークワ</t>
  </si>
  <si>
    <t>しまむら</t>
  </si>
  <si>
    <t>はせがわ</t>
  </si>
  <si>
    <t>松屋</t>
  </si>
  <si>
    <t>エイチ・ツー・オー　リテイリング</t>
  </si>
  <si>
    <t>近鉄百貨店</t>
  </si>
  <si>
    <t>パルコ</t>
  </si>
  <si>
    <t>丸井グループ</t>
  </si>
  <si>
    <t>フォーバル</t>
  </si>
  <si>
    <t>平和堂</t>
  </si>
  <si>
    <t>フジ</t>
  </si>
  <si>
    <t>ヤオコー</t>
  </si>
  <si>
    <t>ゼビオホールディングス</t>
  </si>
  <si>
    <t>ケーズホールディングス</t>
  </si>
  <si>
    <t>ＰＡＬＴＡＣ</t>
  </si>
  <si>
    <t>Ｏｌｙｍｐｉｃグループ</t>
  </si>
  <si>
    <t>新生銀行</t>
  </si>
  <si>
    <t>三井住友トラスト・ホールディングス</t>
  </si>
  <si>
    <t>千葉銀行</t>
  </si>
  <si>
    <t>千葉興業銀行</t>
  </si>
  <si>
    <t>筑波銀行</t>
  </si>
  <si>
    <t>七十七銀行</t>
  </si>
  <si>
    <t>青森銀行</t>
  </si>
  <si>
    <t>秋田銀行</t>
  </si>
  <si>
    <t>山形銀行</t>
  </si>
  <si>
    <t>岩手銀行</t>
  </si>
  <si>
    <t>東邦銀行</t>
  </si>
  <si>
    <t>みちのく銀行</t>
  </si>
  <si>
    <t>静岡銀行</t>
  </si>
  <si>
    <t>十六銀行</t>
  </si>
  <si>
    <t>スルガ銀行</t>
  </si>
  <si>
    <t>大垣共立銀行</t>
  </si>
  <si>
    <t>福井銀行</t>
  </si>
  <si>
    <t>北國銀行</t>
  </si>
  <si>
    <t>清水銀行</t>
  </si>
  <si>
    <t>富山銀行</t>
  </si>
  <si>
    <t>滋賀銀行</t>
  </si>
  <si>
    <t>南都銀行</t>
  </si>
  <si>
    <t>京都銀行</t>
  </si>
  <si>
    <t>紀陽銀行</t>
  </si>
  <si>
    <t>広島銀行</t>
  </si>
  <si>
    <t>中国銀行</t>
  </si>
  <si>
    <t>鳥取銀行</t>
  </si>
  <si>
    <t>伊予銀行</t>
  </si>
  <si>
    <t>四国銀行</t>
  </si>
  <si>
    <t>阿波銀行</t>
  </si>
  <si>
    <t>宮崎銀行</t>
  </si>
  <si>
    <t>佐賀銀行</t>
  </si>
  <si>
    <t>沖縄銀行</t>
  </si>
  <si>
    <t>琉球銀行</t>
  </si>
  <si>
    <t>高知銀行</t>
  </si>
  <si>
    <t>芙蓉総合リース</t>
  </si>
  <si>
    <t>東京センチュリー</t>
  </si>
  <si>
    <t>長野銀行</t>
  </si>
  <si>
    <t>名古屋銀行</t>
  </si>
  <si>
    <t>中京銀行</t>
  </si>
  <si>
    <t>大光銀行</t>
  </si>
  <si>
    <t>愛媛銀行</t>
  </si>
  <si>
    <t>トマト銀行</t>
  </si>
  <si>
    <t>京葉銀行</t>
  </si>
  <si>
    <t>北日本銀行</t>
  </si>
  <si>
    <t>東和銀行</t>
  </si>
  <si>
    <t>大東銀行</t>
  </si>
  <si>
    <t>リコーリース</t>
  </si>
  <si>
    <t>アプラスフィナンシャル</t>
  </si>
  <si>
    <t>ジャフコ</t>
  </si>
  <si>
    <t>丸三証券</t>
  </si>
  <si>
    <t>水戸証券</t>
  </si>
  <si>
    <t>いちよし証券</t>
  </si>
  <si>
    <t>松井証券</t>
  </si>
  <si>
    <t>ＳＯＭＰＯホールディングス</t>
  </si>
  <si>
    <t>だいこう証券ビジネス</t>
  </si>
  <si>
    <t>日本取引所グループ</t>
  </si>
  <si>
    <t>マネックスグループ</t>
  </si>
  <si>
    <t>藍澤證券</t>
  </si>
  <si>
    <t>池田泉州ホールディングス</t>
  </si>
  <si>
    <t>アニコム　ホールディングス</t>
  </si>
  <si>
    <t>ＭＳ＆ＡＤインシュアランスグループホールディングス</t>
  </si>
  <si>
    <t>ソニーフィナンシャルホールディングス</t>
  </si>
  <si>
    <t>東京海上ホールディングス</t>
  </si>
  <si>
    <t>アドバンスクリエイト</t>
  </si>
  <si>
    <t>平和不動産</t>
  </si>
  <si>
    <t>東京建物</t>
  </si>
  <si>
    <t>ゴールドクレスト</t>
  </si>
  <si>
    <t>リログループ</t>
  </si>
  <si>
    <t>日本エスコン</t>
  </si>
  <si>
    <t>タカラレーベン</t>
  </si>
  <si>
    <t>サンヨーハウジング名古屋</t>
  </si>
  <si>
    <t>ファースト住建</t>
  </si>
  <si>
    <t>トーセイ</t>
  </si>
  <si>
    <t>穴吹興産</t>
  </si>
  <si>
    <t>インテリックス</t>
  </si>
  <si>
    <t>グランディハウス</t>
  </si>
  <si>
    <t>東武鉄道</t>
  </si>
  <si>
    <t>東急</t>
  </si>
  <si>
    <t>京浜急行電鉄</t>
  </si>
  <si>
    <t>小田急電鉄</t>
  </si>
  <si>
    <t>京王電鉄</t>
  </si>
  <si>
    <t>京成電鉄</t>
  </si>
  <si>
    <t>富士急行</t>
  </si>
  <si>
    <t>新京成電鉄</t>
  </si>
  <si>
    <t>西日本旅客鉄道</t>
  </si>
  <si>
    <t>西日本鉄道</t>
  </si>
  <si>
    <t>サカイ引越センター</t>
  </si>
  <si>
    <t>近鉄グループホールディングス</t>
  </si>
  <si>
    <t>阪急阪神ホールディングス</t>
  </si>
  <si>
    <t>南海電気鉄道</t>
  </si>
  <si>
    <t>京阪ホールディングス</t>
  </si>
  <si>
    <t>神戸電鉄</t>
  </si>
  <si>
    <t>名古屋鉄道</t>
  </si>
  <si>
    <t>山陽電気鉄道</t>
  </si>
  <si>
    <t>トランコム</t>
  </si>
  <si>
    <t>山九</t>
  </si>
  <si>
    <t>日新</t>
  </si>
  <si>
    <t>センコーグループホールディングス</t>
  </si>
  <si>
    <t>トナミホールディングス</t>
  </si>
  <si>
    <t>福山通運</t>
  </si>
  <si>
    <t>セイノーホールディングス</t>
  </si>
  <si>
    <t>丸和運輸機関</t>
  </si>
  <si>
    <t>Ｃ＆Ｆロジホールディングス</t>
  </si>
  <si>
    <t>日本郵船</t>
  </si>
  <si>
    <t>商船三井</t>
  </si>
  <si>
    <t>川崎汽船</t>
  </si>
  <si>
    <t>共栄タンカー</t>
  </si>
  <si>
    <t>九州旅客鉄道</t>
  </si>
  <si>
    <t>パスコ</t>
  </si>
  <si>
    <t>西本Ｗｉｓｍｅｔｔａｃホールディングス</t>
  </si>
  <si>
    <t>Ｇｅｎｋｙ　ＤｒｕｇＳｔｏｒｅｓ</t>
  </si>
  <si>
    <t>総合メディカルホールディングス</t>
  </si>
  <si>
    <t>住友倉庫</t>
  </si>
  <si>
    <t>東陽倉庫</t>
  </si>
  <si>
    <t>乾汽船</t>
  </si>
  <si>
    <t>日本トランスシティ</t>
  </si>
  <si>
    <t>東洋埠頭</t>
  </si>
  <si>
    <t>近鉄エクスプレス</t>
  </si>
  <si>
    <t>内外トランスライン</t>
  </si>
  <si>
    <t>東京放送ホールディングス</t>
  </si>
  <si>
    <t>テレビ朝日ホールディングス</t>
  </si>
  <si>
    <t>テレビ東京ホールディングス</t>
  </si>
  <si>
    <t>ビジョン</t>
  </si>
  <si>
    <t>スマートバリュー</t>
  </si>
  <si>
    <t>コネクシオ</t>
  </si>
  <si>
    <t>日本電信電話</t>
  </si>
  <si>
    <t>エムティーアイ</t>
  </si>
  <si>
    <t>ＧＭＯインターネット</t>
  </si>
  <si>
    <t>ファイバーゲート</t>
  </si>
  <si>
    <t>ＫＡＤＯＫＡＷＡ</t>
  </si>
  <si>
    <t>学研ホールディングス</t>
  </si>
  <si>
    <t>昭文社</t>
  </si>
  <si>
    <t>中国電力</t>
  </si>
  <si>
    <t>東北電力</t>
  </si>
  <si>
    <t>電源開発</t>
  </si>
  <si>
    <t>イーレックス</t>
  </si>
  <si>
    <t>レノバ</t>
  </si>
  <si>
    <t>大阪瓦斯</t>
  </si>
  <si>
    <t>東邦瓦斯</t>
  </si>
  <si>
    <t>西部瓦斯</t>
  </si>
  <si>
    <t>静岡ガス</t>
  </si>
  <si>
    <t>メタウォーター</t>
  </si>
  <si>
    <t>松竹</t>
  </si>
  <si>
    <t>東映</t>
  </si>
  <si>
    <t>イチネンホールディングス</t>
  </si>
  <si>
    <t>スペース</t>
  </si>
  <si>
    <t>アインホールディングス</t>
  </si>
  <si>
    <t>ナガワ</t>
  </si>
  <si>
    <t>常磐興産</t>
  </si>
  <si>
    <t>東京ドーム</t>
  </si>
  <si>
    <t>カプコン</t>
  </si>
  <si>
    <t>トランス・コスモス</t>
  </si>
  <si>
    <t>ジャステック</t>
  </si>
  <si>
    <t>ＫＮＴ－ＣＴホールディングス</t>
  </si>
  <si>
    <t>トーカイ</t>
  </si>
  <si>
    <t>セントラル警備保障</t>
  </si>
  <si>
    <t>メイテック</t>
  </si>
  <si>
    <t>オオバ</t>
  </si>
  <si>
    <t>イオンディライト</t>
  </si>
  <si>
    <t>ナック</t>
  </si>
  <si>
    <t>泉州電業</t>
  </si>
  <si>
    <t>トラスコ中山</t>
  </si>
  <si>
    <t>ヤマダ電機</t>
  </si>
  <si>
    <t>モリト</t>
  </si>
  <si>
    <t>ニトリホールディングス</t>
  </si>
  <si>
    <t>グルメ杵屋</t>
  </si>
  <si>
    <t>愛眼</t>
  </si>
  <si>
    <t>ケーユーホールディングス</t>
  </si>
  <si>
    <t>吉野家ホールディングス</t>
  </si>
  <si>
    <t>加藤産業</t>
  </si>
  <si>
    <t>北恵</t>
  </si>
  <si>
    <t>イエローハット</t>
  </si>
  <si>
    <t>ＪＫホールディングス</t>
  </si>
  <si>
    <t>サガミホールディングス</t>
  </si>
  <si>
    <t>日伝</t>
  </si>
  <si>
    <t>関西スーパーマーケット</t>
  </si>
  <si>
    <t>北沢産業</t>
  </si>
  <si>
    <t>プレナス</t>
  </si>
  <si>
    <t>ミニストップ</t>
  </si>
  <si>
    <t>アークス</t>
  </si>
  <si>
    <t>ミスミグループ本社</t>
  </si>
  <si>
    <t>大庄</t>
  </si>
  <si>
    <t>タキヒヨー</t>
  </si>
  <si>
    <t>ファーストリテイリング</t>
  </si>
  <si>
    <t>やまや</t>
  </si>
  <si>
    <t>差分</t>
    <phoneticPr fontId="1" type="noConversion"/>
  </si>
  <si>
    <t>Total Profit</t>
    <phoneticPr fontId="1" type="noConversion"/>
  </si>
  <si>
    <t>1Y</t>
  </si>
  <si>
    <t>MAX</t>
    <phoneticPr fontId="1" type="noConversion"/>
  </si>
  <si>
    <t>MIN</t>
    <phoneticPr fontId="1" type="noConversion"/>
  </si>
  <si>
    <t>銘柄１（売り銘柄）</t>
    <phoneticPr fontId="1" type="noConversion"/>
  </si>
  <si>
    <t>Code</t>
    <phoneticPr fontId="1" type="noConversion"/>
  </si>
  <si>
    <t>Name</t>
    <phoneticPr fontId="1" type="noConversion"/>
  </si>
  <si>
    <t>業種</t>
    <phoneticPr fontId="1" type="noConversion"/>
  </si>
  <si>
    <t>終値</t>
    <phoneticPr fontId="1" type="noConversion"/>
  </si>
  <si>
    <t>決算発表日</t>
    <phoneticPr fontId="1" type="noConversion"/>
  </si>
  <si>
    <t>SELL
Mount</t>
    <phoneticPr fontId="1" type="noConversion"/>
  </si>
  <si>
    <t>BUY
Mount</t>
    <phoneticPr fontId="1" type="noConversion"/>
  </si>
  <si>
    <t>LOT SIZE</t>
    <phoneticPr fontId="1" type="noConversion"/>
  </si>
  <si>
    <t>参照倍率</t>
    <phoneticPr fontId="1" type="noConversion"/>
  </si>
  <si>
    <t>SPAN</t>
    <phoneticPr fontId="1" type="noConversion"/>
  </si>
  <si>
    <t>合計金額</t>
    <phoneticPr fontId="1" type="noConversion"/>
  </si>
  <si>
    <t>売-銘柄</t>
    <phoneticPr fontId="1" type="noConversion"/>
  </si>
  <si>
    <t>買-銘柄</t>
    <phoneticPr fontId="1" type="noConversion"/>
  </si>
  <si>
    <t>1Y</t>
    <phoneticPr fontId="1" type="noConversion"/>
  </si>
  <si>
    <t>バックテストファイルパス</t>
    <phoneticPr fontId="1" type="noConversion"/>
  </si>
  <si>
    <t>trade</t>
    <phoneticPr fontId="1" type="noConversion"/>
  </si>
  <si>
    <t>G:\Stock\pairs_trade\pair_trade\stock_data</t>
    <phoneticPr fontId="1" type="noConversion"/>
  </si>
  <si>
    <t xml:space="preserve">新規日
決済日
</t>
    <phoneticPr fontId="1" type="noConversion"/>
  </si>
  <si>
    <t>経過
日数</t>
    <phoneticPr fontId="1" type="noConversion"/>
  </si>
  <si>
    <t>sell return</t>
  </si>
  <si>
    <t>buy return</t>
  </si>
  <si>
    <t>total return</t>
  </si>
  <si>
    <t>total return %</t>
  </si>
  <si>
    <t>手数料などチェック</t>
    <phoneticPr fontId="1" type="noConversion"/>
  </si>
  <si>
    <t xml:space="preserve"> 12/23</t>
  </si>
  <si>
    <t xml:space="preserve"> あさひ</t>
  </si>
  <si>
    <t xml:space="preserve"> ピックルス</t>
  </si>
  <si>
    <t xml:space="preserve"> ハピネス&amp;D</t>
  </si>
  <si>
    <t xml:space="preserve"> ストライク</t>
  </si>
  <si>
    <t xml:space="preserve"> パルコ</t>
  </si>
  <si>
    <t xml:space="preserve"> ミタチ</t>
  </si>
  <si>
    <t xml:space="preserve"> 出前館</t>
  </si>
  <si>
    <t xml:space="preserve"> パレモ・HD</t>
  </si>
  <si>
    <t xml:space="preserve"> Jフロント</t>
  </si>
  <si>
    <t xml:space="preserve"> ニイタカ</t>
  </si>
  <si>
    <t xml:space="preserve"> WNIウェザー</t>
  </si>
  <si>
    <t xml:space="preserve"> ナガイレーベ</t>
  </si>
  <si>
    <t xml:space="preserve"> スギＨＤ</t>
  </si>
  <si>
    <t xml:space="preserve"> 高島屋</t>
  </si>
  <si>
    <t xml:space="preserve"> 平和堂</t>
  </si>
  <si>
    <t xml:space="preserve"> セキチュー</t>
  </si>
  <si>
    <t>276"</t>
  </si>
  <si>
    <t xml:space="preserve"> ハローズ</t>
  </si>
  <si>
    <t xml:space="preserve"> トシンＧ</t>
  </si>
  <si>
    <t xml:space="preserve"> ＤＣＭ</t>
  </si>
  <si>
    <t xml:space="preserve"> テクノアルファ</t>
  </si>
  <si>
    <t xml:space="preserve"> ERI HD</t>
  </si>
  <si>
    <t xml:space="preserve"> タカキュー</t>
  </si>
  <si>
    <t xml:space="preserve"> ケーヨー</t>
  </si>
  <si>
    <t xml:space="preserve"> ニトリHD</t>
  </si>
  <si>
    <t xml:space="preserve"> 北  恵</t>
  </si>
  <si>
    <t xml:space="preserve"> カネコ種</t>
  </si>
  <si>
    <t xml:space="preserve"> スタジオアリス</t>
  </si>
  <si>
    <t xml:space="preserve"> アオキスーパー</t>
  </si>
  <si>
    <t xml:space="preserve"> 暁飯島</t>
  </si>
  <si>
    <t xml:space="preserve"> サンエー</t>
  </si>
  <si>
    <t xml:space="preserve"> サムティ</t>
  </si>
  <si>
    <t xml:space="preserve"> 京　進</t>
  </si>
  <si>
    <t xml:space="preserve"> 薬王堂HD</t>
  </si>
  <si>
    <t xml:space="preserve"> 和田興産</t>
  </si>
  <si>
    <t xml:space="preserve"> ベルク</t>
  </si>
  <si>
    <t xml:space="preserve"> トライステージ</t>
  </si>
  <si>
    <t xml:space="preserve"> ABC マート</t>
  </si>
  <si>
    <t xml:space="preserve"> ウエルシアHD</t>
  </si>
  <si>
    <t xml:space="preserve"> スタジオアタオ</t>
  </si>
  <si>
    <t xml:space="preserve"> ベル24HD</t>
  </si>
  <si>
    <t xml:space="preserve"> 放電精密</t>
  </si>
  <si>
    <t xml:space="preserve"> GameWith</t>
  </si>
  <si>
    <t xml:space="preserve"> サイゼリヤ</t>
  </si>
  <si>
    <t xml:space="preserve"> フ　ジ</t>
  </si>
  <si>
    <t xml:space="preserve"> ヤマシタヘルケア</t>
  </si>
  <si>
    <t xml:space="preserve"> 日本BS放</t>
  </si>
  <si>
    <t xml:space="preserve"> 天満屋ス</t>
  </si>
  <si>
    <t xml:space="preserve"> ヤマザワ</t>
  </si>
  <si>
    <t xml:space="preserve"> アルバイトタイ</t>
  </si>
  <si>
    <t xml:space="preserve"> 大黒天</t>
  </si>
  <si>
    <t xml:space="preserve"> アヲハタ</t>
  </si>
  <si>
    <t xml:space="preserve"> わらべや</t>
  </si>
  <si>
    <t xml:space="preserve"> シーズメン</t>
  </si>
  <si>
    <t xml:space="preserve"> オンリー</t>
  </si>
  <si>
    <t>096"</t>
  </si>
  <si>
    <t xml:space="preserve"> SHIFT</t>
  </si>
  <si>
    <t xml:space="preserve"> 大有機</t>
  </si>
  <si>
    <t xml:space="preserve"> 東京個別</t>
  </si>
  <si>
    <t xml:space="preserve"> クリーク&amp;リバ</t>
  </si>
  <si>
    <t xml:space="preserve"> 三協立山</t>
  </si>
  <si>
    <t xml:space="preserve"> 日フイルコン</t>
  </si>
  <si>
    <t xml:space="preserve"> エスクローAJ</t>
  </si>
  <si>
    <t xml:space="preserve"> フロイント</t>
  </si>
  <si>
    <t xml:space="preserve"> 安川電</t>
  </si>
  <si>
    <t xml:space="preserve"> ニューテック</t>
  </si>
  <si>
    <t xml:space="preserve"> スリーエフ</t>
  </si>
  <si>
    <t xml:space="preserve"> ポプラ</t>
  </si>
  <si>
    <t xml:space="preserve"> グラファイトD</t>
  </si>
  <si>
    <t xml:space="preserve"> 三光合成</t>
  </si>
  <si>
    <t xml:space="preserve"> リヒトラブ</t>
  </si>
  <si>
    <t xml:space="preserve"> 島　忠</t>
  </si>
  <si>
    <t xml:space="preserve"> 松　屋</t>
  </si>
  <si>
    <t xml:space="preserve"> 井筒屋</t>
  </si>
  <si>
    <t xml:space="preserve"> イズミ</t>
  </si>
  <si>
    <t xml:space="preserve"> リベレステ</t>
  </si>
  <si>
    <t xml:space="preserve"> イオンモール</t>
  </si>
  <si>
    <t xml:space="preserve"> キユソー流通</t>
  </si>
  <si>
    <t xml:space="preserve"> 乃村工</t>
  </si>
  <si>
    <t xml:space="preserve"> オオバ</t>
  </si>
  <si>
    <t xml:space="preserve"> 昴</t>
  </si>
  <si>
    <t xml:space="preserve"> カンセキ</t>
  </si>
  <si>
    <t xml:space="preserve"> ＯＳＧ</t>
  </si>
  <si>
    <t xml:space="preserve"> 竹内製作</t>
  </si>
  <si>
    <t xml:space="preserve"> 15:20</t>
  </si>
  <si>
    <t xml:space="preserve"> ウッドフレンス</t>
  </si>
  <si>
    <t xml:space="preserve"> エムビーエス</t>
  </si>
  <si>
    <t xml:space="preserve"> イージェイHD</t>
  </si>
  <si>
    <t xml:space="preserve"> コシダカHD</t>
  </si>
  <si>
    <t xml:space="preserve"> 地域新聞</t>
  </si>
  <si>
    <t xml:space="preserve"> S Foods</t>
  </si>
  <si>
    <t xml:space="preserve"> ディップ</t>
  </si>
  <si>
    <t xml:space="preserve"> アウンコンサル</t>
  </si>
  <si>
    <t xml:space="preserve"> タビオ</t>
  </si>
  <si>
    <t xml:space="preserve"> カネ美食品</t>
  </si>
  <si>
    <t xml:space="preserve"> ジーフット</t>
  </si>
  <si>
    <t xml:space="preserve"> シーヴイエス</t>
  </si>
  <si>
    <t xml:space="preserve"> ワッツ</t>
  </si>
  <si>
    <t xml:space="preserve"> フェスタリアHD</t>
  </si>
  <si>
    <t xml:space="preserve"> 北雄ラッキー</t>
  </si>
  <si>
    <t xml:space="preserve"> セイヒョー</t>
  </si>
  <si>
    <t xml:space="preserve"> スターマイカHD</t>
  </si>
  <si>
    <t xml:space="preserve"> カワサキ</t>
  </si>
  <si>
    <t xml:space="preserve"> JINSHD</t>
  </si>
  <si>
    <t xml:space="preserve"> ビックカメラ</t>
  </si>
  <si>
    <t xml:space="preserve"> jGroup</t>
  </si>
  <si>
    <t xml:space="preserve"> ライフフーズ</t>
  </si>
  <si>
    <t xml:space="preserve"> スーパーＶ</t>
  </si>
  <si>
    <t xml:space="preserve"> ＡＮＡＰ</t>
  </si>
  <si>
    <t xml:space="preserve"> キリン堂HD</t>
  </si>
  <si>
    <t xml:space="preserve"> フィルカンパニ</t>
  </si>
  <si>
    <t xml:space="preserve"> エストラスト</t>
  </si>
  <si>
    <t xml:space="preserve"> アズ企画</t>
  </si>
  <si>
    <t xml:space="preserve"> コメダ</t>
  </si>
  <si>
    <t xml:space="preserve"> ほぼ日</t>
  </si>
  <si>
    <t xml:space="preserve"> クラウディアH</t>
  </si>
  <si>
    <t xml:space="preserve"> TSI HD</t>
  </si>
  <si>
    <t xml:space="preserve"> ネオス</t>
  </si>
  <si>
    <t xml:space="preserve"> メディカネット</t>
  </si>
  <si>
    <t xml:space="preserve"> 協立情報</t>
  </si>
  <si>
    <t xml:space="preserve"> 創　通</t>
  </si>
  <si>
    <t xml:space="preserve"> メディ工房</t>
  </si>
  <si>
    <t xml:space="preserve"> システムインテ</t>
  </si>
  <si>
    <t xml:space="preserve"> 岡山製紙</t>
  </si>
  <si>
    <t xml:space="preserve"> テラスカイ</t>
  </si>
  <si>
    <t xml:space="preserve"> エルテス</t>
  </si>
  <si>
    <t xml:space="preserve"> エクスモーション</t>
  </si>
  <si>
    <t xml:space="preserve"> 東　名</t>
  </si>
  <si>
    <t xml:space="preserve"> ALPHA</t>
  </si>
  <si>
    <t xml:space="preserve"> 日本色材</t>
  </si>
  <si>
    <t xml:space="preserve"> トーヨーアサノ</t>
  </si>
  <si>
    <t xml:space="preserve"> ダイケン</t>
  </si>
  <si>
    <t xml:space="preserve"> マルゼン</t>
  </si>
  <si>
    <t xml:space="preserve"> タケダ機</t>
  </si>
  <si>
    <t xml:space="preserve"> エヌピーシー</t>
  </si>
  <si>
    <t xml:space="preserve"> ローツェ</t>
  </si>
  <si>
    <t xml:space="preserve"> プラズマ</t>
  </si>
  <si>
    <t xml:space="preserve"> ツインバード</t>
  </si>
  <si>
    <t xml:space="preserve"> ＨＫＳ</t>
  </si>
  <si>
    <t xml:space="preserve"> エコトレディン</t>
  </si>
  <si>
    <t xml:space="preserve"> オータケ</t>
  </si>
  <si>
    <t xml:space="preserve"> サンデー</t>
  </si>
  <si>
    <t xml:space="preserve"> 小津産業</t>
  </si>
  <si>
    <t xml:space="preserve"> コーナン商事</t>
  </si>
  <si>
    <t xml:space="preserve"> エコス</t>
  </si>
  <si>
    <t xml:space="preserve"> マックハウス</t>
  </si>
  <si>
    <t xml:space="preserve"> 進　和</t>
  </si>
  <si>
    <t xml:space="preserve"> インタアクション</t>
  </si>
  <si>
    <t xml:space="preserve"> マニー</t>
  </si>
  <si>
    <t xml:space="preserve"> 幸和製作</t>
  </si>
  <si>
    <t xml:space="preserve"> トランザクショ</t>
  </si>
  <si>
    <t xml:space="preserve"> 旭化学</t>
  </si>
  <si>
    <t xml:space="preserve"> オンワードHD</t>
  </si>
  <si>
    <t>044"</t>
  </si>
  <si>
    <t xml:space="preserve"> ファミリーマート</t>
  </si>
  <si>
    <t xml:space="preserve"> イワキ</t>
  </si>
  <si>
    <t xml:space="preserve"> ヤマトインタ</t>
  </si>
  <si>
    <t xml:space="preserve"> ラピーヌ</t>
  </si>
  <si>
    <t xml:space="preserve"> リテールPT</t>
  </si>
  <si>
    <t xml:space="preserve"> チヨダ</t>
  </si>
  <si>
    <t xml:space="preserve"> ライフコーポ</t>
  </si>
  <si>
    <t xml:space="preserve"> MrMaxHD</t>
  </si>
  <si>
    <t xml:space="preserve"> MV西日本</t>
  </si>
  <si>
    <t xml:space="preserve"> サンヨーナゴヤ</t>
  </si>
  <si>
    <t xml:space="preserve"> エネクスインフラ</t>
  </si>
  <si>
    <t xml:space="preserve"> 丸八倉</t>
  </si>
  <si>
    <t xml:space="preserve"> 歌舞伎</t>
  </si>
  <si>
    <t xml:space="preserve"> ジャステック</t>
  </si>
  <si>
    <t xml:space="preserve"> ＣＳＰ</t>
  </si>
  <si>
    <t xml:space="preserve"> テーオーHD</t>
  </si>
  <si>
    <t xml:space="preserve"> 吉野家HD</t>
  </si>
  <si>
    <t xml:space="preserve"> アークス</t>
  </si>
  <si>
    <t xml:space="preserve"> 文教堂HD</t>
  </si>
  <si>
    <t xml:space="preserve"> アイケイ</t>
  </si>
  <si>
    <t xml:space="preserve"> インターライフ</t>
  </si>
  <si>
    <t xml:space="preserve"> タマホーム</t>
  </si>
  <si>
    <t xml:space="preserve"> JESCO HD</t>
  </si>
  <si>
    <t xml:space="preserve"> プラップＪ</t>
  </si>
  <si>
    <t xml:space="preserve"> パルGHD</t>
  </si>
  <si>
    <t xml:space="preserve"> ヴィレッジV</t>
  </si>
  <si>
    <t xml:space="preserve"> ファーマライズ</t>
  </si>
  <si>
    <t xml:space="preserve"> Ｙ’Ｓ</t>
  </si>
  <si>
    <t xml:space="preserve"> ヨシムラフード</t>
  </si>
  <si>
    <t xml:space="preserve"> PCNET</t>
  </si>
  <si>
    <t xml:space="preserve"> ＤＤＨＤ</t>
  </si>
  <si>
    <t xml:space="preserve"> ジェーソン</t>
  </si>
  <si>
    <t xml:space="preserve"> ドトル日レス</t>
  </si>
  <si>
    <t xml:space="preserve"> ラクトJPN</t>
  </si>
  <si>
    <t xml:space="preserve"> クリエイトSDH</t>
  </si>
  <si>
    <t xml:space="preserve"> 買取王国</t>
  </si>
  <si>
    <t xml:space="preserve"> 白　鳩</t>
  </si>
  <si>
    <t xml:space="preserve"> ＳＦＰ</t>
  </si>
  <si>
    <t xml:space="preserve"> エスエルディー</t>
  </si>
  <si>
    <t xml:space="preserve"> 三栄建築</t>
  </si>
  <si>
    <t xml:space="preserve"> プロパスト</t>
  </si>
  <si>
    <t xml:space="preserve"> ファンドクリG</t>
  </si>
  <si>
    <t xml:space="preserve"> 日創プロ</t>
  </si>
  <si>
    <t xml:space="preserve"> 霞ヶ関キャ</t>
  </si>
  <si>
    <t xml:space="preserve"> アクサスHD</t>
  </si>
  <si>
    <t xml:space="preserve"> 農総研</t>
  </si>
  <si>
    <t xml:space="preserve"> 串カツ田中</t>
  </si>
  <si>
    <t xml:space="preserve"> ロコンド</t>
  </si>
  <si>
    <t xml:space="preserve"> ケイブ</t>
  </si>
  <si>
    <t xml:space="preserve"> IGポート</t>
  </si>
  <si>
    <t xml:space="preserve"> サイバーS</t>
  </si>
  <si>
    <t xml:space="preserve"> アクロディア</t>
  </si>
  <si>
    <t xml:space="preserve"> エディア</t>
  </si>
  <si>
    <t xml:space="preserve"> ＵＵＵＭ</t>
  </si>
  <si>
    <t xml:space="preserve"> ウォンテッドリ</t>
  </si>
  <si>
    <t xml:space="preserve"> マネフォワ-ド</t>
  </si>
  <si>
    <t xml:space="preserve"> チームスピリト</t>
  </si>
  <si>
    <t xml:space="preserve"> ダイト</t>
  </si>
  <si>
    <t xml:space="preserve"> 川上塗</t>
  </si>
  <si>
    <t xml:space="preserve"> 市進ＨＤ</t>
  </si>
  <si>
    <t xml:space="preserve"> トーセ</t>
  </si>
  <si>
    <t xml:space="preserve"> 北興化</t>
  </si>
  <si>
    <t xml:space="preserve"> MORESCO</t>
  </si>
  <si>
    <t xml:space="preserve"> 石油石炭製品</t>
  </si>
  <si>
    <t xml:space="preserve"> JMACS</t>
  </si>
  <si>
    <t xml:space="preserve"> 三機Ｓ</t>
  </si>
  <si>
    <t xml:space="preserve"> Gunosy</t>
  </si>
  <si>
    <t xml:space="preserve"> デザインワン</t>
  </si>
  <si>
    <t xml:space="preserve"> キャリアリンク</t>
  </si>
  <si>
    <t xml:space="preserve"> シンメンテHD</t>
  </si>
  <si>
    <t xml:space="preserve"> ロゼッタ</t>
  </si>
  <si>
    <t xml:space="preserve"> セラク</t>
  </si>
  <si>
    <t xml:space="preserve"> 東洋電</t>
  </si>
  <si>
    <t xml:space="preserve"> クックビズ</t>
  </si>
  <si>
    <t xml:space="preserve"> ＲＰＡ</t>
  </si>
  <si>
    <t xml:space="preserve"> anfac</t>
  </si>
  <si>
    <t xml:space="preserve"> ライトオン</t>
  </si>
  <si>
    <t xml:space="preserve"> マルヨシセンター</t>
  </si>
  <si>
    <t xml:space="preserve"> ＩＤＯＭ</t>
  </si>
  <si>
    <t xml:space="preserve"> エスケイ</t>
  </si>
  <si>
    <t xml:space="preserve"> CSランバー</t>
  </si>
  <si>
    <t xml:space="preserve"> 東天紅</t>
  </si>
  <si>
    <t xml:space="preserve"> サイカ屋</t>
  </si>
  <si>
    <t xml:space="preserve"> 山陽百</t>
  </si>
  <si>
    <t xml:space="preserve"> インテリックス</t>
  </si>
  <si>
    <t xml:space="preserve"> ポエック</t>
  </si>
  <si>
    <t xml:space="preserve"> ＳＯＵ</t>
  </si>
  <si>
    <t xml:space="preserve"> ナルミヤ</t>
  </si>
  <si>
    <t xml:space="preserve"> 松　竹</t>
  </si>
  <si>
    <t xml:space="preserve"> モリト</t>
  </si>
  <si>
    <t xml:space="preserve"> アルテック</t>
  </si>
  <si>
    <t xml:space="preserve"> 大　庄</t>
  </si>
  <si>
    <t xml:space="preserve"> ニッケ</t>
  </si>
  <si>
    <t xml:space="preserve"> 川口化</t>
  </si>
  <si>
    <t xml:space="preserve"> 川崎地質</t>
  </si>
  <si>
    <t xml:space="preserve"> アクトコール</t>
  </si>
  <si>
    <t xml:space="preserve"> 不二越</t>
  </si>
  <si>
    <t xml:space="preserve"> マルカ</t>
  </si>
  <si>
    <t xml:space="preserve"> ノ　ダ</t>
  </si>
  <si>
    <t xml:space="preserve"> タカラインフラF</t>
  </si>
  <si>
    <t xml:space="preserve"> 1/16</t>
  </si>
  <si>
    <t xml:space="preserve"> 平和RE</t>
  </si>
  <si>
    <t xml:space="preserve"> プロロジス</t>
  </si>
  <si>
    <t xml:space="preserve"> 津田駒</t>
  </si>
  <si>
    <t xml:space="preserve"> くろ工</t>
  </si>
  <si>
    <t xml:space="preserve"> ユナイテッドU</t>
  </si>
  <si>
    <t xml:space="preserve"> 協和コンサ</t>
  </si>
  <si>
    <t xml:space="preserve"> 1/20</t>
  </si>
  <si>
    <t xml:space="preserve"> アサヒ陶</t>
  </si>
  <si>
    <t xml:space="preserve"> 1/21</t>
  </si>
  <si>
    <t xml:space="preserve"> 大江戸温</t>
  </si>
  <si>
    <t xml:space="preserve"> 大和オフィス</t>
  </si>
  <si>
    <t xml:space="preserve"> 1/24</t>
  </si>
  <si>
    <t xml:space="preserve"> エンプラス</t>
  </si>
  <si>
    <t xml:space="preserve"> ジャフコ</t>
  </si>
  <si>
    <t xml:space="preserve"> 証券商品先物</t>
  </si>
  <si>
    <t xml:space="preserve"> 洋 シヤタ</t>
  </si>
  <si>
    <t xml:space="preserve"> SE H&amp;I</t>
  </si>
  <si>
    <t xml:space="preserve"> NTTDIM</t>
  </si>
  <si>
    <t xml:space="preserve"> 養命酒</t>
  </si>
  <si>
    <t xml:space="preserve"> 四国化</t>
  </si>
  <si>
    <t xml:space="preserve"> 日清粉Ｇ</t>
  </si>
  <si>
    <t xml:space="preserve"> ウェッズ</t>
  </si>
  <si>
    <t xml:space="preserve"> サンワテクノス</t>
  </si>
  <si>
    <t xml:space="preserve"> ステップ</t>
  </si>
  <si>
    <t>442"</t>
  </si>
  <si>
    <t xml:space="preserve"> 京　写</t>
  </si>
  <si>
    <t xml:space="preserve"> フラベッドH</t>
  </si>
  <si>
    <t xml:space="preserve"> 沖縄電</t>
  </si>
  <si>
    <t xml:space="preserve"> ＮＳＤ</t>
  </si>
  <si>
    <t xml:space="preserve"> 日鉄鉱</t>
  </si>
  <si>
    <t xml:space="preserve"> カワニシHD</t>
  </si>
  <si>
    <t xml:space="preserve"> セ硝子</t>
  </si>
  <si>
    <t xml:space="preserve"> 三浦工</t>
  </si>
  <si>
    <t>" 70</t>
  </si>
  <si>
    <t xml:space="preserve"> キッコーマン</t>
  </si>
  <si>
    <t xml:space="preserve"> 大陽日酸</t>
  </si>
  <si>
    <t>598"</t>
  </si>
  <si>
    <t xml:space="preserve"> 三井化学</t>
  </si>
  <si>
    <t xml:space="preserve"> 日　油</t>
  </si>
  <si>
    <t xml:space="preserve"> 日本新薬</t>
  </si>
  <si>
    <t xml:space="preserve"> ナカヨ</t>
  </si>
  <si>
    <t xml:space="preserve"> 西武ＨＤ</t>
  </si>
  <si>
    <t xml:space="preserve"> コムシスHD</t>
  </si>
  <si>
    <t>171"</t>
  </si>
  <si>
    <t xml:space="preserve"> トランス</t>
  </si>
  <si>
    <t xml:space="preserve"> ソフトマックス</t>
  </si>
  <si>
    <t xml:space="preserve"> ULS-G</t>
  </si>
  <si>
    <t xml:space="preserve"> ナブテスコ</t>
  </si>
  <si>
    <t xml:space="preserve"> 双葉電</t>
  </si>
  <si>
    <t xml:space="preserve"> ゼ　ロ</t>
  </si>
  <si>
    <t xml:space="preserve"> 2/8</t>
  </si>
  <si>
    <t xml:space="preserve"> 北川精機</t>
  </si>
  <si>
    <t xml:space="preserve"> 13:00</t>
  </si>
  <si>
    <t xml:space="preserve"> Tナカヤマ</t>
  </si>
  <si>
    <t xml:space="preserve"> ウインパートナ</t>
  </si>
  <si>
    <t xml:space="preserve"> 高松機械</t>
  </si>
  <si>
    <t xml:space="preserve"> ファルテック</t>
  </si>
  <si>
    <t xml:space="preserve"> インプレス</t>
  </si>
  <si>
    <t xml:space="preserve"> サイババズ</t>
  </si>
  <si>
    <t xml:space="preserve"> Iスペース</t>
  </si>
  <si>
    <t xml:space="preserve"> 価値開発</t>
  </si>
  <si>
    <t xml:space="preserve"> Welby</t>
  </si>
  <si>
    <t xml:space="preserve"> クリエート</t>
  </si>
  <si>
    <t xml:space="preserve"> 神戸天然</t>
  </si>
  <si>
    <t xml:space="preserve"> ＤＷＴＩ</t>
  </si>
  <si>
    <t xml:space="preserve"> ピクセル</t>
  </si>
  <si>
    <t xml:space="preserve"> クリヤマHD</t>
  </si>
  <si>
    <t xml:space="preserve"> JTECCORP</t>
  </si>
  <si>
    <t xml:space="preserve"> 市光工</t>
  </si>
  <si>
    <t xml:space="preserve"> シークス</t>
  </si>
  <si>
    <t xml:space="preserve"> 黒田精</t>
  </si>
  <si>
    <t xml:space="preserve"> ユニチャーム</t>
  </si>
  <si>
    <t>" 23</t>
  </si>
  <si>
    <t xml:space="preserve"> オリコンHD</t>
  </si>
  <si>
    <t xml:space="preserve"> サンエー化研</t>
  </si>
  <si>
    <t xml:space="preserve"> ＦＩＧ</t>
  </si>
  <si>
    <t xml:space="preserve"> ベース</t>
  </si>
  <si>
    <t xml:space="preserve"> 岡　部</t>
  </si>
  <si>
    <t xml:space="preserve"> イード</t>
  </si>
  <si>
    <t xml:space="preserve"> ファイバーGT</t>
  </si>
  <si>
    <t xml:space="preserve"> 2/19</t>
  </si>
  <si>
    <t xml:space="preserve"> AOITYOHD</t>
  </si>
  <si>
    <t xml:space="preserve"> 2/27</t>
  </si>
  <si>
    <t xml:space="preserve"> タカショー</t>
  </si>
  <si>
    <t xml:space="preserve"> 3/9</t>
  </si>
  <si>
    <t xml:space="preserve"> 3/11</t>
  </si>
  <si>
    <t xml:space="preserve"> 3/12</t>
  </si>
  <si>
    <t xml:space="preserve"> 3/13</t>
  </si>
  <si>
    <t>220"</t>
  </si>
  <si>
    <t xml:space="preserve"> 中山福</t>
  </si>
  <si>
    <t xml:space="preserve"> 三住トラスト</t>
  </si>
  <si>
    <t xml:space="preserve"> アルプス物</t>
  </si>
  <si>
    <t xml:space="preserve"> 沖縄セルラー</t>
  </si>
  <si>
    <t>888"</t>
  </si>
  <si>
    <t xml:space="preserve"> 五洋建</t>
  </si>
  <si>
    <t xml:space="preserve"> 永谷園HD</t>
  </si>
  <si>
    <t xml:space="preserve"> テクノフレックス</t>
  </si>
  <si>
    <t xml:space="preserve"> 住友ベ</t>
  </si>
  <si>
    <t xml:space="preserve"> オイレス工</t>
  </si>
  <si>
    <t xml:space="preserve"> 東　リ</t>
  </si>
  <si>
    <t xml:space="preserve"> 総医研</t>
  </si>
  <si>
    <t xml:space="preserve"> ｉｐｓ</t>
  </si>
  <si>
    <t xml:space="preserve"> ウィルズ</t>
  </si>
  <si>
    <t xml:space="preserve"> ランサーズ</t>
  </si>
  <si>
    <t xml:space="preserve"> ウチヤマHD</t>
  </si>
  <si>
    <t xml:space="preserve"> アンビス</t>
  </si>
  <si>
    <t xml:space="preserve"> 応用地</t>
  </si>
  <si>
    <t xml:space="preserve"> ALiNK</t>
  </si>
  <si>
    <t>ユアテック</t>
  </si>
  <si>
    <t>ツクイ</t>
  </si>
  <si>
    <t>アウトソーシング</t>
  </si>
  <si>
    <t>高千穂交易</t>
  </si>
  <si>
    <t>あらた</t>
  </si>
  <si>
    <t>ＪＰホールディングス</t>
  </si>
  <si>
    <t>アルフレッサ　ホールディングス</t>
  </si>
  <si>
    <t>横浜冷凍</t>
  </si>
  <si>
    <t>ココカラファイン</t>
  </si>
  <si>
    <t>Ｈａｍｅｅ</t>
  </si>
  <si>
    <t>ホットランド</t>
  </si>
  <si>
    <t>オープンハウス</t>
  </si>
  <si>
    <t>シップヘルスケアホールディングス</t>
  </si>
  <si>
    <t>明治電機工業</t>
  </si>
  <si>
    <t>ケイアイスター不動産</t>
  </si>
  <si>
    <t>グッドコムアセット</t>
  </si>
  <si>
    <t>芦森工業</t>
  </si>
  <si>
    <t>マツオカコーポレーション</t>
  </si>
  <si>
    <t>ｅｎｉｓｈ</t>
  </si>
  <si>
    <t>フリービット</t>
  </si>
  <si>
    <t>マイネット</t>
  </si>
  <si>
    <t>ザ・パック</t>
  </si>
  <si>
    <t>シンクロ・フード</t>
  </si>
  <si>
    <t>昭和電工</t>
  </si>
  <si>
    <t>日産化学</t>
  </si>
  <si>
    <t>四国化成工業</t>
  </si>
  <si>
    <t>ＪＳＲ</t>
  </si>
  <si>
    <t>大阪有機化学工業</t>
  </si>
  <si>
    <t>久光製薬</t>
  </si>
  <si>
    <t>日医工</t>
  </si>
  <si>
    <t>日水製薬</t>
  </si>
  <si>
    <t>秀英予備校</t>
  </si>
  <si>
    <t>ビー・エム・エル</t>
  </si>
  <si>
    <t>トレンドマイクロ</t>
  </si>
  <si>
    <t>ＳＢテクノロジー</t>
  </si>
  <si>
    <t>横浜ゴム</t>
  </si>
  <si>
    <t>住友金属鉱山</t>
  </si>
  <si>
    <t>アマダホールディングス</t>
  </si>
  <si>
    <t>タツモ</t>
  </si>
  <si>
    <t>ワイエイシイホールディングス</t>
  </si>
  <si>
    <t>新東工業</t>
  </si>
  <si>
    <t>レイズネクスト</t>
  </si>
  <si>
    <t>前澤給装工業</t>
  </si>
  <si>
    <t>日立製作所</t>
  </si>
  <si>
    <t>ミマキエンジニアリング</t>
  </si>
  <si>
    <t>ティアック</t>
  </si>
  <si>
    <t>チノー</t>
  </si>
  <si>
    <t>村田製作所</t>
  </si>
  <si>
    <t>エフテック</t>
  </si>
  <si>
    <t>スズキ</t>
  </si>
  <si>
    <t>ヨロズ</t>
  </si>
  <si>
    <t>三十三フィナンシャルグループ</t>
  </si>
  <si>
    <t>イオン北海道</t>
  </si>
  <si>
    <t>スギホールディングス</t>
  </si>
  <si>
    <t>ＨＯＹＡ</t>
  </si>
  <si>
    <t>ＮＩＳＳＨＡ</t>
  </si>
  <si>
    <t>ＪＳＰ</t>
  </si>
  <si>
    <t>立川ブラインド工業</t>
  </si>
  <si>
    <t>山善</t>
  </si>
  <si>
    <t>兼松エレクトロニクス</t>
  </si>
  <si>
    <t>イズミ</t>
  </si>
  <si>
    <t>ふくおかフィナンシャルグループ</t>
  </si>
  <si>
    <t>百五銀行</t>
  </si>
  <si>
    <t>スターツコーポレーション</t>
  </si>
  <si>
    <t>東祥</t>
  </si>
  <si>
    <t>朝日放送グループホールディングス</t>
  </si>
  <si>
    <t>ワイヤレスゲート</t>
  </si>
  <si>
    <t>セコム</t>
  </si>
  <si>
    <t>ベネッセホールディングス</t>
  </si>
  <si>
    <t>Pair Trade System</t>
    <phoneticPr fontId="1" type="noConversion"/>
  </si>
  <si>
    <t>単に運がよかった</t>
    <phoneticPr fontId="1" type="noConversion"/>
  </si>
  <si>
    <t>Rate</t>
    <phoneticPr fontId="1" type="noConversion"/>
  </si>
  <si>
    <t>Source</t>
    <phoneticPr fontId="1" type="noConversion"/>
  </si>
  <si>
    <t>/</t>
    <phoneticPr fontId="1" type="noConversion"/>
  </si>
  <si>
    <t>3M</t>
    <phoneticPr fontId="1" type="noConversion"/>
  </si>
  <si>
    <t>Correlation</t>
    <phoneticPr fontId="1" type="noConversion"/>
  </si>
  <si>
    <t>Cointegration</t>
    <phoneticPr fontId="1" type="noConversion"/>
  </si>
  <si>
    <t xml:space="preserve"> Profit Return</t>
    <phoneticPr fontId="1" type="noConversion"/>
  </si>
  <si>
    <t>シグマ</t>
    <phoneticPr fontId="1" type="noConversion"/>
  </si>
  <si>
    <t>離率</t>
    <phoneticPr fontId="1" type="noConversion"/>
  </si>
  <si>
    <r>
      <t>LOT</t>
    </r>
    <r>
      <rPr>
        <sz val="11"/>
        <color theme="1"/>
        <rFont val="ＭＳ Ｐゴシック"/>
        <family val="3"/>
        <charset val="128"/>
      </rPr>
      <t>差分</t>
    </r>
    <phoneticPr fontId="1" type="noConversion"/>
  </si>
  <si>
    <t>相関</t>
    <phoneticPr fontId="1" type="noConversion"/>
  </si>
  <si>
    <t>Corr 3M</t>
    <phoneticPr fontId="1" type="noConversion"/>
  </si>
  <si>
    <t>Corr 1Y</t>
    <phoneticPr fontId="1" type="noConversion"/>
  </si>
  <si>
    <t>Coint 3M</t>
    <phoneticPr fontId="1" type="noConversion"/>
  </si>
  <si>
    <t>Coint 1Y</t>
    <phoneticPr fontId="1" type="noConversion"/>
  </si>
  <si>
    <t>MAX</t>
    <phoneticPr fontId="1" type="noConversion"/>
  </si>
  <si>
    <t>MIN</t>
    <phoneticPr fontId="1" type="noConversion"/>
  </si>
  <si>
    <t>NOW</t>
    <phoneticPr fontId="1" type="noConversion"/>
  </si>
  <si>
    <t>/</t>
    <phoneticPr fontId="1" type="noConversion"/>
  </si>
  <si>
    <t>375"</t>
  </si>
  <si>
    <t>247"</t>
  </si>
  <si>
    <t>" 19</t>
  </si>
  <si>
    <t>661"</t>
  </si>
  <si>
    <t>693"</t>
  </si>
  <si>
    <t>" 35</t>
  </si>
  <si>
    <t>344"</t>
  </si>
  <si>
    <t>556"</t>
  </si>
  <si>
    <t>" 77</t>
  </si>
  <si>
    <t>019"</t>
  </si>
  <si>
    <t>585"</t>
  </si>
  <si>
    <t xml:space="preserve"> 日本電設</t>
  </si>
  <si>
    <t>412"</t>
  </si>
  <si>
    <t>578"</t>
  </si>
  <si>
    <t>653"</t>
  </si>
  <si>
    <t>194"</t>
  </si>
  <si>
    <t>515"</t>
  </si>
  <si>
    <t>450"</t>
  </si>
  <si>
    <t xml:space="preserve"> JTOWER</t>
  </si>
  <si>
    <t>263"</t>
  </si>
  <si>
    <t>261"</t>
  </si>
  <si>
    <t>421"</t>
  </si>
  <si>
    <t>600"</t>
  </si>
  <si>
    <t xml:space="preserve"> トリドールHD</t>
  </si>
  <si>
    <t>175"</t>
  </si>
  <si>
    <t>112"</t>
  </si>
  <si>
    <t>692"</t>
  </si>
  <si>
    <t>935"</t>
  </si>
  <si>
    <t>951"</t>
  </si>
  <si>
    <t>698"</t>
  </si>
  <si>
    <t xml:space="preserve"> BUYSELL</t>
  </si>
  <si>
    <t xml:space="preserve"> 06月中旬</t>
  </si>
  <si>
    <t xml:space="preserve"> いちごオフ</t>
  </si>
  <si>
    <t>植木組</t>
  </si>
  <si>
    <t>きんでん</t>
  </si>
  <si>
    <t>エレマテック</t>
  </si>
  <si>
    <t>ファーマライズホールディングス</t>
  </si>
  <si>
    <t>アルペン</t>
  </si>
  <si>
    <t>ディーブイエックス</t>
  </si>
  <si>
    <t>ＴＯＫＹＯ　ＢＡＳＥ</t>
  </si>
  <si>
    <t>ＳＵＭＣＯ</t>
  </si>
  <si>
    <t>石原ケミカル</t>
  </si>
  <si>
    <t>塩野義製薬</t>
  </si>
  <si>
    <t>日本特殊塗料</t>
  </si>
  <si>
    <t>リゾートトラスト</t>
  </si>
  <si>
    <t>富士興産</t>
  </si>
  <si>
    <t>日本板硝子</t>
  </si>
  <si>
    <t>日本特殊陶業</t>
  </si>
  <si>
    <t>モリ工業</t>
  </si>
  <si>
    <t>ＤＭＧ森精機</t>
  </si>
  <si>
    <t>豊田自動織機</t>
  </si>
  <si>
    <t>マルマエ</t>
  </si>
  <si>
    <t>ダブル・スコープ</t>
  </si>
  <si>
    <t>ホーチキ</t>
  </si>
  <si>
    <t>タムラ製作所</t>
  </si>
  <si>
    <t>三城ホールディングス</t>
  </si>
  <si>
    <t>リックス</t>
  </si>
  <si>
    <t>オーバル</t>
  </si>
  <si>
    <t>アーク</t>
  </si>
  <si>
    <t>キヤノンマーケティングジャパン</t>
  </si>
  <si>
    <t>アコム</t>
  </si>
  <si>
    <t>ジャックス</t>
  </si>
  <si>
    <t>三井不動産</t>
  </si>
  <si>
    <t>光通信</t>
  </si>
  <si>
    <t>沖縄電力</t>
  </si>
  <si>
    <t>ＳＣＳＫ</t>
  </si>
  <si>
    <t>ミロク情報サービス</t>
  </si>
  <si>
    <t>SPAN</t>
    <phoneticPr fontId="1" type="noConversion"/>
  </si>
  <si>
    <t>監視</t>
    <rPh sb="0" eb="2">
      <t>ｶﾝｼ</t>
    </rPh>
    <phoneticPr fontId="1" type="noConversion"/>
  </si>
  <si>
    <t>OPEN_6752</t>
  </si>
  <si>
    <t>CLOSE_6752</t>
  </si>
  <si>
    <t>OPEN_8795</t>
  </si>
  <si>
    <t>CLOSE_8795</t>
  </si>
  <si>
    <t>SELL</t>
    <phoneticPr fontId="1" type="noConversion"/>
  </si>
  <si>
    <t>Ｔ＆Ｄホールディングス</t>
    <phoneticPr fontId="1" type="noConversion"/>
  </si>
  <si>
    <t>BUY</t>
    <phoneticPr fontId="1" type="noConversion"/>
  </si>
  <si>
    <t>パナソニック</t>
    <phoneticPr fontId="1" type="noConversion"/>
  </si>
  <si>
    <t>シグマ</t>
    <phoneticPr fontId="1" type="noConversion"/>
  </si>
  <si>
    <t>離率</t>
    <phoneticPr fontId="1" type="noConversion"/>
  </si>
  <si>
    <t>差分</t>
    <phoneticPr fontId="1" type="noConversion"/>
  </si>
  <si>
    <t>Total Profit</t>
    <phoneticPr fontId="1" type="noConversion"/>
  </si>
  <si>
    <t>CORR 3M</t>
    <phoneticPr fontId="1" type="noConversion"/>
  </si>
  <si>
    <t>CORR 1Y</t>
    <phoneticPr fontId="1" type="noConversion"/>
  </si>
  <si>
    <t>COINT 3M</t>
    <phoneticPr fontId="1" type="noConversion"/>
  </si>
  <si>
    <t>COINT 1Y</t>
    <phoneticPr fontId="1" type="noConversion"/>
  </si>
  <si>
    <t>/</t>
    <phoneticPr fontId="1" type="noConversion"/>
  </si>
  <si>
    <t>Ｔ＆Ｄホールディングス</t>
    <phoneticPr fontId="1" type="noConversion"/>
  </si>
  <si>
    <t>パナソニック</t>
    <phoneticPr fontId="1" type="noConversion"/>
  </si>
  <si>
    <t>保険業</t>
    <phoneticPr fontId="1" type="noConversion"/>
  </si>
  <si>
    <t>電気機器</t>
    <phoneticPr fontId="1" type="noConversion"/>
  </si>
  <si>
    <t>sell(8795)</t>
  </si>
  <si>
    <t>buy(6752)</t>
  </si>
  <si>
    <t>result</t>
    <phoneticPr fontId="1" type="noConversion"/>
  </si>
  <si>
    <t>結果ファイルパス</t>
    <rPh sb="0" eb="2">
      <t>ｹｯｶ</t>
    </rPh>
    <phoneticPr fontId="1" type="noConversion"/>
  </si>
  <si>
    <t>結果</t>
    <rPh sb="0" eb="2">
      <t>ｹｯｶ</t>
    </rPh>
    <phoneticPr fontId="1" type="noConversion"/>
  </si>
  <si>
    <t>Enter　
シグマ</t>
    <phoneticPr fontId="1" type="noConversion"/>
  </si>
  <si>
    <t>Exit　
シグマ</t>
    <phoneticPr fontId="1" type="noConversion"/>
  </si>
  <si>
    <t>NOW　
シグマ</t>
    <phoneticPr fontId="1" type="noConversion"/>
  </si>
  <si>
    <t>制度</t>
    <phoneticPr fontId="1" type="noConversion"/>
  </si>
  <si>
    <t>第一生命ホールディングス</t>
    <phoneticPr fontId="1" type="noConversion"/>
  </si>
  <si>
    <t>丸紅</t>
    <phoneticPr fontId="1" type="noConversion"/>
  </si>
  <si>
    <t>現物</t>
    <phoneticPr fontId="1" type="noConversion"/>
  </si>
  <si>
    <t>History</t>
    <phoneticPr fontId="1" type="noConversion"/>
  </si>
  <si>
    <t>OPEN_8002</t>
  </si>
  <si>
    <t>CLOSE_8002</t>
  </si>
  <si>
    <t>OPEN_8750</t>
  </si>
  <si>
    <t>CLOSE_8750</t>
  </si>
  <si>
    <t>sell(8750)</t>
  </si>
  <si>
    <t>buy(8002)</t>
  </si>
  <si>
    <t>429"</t>
  </si>
  <si>
    <t>342"</t>
  </si>
  <si>
    <t>775"</t>
  </si>
  <si>
    <t>365"</t>
  </si>
  <si>
    <t>977"</t>
  </si>
  <si>
    <t>946"</t>
  </si>
  <si>
    <t>236"</t>
  </si>
  <si>
    <t>536"</t>
  </si>
  <si>
    <t>633"</t>
  </si>
  <si>
    <t>569"</t>
  </si>
  <si>
    <t>207"</t>
  </si>
  <si>
    <t>180"</t>
  </si>
  <si>
    <t>235"</t>
  </si>
  <si>
    <t>387"</t>
  </si>
  <si>
    <t>813"</t>
  </si>
  <si>
    <t>699"</t>
  </si>
  <si>
    <t>768"</t>
  </si>
  <si>
    <t>134"</t>
  </si>
  <si>
    <t>287"</t>
  </si>
  <si>
    <t>407"</t>
  </si>
  <si>
    <t>722"</t>
  </si>
  <si>
    <t>113"</t>
  </si>
  <si>
    <t>295"</t>
  </si>
  <si>
    <t>009"</t>
  </si>
  <si>
    <t>259"</t>
  </si>
  <si>
    <t>758"</t>
  </si>
  <si>
    <t>369"</t>
  </si>
  <si>
    <t>500"</t>
  </si>
  <si>
    <t>033"</t>
  </si>
  <si>
    <t>815"</t>
  </si>
  <si>
    <t>336"</t>
  </si>
  <si>
    <t>108"</t>
  </si>
  <si>
    <t>853"</t>
  </si>
  <si>
    <t>730"</t>
  </si>
  <si>
    <t>604"</t>
  </si>
  <si>
    <t>126"</t>
  </si>
  <si>
    <t>319"</t>
  </si>
  <si>
    <t>618"</t>
  </si>
  <si>
    <t>216"</t>
  </si>
  <si>
    <t>329"</t>
  </si>
  <si>
    <t>111"</t>
  </si>
  <si>
    <t>517"</t>
  </si>
  <si>
    <t>160"</t>
  </si>
  <si>
    <t>509"</t>
  </si>
  <si>
    <t>025"</t>
  </si>
  <si>
    <t>950"</t>
  </si>
  <si>
    <t>357"</t>
  </si>
  <si>
    <t>110"</t>
  </si>
  <si>
    <t>010"</t>
  </si>
  <si>
    <t>223"</t>
  </si>
  <si>
    <t>410"</t>
  </si>
  <si>
    <t>620"</t>
  </si>
  <si>
    <t>105"</t>
  </si>
  <si>
    <t>666"</t>
  </si>
  <si>
    <t>671"</t>
  </si>
  <si>
    <t>022"</t>
  </si>
  <si>
    <t>864"</t>
  </si>
  <si>
    <t>627"</t>
  </si>
  <si>
    <t>422"</t>
  </si>
  <si>
    <t>882"</t>
  </si>
  <si>
    <t>140"</t>
  </si>
  <si>
    <t>660"</t>
  </si>
  <si>
    <t>169"</t>
  </si>
  <si>
    <t>802"</t>
  </si>
  <si>
    <t>717"</t>
  </si>
  <si>
    <t>106"</t>
  </si>
  <si>
    <t>587"</t>
  </si>
  <si>
    <t>625"</t>
  </si>
  <si>
    <t>" 69</t>
  </si>
  <si>
    <t>439"</t>
  </si>
  <si>
    <t>531"</t>
  </si>
  <si>
    <t>176"</t>
  </si>
  <si>
    <t>550"</t>
  </si>
  <si>
    <t>554"</t>
  </si>
  <si>
    <t>289"</t>
  </si>
  <si>
    <t>269"</t>
  </si>
  <si>
    <t>026"</t>
  </si>
  <si>
    <t>479"</t>
  </si>
  <si>
    <t>312"</t>
  </si>
  <si>
    <t>198"</t>
  </si>
  <si>
    <t>896"</t>
  </si>
  <si>
    <t>948"</t>
  </si>
  <si>
    <t>874"</t>
  </si>
  <si>
    <t>036"</t>
  </si>
  <si>
    <t>184"</t>
  </si>
  <si>
    <t>014"</t>
  </si>
  <si>
    <t>518"</t>
  </si>
  <si>
    <t>173"</t>
  </si>
  <si>
    <t>659"</t>
  </si>
  <si>
    <t>107"</t>
  </si>
  <si>
    <t>502"</t>
  </si>
  <si>
    <t>353"</t>
  </si>
  <si>
    <t>380"</t>
  </si>
  <si>
    <t>238"</t>
  </si>
  <si>
    <t>183"</t>
  </si>
  <si>
    <t>552"</t>
  </si>
  <si>
    <t>929"</t>
  </si>
  <si>
    <t>" 25</t>
  </si>
  <si>
    <t>793"</t>
  </si>
  <si>
    <t>468"</t>
  </si>
  <si>
    <t>226"</t>
  </si>
  <si>
    <t>482"</t>
  </si>
  <si>
    <t>385"</t>
  </si>
  <si>
    <t>154"</t>
  </si>
  <si>
    <t>391"</t>
  </si>
  <si>
    <t>877"</t>
  </si>
  <si>
    <t>959"</t>
  </si>
  <si>
    <t>516"</t>
  </si>
  <si>
    <t>777"</t>
  </si>
  <si>
    <t>084"</t>
  </si>
  <si>
    <t>333"</t>
  </si>
  <si>
    <t>443"</t>
  </si>
  <si>
    <t>593"</t>
  </si>
  <si>
    <t>143"</t>
  </si>
  <si>
    <t>794"</t>
  </si>
  <si>
    <t>100"</t>
  </si>
  <si>
    <t>317"</t>
  </si>
  <si>
    <t>589"</t>
  </si>
  <si>
    <t>" 17</t>
  </si>
  <si>
    <t>087"</t>
  </si>
  <si>
    <t>762"</t>
  </si>
  <si>
    <t>917"</t>
  </si>
  <si>
    <t>017"</t>
  </si>
  <si>
    <t>323"</t>
  </si>
  <si>
    <t>118"</t>
  </si>
  <si>
    <t>119"</t>
  </si>
  <si>
    <t>サカタのタネ</t>
  </si>
  <si>
    <t>住石ホールディングス</t>
  </si>
  <si>
    <t>新日本建設</t>
  </si>
  <si>
    <t>東亜建設工業</t>
  </si>
  <si>
    <t>トーエネック</t>
  </si>
  <si>
    <t>日揮ホールディングス</t>
  </si>
  <si>
    <t>朝日工業社</t>
  </si>
  <si>
    <t>中部飼料</t>
  </si>
  <si>
    <t>不二家</t>
  </si>
  <si>
    <t>丸大食品</t>
  </si>
  <si>
    <t>ＮＪＳ</t>
  </si>
  <si>
    <t>オプトホールディング</t>
  </si>
  <si>
    <t>キャリアデザインセンター</t>
  </si>
  <si>
    <t>ツカダ・グローバルホールディング</t>
  </si>
  <si>
    <t>Ｊ－オイルミルズ</t>
  </si>
  <si>
    <t>ハードオフコーポレーション</t>
  </si>
  <si>
    <t>ゲオホールディングス</t>
  </si>
  <si>
    <t>大黒天物産</t>
  </si>
  <si>
    <t>ジョイフル本田</t>
  </si>
  <si>
    <t>ソフトクリエイトホールディングス</t>
  </si>
  <si>
    <t>クラレ</t>
  </si>
  <si>
    <t>スシローグローバルホールディングス</t>
  </si>
  <si>
    <t>セーレン</t>
  </si>
  <si>
    <t>サイバーリンクス</t>
  </si>
  <si>
    <t>コムチュア</t>
  </si>
  <si>
    <t>パイプドＨＤ</t>
  </si>
  <si>
    <t>トーモク</t>
  </si>
  <si>
    <t>ダイキアクシス</t>
  </si>
  <si>
    <t>ダイキョーニシカワ</t>
  </si>
  <si>
    <t>ミヨシ油脂</t>
  </si>
  <si>
    <t>大塚ホールディングス</t>
  </si>
  <si>
    <t>大日本塗料</t>
  </si>
  <si>
    <t>パーク２４</t>
  </si>
  <si>
    <t>ＴＤＣソフト</t>
  </si>
  <si>
    <t>星光ＰＭＣ</t>
  </si>
  <si>
    <t>大成ラミック</t>
  </si>
  <si>
    <t>アキレス</t>
  </si>
  <si>
    <t>バンドー化学</t>
  </si>
  <si>
    <t>日本コンクリート工業</t>
  </si>
  <si>
    <t>フジミインコーポレーテッド</t>
  </si>
  <si>
    <t>クニミネ工業</t>
  </si>
  <si>
    <t>三井金属鉱業</t>
  </si>
  <si>
    <t>昭和電線ホールディングス</t>
  </si>
  <si>
    <t>東洋シヤッター</t>
  </si>
  <si>
    <t>パイオラックス</t>
  </si>
  <si>
    <t>日工</t>
  </si>
  <si>
    <t>ＳＡＮＫＹＯ</t>
  </si>
  <si>
    <t>ＴＨＫ</t>
  </si>
  <si>
    <t>三菱電機</t>
  </si>
  <si>
    <t>ＭＳ－Ｊａｐａｎ</t>
  </si>
  <si>
    <t>東光高岳</t>
  </si>
  <si>
    <t>不二電機工業</t>
  </si>
  <si>
    <t>ワコム</t>
  </si>
  <si>
    <t>ローランド　ディー．ジー．</t>
  </si>
  <si>
    <t>共和電業</t>
  </si>
  <si>
    <t>三井ハイテック</t>
  </si>
  <si>
    <t>日本ケミコン</t>
  </si>
  <si>
    <t>九州フィナンシャルグループ</t>
  </si>
  <si>
    <t>ジェイリース</t>
  </si>
  <si>
    <t>河西工業</t>
  </si>
  <si>
    <t>Ｇ－７ホールディングス</t>
  </si>
  <si>
    <t>ユナイテッドアローズ</t>
  </si>
  <si>
    <t>ダイトロン</t>
  </si>
  <si>
    <t>ＳＣＲＥＥＮホールディングス</t>
  </si>
  <si>
    <t>ＴＡＫＡＲＡ　＆　ＣＯＭＰＡＮＹ</t>
  </si>
  <si>
    <t>未来工業</t>
  </si>
  <si>
    <t>松風</t>
  </si>
  <si>
    <t>グローブライド</t>
  </si>
  <si>
    <t>蝶理</t>
  </si>
  <si>
    <t>兼松</t>
  </si>
  <si>
    <t>フルサト工業</t>
  </si>
  <si>
    <t>三益半導体工業</t>
  </si>
  <si>
    <t>青山商事</t>
  </si>
  <si>
    <t>大分銀行</t>
  </si>
  <si>
    <t>みずほリース</t>
  </si>
  <si>
    <t>光世証券</t>
  </si>
  <si>
    <t>エスリード</t>
  </si>
  <si>
    <t>エフ・ジェー・ネクスト</t>
  </si>
  <si>
    <t>相鉄ホールディングス</t>
  </si>
  <si>
    <t>丸全昭和運輸</t>
  </si>
  <si>
    <t>神奈川中央交通</t>
  </si>
  <si>
    <t>三菱倉庫</t>
  </si>
  <si>
    <t>上組</t>
  </si>
  <si>
    <t>インプレスホールディングス</t>
  </si>
  <si>
    <t>四国電力</t>
  </si>
  <si>
    <t>広島ガス</t>
  </si>
  <si>
    <t>東宝</t>
  </si>
  <si>
    <t>エヌ・ティ・ティ・データ</t>
  </si>
  <si>
    <t>燦ホールディングス</t>
  </si>
  <si>
    <t>東京都競馬</t>
  </si>
  <si>
    <t>スクウェア・エニックス・ホールディングス</t>
  </si>
  <si>
    <t>藤田観光</t>
  </si>
  <si>
    <t>丹青社</t>
  </si>
  <si>
    <t>ステップ</t>
  </si>
  <si>
    <t>ベルク</t>
  </si>
  <si>
    <t>σ
LASTDAY</t>
    <phoneticPr fontId="1" type="noConversion"/>
  </si>
  <si>
    <t>反転</t>
    <rPh sb="0" eb="2">
      <t>ﾊﾝﾃﾝ</t>
    </rPh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</si>
</sst>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176" formatCode="&quot;¥&quot;#,##0;[Red]\-&quot;¥&quot;#,##0"/>
    <numFmt numFmtId="177" formatCode="&quot;¥&quot;#,##0_);\(&quot;¥&quot;#,##0\)"/>
    <numFmt numFmtId="178" formatCode="yyyy/m/d;@"/>
    <numFmt numFmtId="179" formatCode="0_);\(0\)"/>
    <numFmt numFmtId="180" formatCode="0.0_ "/>
    <numFmt numFmtId="181" formatCode="0.00_ "/>
    <numFmt numFmtId="182" formatCode="0_ "/>
    <numFmt numFmtId="183" formatCode="0_);[Red]\(0\)"/>
    <numFmt numFmtId="184" formatCode="0_ ;[Red]\-0\ "/>
    <numFmt numFmtId="185" formatCode="&quot;¥&quot;#,##0"/>
    <numFmt numFmtId="186" formatCode="0.0000_ ;[Red]\-0.0000\ "/>
  </numFmts>
  <fonts count="50" x14ac:knownFonts="1">
    <font>
      <sz val="11"/>
      <color theme="1"/>
      <name val="Tahoma"/>
      <family val="2"/>
      <charset val="134"/>
    </font>
    <font>
      <sz val="9"/>
      <name val="Tahoma"/>
      <family val="2"/>
      <charset val="134"/>
    </font>
    <font>
      <sz val="11"/>
      <color theme="1"/>
      <name val="FangSong"/>
      <family val="3"/>
      <charset val="134"/>
    </font>
    <font>
      <b/>
      <sz val="11"/>
      <color theme="1"/>
      <name val="FangSong"/>
      <family val="3"/>
      <charset val="134"/>
    </font>
    <font>
      <b/>
      <sz val="9"/>
      <color rgb="FF1671AE"/>
      <name val="MS UI Gothic"/>
      <family val="3"/>
      <charset val="128"/>
    </font>
    <font>
      <b/>
      <sz val="11"/>
      <name val="FangSong"/>
      <family val="3"/>
      <charset val="134"/>
    </font>
    <font>
      <b/>
      <sz val="11"/>
      <color theme="1"/>
      <name val="FangSong"/>
      <family val="3"/>
    </font>
    <font>
      <b/>
      <sz val="9"/>
      <color theme="1"/>
      <name val="FangSong"/>
      <family val="3"/>
    </font>
    <font>
      <b/>
      <sz val="10"/>
      <color theme="1"/>
      <name val="FangSong"/>
      <family val="3"/>
    </font>
    <font>
      <sz val="10"/>
      <color theme="1"/>
      <name val="FangSong"/>
      <family val="3"/>
      <charset val="134"/>
    </font>
    <font>
      <sz val="10"/>
      <color theme="1"/>
      <name val="Tahoma"/>
      <family val="2"/>
      <charset val="134"/>
    </font>
    <font>
      <sz val="11"/>
      <color rgb="FFFF0000"/>
      <name val="Tahoma"/>
      <family val="2"/>
    </font>
    <font>
      <b/>
      <sz val="10"/>
      <color theme="0"/>
      <name val="FangSong"/>
      <family val="3"/>
      <charset val="134"/>
    </font>
    <font>
      <b/>
      <sz val="10"/>
      <color rgb="FFFF0000"/>
      <name val="FangSong"/>
      <family val="3"/>
    </font>
    <font>
      <b/>
      <sz val="10"/>
      <color theme="0"/>
      <name val="FangSong"/>
      <family val="3"/>
    </font>
    <font>
      <sz val="10"/>
      <color theme="1"/>
      <name val="Tahoma"/>
      <family val="2"/>
    </font>
    <font>
      <sz val="10"/>
      <color theme="1"/>
      <name val="FangSong"/>
      <family val="3"/>
    </font>
    <font>
      <b/>
      <sz val="11"/>
      <color theme="1"/>
      <name val="Tahoma"/>
      <family val="2"/>
      <charset val="134"/>
    </font>
    <font>
      <b/>
      <sz val="11"/>
      <color rgb="FFFF0000"/>
      <name val="Tahoma"/>
      <family val="2"/>
    </font>
    <font>
      <b/>
      <sz val="11"/>
      <color theme="1"/>
      <name val="Tahoma"/>
      <family val="2"/>
    </font>
    <font>
      <b/>
      <sz val="11"/>
      <color theme="3"/>
      <name val="FangSong"/>
      <family val="3"/>
      <charset val="134"/>
    </font>
    <font>
      <b/>
      <sz val="11"/>
      <color rgb="FF000000"/>
      <name val="Arial"/>
      <family val="2"/>
    </font>
    <font>
      <b/>
      <sz val="11"/>
      <color rgb="FFFFFFFF"/>
      <name val="Arial"/>
      <family val="2"/>
    </font>
    <font>
      <sz val="11"/>
      <color rgb="FF000000"/>
      <name val="Arial"/>
      <family val="2"/>
    </font>
    <font>
      <b/>
      <sz val="12"/>
      <color rgb="FFFF0000"/>
      <name val="FangSong"/>
      <family val="3"/>
      <charset val="134"/>
    </font>
    <font>
      <sz val="11"/>
      <color rgb="FFFFFFFF"/>
      <name val="Arial"/>
      <family val="2"/>
    </font>
    <font>
      <b/>
      <sz val="10"/>
      <color theme="1"/>
      <name val="Tahoma"/>
      <family val="2"/>
    </font>
    <font>
      <b/>
      <sz val="10"/>
      <color theme="1"/>
      <name val="FangSong"/>
      <family val="3"/>
      <charset val="134"/>
    </font>
    <font>
      <u/>
      <sz val="11"/>
      <color theme="10"/>
      <name val="Tahoma"/>
      <family val="2"/>
    </font>
    <font>
      <b/>
      <sz val="11"/>
      <color theme="3" tint="0.59999389629810485"/>
      <name val="Tahoma"/>
      <family val="2"/>
    </font>
    <font>
      <sz val="10"/>
      <color rgb="FFFF0000"/>
      <name val="Tahoma"/>
      <family val="2"/>
    </font>
    <font>
      <b/>
      <sz val="10"/>
      <color rgb="FFFF0000"/>
      <name val="Tahoma"/>
      <family val="2"/>
    </font>
    <font>
      <b/>
      <sz val="11"/>
      <color theme="3"/>
      <name val="Tahoma"/>
      <family val="2"/>
    </font>
    <font>
      <sz val="11"/>
      <color rgb="FF000000"/>
      <name val="Tahoma"/>
      <family val="2"/>
    </font>
    <font>
      <sz val="11"/>
      <color rgb="FF000000"/>
      <name val="FangSong"/>
      <family val="3"/>
      <charset val="134"/>
    </font>
    <font>
      <b/>
      <sz val="10"/>
      <color rgb="FF0000FF"/>
      <name val="Tahoma"/>
      <family val="2"/>
    </font>
    <font>
      <sz val="11"/>
      <color rgb="FFFF0000"/>
      <name val="Tahoma"/>
      <family val="2"/>
      <charset val="134"/>
    </font>
    <font>
      <b/>
      <sz val="11"/>
      <color rgb="FFFF0000"/>
      <name val="FangSong"/>
      <family val="3"/>
      <charset val="134"/>
    </font>
    <font>
      <sz val="11"/>
      <color rgb="FF006100"/>
      <name val="ＭＳ Ｐゴシック"/>
      <family val="2"/>
      <charset val="134"/>
      <scheme val="minor"/>
    </font>
    <font>
      <sz val="10"/>
      <name val="FangSong"/>
      <family val="3"/>
      <charset val="134"/>
    </font>
    <font>
      <sz val="10"/>
      <color rgb="FF0070C0"/>
      <name val="FangSong"/>
      <family val="3"/>
      <charset val="134"/>
    </font>
    <font>
      <sz val="11"/>
      <color rgb="FF9C0006"/>
      <name val="ＭＳ Ｐゴシック"/>
      <family val="2"/>
      <charset val="134"/>
      <scheme val="minor"/>
    </font>
    <font>
      <b/>
      <sz val="11"/>
      <color rgb="FF006100"/>
      <name val="ＭＳ Ｐゴシック"/>
      <family val="3"/>
      <charset val="128"/>
      <scheme val="minor"/>
    </font>
    <font>
      <b/>
      <sz val="18"/>
      <color theme="4"/>
      <name val="FangSong"/>
      <family val="3"/>
      <charset val="134"/>
    </font>
    <font>
      <sz val="11"/>
      <color theme="0" tint="-0.499984740745262"/>
      <name val="Tahoma"/>
      <family val="2"/>
      <charset val="134"/>
    </font>
    <font>
      <b/>
      <sz val="11"/>
      <color theme="4"/>
      <name val="Tahoma"/>
      <family val="2"/>
    </font>
    <font>
      <b/>
      <sz val="14"/>
      <color theme="1"/>
      <name val="Tahoma"/>
      <family val="2"/>
    </font>
    <font>
      <sz val="11"/>
      <color theme="1"/>
      <name val="ＭＳ Ｐゴシック"/>
      <family val="3"/>
      <charset val="128"/>
    </font>
    <font>
      <sz val="11"/>
      <color theme="1"/>
      <name val="Tahoma"/>
      <family val="2"/>
    </font>
    <font>
      <sz val="9"/>
      <color rgb="FF000000"/>
      <name val="Microsoft YaHei"/>
      <family val="2"/>
      <charset val="134"/>
    </font>
  </fonts>
  <fills count="28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F4DA2"/>
        <bgColor indexed="64"/>
      </patternFill>
    </fill>
    <fill>
      <patternFill patternType="solid">
        <fgColor rgb="FFE9EBF7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D3567A"/>
        <bgColor indexed="64"/>
      </patternFill>
    </fill>
    <fill>
      <patternFill patternType="solid">
        <fgColor rgb="FF3CC5EA"/>
        <bgColor indexed="64"/>
      </patternFill>
    </fill>
    <fill>
      <patternFill patternType="solid">
        <fgColor rgb="FFEB8A18"/>
        <bgColor indexed="64"/>
      </patternFill>
    </fill>
    <fill>
      <patternFill patternType="solid">
        <fgColor rgb="FF254F84"/>
        <bgColor indexed="64"/>
      </patternFill>
    </fill>
    <fill>
      <patternFill patternType="solid">
        <fgColor rgb="FFCFD5E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rgb="FFDDDDDD"/>
      </right>
      <top/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/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/>
      <bottom style="medium">
        <color rgb="FFDDDDDD"/>
      </bottom>
      <diagonal/>
    </border>
    <border>
      <left/>
      <right style="medium">
        <color rgb="FFDDDDDD"/>
      </right>
      <top/>
      <bottom/>
      <diagonal/>
    </border>
    <border>
      <left style="medium">
        <color rgb="FFDDDDDD"/>
      </left>
      <right style="medium">
        <color rgb="FFDDDDDD"/>
      </right>
      <top/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/>
      <diagonal/>
    </border>
    <border>
      <left/>
      <right/>
      <top/>
      <bottom style="medium">
        <color rgb="FFDDDDDD"/>
      </bottom>
      <diagonal/>
    </border>
    <border>
      <left style="medium">
        <color rgb="FFDDDDDD"/>
      </left>
      <right/>
      <top style="medium">
        <color rgb="FFDDDDDD"/>
      </top>
      <bottom/>
      <diagonal/>
    </border>
    <border>
      <left/>
      <right style="medium">
        <color rgb="FFDDDDDD"/>
      </right>
      <top style="medium">
        <color rgb="FFDDDDDD"/>
      </top>
      <bottom/>
      <diagonal/>
    </border>
    <border>
      <left/>
      <right/>
      <top style="medium">
        <color rgb="FFDDDDDD"/>
      </top>
      <bottom style="medium">
        <color rgb="FFDDDDDD"/>
      </bottom>
      <diagonal/>
    </border>
    <border>
      <left/>
      <right/>
      <top style="medium">
        <color rgb="FFDDDDDD"/>
      </top>
      <bottom/>
      <diagonal/>
    </border>
    <border>
      <left style="medium">
        <color rgb="FFDDDDDD"/>
      </left>
      <right/>
      <top/>
      <bottom style="medium">
        <color rgb="FFDDDDDD"/>
      </bottom>
      <diagonal/>
    </border>
    <border>
      <left style="medium">
        <color rgb="FFDDDDDD"/>
      </left>
      <right/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dotted">
        <color theme="3" tint="0.39997558519241921"/>
      </left>
      <right style="dotted">
        <color theme="3" tint="0.39997558519241921"/>
      </right>
      <top style="dotted">
        <color theme="3" tint="0.39997558519241921"/>
      </top>
      <bottom style="dotted">
        <color theme="3" tint="0.3999755851924192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4">
    <xf numFmtId="0" fontId="0" fillId="0" borderId="0"/>
    <xf numFmtId="0" fontId="28" fillId="0" borderId="0" applyNumberFormat="0" applyFill="0" applyBorder="0" applyAlignment="0" applyProtection="0">
      <alignment vertical="top"/>
      <protection locked="0"/>
    </xf>
    <xf numFmtId="0" fontId="38" fillId="23" borderId="0" applyNumberFormat="0" applyBorder="0" applyAlignment="0" applyProtection="0">
      <alignment vertical="center"/>
    </xf>
    <xf numFmtId="0" fontId="41" fillId="24" borderId="0" applyNumberFormat="0" applyBorder="0" applyAlignment="0" applyProtection="0">
      <alignment vertical="center"/>
    </xf>
  </cellStyleXfs>
  <cellXfs count="393">
    <xf numFmtId="0" fontId="0" fillId="0" borderId="0" xfId="0"/>
    <xf numFmtId="0" fontId="2" fillId="0" borderId="0" xfId="0" applyFont="1"/>
    <xf numFmtId="0" fontId="2" fillId="0" borderId="1" xfId="0" applyFont="1" applyBorder="1"/>
    <xf numFmtId="0" fontId="0" fillId="0" borderId="1" xfId="0" applyBorder="1"/>
    <xf numFmtId="0" fontId="2" fillId="2" borderId="1" xfId="0" applyFont="1" applyFill="1" applyBorder="1"/>
    <xf numFmtId="14" fontId="2" fillId="0" borderId="1" xfId="0" applyNumberFormat="1" applyFont="1" applyBorder="1"/>
    <xf numFmtId="0" fontId="0" fillId="4" borderId="1" xfId="0" applyFill="1" applyBorder="1"/>
    <xf numFmtId="9" fontId="0" fillId="0" borderId="1" xfId="0" applyNumberFormat="1" applyBorder="1"/>
    <xf numFmtId="0" fontId="0" fillId="0" borderId="2" xfId="0" applyBorder="1"/>
    <xf numFmtId="0" fontId="0" fillId="5" borderId="3" xfId="0" applyFill="1" applyBorder="1"/>
    <xf numFmtId="0" fontId="0" fillId="0" borderId="0" xfId="0" applyBorder="1"/>
    <xf numFmtId="177" fontId="0" fillId="0" borderId="1" xfId="0" applyNumberFormat="1" applyBorder="1"/>
    <xf numFmtId="0" fontId="0" fillId="0" borderId="4" xfId="0" applyBorder="1"/>
    <xf numFmtId="0" fontId="3" fillId="0" borderId="0" xfId="0" applyFont="1"/>
    <xf numFmtId="14" fontId="0" fillId="0" borderId="0" xfId="0" applyNumberFormat="1"/>
    <xf numFmtId="11" fontId="0" fillId="0" borderId="0" xfId="0" applyNumberFormat="1"/>
    <xf numFmtId="0" fontId="4" fillId="0" borderId="0" xfId="0" applyFont="1"/>
    <xf numFmtId="0" fontId="0" fillId="0" borderId="0" xfId="0" applyAlignment="1">
      <alignment vertical="center"/>
    </xf>
    <xf numFmtId="0" fontId="0" fillId="12" borderId="1" xfId="0" applyFill="1" applyBorder="1"/>
    <xf numFmtId="0" fontId="0" fillId="13" borderId="1" xfId="0" applyFill="1" applyBorder="1"/>
    <xf numFmtId="182" fontId="0" fillId="13" borderId="1" xfId="0" applyNumberFormat="1" applyFill="1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80" fontId="0" fillId="13" borderId="1" xfId="0" applyNumberFormat="1" applyFill="1" applyBorder="1"/>
    <xf numFmtId="0" fontId="15" fillId="3" borderId="6" xfId="0" applyFont="1" applyFill="1" applyBorder="1" applyAlignment="1">
      <alignment horizontal="center"/>
    </xf>
    <xf numFmtId="179" fontId="15" fillId="3" borderId="6" xfId="0" applyNumberFormat="1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/>
    </xf>
    <xf numFmtId="179" fontId="15" fillId="8" borderId="1" xfId="0" applyNumberFormat="1" applyFont="1" applyFill="1" applyBorder="1" applyAlignment="1">
      <alignment horizontal="center" vertical="center"/>
    </xf>
    <xf numFmtId="0" fontId="9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3" borderId="1" xfId="0" applyFont="1" applyFill="1" applyBorder="1" applyAlignment="1">
      <alignment horizontal="center"/>
    </xf>
    <xf numFmtId="179" fontId="15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15" fillId="3" borderId="1" xfId="0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/>
    </xf>
    <xf numFmtId="0" fontId="9" fillId="8" borderId="1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/>
    </xf>
    <xf numFmtId="180" fontId="15" fillId="3" borderId="6" xfId="0" applyNumberFormat="1" applyFont="1" applyFill="1" applyBorder="1" applyAlignment="1">
      <alignment horizontal="center"/>
    </xf>
    <xf numFmtId="180" fontId="15" fillId="8" borderId="1" xfId="0" applyNumberFormat="1" applyFont="1" applyFill="1" applyBorder="1" applyAlignment="1">
      <alignment horizontal="center"/>
    </xf>
    <xf numFmtId="180" fontId="15" fillId="3" borderId="1" xfId="0" applyNumberFormat="1" applyFont="1" applyFill="1" applyBorder="1" applyAlignment="1">
      <alignment horizontal="center"/>
    </xf>
    <xf numFmtId="181" fontId="15" fillId="3" borderId="6" xfId="0" applyNumberFormat="1" applyFont="1" applyFill="1" applyBorder="1" applyAlignment="1">
      <alignment horizontal="center"/>
    </xf>
    <xf numFmtId="176" fontId="15" fillId="3" borderId="6" xfId="0" applyNumberFormat="1" applyFont="1" applyFill="1" applyBorder="1" applyAlignment="1">
      <alignment horizontal="center"/>
    </xf>
    <xf numFmtId="10" fontId="15" fillId="3" borderId="6" xfId="0" applyNumberFormat="1" applyFont="1" applyFill="1" applyBorder="1" applyAlignment="1">
      <alignment horizontal="center"/>
    </xf>
    <xf numFmtId="181" fontId="15" fillId="8" borderId="1" xfId="0" applyNumberFormat="1" applyFont="1" applyFill="1" applyBorder="1" applyAlignment="1">
      <alignment horizontal="center"/>
    </xf>
    <xf numFmtId="176" fontId="15" fillId="8" borderId="1" xfId="0" applyNumberFormat="1" applyFont="1" applyFill="1" applyBorder="1" applyAlignment="1">
      <alignment horizontal="center"/>
    </xf>
    <xf numFmtId="10" fontId="15" fillId="8" borderId="1" xfId="0" applyNumberFormat="1" applyFont="1" applyFill="1" applyBorder="1" applyAlignment="1">
      <alignment horizontal="center"/>
    </xf>
    <xf numFmtId="181" fontId="15" fillId="3" borderId="1" xfId="0" applyNumberFormat="1" applyFont="1" applyFill="1" applyBorder="1" applyAlignment="1">
      <alignment horizontal="center"/>
    </xf>
    <xf numFmtId="176" fontId="15" fillId="3" borderId="1" xfId="0" applyNumberFormat="1" applyFont="1" applyFill="1" applyBorder="1" applyAlignment="1">
      <alignment horizontal="center"/>
    </xf>
    <xf numFmtId="10" fontId="15" fillId="3" borderId="1" xfId="0" applyNumberFormat="1" applyFont="1" applyFill="1" applyBorder="1" applyAlignment="1">
      <alignment horizontal="center"/>
    </xf>
    <xf numFmtId="0" fontId="16" fillId="3" borderId="6" xfId="0" applyFont="1" applyFill="1" applyBorder="1" applyAlignment="1">
      <alignment horizontal="center" shrinkToFit="1"/>
    </xf>
    <xf numFmtId="0" fontId="9" fillId="3" borderId="6" xfId="0" applyFont="1" applyFill="1" applyBorder="1" applyAlignment="1">
      <alignment horizontal="left" shrinkToFit="1"/>
    </xf>
    <xf numFmtId="0" fontId="16" fillId="8" borderId="6" xfId="0" applyFont="1" applyFill="1" applyBorder="1" applyAlignment="1">
      <alignment horizontal="left" shrinkToFit="1"/>
    </xf>
    <xf numFmtId="0" fontId="16" fillId="3" borderId="6" xfId="0" applyFont="1" applyFill="1" applyBorder="1" applyAlignment="1">
      <alignment horizontal="left" shrinkToFit="1"/>
    </xf>
    <xf numFmtId="0" fontId="17" fillId="0" borderId="0" xfId="0" applyFont="1"/>
    <xf numFmtId="0" fontId="20" fillId="0" borderId="0" xfId="0" applyFont="1"/>
    <xf numFmtId="0" fontId="12" fillId="7" borderId="13" xfId="0" applyFont="1" applyFill="1" applyBorder="1" applyAlignment="1">
      <alignment horizontal="center" vertical="center"/>
    </xf>
    <xf numFmtId="0" fontId="13" fillId="7" borderId="15" xfId="0" applyFont="1" applyFill="1" applyBorder="1" applyAlignment="1">
      <alignment horizontal="center" vertical="center"/>
    </xf>
    <xf numFmtId="0" fontId="14" fillId="7" borderId="16" xfId="0" applyFont="1" applyFill="1" applyBorder="1" applyAlignment="1">
      <alignment horizontal="center" vertical="center"/>
    </xf>
    <xf numFmtId="0" fontId="14" fillId="7" borderId="15" xfId="0" applyFont="1" applyFill="1" applyBorder="1" applyAlignment="1">
      <alignment horizontal="center" vertical="center"/>
    </xf>
    <xf numFmtId="0" fontId="13" fillId="7" borderId="16" xfId="0" applyFont="1" applyFill="1" applyBorder="1" applyAlignment="1">
      <alignment horizontal="center" vertical="center"/>
    </xf>
    <xf numFmtId="0" fontId="14" fillId="7" borderId="16" xfId="0" applyFont="1" applyFill="1" applyBorder="1" applyAlignment="1">
      <alignment horizontal="center" vertical="center" wrapText="1"/>
    </xf>
    <xf numFmtId="0" fontId="14" fillId="7" borderId="1" xfId="0" applyFont="1" applyFill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14" fillId="7" borderId="17" xfId="0" applyFont="1" applyFill="1" applyBorder="1" applyAlignment="1">
      <alignment horizontal="center" vertical="center" wrapText="1"/>
    </xf>
    <xf numFmtId="0" fontId="14" fillId="7" borderId="1" xfId="0" applyFont="1" applyFill="1" applyBorder="1" applyAlignment="1">
      <alignment horizontal="center" vertical="center" wrapText="1"/>
    </xf>
    <xf numFmtId="0" fontId="13" fillId="7" borderId="15" xfId="0" applyFont="1" applyFill="1" applyBorder="1" applyAlignment="1">
      <alignment horizontal="center" vertical="center" wrapText="1"/>
    </xf>
    <xf numFmtId="0" fontId="21" fillId="0" borderId="0" xfId="0" applyFont="1" applyAlignment="1">
      <alignment horizontal="left" wrapText="1" indent="1"/>
    </xf>
    <xf numFmtId="0" fontId="23" fillId="0" borderId="21" xfId="0" applyFont="1" applyBorder="1" applyAlignment="1">
      <alignment horizontal="left" wrapText="1"/>
    </xf>
    <xf numFmtId="0" fontId="22" fillId="14" borderId="22" xfId="0" applyFont="1" applyFill="1" applyBorder="1" applyAlignment="1">
      <alignment horizontal="center" vertical="center" wrapText="1"/>
    </xf>
    <xf numFmtId="0" fontId="22" fillId="14" borderId="23" xfId="0" applyFont="1" applyFill="1" applyBorder="1" applyAlignment="1">
      <alignment horizontal="center" vertical="center" wrapText="1"/>
    </xf>
    <xf numFmtId="0" fontId="21" fillId="15" borderId="24" xfId="0" applyFont="1" applyFill="1" applyBorder="1" applyAlignment="1">
      <alignment horizontal="left" wrapText="1"/>
    </xf>
    <xf numFmtId="0" fontId="21" fillId="13" borderId="24" xfId="0" applyFont="1" applyFill="1" applyBorder="1" applyAlignment="1">
      <alignment horizontal="left" wrapText="1"/>
    </xf>
    <xf numFmtId="0" fontId="23" fillId="13" borderId="21" xfId="0" applyFont="1" applyFill="1" applyBorder="1" applyAlignment="1">
      <alignment horizontal="left" wrapText="1"/>
    </xf>
    <xf numFmtId="0" fontId="21" fillId="16" borderId="24" xfId="0" applyFont="1" applyFill="1" applyBorder="1" applyAlignment="1">
      <alignment horizontal="left" wrapText="1"/>
    </xf>
    <xf numFmtId="0" fontId="23" fillId="16" borderId="21" xfId="0" applyFont="1" applyFill="1" applyBorder="1" applyAlignment="1">
      <alignment horizontal="left" wrapText="1"/>
    </xf>
    <xf numFmtId="0" fontId="24" fillId="0" borderId="0" xfId="0" applyFont="1"/>
    <xf numFmtId="0" fontId="23" fillId="0" borderId="25" xfId="0" applyFont="1" applyBorder="1" applyAlignment="1">
      <alignment horizontal="left" vertical="center" wrapText="1"/>
    </xf>
    <xf numFmtId="0" fontId="21" fillId="15" borderId="26" xfId="0" applyFont="1" applyFill="1" applyBorder="1" applyAlignment="1">
      <alignment horizontal="left" wrapText="1"/>
    </xf>
    <xf numFmtId="0" fontId="25" fillId="19" borderId="21" xfId="0" applyFont="1" applyFill="1" applyBorder="1" applyAlignment="1">
      <alignment horizontal="left" vertical="center" wrapText="1"/>
    </xf>
    <xf numFmtId="0" fontId="25" fillId="17" borderId="21" xfId="0" applyFont="1" applyFill="1" applyBorder="1" applyAlignment="1">
      <alignment horizontal="left" vertical="center" wrapText="1"/>
    </xf>
    <xf numFmtId="0" fontId="25" fillId="18" borderId="21" xfId="0" applyFont="1" applyFill="1" applyBorder="1" applyAlignment="1">
      <alignment horizontal="left" vertical="center" wrapText="1"/>
    </xf>
    <xf numFmtId="0" fontId="25" fillId="20" borderId="21" xfId="0" applyFont="1" applyFill="1" applyBorder="1" applyAlignment="1">
      <alignment horizontal="left" vertical="center" wrapText="1"/>
    </xf>
    <xf numFmtId="0" fontId="23" fillId="0" borderId="21" xfId="0" applyFont="1" applyBorder="1" applyAlignment="1">
      <alignment horizontal="left" vertical="center" wrapText="1"/>
    </xf>
    <xf numFmtId="0" fontId="0" fillId="0" borderId="32" xfId="0" applyBorder="1"/>
    <xf numFmtId="0" fontId="25" fillId="14" borderId="24" xfId="0" applyFont="1" applyFill="1" applyBorder="1" applyAlignment="1">
      <alignment horizontal="left" vertical="center" wrapText="1"/>
    </xf>
    <xf numFmtId="0" fontId="23" fillId="21" borderId="24" xfId="0" applyFont="1" applyFill="1" applyBorder="1" applyAlignment="1">
      <alignment horizontal="left" vertical="center" wrapText="1"/>
    </xf>
    <xf numFmtId="0" fontId="23" fillId="21" borderId="26" xfId="0" applyFont="1" applyFill="1" applyBorder="1" applyAlignment="1">
      <alignment horizontal="left" vertical="center" wrapText="1"/>
    </xf>
    <xf numFmtId="0" fontId="23" fillId="13" borderId="25" xfId="0" applyFont="1" applyFill="1" applyBorder="1" applyAlignment="1">
      <alignment horizontal="left" vertical="center" wrapText="1"/>
    </xf>
    <xf numFmtId="10" fontId="19" fillId="0" borderId="20" xfId="0" applyNumberFormat="1" applyFont="1" applyBorder="1"/>
    <xf numFmtId="0" fontId="14" fillId="7" borderId="15" xfId="0" applyFont="1" applyFill="1" applyBorder="1" applyAlignment="1">
      <alignment horizontal="center" vertical="center" wrapText="1"/>
    </xf>
    <xf numFmtId="185" fontId="19" fillId="0" borderId="0" xfId="0" applyNumberFormat="1" applyFont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36" xfId="0" applyBorder="1"/>
    <xf numFmtId="0" fontId="0" fillId="0" borderId="37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0" xfId="0" applyNumberFormat="1"/>
    <xf numFmtId="0" fontId="19" fillId="0" borderId="38" xfId="0" applyFont="1" applyBorder="1"/>
    <xf numFmtId="0" fontId="0" fillId="0" borderId="38" xfId="0" applyBorder="1"/>
    <xf numFmtId="0" fontId="15" fillId="8" borderId="1" xfId="0" applyFont="1" applyFill="1" applyBorder="1" applyAlignment="1">
      <alignment horizontal="center" vertical="center"/>
    </xf>
    <xf numFmtId="0" fontId="0" fillId="0" borderId="0" xfId="0"/>
    <xf numFmtId="0" fontId="2" fillId="0" borderId="0" xfId="0" applyFont="1" applyAlignment="1">
      <alignment vertical="center"/>
    </xf>
    <xf numFmtId="0" fontId="8" fillId="10" borderId="11" xfId="0" applyFont="1" applyFill="1" applyBorder="1" applyAlignment="1">
      <alignment horizontal="center" vertical="center" wrapText="1"/>
    </xf>
    <xf numFmtId="0" fontId="3" fillId="9" borderId="10" xfId="0" applyFont="1" applyFill="1" applyBorder="1" applyAlignment="1">
      <alignment horizontal="center" vertical="center"/>
    </xf>
    <xf numFmtId="0" fontId="6" fillId="6" borderId="10" xfId="0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/>
    </xf>
    <xf numFmtId="0" fontId="7" fillId="4" borderId="8" xfId="0" applyFont="1" applyFill="1" applyBorder="1" applyAlignment="1">
      <alignment horizontal="center" vertical="center" wrapText="1"/>
    </xf>
    <xf numFmtId="0" fontId="7" fillId="4" borderId="9" xfId="0" applyFont="1" applyFill="1" applyBorder="1" applyAlignment="1">
      <alignment horizontal="center" vertical="center" wrapText="1"/>
    </xf>
    <xf numFmtId="0" fontId="6" fillId="6" borderId="11" xfId="0" applyFont="1" applyFill="1" applyBorder="1" applyAlignment="1">
      <alignment horizontal="center" vertical="center"/>
    </xf>
    <xf numFmtId="0" fontId="6" fillId="6" borderId="12" xfId="0" applyFont="1" applyFill="1" applyBorder="1" applyAlignment="1">
      <alignment horizontal="center" vertical="center" wrapText="1"/>
    </xf>
    <xf numFmtId="0" fontId="6" fillId="11" borderId="10" xfId="0" applyFont="1" applyFill="1" applyBorder="1" applyAlignment="1">
      <alignment horizontal="center" vertical="center"/>
    </xf>
    <xf numFmtId="0" fontId="6" fillId="11" borderId="11" xfId="0" applyFont="1" applyFill="1" applyBorder="1" applyAlignment="1">
      <alignment horizontal="center" vertical="center"/>
    </xf>
    <xf numFmtId="0" fontId="6" fillId="11" borderId="12" xfId="0" applyFont="1" applyFill="1" applyBorder="1" applyAlignment="1">
      <alignment horizontal="center" vertical="center" wrapText="1"/>
    </xf>
    <xf numFmtId="0" fontId="6" fillId="10" borderId="10" xfId="0" applyFont="1" applyFill="1" applyBorder="1" applyAlignment="1">
      <alignment horizontal="center" vertical="center" wrapText="1"/>
    </xf>
    <xf numFmtId="0" fontId="6" fillId="10" borderId="11" xfId="0" applyFont="1" applyFill="1" applyBorder="1" applyAlignment="1">
      <alignment horizontal="center" vertical="center" wrapText="1"/>
    </xf>
    <xf numFmtId="0" fontId="6" fillId="10" borderId="12" xfId="0" applyFont="1" applyFill="1" applyBorder="1" applyAlignment="1">
      <alignment horizontal="center" vertical="center" wrapText="1"/>
    </xf>
    <xf numFmtId="0" fontId="7" fillId="4" borderId="10" xfId="0" applyFont="1" applyFill="1" applyBorder="1" applyAlignment="1">
      <alignment horizontal="center" vertical="center" wrapText="1"/>
    </xf>
    <xf numFmtId="0" fontId="7" fillId="4" borderId="11" xfId="0" applyFont="1" applyFill="1" applyBorder="1" applyAlignment="1">
      <alignment horizontal="center" vertical="center" wrapText="1"/>
    </xf>
    <xf numFmtId="0" fontId="28" fillId="0" borderId="0" xfId="1" applyAlignment="1" applyProtection="1"/>
    <xf numFmtId="0" fontId="6" fillId="9" borderId="11" xfId="0" applyFont="1" applyFill="1" applyBorder="1" applyAlignment="1">
      <alignment horizontal="center" vertical="center"/>
    </xf>
    <xf numFmtId="0" fontId="6" fillId="9" borderId="12" xfId="0" applyFont="1" applyFill="1" applyBorder="1" applyAlignment="1">
      <alignment horizontal="center" vertical="center" wrapText="1"/>
    </xf>
    <xf numFmtId="184" fontId="19" fillId="0" borderId="19" xfId="0" applyNumberFormat="1" applyFont="1" applyBorder="1"/>
    <xf numFmtId="0" fontId="15" fillId="3" borderId="39" xfId="0" applyFont="1" applyFill="1" applyBorder="1" applyAlignment="1">
      <alignment horizontal="center"/>
    </xf>
    <xf numFmtId="0" fontId="15" fillId="8" borderId="39" xfId="0" applyFont="1" applyFill="1" applyBorder="1" applyAlignment="1">
      <alignment horizont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0" fillId="22" borderId="0" xfId="0" applyFill="1"/>
    <xf numFmtId="0" fontId="29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0" xfId="0" applyFont="1" applyAlignment="1">
      <alignment horizontal="left" vertical="center"/>
    </xf>
    <xf numFmtId="0" fontId="15" fillId="8" borderId="1" xfId="0" applyFont="1" applyFill="1" applyBorder="1" applyAlignment="1">
      <alignment horizontal="center" vertical="center"/>
    </xf>
    <xf numFmtId="9" fontId="0" fillId="13" borderId="0" xfId="0" applyNumberFormat="1" applyFill="1"/>
    <xf numFmtId="0" fontId="0" fillId="0" borderId="0" xfId="0" applyAlignment="1">
      <alignment horizontal="right"/>
    </xf>
    <xf numFmtId="0" fontId="34" fillId="21" borderId="26" xfId="0" applyFont="1" applyFill="1" applyBorder="1" applyAlignment="1">
      <alignment horizontal="left" vertical="center" wrapText="1"/>
    </xf>
    <xf numFmtId="0" fontId="0" fillId="13" borderId="0" xfId="0" applyFill="1"/>
    <xf numFmtId="10" fontId="0" fillId="13" borderId="0" xfId="0" applyNumberFormat="1" applyFill="1"/>
    <xf numFmtId="182" fontId="15" fillId="3" borderId="1" xfId="0" applyNumberFormat="1" applyFont="1" applyFill="1" applyBorder="1" applyAlignment="1">
      <alignment horizontal="center"/>
    </xf>
    <xf numFmtId="0" fontId="16" fillId="8" borderId="6" xfId="0" applyFont="1" applyFill="1" applyBorder="1" applyAlignment="1">
      <alignment horizontal="center" shrinkToFit="1"/>
    </xf>
    <xf numFmtId="182" fontId="9" fillId="8" borderId="1" xfId="0" applyNumberFormat="1" applyFont="1" applyFill="1" applyBorder="1" applyAlignment="1">
      <alignment horizontal="center" vertical="center"/>
    </xf>
    <xf numFmtId="184" fontId="15" fillId="3" borderId="1" xfId="0" applyNumberFormat="1" applyFont="1" applyFill="1" applyBorder="1" applyAlignment="1">
      <alignment horizontal="center"/>
    </xf>
    <xf numFmtId="184" fontId="15" fillId="8" borderId="1" xfId="0" applyNumberFormat="1" applyFont="1" applyFill="1" applyBorder="1" applyAlignment="1">
      <alignment horizontal="center"/>
    </xf>
    <xf numFmtId="0" fontId="7" fillId="4" borderId="12" xfId="0" applyFont="1" applyFill="1" applyBorder="1" applyAlignment="1">
      <alignment horizontal="center" vertical="center" wrapText="1"/>
    </xf>
    <xf numFmtId="180" fontId="36" fillId="13" borderId="1" xfId="0" applyNumberFormat="1" applyFont="1" applyFill="1" applyBorder="1"/>
    <xf numFmtId="0" fontId="19" fillId="0" borderId="0" xfId="0" applyFont="1" applyAlignment="1">
      <alignment horizontal="center" vertical="center" wrapText="1"/>
    </xf>
    <xf numFmtId="0" fontId="12" fillId="7" borderId="45" xfId="0" applyFont="1" applyFill="1" applyBorder="1" applyAlignment="1">
      <alignment horizontal="center" vertical="center"/>
    </xf>
    <xf numFmtId="0" fontId="14" fillId="7" borderId="46" xfId="0" applyFont="1" applyFill="1" applyBorder="1" applyAlignment="1">
      <alignment horizontal="center" vertical="center" wrapText="1"/>
    </xf>
    <xf numFmtId="0" fontId="14" fillId="7" borderId="18" xfId="0" applyFont="1" applyFill="1" applyBorder="1" applyAlignment="1">
      <alignment horizontal="center" vertical="center" wrapText="1"/>
    </xf>
    <xf numFmtId="0" fontId="14" fillId="7" borderId="47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 wrapText="1"/>
    </xf>
    <xf numFmtId="0" fontId="12" fillId="7" borderId="45" xfId="0" applyFont="1" applyFill="1" applyBorder="1" applyAlignment="1">
      <alignment horizontal="center" vertical="center" wrapText="1"/>
    </xf>
    <xf numFmtId="0" fontId="0" fillId="0" borderId="48" xfId="0" applyBorder="1" applyAlignment="1">
      <alignment horizontal="center" vertical="center"/>
    </xf>
    <xf numFmtId="185" fontId="0" fillId="0" borderId="48" xfId="0" applyNumberFormat="1" applyBorder="1" applyAlignment="1">
      <alignment horizontal="center" vertical="center"/>
    </xf>
    <xf numFmtId="184" fontId="0" fillId="0" borderId="48" xfId="0" applyNumberFormat="1" applyBorder="1" applyAlignment="1">
      <alignment horizontal="center" vertical="center"/>
    </xf>
    <xf numFmtId="10" fontId="0" fillId="0" borderId="48" xfId="0" applyNumberFormat="1" applyBorder="1" applyAlignment="1">
      <alignment horizontal="center" vertical="center"/>
    </xf>
    <xf numFmtId="9" fontId="0" fillId="0" borderId="48" xfId="0" applyNumberFormat="1" applyBorder="1" applyAlignment="1">
      <alignment horizontal="center" vertical="center"/>
    </xf>
    <xf numFmtId="182" fontId="0" fillId="0" borderId="48" xfId="0" applyNumberFormat="1" applyBorder="1" applyAlignment="1">
      <alignment horizontal="center" vertical="center"/>
    </xf>
    <xf numFmtId="182" fontId="0" fillId="0" borderId="48" xfId="0" applyNumberFormat="1" applyBorder="1" applyAlignment="1">
      <alignment horizontal="center"/>
    </xf>
    <xf numFmtId="0" fontId="0" fillId="0" borderId="48" xfId="0" applyBorder="1" applyAlignment="1">
      <alignment horizontal="center"/>
    </xf>
    <xf numFmtId="10" fontId="0" fillId="0" borderId="48" xfId="0" applyNumberFormat="1" applyBorder="1" applyAlignment="1">
      <alignment horizontal="center"/>
    </xf>
    <xf numFmtId="0" fontId="0" fillId="0" borderId="48" xfId="0" applyBorder="1"/>
    <xf numFmtId="0" fontId="37" fillId="0" borderId="0" xfId="0" applyFont="1"/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38" fillId="23" borderId="0" xfId="2" applyAlignment="1"/>
    <xf numFmtId="0" fontId="39" fillId="8" borderId="1" xfId="0" applyFont="1" applyFill="1" applyBorder="1" applyAlignment="1">
      <alignment horizontal="center"/>
    </xf>
    <xf numFmtId="0" fontId="40" fillId="8" borderId="1" xfId="0" applyFont="1" applyFill="1" applyBorder="1" applyAlignment="1">
      <alignment horizontal="center"/>
    </xf>
    <xf numFmtId="0" fontId="32" fillId="0" borderId="0" xfId="0" applyFont="1" applyAlignment="1">
      <alignment horizontal="right" vertical="center"/>
    </xf>
    <xf numFmtId="0" fontId="0" fillId="0" borderId="1" xfId="0" applyBorder="1" applyAlignment="1">
      <alignment horizontal="left"/>
    </xf>
    <xf numFmtId="0" fontId="17" fillId="3" borderId="1" xfId="0" applyFont="1" applyFill="1" applyBorder="1"/>
    <xf numFmtId="0" fontId="3" fillId="3" borderId="1" xfId="0" applyFont="1" applyFill="1" applyBorder="1"/>
    <xf numFmtId="0" fontId="17" fillId="3" borderId="1" xfId="0" applyFont="1" applyFill="1" applyBorder="1" applyAlignment="1">
      <alignment wrapText="1"/>
    </xf>
    <xf numFmtId="0" fontId="15" fillId="8" borderId="1" xfId="0" applyFont="1" applyFill="1" applyBorder="1" applyAlignment="1">
      <alignment horizontal="center" vertical="center"/>
    </xf>
    <xf numFmtId="176" fontId="29" fillId="0" borderId="13" xfId="0" applyNumberFormat="1" applyFont="1" applyBorder="1"/>
    <xf numFmtId="10" fontId="19" fillId="0" borderId="0" xfId="0" applyNumberFormat="1" applyFont="1"/>
    <xf numFmtId="0" fontId="6" fillId="9" borderId="11" xfId="0" applyFont="1" applyFill="1" applyBorder="1" applyAlignment="1">
      <alignment horizontal="center" vertical="center" wrapText="1"/>
    </xf>
    <xf numFmtId="0" fontId="6" fillId="9" borderId="37" xfId="0" applyFont="1" applyFill="1" applyBorder="1" applyAlignment="1">
      <alignment horizontal="center" vertical="center" wrapText="1"/>
    </xf>
    <xf numFmtId="0" fontId="6" fillId="9" borderId="0" xfId="0" applyFont="1" applyFill="1" applyBorder="1" applyAlignment="1">
      <alignment horizontal="center" vertical="center" wrapText="1"/>
    </xf>
    <xf numFmtId="0" fontId="6" fillId="6" borderId="11" xfId="0" applyFont="1" applyFill="1" applyBorder="1" applyAlignment="1">
      <alignment horizontal="center" vertical="center" wrapText="1"/>
    </xf>
    <xf numFmtId="0" fontId="6" fillId="11" borderId="11" xfId="0" applyFont="1" applyFill="1" applyBorder="1" applyAlignment="1">
      <alignment horizontal="center" vertical="center" wrapText="1"/>
    </xf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58" fontId="0" fillId="0" borderId="0" xfId="0" applyNumberFormat="1"/>
    <xf numFmtId="0" fontId="36" fillId="0" borderId="0" xfId="0" applyFont="1"/>
    <xf numFmtId="0" fontId="37" fillId="0" borderId="0" xfId="0" applyFont="1" applyAlignment="1">
      <alignment horizontal="center" vertical="center"/>
    </xf>
    <xf numFmtId="0" fontId="37" fillId="0" borderId="0" xfId="0" applyFont="1" applyAlignment="1">
      <alignment horizontal="left" vertical="center"/>
    </xf>
    <xf numFmtId="0" fontId="37" fillId="0" borderId="0" xfId="0" applyFont="1" applyFill="1" applyAlignment="1">
      <alignment horizontal="center" vertical="center"/>
    </xf>
    <xf numFmtId="0" fontId="20" fillId="0" borderId="0" xfId="0" applyFont="1" applyFill="1" applyAlignment="1">
      <alignment horizontal="center" vertical="center"/>
    </xf>
    <xf numFmtId="0" fontId="32" fillId="0" borderId="0" xfId="0" applyNumberFormat="1" applyFont="1" applyAlignment="1">
      <alignment horizontal="right" vertical="center"/>
    </xf>
    <xf numFmtId="0" fontId="32" fillId="0" borderId="0" xfId="0" applyFont="1" applyAlignment="1">
      <alignment horizontal="left" vertical="center"/>
    </xf>
    <xf numFmtId="0" fontId="2" fillId="0" borderId="0" xfId="0" applyFont="1" applyBorder="1"/>
    <xf numFmtId="0" fontId="0" fillId="0" borderId="0" xfId="0" applyFill="1" applyBorder="1"/>
    <xf numFmtId="0" fontId="2" fillId="0" borderId="0" xfId="0" applyFont="1" applyFill="1" applyBorder="1"/>
    <xf numFmtId="0" fontId="0" fillId="0" borderId="0" xfId="0" applyFill="1"/>
    <xf numFmtId="0" fontId="2" fillId="0" borderId="0" xfId="0" applyFont="1" applyFill="1"/>
    <xf numFmtId="0" fontId="0" fillId="0" borderId="7" xfId="0" applyFill="1" applyBorder="1"/>
    <xf numFmtId="0" fontId="0" fillId="0" borderId="8" xfId="0" applyFill="1" applyBorder="1"/>
    <xf numFmtId="0" fontId="0" fillId="0" borderId="36" xfId="0" applyFill="1" applyBorder="1"/>
    <xf numFmtId="0" fontId="0" fillId="0" borderId="37" xfId="0" applyFill="1" applyBorder="1"/>
    <xf numFmtId="0" fontId="19" fillId="0" borderId="0" xfId="0" applyFont="1"/>
    <xf numFmtId="0" fontId="0" fillId="25" borderId="0" xfId="0" applyFill="1"/>
    <xf numFmtId="0" fontId="3" fillId="0" borderId="37" xfId="0" applyFont="1" applyFill="1" applyBorder="1" applyAlignment="1">
      <alignment horizontal="left" vertical="center"/>
    </xf>
    <xf numFmtId="14" fontId="0" fillId="0" borderId="0" xfId="0" applyNumberFormat="1" applyBorder="1"/>
    <xf numFmtId="0" fontId="42" fillId="23" borderId="1" xfId="2" applyFont="1" applyBorder="1" applyAlignment="1">
      <alignment horizontal="center" vertical="center"/>
    </xf>
    <xf numFmtId="0" fontId="42" fillId="23" borderId="1" xfId="2" applyFont="1" applyBorder="1" applyAlignment="1">
      <alignment horizontal="center"/>
    </xf>
    <xf numFmtId="0" fontId="38" fillId="23" borderId="1" xfId="2" applyBorder="1" applyAlignment="1"/>
    <xf numFmtId="0" fontId="41" fillId="8" borderId="1" xfId="3" applyFill="1" applyBorder="1" applyAlignment="1"/>
    <xf numFmtId="0" fontId="38" fillId="3" borderId="1" xfId="2" applyFill="1" applyBorder="1" applyAlignment="1"/>
    <xf numFmtId="0" fontId="2" fillId="0" borderId="37" xfId="0" applyFont="1" applyFill="1" applyBorder="1"/>
    <xf numFmtId="0" fontId="32" fillId="0" borderId="0" xfId="0" applyFont="1" applyBorder="1" applyAlignment="1">
      <alignment horizontal="left" vertical="center"/>
    </xf>
    <xf numFmtId="0" fontId="32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right" vertical="center"/>
    </xf>
    <xf numFmtId="0" fontId="19" fillId="0" borderId="11" xfId="0" applyFont="1" applyBorder="1"/>
    <xf numFmtId="0" fontId="2" fillId="25" borderId="0" xfId="0" applyFont="1" applyFill="1" applyAlignment="1">
      <alignment vertical="center"/>
    </xf>
    <xf numFmtId="0" fontId="15" fillId="8" borderId="1" xfId="0" applyFont="1" applyFill="1" applyBorder="1" applyAlignment="1">
      <alignment horizontal="center" vertical="center"/>
    </xf>
    <xf numFmtId="184" fontId="15" fillId="8" borderId="1" xfId="0" applyNumberFormat="1" applyFont="1" applyFill="1" applyBorder="1" applyAlignment="1">
      <alignment horizontal="center" vertical="center"/>
    </xf>
    <xf numFmtId="10" fontId="15" fillId="8" borderId="1" xfId="0" applyNumberFormat="1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14" fontId="15" fillId="8" borderId="1" xfId="0" applyNumberFormat="1" applyFont="1" applyFill="1" applyBorder="1" applyAlignment="1">
      <alignment horizontal="center" vertical="center"/>
    </xf>
    <xf numFmtId="0" fontId="43" fillId="0" borderId="0" xfId="0" applyFont="1"/>
    <xf numFmtId="0" fontId="38" fillId="23" borderId="50" xfId="2" applyBorder="1" applyAlignment="1"/>
    <xf numFmtId="14" fontId="44" fillId="26" borderId="0" xfId="0" applyNumberFormat="1" applyFont="1" applyFill="1" applyAlignment="1">
      <alignment horizontal="left" vertical="center"/>
    </xf>
    <xf numFmtId="0" fontId="44" fillId="26" borderId="0" xfId="0" applyFont="1" applyFill="1" applyAlignment="1">
      <alignment horizontal="left" vertical="center"/>
    </xf>
    <xf numFmtId="0" fontId="44" fillId="26" borderId="0" xfId="0" applyFont="1" applyFill="1" applyBorder="1" applyAlignment="1">
      <alignment horizontal="left" vertical="center"/>
    </xf>
    <xf numFmtId="14" fontId="44" fillId="26" borderId="0" xfId="0" applyNumberFormat="1" applyFont="1" applyFill="1" applyBorder="1" applyAlignment="1">
      <alignment horizontal="left"/>
    </xf>
    <xf numFmtId="0" fontId="16" fillId="3" borderId="6" xfId="0" applyFont="1" applyFill="1" applyBorder="1" applyAlignment="1">
      <alignment horizontal="center" vertical="center" shrinkToFit="1"/>
    </xf>
    <xf numFmtId="0" fontId="16" fillId="8" borderId="6" xfId="0" applyFont="1" applyFill="1" applyBorder="1" applyAlignment="1">
      <alignment horizontal="center" vertical="center" shrinkToFit="1"/>
    </xf>
    <xf numFmtId="14" fontId="15" fillId="3" borderId="1" xfId="0" applyNumberFormat="1" applyFont="1" applyFill="1" applyBorder="1" applyAlignment="1">
      <alignment horizontal="center" vertical="center"/>
    </xf>
    <xf numFmtId="181" fontId="15" fillId="3" borderId="1" xfId="0" applyNumberFormat="1" applyFont="1" applyFill="1" applyBorder="1" applyAlignment="1">
      <alignment horizontal="center" vertical="center"/>
    </xf>
    <xf numFmtId="176" fontId="15" fillId="3" borderId="1" xfId="0" applyNumberFormat="1" applyFont="1" applyFill="1" applyBorder="1" applyAlignment="1">
      <alignment horizontal="center" vertical="center"/>
    </xf>
    <xf numFmtId="182" fontId="15" fillId="3" borderId="1" xfId="0" applyNumberFormat="1" applyFont="1" applyFill="1" applyBorder="1" applyAlignment="1">
      <alignment horizontal="center" vertical="center"/>
    </xf>
    <xf numFmtId="184" fontId="15" fillId="3" borderId="1" xfId="0" applyNumberFormat="1" applyFont="1" applyFill="1" applyBorder="1" applyAlignment="1">
      <alignment horizontal="center" vertical="center"/>
    </xf>
    <xf numFmtId="10" fontId="15" fillId="3" borderId="1" xfId="0" applyNumberFormat="1" applyFont="1" applyFill="1" applyBorder="1" applyAlignment="1">
      <alignment horizontal="center" vertical="center"/>
    </xf>
    <xf numFmtId="181" fontId="15" fillId="8" borderId="1" xfId="0" applyNumberFormat="1" applyFont="1" applyFill="1" applyBorder="1" applyAlignment="1">
      <alignment horizontal="center" vertical="center"/>
    </xf>
    <xf numFmtId="176" fontId="15" fillId="8" borderId="1" xfId="0" applyNumberFormat="1" applyFont="1" applyFill="1" applyBorder="1" applyAlignment="1">
      <alignment horizontal="center" vertical="center"/>
    </xf>
    <xf numFmtId="180" fontId="15" fillId="8" borderId="1" xfId="0" applyNumberFormat="1" applyFont="1" applyFill="1" applyBorder="1" applyAlignment="1">
      <alignment horizontal="center" vertical="center"/>
    </xf>
    <xf numFmtId="0" fontId="37" fillId="0" borderId="0" xfId="0" applyFont="1" applyAlignment="1">
      <alignment horizontal="right" vertical="center"/>
    </xf>
    <xf numFmtId="0" fontId="45" fillId="0" borderId="0" xfId="0" applyFont="1" applyAlignment="1">
      <alignment horizontal="center" vertical="center"/>
    </xf>
    <xf numFmtId="0" fontId="19" fillId="0" borderId="0" xfId="0" applyFont="1" applyAlignment="1">
      <alignment horizontal="left" vertical="center"/>
    </xf>
    <xf numFmtId="0" fontId="46" fillId="0" borderId="36" xfId="0" applyFont="1" applyBorder="1"/>
    <xf numFmtId="0" fontId="46" fillId="0" borderId="7" xfId="0" applyFont="1" applyBorder="1"/>
    <xf numFmtId="0" fontId="0" fillId="0" borderId="51" xfId="0" applyBorder="1"/>
    <xf numFmtId="0" fontId="47" fillId="0" borderId="51" xfId="0" applyFont="1" applyFill="1" applyBorder="1" applyAlignment="1">
      <alignment horizontal="center"/>
    </xf>
    <xf numFmtId="0" fontId="47" fillId="3" borderId="40" xfId="0" applyFont="1" applyFill="1" applyBorder="1" applyAlignment="1">
      <alignment horizontal="center"/>
    </xf>
    <xf numFmtId="0" fontId="0" fillId="3" borderId="40" xfId="0" applyFill="1" applyBorder="1" applyAlignment="1">
      <alignment horizontal="center"/>
    </xf>
    <xf numFmtId="0" fontId="0" fillId="0" borderId="55" xfId="0" applyBorder="1"/>
    <xf numFmtId="0" fontId="0" fillId="0" borderId="56" xfId="0" applyBorder="1"/>
    <xf numFmtId="0" fontId="0" fillId="27" borderId="45" xfId="0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8" borderId="9" xfId="0" applyFill="1" applyBorder="1" applyAlignment="1">
      <alignment horizontal="center" vertical="center"/>
    </xf>
    <xf numFmtId="0" fontId="42" fillId="23" borderId="40" xfId="2" applyFont="1" applyBorder="1" applyAlignment="1">
      <alignment horizontal="center"/>
    </xf>
    <xf numFmtId="0" fontId="42" fillId="0" borderId="4" xfId="2" applyFont="1" applyFill="1" applyBorder="1" applyAlignment="1">
      <alignment horizontal="center"/>
    </xf>
    <xf numFmtId="0" fontId="3" fillId="0" borderId="4" xfId="0" applyFont="1" applyFill="1" applyBorder="1"/>
    <xf numFmtId="0" fontId="0" fillId="8" borderId="1" xfId="0" applyFill="1" applyBorder="1" applyAlignment="1">
      <alignment horizontal="center" vertical="center"/>
    </xf>
    <xf numFmtId="0" fontId="48" fillId="8" borderId="1" xfId="0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3" fillId="8" borderId="40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0" fontId="19" fillId="0" borderId="0" xfId="0" applyFont="1" applyAlignment="1">
      <alignment horizontal="right"/>
    </xf>
    <xf numFmtId="0" fontId="19" fillId="0" borderId="0" xfId="0" applyFont="1" applyAlignment="1">
      <alignment horizontal="center"/>
    </xf>
    <xf numFmtId="0" fontId="19" fillId="0" borderId="0" xfId="0" applyFont="1" applyAlignment="1">
      <alignment horizontal="left"/>
    </xf>
    <xf numFmtId="0" fontId="0" fillId="12" borderId="51" xfId="0" applyFill="1" applyBorder="1"/>
    <xf numFmtId="0" fontId="0" fillId="12" borderId="52" xfId="0" applyFill="1" applyBorder="1"/>
    <xf numFmtId="0" fontId="0" fillId="12" borderId="53" xfId="0" applyFill="1" applyBorder="1"/>
    <xf numFmtId="0" fontId="0" fillId="12" borderId="54" xfId="0" applyFill="1" applyBorder="1"/>
    <xf numFmtId="0" fontId="0" fillId="25" borderId="37" xfId="0" applyFill="1" applyBorder="1" applyAlignment="1">
      <alignment horizontal="center"/>
    </xf>
    <xf numFmtId="0" fontId="3" fillId="25" borderId="37" xfId="0" applyFont="1" applyFill="1" applyBorder="1" applyAlignment="1">
      <alignment horizontal="center"/>
    </xf>
    <xf numFmtId="0" fontId="0" fillId="5" borderId="37" xfId="0" applyFill="1" applyBorder="1"/>
    <xf numFmtId="0" fontId="2" fillId="5" borderId="37" xfId="0" applyFont="1" applyFill="1" applyBorder="1"/>
    <xf numFmtId="0" fontId="47" fillId="0" borderId="0" xfId="0" applyFont="1"/>
    <xf numFmtId="14" fontId="18" fillId="0" borderId="0" xfId="0" applyNumberFormat="1" applyFont="1" applyAlignment="1">
      <alignment horizontal="left"/>
    </xf>
    <xf numFmtId="0" fontId="18" fillId="0" borderId="0" xfId="0" applyFont="1" applyAlignment="1">
      <alignment horizontal="left"/>
    </xf>
    <xf numFmtId="0" fontId="11" fillId="0" borderId="0" xfId="0" applyFont="1" applyAlignment="1">
      <alignment horizontal="left"/>
    </xf>
    <xf numFmtId="0" fontId="10" fillId="8" borderId="1" xfId="0" applyFont="1" applyFill="1" applyBorder="1" applyAlignment="1">
      <alignment horizontal="center" vertical="center"/>
    </xf>
    <xf numFmtId="0" fontId="26" fillId="8" borderId="1" xfId="0" applyFont="1" applyFill="1" applyBorder="1" applyAlignment="1">
      <alignment horizontal="center" vertical="center"/>
    </xf>
    <xf numFmtId="0" fontId="10" fillId="8" borderId="5" xfId="0" applyFont="1" applyFill="1" applyBorder="1" applyAlignment="1">
      <alignment horizontal="center" vertical="center"/>
    </xf>
    <xf numFmtId="0" fontId="10" fillId="8" borderId="6" xfId="0" applyFont="1" applyFill="1" applyBorder="1" applyAlignment="1">
      <alignment horizontal="center" vertical="center"/>
    </xf>
    <xf numFmtId="178" fontId="15" fillId="8" borderId="14" xfId="0" applyNumberFormat="1" applyFont="1" applyFill="1" applyBorder="1" applyAlignment="1">
      <alignment horizontal="left" vertical="center"/>
    </xf>
    <xf numFmtId="178" fontId="15" fillId="8" borderId="6" xfId="0" applyNumberFormat="1" applyFont="1" applyFill="1" applyBorder="1" applyAlignment="1">
      <alignment horizontal="left" vertical="center"/>
    </xf>
    <xf numFmtId="184" fontId="15" fillId="8" borderId="1" xfId="0" applyNumberFormat="1" applyFont="1" applyFill="1" applyBorder="1" applyAlignment="1">
      <alignment horizontal="center" vertical="center"/>
    </xf>
    <xf numFmtId="10" fontId="15" fillId="8" borderId="1" xfId="0" applyNumberFormat="1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14" fontId="10" fillId="8" borderId="1" xfId="0" applyNumberFormat="1" applyFont="1" applyFill="1" applyBorder="1" applyAlignment="1">
      <alignment horizontal="center" vertical="center"/>
    </xf>
    <xf numFmtId="178" fontId="15" fillId="8" borderId="14" xfId="0" applyNumberFormat="1" applyFont="1" applyFill="1" applyBorder="1" applyAlignment="1">
      <alignment horizontal="right" vertical="center"/>
    </xf>
    <xf numFmtId="178" fontId="15" fillId="8" borderId="6" xfId="0" applyNumberFormat="1" applyFont="1" applyFill="1" applyBorder="1" applyAlignment="1">
      <alignment horizontal="right" vertical="center"/>
    </xf>
    <xf numFmtId="0" fontId="15" fillId="8" borderId="6" xfId="0" applyFont="1" applyFill="1" applyBorder="1" applyAlignment="1">
      <alignment horizontal="center" vertical="center"/>
    </xf>
    <xf numFmtId="183" fontId="26" fillId="8" borderId="5" xfId="0" applyNumberFormat="1" applyFont="1" applyFill="1" applyBorder="1" applyAlignment="1">
      <alignment horizontal="center" vertical="center"/>
    </xf>
    <xf numFmtId="183" fontId="26" fillId="8" borderId="6" xfId="0" applyNumberFormat="1" applyFont="1" applyFill="1" applyBorder="1" applyAlignment="1">
      <alignment horizontal="center" vertical="center"/>
    </xf>
    <xf numFmtId="0" fontId="30" fillId="8" borderId="6" xfId="0" applyFont="1" applyFill="1" applyBorder="1" applyAlignment="1">
      <alignment horizontal="center" vertical="center"/>
    </xf>
    <xf numFmtId="0" fontId="30" fillId="8" borderId="1" xfId="0" applyFont="1" applyFill="1" applyBorder="1" applyAlignment="1">
      <alignment horizontal="center" vertical="center"/>
    </xf>
    <xf numFmtId="0" fontId="35" fillId="8" borderId="1" xfId="0" applyFont="1" applyFill="1" applyBorder="1" applyAlignment="1">
      <alignment horizontal="center" vertical="center"/>
    </xf>
    <xf numFmtId="183" fontId="26" fillId="8" borderId="1" xfId="0" applyNumberFormat="1" applyFont="1" applyFill="1" applyBorder="1" applyAlignment="1">
      <alignment horizontal="center" vertical="center"/>
    </xf>
    <xf numFmtId="0" fontId="10" fillId="8" borderId="14" xfId="0" applyFont="1" applyFill="1" applyBorder="1" applyAlignment="1">
      <alignment horizontal="center" vertical="center"/>
    </xf>
    <xf numFmtId="184" fontId="15" fillId="8" borderId="6" xfId="0" applyNumberFormat="1" applyFont="1" applyFill="1" applyBorder="1" applyAlignment="1">
      <alignment horizontal="center" vertical="center"/>
    </xf>
    <xf numFmtId="10" fontId="15" fillId="8" borderId="6" xfId="0" applyNumberFormat="1" applyFont="1" applyFill="1" applyBorder="1" applyAlignment="1">
      <alignment horizontal="center" vertical="center"/>
    </xf>
    <xf numFmtId="14" fontId="10" fillId="8" borderId="5" xfId="0" applyNumberFormat="1" applyFont="1" applyFill="1" applyBorder="1" applyAlignment="1">
      <alignment horizontal="center" vertical="center"/>
    </xf>
    <xf numFmtId="14" fontId="10" fillId="8" borderId="6" xfId="0" applyNumberFormat="1" applyFont="1" applyFill="1" applyBorder="1" applyAlignment="1">
      <alignment horizontal="center" vertical="center"/>
    </xf>
    <xf numFmtId="178" fontId="15" fillId="8" borderId="5" xfId="0" applyNumberFormat="1" applyFont="1" applyFill="1" applyBorder="1" applyAlignment="1">
      <alignment horizontal="right" vertical="center"/>
    </xf>
    <xf numFmtId="183" fontId="31" fillId="8" borderId="1" xfId="0" applyNumberFormat="1" applyFont="1" applyFill="1" applyBorder="1" applyAlignment="1">
      <alignment horizontal="center" vertical="center"/>
    </xf>
    <xf numFmtId="183" fontId="26" fillId="8" borderId="18" xfId="0" applyNumberFormat="1" applyFont="1" applyFill="1" applyBorder="1" applyAlignment="1">
      <alignment horizontal="center" vertical="center"/>
    </xf>
    <xf numFmtId="183" fontId="26" fillId="8" borderId="14" xfId="0" applyNumberFormat="1" applyFont="1" applyFill="1" applyBorder="1" applyAlignment="1">
      <alignment horizontal="center" vertical="center"/>
    </xf>
    <xf numFmtId="183" fontId="15" fillId="8" borderId="18" xfId="0" applyNumberFormat="1" applyFont="1" applyFill="1" applyBorder="1" applyAlignment="1">
      <alignment horizontal="center" vertical="center"/>
    </xf>
    <xf numFmtId="183" fontId="15" fillId="8" borderId="14" xfId="0" applyNumberFormat="1" applyFont="1" applyFill="1" applyBorder="1" applyAlignment="1">
      <alignment horizontal="center" vertical="center"/>
    </xf>
    <xf numFmtId="14" fontId="15" fillId="8" borderId="1" xfId="0" applyNumberFormat="1" applyFont="1" applyFill="1" applyBorder="1" applyAlignment="1">
      <alignment horizontal="center" vertical="center"/>
    </xf>
    <xf numFmtId="183" fontId="15" fillId="8" borderId="1" xfId="0" applyNumberFormat="1" applyFont="1" applyFill="1" applyBorder="1" applyAlignment="1">
      <alignment horizontal="center" vertical="center"/>
    </xf>
    <xf numFmtId="178" fontId="15" fillId="8" borderId="18" xfId="0" applyNumberFormat="1" applyFont="1" applyFill="1" applyBorder="1" applyAlignment="1">
      <alignment horizontal="right" vertical="center"/>
    </xf>
    <xf numFmtId="0" fontId="15" fillId="8" borderId="5" xfId="0" applyFont="1" applyFill="1" applyBorder="1" applyAlignment="1">
      <alignment horizontal="center" vertical="center"/>
    </xf>
    <xf numFmtId="14" fontId="15" fillId="8" borderId="18" xfId="0" applyNumberFormat="1" applyFont="1" applyFill="1" applyBorder="1" applyAlignment="1">
      <alignment horizontal="center" vertical="center"/>
    </xf>
    <xf numFmtId="14" fontId="15" fillId="8" borderId="14" xfId="0" applyNumberFormat="1" applyFont="1" applyFill="1" applyBorder="1" applyAlignment="1">
      <alignment horizontal="center" vertical="center"/>
    </xf>
    <xf numFmtId="0" fontId="31" fillId="8" borderId="1" xfId="0" applyFont="1" applyFill="1" applyBorder="1" applyAlignment="1">
      <alignment horizontal="center" vertical="center"/>
    </xf>
    <xf numFmtId="183" fontId="31" fillId="8" borderId="5" xfId="0" applyNumberFormat="1" applyFont="1" applyFill="1" applyBorder="1" applyAlignment="1">
      <alignment horizontal="center" vertical="center"/>
    </xf>
    <xf numFmtId="183" fontId="31" fillId="8" borderId="6" xfId="0" applyNumberFormat="1" applyFont="1" applyFill="1" applyBorder="1" applyAlignment="1">
      <alignment horizontal="center" vertical="center"/>
    </xf>
    <xf numFmtId="178" fontId="15" fillId="8" borderId="14" xfId="0" applyNumberFormat="1" applyFont="1" applyFill="1" applyBorder="1" applyAlignment="1">
      <alignment horizontal="center" vertical="center"/>
    </xf>
    <xf numFmtId="178" fontId="15" fillId="8" borderId="6" xfId="0" applyNumberFormat="1" applyFont="1" applyFill="1" applyBorder="1" applyAlignment="1">
      <alignment horizontal="center" vertical="center"/>
    </xf>
    <xf numFmtId="14" fontId="2" fillId="13" borderId="42" xfId="0" applyNumberFormat="1" applyFont="1" applyFill="1" applyBorder="1" applyAlignment="1"/>
    <xf numFmtId="0" fontId="0" fillId="13" borderId="2" xfId="0" applyFill="1" applyBorder="1" applyAlignment="1"/>
    <xf numFmtId="0" fontId="0" fillId="0" borderId="43" xfId="0" applyBorder="1" applyAlignment="1"/>
    <xf numFmtId="0" fontId="0" fillId="13" borderId="1" xfId="0" applyFill="1" applyBorder="1" applyAlignment="1"/>
    <xf numFmtId="0" fontId="0" fillId="0" borderId="1" xfId="0" applyBorder="1" applyAlignment="1"/>
    <xf numFmtId="14" fontId="2" fillId="12" borderId="40" xfId="0" applyNumberFormat="1" applyFont="1" applyFill="1" applyBorder="1" applyAlignment="1"/>
    <xf numFmtId="0" fontId="0" fillId="12" borderId="41" xfId="0" applyFill="1" applyBorder="1" applyAlignment="1"/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0" fontId="3" fillId="11" borderId="7" xfId="0" applyFont="1" applyFill="1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9" xfId="0" applyBorder="1" applyAlignment="1">
      <alignment horizontal="left"/>
    </xf>
    <xf numFmtId="0" fontId="5" fillId="10" borderId="7" xfId="0" applyFont="1" applyFill="1" applyBorder="1" applyAlignment="1">
      <alignment horizontal="left"/>
    </xf>
    <xf numFmtId="0" fontId="3" fillId="9" borderId="7" xfId="0" applyFont="1" applyFill="1" applyBorder="1" applyAlignment="1">
      <alignment horizontal="left" vertical="center"/>
    </xf>
    <xf numFmtId="0" fontId="3" fillId="6" borderId="7" xfId="0" applyFont="1" applyFill="1" applyBorder="1" applyAlignment="1">
      <alignment horizontal="left"/>
    </xf>
    <xf numFmtId="0" fontId="0" fillId="11" borderId="45" xfId="0" applyFill="1" applyBorder="1" applyAlignment="1">
      <alignment horizontal="center" vertical="center"/>
    </xf>
    <xf numFmtId="0" fontId="0" fillId="11" borderId="49" xfId="0" applyFill="1" applyBorder="1" applyAlignment="1">
      <alignment horizontal="center" vertical="center"/>
    </xf>
    <xf numFmtId="0" fontId="2" fillId="0" borderId="0" xfId="0" applyFont="1" applyFill="1" applyBorder="1" applyAlignment="1"/>
    <xf numFmtId="0" fontId="0" fillId="0" borderId="0" xfId="0" applyFill="1" applyBorder="1" applyAlignment="1"/>
    <xf numFmtId="0" fontId="23" fillId="21" borderId="27" xfId="0" applyFont="1" applyFill="1" applyBorder="1" applyAlignment="1">
      <alignment horizontal="left" vertical="center" wrapText="1"/>
    </xf>
    <xf numFmtId="0" fontId="23" fillId="21" borderId="26" xfId="0" applyFont="1" applyFill="1" applyBorder="1" applyAlignment="1">
      <alignment horizontal="left" vertical="center" wrapText="1"/>
    </xf>
    <xf numFmtId="0" fontId="23" fillId="21" borderId="24" xfId="0" applyFont="1" applyFill="1" applyBorder="1" applyAlignment="1">
      <alignment horizontal="left" vertical="center" wrapText="1"/>
    </xf>
    <xf numFmtId="0" fontId="23" fillId="0" borderId="29" xfId="0" applyFont="1" applyBorder="1" applyAlignment="1">
      <alignment horizontal="left" vertical="center" wrapText="1"/>
    </xf>
    <xf numFmtId="0" fontId="23" fillId="0" borderId="32" xfId="0" applyFont="1" applyBorder="1" applyAlignment="1">
      <alignment horizontal="left" vertical="center" wrapText="1"/>
    </xf>
    <xf numFmtId="0" fontId="23" fillId="0" borderId="30" xfId="0" applyFont="1" applyBorder="1" applyAlignment="1">
      <alignment horizontal="left" vertical="center" wrapText="1"/>
    </xf>
    <xf numFmtId="0" fontId="23" fillId="0" borderId="35" xfId="0" applyFont="1" applyBorder="1" applyAlignment="1">
      <alignment horizontal="left" vertical="center" wrapText="1"/>
    </xf>
    <xf numFmtId="0" fontId="23" fillId="0" borderId="0" xfId="0" applyFont="1" applyAlignment="1">
      <alignment horizontal="left" vertical="center" wrapText="1"/>
    </xf>
    <xf numFmtId="0" fontId="23" fillId="0" borderId="25" xfId="0" applyFont="1" applyBorder="1" applyAlignment="1">
      <alignment horizontal="left" vertical="center" wrapText="1"/>
    </xf>
    <xf numFmtId="0" fontId="23" fillId="0" borderId="33" xfId="0" applyFont="1" applyBorder="1" applyAlignment="1">
      <alignment horizontal="left" vertical="center" wrapText="1"/>
    </xf>
    <xf numFmtId="0" fontId="23" fillId="0" borderId="28" xfId="0" applyFont="1" applyBorder="1" applyAlignment="1">
      <alignment horizontal="left" vertical="center" wrapText="1"/>
    </xf>
    <xf numFmtId="0" fontId="23" fillId="0" borderId="21" xfId="0" applyFont="1" applyBorder="1" applyAlignment="1">
      <alignment horizontal="left" vertical="center" wrapText="1"/>
    </xf>
    <xf numFmtId="0" fontId="23" fillId="0" borderId="27" xfId="0" applyFont="1" applyBorder="1" applyAlignment="1">
      <alignment horizontal="left" vertical="center" wrapText="1"/>
    </xf>
    <xf numFmtId="0" fontId="23" fillId="0" borderId="24" xfId="0" applyFont="1" applyBorder="1" applyAlignment="1">
      <alignment horizontal="left" vertical="center" wrapText="1"/>
    </xf>
    <xf numFmtId="0" fontId="23" fillId="13" borderId="27" xfId="0" applyFont="1" applyFill="1" applyBorder="1" applyAlignment="1">
      <alignment horizontal="left" vertical="center" wrapText="1"/>
    </xf>
    <xf numFmtId="0" fontId="23" fillId="13" borderId="24" xfId="0" applyFont="1" applyFill="1" applyBorder="1" applyAlignment="1">
      <alignment horizontal="left" vertical="center" wrapText="1"/>
    </xf>
    <xf numFmtId="0" fontId="23" fillId="0" borderId="34" xfId="0" applyFont="1" applyBorder="1" applyAlignment="1">
      <alignment horizontal="left" vertical="center" wrapText="1"/>
    </xf>
    <xf numFmtId="0" fontId="23" fillId="0" borderId="31" xfId="0" applyFont="1" applyBorder="1" applyAlignment="1">
      <alignment horizontal="left" vertical="center" wrapText="1"/>
    </xf>
    <xf numFmtId="0" fontId="23" fillId="0" borderId="23" xfId="0" applyFont="1" applyBorder="1" applyAlignment="1">
      <alignment horizontal="left" vertical="center" wrapText="1"/>
    </xf>
    <xf numFmtId="0" fontId="23" fillId="0" borderId="26" xfId="0" applyFont="1" applyBorder="1" applyAlignment="1">
      <alignment horizontal="left" vertical="center" wrapText="1"/>
    </xf>
    <xf numFmtId="10" fontId="23" fillId="13" borderId="27" xfId="0" applyNumberFormat="1" applyFont="1" applyFill="1" applyBorder="1" applyAlignment="1">
      <alignment horizontal="left" vertical="center" wrapText="1"/>
    </xf>
    <xf numFmtId="10" fontId="23" fillId="13" borderId="26" xfId="0" applyNumberFormat="1" applyFont="1" applyFill="1" applyBorder="1" applyAlignment="1">
      <alignment horizontal="left" vertical="center" wrapText="1"/>
    </xf>
    <xf numFmtId="10" fontId="23" fillId="13" borderId="24" xfId="0" applyNumberFormat="1" applyFont="1" applyFill="1" applyBorder="1" applyAlignment="1">
      <alignment horizontal="left" vertical="center" wrapText="1"/>
    </xf>
    <xf numFmtId="10" fontId="23" fillId="0" borderId="27" xfId="0" applyNumberFormat="1" applyFont="1" applyBorder="1" applyAlignment="1">
      <alignment horizontal="left" vertical="center" wrapText="1"/>
    </xf>
    <xf numFmtId="10" fontId="23" fillId="0" borderId="26" xfId="0" applyNumberFormat="1" applyFont="1" applyBorder="1" applyAlignment="1">
      <alignment horizontal="left" vertical="center" wrapText="1"/>
    </xf>
    <xf numFmtId="10" fontId="23" fillId="0" borderId="24" xfId="0" applyNumberFormat="1" applyFont="1" applyBorder="1" applyAlignment="1">
      <alignment horizontal="left" vertical="center" wrapText="1"/>
    </xf>
    <xf numFmtId="0" fontId="25" fillId="17" borderId="29" xfId="0" applyFont="1" applyFill="1" applyBorder="1" applyAlignment="1">
      <alignment horizontal="left" vertical="center" wrapText="1"/>
    </xf>
    <xf numFmtId="0" fontId="25" fillId="17" borderId="30" xfId="0" applyFont="1" applyFill="1" applyBorder="1" applyAlignment="1">
      <alignment horizontal="left" vertical="center" wrapText="1"/>
    </xf>
    <xf numFmtId="0" fontId="25" fillId="17" borderId="33" xfId="0" applyFont="1" applyFill="1" applyBorder="1" applyAlignment="1">
      <alignment horizontal="left" vertical="center" wrapText="1"/>
    </xf>
    <xf numFmtId="0" fontId="25" fillId="17" borderId="21" xfId="0" applyFont="1" applyFill="1" applyBorder="1" applyAlignment="1">
      <alignment horizontal="left" vertical="center" wrapText="1"/>
    </xf>
    <xf numFmtId="0" fontId="25" fillId="14" borderId="34" xfId="0" applyFont="1" applyFill="1" applyBorder="1" applyAlignment="1">
      <alignment horizontal="left" vertical="center" wrapText="1"/>
    </xf>
    <xf numFmtId="0" fontId="25" fillId="14" borderId="31" xfId="0" applyFont="1" applyFill="1" applyBorder="1" applyAlignment="1">
      <alignment horizontal="left" vertical="center" wrapText="1"/>
    </xf>
    <xf numFmtId="0" fontId="25" fillId="14" borderId="23" xfId="0" applyFont="1" applyFill="1" applyBorder="1" applyAlignment="1">
      <alignment horizontal="left" vertical="center" wrapText="1"/>
    </xf>
    <xf numFmtId="0" fontId="25" fillId="18" borderId="34" xfId="0" applyFont="1" applyFill="1" applyBorder="1" applyAlignment="1">
      <alignment horizontal="left" vertical="center" wrapText="1"/>
    </xf>
    <xf numFmtId="0" fontId="25" fillId="18" borderId="23" xfId="0" applyFont="1" applyFill="1" applyBorder="1" applyAlignment="1">
      <alignment horizontal="left" vertical="center" wrapText="1"/>
    </xf>
    <xf numFmtId="0" fontId="25" fillId="20" borderId="34" xfId="0" applyFont="1" applyFill="1" applyBorder="1" applyAlignment="1">
      <alignment horizontal="left" vertical="center" wrapText="1"/>
    </xf>
    <xf numFmtId="0" fontId="25" fillId="20" borderId="23" xfId="0" applyFont="1" applyFill="1" applyBorder="1" applyAlignment="1">
      <alignment horizontal="left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0" fillId="0" borderId="58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186" fontId="15" fillId="8" borderId="1" xfId="0" applyNumberFormat="1" applyFont="1" applyFill="1" applyBorder="1" applyAlignment="1">
      <alignment horizontal="center" vertical="center"/>
    </xf>
    <xf numFmtId="184" fontId="26" fillId="8" borderId="1" xfId="0" applyNumberFormat="1" applyFont="1" applyFill="1" applyBorder="1" applyAlignment="1">
      <alignment horizontal="center" vertical="center"/>
    </xf>
    <xf numFmtId="184" fontId="26" fillId="8" borderId="59" xfId="0" applyNumberFormat="1" applyFont="1" applyFill="1" applyBorder="1" applyAlignment="1">
      <alignment horizontal="center" vertical="center"/>
    </xf>
    <xf numFmtId="0" fontId="19" fillId="0" borderId="8" xfId="0" applyFont="1" applyBorder="1" applyAlignment="1">
      <alignment horizontal="center" vertical="center"/>
    </xf>
    <xf numFmtId="0" fontId="19" fillId="0" borderId="60" xfId="0" applyFont="1" applyBorder="1" applyAlignment="1">
      <alignment horizontal="center" vertical="center"/>
    </xf>
    <xf numFmtId="184" fontId="26" fillId="8" borderId="44" xfId="0" applyNumberFormat="1" applyFont="1" applyFill="1" applyBorder="1" applyAlignment="1">
      <alignment horizontal="center" vertical="center"/>
    </xf>
    <xf numFmtId="0" fontId="19" fillId="0" borderId="38" xfId="0" applyFont="1" applyBorder="1" applyAlignment="1">
      <alignment horizontal="center" vertical="center"/>
    </xf>
    <xf numFmtId="0" fontId="19" fillId="0" borderId="3" xfId="0" applyFont="1" applyBorder="1" applyAlignment="1">
      <alignment horizontal="center" vertical="center"/>
    </xf>
  </cellXfs>
  <cellStyles count="4">
    <cellStyle name="好" xfId="2" builtinId="26"/>
    <cellStyle name="差" xfId="3" builtinId="27"/>
    <cellStyle name="常规" xfId="0" builtinId="0"/>
    <cellStyle name="超链接" xfId="1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5023966049374557E-2"/>
          <c:y val="5.0747806182157552E-2"/>
          <c:w val="0.90558616623760546"/>
          <c:h val="0.8136490557832744"/>
        </c:manualLayout>
      </c:layout>
      <c:lineChart>
        <c:grouping val="standard"/>
        <c:varyColors val="0"/>
        <c:ser>
          <c:idx val="0"/>
          <c:order val="0"/>
          <c:tx>
            <c:strRef>
              <c:f>BACK_TEST!$F$81</c:f>
              <c:strCache>
                <c:ptCount val="1"/>
                <c:pt idx="0">
                  <c:v>saya_divide</c:v>
                </c:pt>
              </c:strCache>
            </c:strRef>
          </c:tx>
          <c:spPr>
            <a:ln w="38100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43817</c:v>
                </c:pt>
                <c:pt idx="1">
                  <c:v>43816</c:v>
                </c:pt>
                <c:pt idx="2">
                  <c:v>43815</c:v>
                </c:pt>
                <c:pt idx="3">
                  <c:v>43812</c:v>
                </c:pt>
                <c:pt idx="4">
                  <c:v>43811</c:v>
                </c:pt>
                <c:pt idx="5">
                  <c:v>43810</c:v>
                </c:pt>
                <c:pt idx="6">
                  <c:v>43809</c:v>
                </c:pt>
                <c:pt idx="7">
                  <c:v>43808</c:v>
                </c:pt>
                <c:pt idx="8">
                  <c:v>43805</c:v>
                </c:pt>
                <c:pt idx="9">
                  <c:v>43804</c:v>
                </c:pt>
                <c:pt idx="10">
                  <c:v>43803</c:v>
                </c:pt>
                <c:pt idx="11">
                  <c:v>43802</c:v>
                </c:pt>
                <c:pt idx="12">
                  <c:v>43801</c:v>
                </c:pt>
                <c:pt idx="13">
                  <c:v>43798</c:v>
                </c:pt>
                <c:pt idx="14">
                  <c:v>43797</c:v>
                </c:pt>
                <c:pt idx="15">
                  <c:v>43796</c:v>
                </c:pt>
                <c:pt idx="16">
                  <c:v>43795</c:v>
                </c:pt>
                <c:pt idx="17">
                  <c:v>43794</c:v>
                </c:pt>
                <c:pt idx="18">
                  <c:v>43791</c:v>
                </c:pt>
                <c:pt idx="19">
                  <c:v>43790</c:v>
                </c:pt>
                <c:pt idx="20">
                  <c:v>43789</c:v>
                </c:pt>
                <c:pt idx="21">
                  <c:v>43788</c:v>
                </c:pt>
                <c:pt idx="22">
                  <c:v>43787</c:v>
                </c:pt>
                <c:pt idx="23">
                  <c:v>43784</c:v>
                </c:pt>
                <c:pt idx="24">
                  <c:v>43783</c:v>
                </c:pt>
                <c:pt idx="25">
                  <c:v>43782</c:v>
                </c:pt>
                <c:pt idx="26">
                  <c:v>43781</c:v>
                </c:pt>
                <c:pt idx="27">
                  <c:v>43780</c:v>
                </c:pt>
                <c:pt idx="28">
                  <c:v>43777</c:v>
                </c:pt>
                <c:pt idx="29">
                  <c:v>43776</c:v>
                </c:pt>
                <c:pt idx="30">
                  <c:v>43775</c:v>
                </c:pt>
                <c:pt idx="31">
                  <c:v>43774</c:v>
                </c:pt>
                <c:pt idx="32">
                  <c:v>43770</c:v>
                </c:pt>
                <c:pt idx="33">
                  <c:v>43769</c:v>
                </c:pt>
                <c:pt idx="34">
                  <c:v>43768</c:v>
                </c:pt>
                <c:pt idx="35">
                  <c:v>43767</c:v>
                </c:pt>
                <c:pt idx="36">
                  <c:v>43766</c:v>
                </c:pt>
                <c:pt idx="37">
                  <c:v>43763</c:v>
                </c:pt>
                <c:pt idx="38">
                  <c:v>43762</c:v>
                </c:pt>
                <c:pt idx="39">
                  <c:v>43761</c:v>
                </c:pt>
                <c:pt idx="40">
                  <c:v>43759</c:v>
                </c:pt>
                <c:pt idx="41">
                  <c:v>43756</c:v>
                </c:pt>
                <c:pt idx="42">
                  <c:v>43755</c:v>
                </c:pt>
                <c:pt idx="43">
                  <c:v>43754</c:v>
                </c:pt>
                <c:pt idx="44">
                  <c:v>43753</c:v>
                </c:pt>
                <c:pt idx="45">
                  <c:v>43749</c:v>
                </c:pt>
                <c:pt idx="46">
                  <c:v>43748</c:v>
                </c:pt>
                <c:pt idx="47">
                  <c:v>43747</c:v>
                </c:pt>
                <c:pt idx="48">
                  <c:v>43746</c:v>
                </c:pt>
                <c:pt idx="49">
                  <c:v>43745</c:v>
                </c:pt>
                <c:pt idx="50">
                  <c:v>43742</c:v>
                </c:pt>
                <c:pt idx="51">
                  <c:v>43741</c:v>
                </c:pt>
                <c:pt idx="52">
                  <c:v>43740</c:v>
                </c:pt>
                <c:pt idx="53">
                  <c:v>43739</c:v>
                </c:pt>
                <c:pt idx="54">
                  <c:v>43738</c:v>
                </c:pt>
                <c:pt idx="55">
                  <c:v>43735</c:v>
                </c:pt>
                <c:pt idx="56">
                  <c:v>43734</c:v>
                </c:pt>
                <c:pt idx="57">
                  <c:v>43733</c:v>
                </c:pt>
                <c:pt idx="58">
                  <c:v>43732</c:v>
                </c:pt>
                <c:pt idx="59">
                  <c:v>43728</c:v>
                </c:pt>
                <c:pt idx="60">
                  <c:v>43727</c:v>
                </c:pt>
                <c:pt idx="61">
                  <c:v>43726</c:v>
                </c:pt>
                <c:pt idx="62">
                  <c:v>43725</c:v>
                </c:pt>
                <c:pt idx="63">
                  <c:v>43721</c:v>
                </c:pt>
                <c:pt idx="64">
                  <c:v>43720</c:v>
                </c:pt>
                <c:pt idx="65">
                  <c:v>43719</c:v>
                </c:pt>
                <c:pt idx="66">
                  <c:v>43718</c:v>
                </c:pt>
                <c:pt idx="67">
                  <c:v>43717</c:v>
                </c:pt>
                <c:pt idx="68">
                  <c:v>43714</c:v>
                </c:pt>
                <c:pt idx="69">
                  <c:v>43713</c:v>
                </c:pt>
                <c:pt idx="70">
                  <c:v>43712</c:v>
                </c:pt>
                <c:pt idx="71">
                  <c:v>43711</c:v>
                </c:pt>
                <c:pt idx="72">
                  <c:v>43710</c:v>
                </c:pt>
                <c:pt idx="73">
                  <c:v>43707</c:v>
                </c:pt>
                <c:pt idx="74">
                  <c:v>43706</c:v>
                </c:pt>
                <c:pt idx="75">
                  <c:v>43705</c:v>
                </c:pt>
                <c:pt idx="76">
                  <c:v>43704</c:v>
                </c:pt>
                <c:pt idx="77">
                  <c:v>43703</c:v>
                </c:pt>
                <c:pt idx="78">
                  <c:v>43700</c:v>
                </c:pt>
                <c:pt idx="79">
                  <c:v>43699</c:v>
                </c:pt>
                <c:pt idx="80">
                  <c:v>43698</c:v>
                </c:pt>
                <c:pt idx="81">
                  <c:v>43697</c:v>
                </c:pt>
                <c:pt idx="82">
                  <c:v>43696</c:v>
                </c:pt>
                <c:pt idx="83">
                  <c:v>43693</c:v>
                </c:pt>
                <c:pt idx="84">
                  <c:v>43692</c:v>
                </c:pt>
                <c:pt idx="85">
                  <c:v>43691</c:v>
                </c:pt>
                <c:pt idx="86">
                  <c:v>43690</c:v>
                </c:pt>
                <c:pt idx="87">
                  <c:v>43686</c:v>
                </c:pt>
                <c:pt idx="88">
                  <c:v>43685</c:v>
                </c:pt>
                <c:pt idx="89">
                  <c:v>43684</c:v>
                </c:pt>
                <c:pt idx="90">
                  <c:v>43683</c:v>
                </c:pt>
                <c:pt idx="91">
                  <c:v>43682</c:v>
                </c:pt>
                <c:pt idx="92">
                  <c:v>43679</c:v>
                </c:pt>
                <c:pt idx="93">
                  <c:v>43678</c:v>
                </c:pt>
                <c:pt idx="94">
                  <c:v>43677</c:v>
                </c:pt>
                <c:pt idx="95">
                  <c:v>43676</c:v>
                </c:pt>
                <c:pt idx="96">
                  <c:v>43675</c:v>
                </c:pt>
                <c:pt idx="97">
                  <c:v>43672</c:v>
                </c:pt>
                <c:pt idx="98">
                  <c:v>43671</c:v>
                </c:pt>
                <c:pt idx="99">
                  <c:v>43670</c:v>
                </c:pt>
                <c:pt idx="100">
                  <c:v>43669</c:v>
                </c:pt>
                <c:pt idx="101">
                  <c:v>43668</c:v>
                </c:pt>
                <c:pt idx="102">
                  <c:v>43665</c:v>
                </c:pt>
                <c:pt idx="103">
                  <c:v>43664</c:v>
                </c:pt>
                <c:pt idx="104">
                  <c:v>43663</c:v>
                </c:pt>
                <c:pt idx="105">
                  <c:v>43662</c:v>
                </c:pt>
                <c:pt idx="106">
                  <c:v>43658</c:v>
                </c:pt>
                <c:pt idx="107">
                  <c:v>43657</c:v>
                </c:pt>
                <c:pt idx="108">
                  <c:v>43656</c:v>
                </c:pt>
                <c:pt idx="109">
                  <c:v>43655</c:v>
                </c:pt>
                <c:pt idx="110">
                  <c:v>43654</c:v>
                </c:pt>
                <c:pt idx="111">
                  <c:v>43651</c:v>
                </c:pt>
                <c:pt idx="112">
                  <c:v>43650</c:v>
                </c:pt>
                <c:pt idx="113">
                  <c:v>43649</c:v>
                </c:pt>
                <c:pt idx="114">
                  <c:v>43648</c:v>
                </c:pt>
                <c:pt idx="115">
                  <c:v>43647</c:v>
                </c:pt>
                <c:pt idx="116">
                  <c:v>43644</c:v>
                </c:pt>
                <c:pt idx="117">
                  <c:v>43643</c:v>
                </c:pt>
                <c:pt idx="118">
                  <c:v>43642</c:v>
                </c:pt>
                <c:pt idx="119">
                  <c:v>43641</c:v>
                </c:pt>
                <c:pt idx="120">
                  <c:v>43640</c:v>
                </c:pt>
                <c:pt idx="121">
                  <c:v>43637</c:v>
                </c:pt>
                <c:pt idx="122">
                  <c:v>43636</c:v>
                </c:pt>
                <c:pt idx="123">
                  <c:v>43635</c:v>
                </c:pt>
                <c:pt idx="124">
                  <c:v>43634</c:v>
                </c:pt>
                <c:pt idx="125">
                  <c:v>43633</c:v>
                </c:pt>
                <c:pt idx="126">
                  <c:v>43630</c:v>
                </c:pt>
                <c:pt idx="127">
                  <c:v>43629</c:v>
                </c:pt>
                <c:pt idx="128">
                  <c:v>43628</c:v>
                </c:pt>
                <c:pt idx="129">
                  <c:v>43627</c:v>
                </c:pt>
                <c:pt idx="130">
                  <c:v>43626</c:v>
                </c:pt>
                <c:pt idx="131">
                  <c:v>43623</c:v>
                </c:pt>
                <c:pt idx="132">
                  <c:v>43622</c:v>
                </c:pt>
                <c:pt idx="133">
                  <c:v>43621</c:v>
                </c:pt>
                <c:pt idx="134">
                  <c:v>43620</c:v>
                </c:pt>
                <c:pt idx="135">
                  <c:v>43619</c:v>
                </c:pt>
                <c:pt idx="136">
                  <c:v>43616</c:v>
                </c:pt>
                <c:pt idx="137">
                  <c:v>43615</c:v>
                </c:pt>
                <c:pt idx="138">
                  <c:v>43614</c:v>
                </c:pt>
                <c:pt idx="139">
                  <c:v>43613</c:v>
                </c:pt>
                <c:pt idx="140">
                  <c:v>43612</c:v>
                </c:pt>
                <c:pt idx="141">
                  <c:v>43609</c:v>
                </c:pt>
                <c:pt idx="142">
                  <c:v>43608</c:v>
                </c:pt>
                <c:pt idx="143">
                  <c:v>43607</c:v>
                </c:pt>
                <c:pt idx="144">
                  <c:v>43606</c:v>
                </c:pt>
                <c:pt idx="145">
                  <c:v>43605</c:v>
                </c:pt>
                <c:pt idx="146">
                  <c:v>43602</c:v>
                </c:pt>
                <c:pt idx="147">
                  <c:v>43601</c:v>
                </c:pt>
                <c:pt idx="148">
                  <c:v>43600</c:v>
                </c:pt>
                <c:pt idx="149">
                  <c:v>43599</c:v>
                </c:pt>
                <c:pt idx="150">
                  <c:v>43598</c:v>
                </c:pt>
                <c:pt idx="151">
                  <c:v>43595</c:v>
                </c:pt>
                <c:pt idx="152">
                  <c:v>43594</c:v>
                </c:pt>
                <c:pt idx="153">
                  <c:v>43593</c:v>
                </c:pt>
                <c:pt idx="154">
                  <c:v>43592</c:v>
                </c:pt>
                <c:pt idx="155">
                  <c:v>43581</c:v>
                </c:pt>
                <c:pt idx="156">
                  <c:v>43580</c:v>
                </c:pt>
                <c:pt idx="157">
                  <c:v>43579</c:v>
                </c:pt>
                <c:pt idx="158">
                  <c:v>43578</c:v>
                </c:pt>
                <c:pt idx="159">
                  <c:v>43577</c:v>
                </c:pt>
                <c:pt idx="160">
                  <c:v>43574</c:v>
                </c:pt>
                <c:pt idx="161">
                  <c:v>43573</c:v>
                </c:pt>
                <c:pt idx="162">
                  <c:v>43572</c:v>
                </c:pt>
                <c:pt idx="163">
                  <c:v>43571</c:v>
                </c:pt>
                <c:pt idx="164">
                  <c:v>43570</c:v>
                </c:pt>
                <c:pt idx="165">
                  <c:v>43567</c:v>
                </c:pt>
                <c:pt idx="166">
                  <c:v>43566</c:v>
                </c:pt>
                <c:pt idx="167">
                  <c:v>43565</c:v>
                </c:pt>
                <c:pt idx="168">
                  <c:v>43564</c:v>
                </c:pt>
                <c:pt idx="169">
                  <c:v>43563</c:v>
                </c:pt>
                <c:pt idx="170">
                  <c:v>43560</c:v>
                </c:pt>
                <c:pt idx="171">
                  <c:v>43559</c:v>
                </c:pt>
                <c:pt idx="172">
                  <c:v>43558</c:v>
                </c:pt>
                <c:pt idx="173">
                  <c:v>43557</c:v>
                </c:pt>
                <c:pt idx="174">
                  <c:v>43556</c:v>
                </c:pt>
                <c:pt idx="175">
                  <c:v>43553</c:v>
                </c:pt>
                <c:pt idx="176">
                  <c:v>43552</c:v>
                </c:pt>
                <c:pt idx="177">
                  <c:v>43551</c:v>
                </c:pt>
                <c:pt idx="178">
                  <c:v>43550</c:v>
                </c:pt>
                <c:pt idx="179">
                  <c:v>43549</c:v>
                </c:pt>
                <c:pt idx="180">
                  <c:v>43546</c:v>
                </c:pt>
                <c:pt idx="181">
                  <c:v>43544</c:v>
                </c:pt>
                <c:pt idx="182">
                  <c:v>43543</c:v>
                </c:pt>
                <c:pt idx="183">
                  <c:v>43542</c:v>
                </c:pt>
                <c:pt idx="184">
                  <c:v>43539</c:v>
                </c:pt>
                <c:pt idx="185">
                  <c:v>43538</c:v>
                </c:pt>
                <c:pt idx="186">
                  <c:v>43537</c:v>
                </c:pt>
                <c:pt idx="187">
                  <c:v>43536</c:v>
                </c:pt>
                <c:pt idx="188">
                  <c:v>43535</c:v>
                </c:pt>
                <c:pt idx="189">
                  <c:v>43532</c:v>
                </c:pt>
                <c:pt idx="190">
                  <c:v>43531</c:v>
                </c:pt>
                <c:pt idx="191">
                  <c:v>43530</c:v>
                </c:pt>
                <c:pt idx="192">
                  <c:v>43529</c:v>
                </c:pt>
                <c:pt idx="193">
                  <c:v>43528</c:v>
                </c:pt>
                <c:pt idx="194">
                  <c:v>43525</c:v>
                </c:pt>
                <c:pt idx="195">
                  <c:v>43524</c:v>
                </c:pt>
                <c:pt idx="196">
                  <c:v>43523</c:v>
                </c:pt>
                <c:pt idx="197">
                  <c:v>43522</c:v>
                </c:pt>
                <c:pt idx="198">
                  <c:v>43521</c:v>
                </c:pt>
                <c:pt idx="199">
                  <c:v>43518</c:v>
                </c:pt>
                <c:pt idx="200">
                  <c:v>43517</c:v>
                </c:pt>
                <c:pt idx="201">
                  <c:v>43516</c:v>
                </c:pt>
                <c:pt idx="202">
                  <c:v>43515</c:v>
                </c:pt>
                <c:pt idx="203">
                  <c:v>43514</c:v>
                </c:pt>
                <c:pt idx="204">
                  <c:v>43511</c:v>
                </c:pt>
                <c:pt idx="205">
                  <c:v>43510</c:v>
                </c:pt>
                <c:pt idx="206">
                  <c:v>43509</c:v>
                </c:pt>
                <c:pt idx="207">
                  <c:v>43508</c:v>
                </c:pt>
                <c:pt idx="208">
                  <c:v>43504</c:v>
                </c:pt>
                <c:pt idx="209">
                  <c:v>43503</c:v>
                </c:pt>
                <c:pt idx="210">
                  <c:v>43502</c:v>
                </c:pt>
                <c:pt idx="211">
                  <c:v>43501</c:v>
                </c:pt>
                <c:pt idx="212">
                  <c:v>43500</c:v>
                </c:pt>
                <c:pt idx="213">
                  <c:v>43497</c:v>
                </c:pt>
                <c:pt idx="214">
                  <c:v>43496</c:v>
                </c:pt>
                <c:pt idx="215">
                  <c:v>43495</c:v>
                </c:pt>
                <c:pt idx="216">
                  <c:v>43494</c:v>
                </c:pt>
                <c:pt idx="217">
                  <c:v>43493</c:v>
                </c:pt>
                <c:pt idx="218">
                  <c:v>43490</c:v>
                </c:pt>
                <c:pt idx="219">
                  <c:v>43489</c:v>
                </c:pt>
                <c:pt idx="220">
                  <c:v>43488</c:v>
                </c:pt>
                <c:pt idx="221">
                  <c:v>43487</c:v>
                </c:pt>
                <c:pt idx="222">
                  <c:v>43486</c:v>
                </c:pt>
                <c:pt idx="223">
                  <c:v>43483</c:v>
                </c:pt>
                <c:pt idx="224">
                  <c:v>43482</c:v>
                </c:pt>
                <c:pt idx="225">
                  <c:v>43481</c:v>
                </c:pt>
                <c:pt idx="226">
                  <c:v>43480</c:v>
                </c:pt>
                <c:pt idx="227">
                  <c:v>43476</c:v>
                </c:pt>
                <c:pt idx="228">
                  <c:v>43475</c:v>
                </c:pt>
                <c:pt idx="229">
                  <c:v>43474</c:v>
                </c:pt>
                <c:pt idx="230">
                  <c:v>43473</c:v>
                </c:pt>
                <c:pt idx="231">
                  <c:v>43472</c:v>
                </c:pt>
                <c:pt idx="232">
                  <c:v>43469</c:v>
                </c:pt>
                <c:pt idx="233">
                  <c:v>43462</c:v>
                </c:pt>
                <c:pt idx="234">
                  <c:v>43461</c:v>
                </c:pt>
                <c:pt idx="235">
                  <c:v>43460</c:v>
                </c:pt>
                <c:pt idx="236">
                  <c:v>43459</c:v>
                </c:pt>
                <c:pt idx="237">
                  <c:v>43455</c:v>
                </c:pt>
                <c:pt idx="238">
                  <c:v>43454</c:v>
                </c:pt>
                <c:pt idx="239">
                  <c:v>43453</c:v>
                </c:pt>
                <c:pt idx="240">
                  <c:v>43452</c:v>
                </c:pt>
                <c:pt idx="241">
                  <c:v>43451</c:v>
                </c:pt>
              </c:numCache>
            </c:numRef>
          </c:cat>
          <c:val>
            <c:numRef>
              <c:f>BACK_TEST!$F$82:$F$700</c:f>
              <c:numCache>
                <c:formatCode>General</c:formatCode>
                <c:ptCount val="619"/>
                <c:pt idx="0">
                  <c:v>0.44259656652360502</c:v>
                </c:pt>
                <c:pt idx="1">
                  <c:v>0.44474105712760198</c:v>
                </c:pt>
                <c:pt idx="2">
                  <c:v>0.444504021447721</c:v>
                </c:pt>
                <c:pt idx="3">
                  <c:v>0.44736982643524698</c:v>
                </c:pt>
                <c:pt idx="4">
                  <c:v>0.45059441526126598</c:v>
                </c:pt>
                <c:pt idx="5">
                  <c:v>0.45142543859649098</c:v>
                </c:pt>
                <c:pt idx="6">
                  <c:v>0.454231717337715</c:v>
                </c:pt>
                <c:pt idx="7">
                  <c:v>0.45335515548281502</c:v>
                </c:pt>
                <c:pt idx="8">
                  <c:v>0.45776914539400598</c:v>
                </c:pt>
                <c:pt idx="9">
                  <c:v>0.459582753824756</c:v>
                </c:pt>
                <c:pt idx="10">
                  <c:v>0.457110736368746</c:v>
                </c:pt>
                <c:pt idx="11">
                  <c:v>0.45592841163310899</c:v>
                </c:pt>
                <c:pt idx="12">
                  <c:v>0.46846437695146098</c:v>
                </c:pt>
                <c:pt idx="13">
                  <c:v>0.45842314237095799</c:v>
                </c:pt>
                <c:pt idx="14">
                  <c:v>0.45801354401805799</c:v>
                </c:pt>
                <c:pt idx="15">
                  <c:v>0.45604055195719501</c:v>
                </c:pt>
                <c:pt idx="16">
                  <c:v>0.453664036076662</c:v>
                </c:pt>
                <c:pt idx="17">
                  <c:v>0.455687606112054</c:v>
                </c:pt>
                <c:pt idx="18">
                  <c:v>0.45785693766159102</c:v>
                </c:pt>
                <c:pt idx="19">
                  <c:v>0.463874345549738</c:v>
                </c:pt>
                <c:pt idx="20">
                  <c:v>0.45646923519263899</c:v>
                </c:pt>
                <c:pt idx="21">
                  <c:v>0.44610695483513402</c:v>
                </c:pt>
                <c:pt idx="22">
                  <c:v>0.44809286898839101</c:v>
                </c:pt>
                <c:pt idx="23">
                  <c:v>0.44052145573058099</c:v>
                </c:pt>
                <c:pt idx="24">
                  <c:v>0.43771712158808901</c:v>
                </c:pt>
                <c:pt idx="25">
                  <c:v>0.43662506782419902</c:v>
                </c:pt>
                <c:pt idx="26">
                  <c:v>0.433413014608233</c:v>
                </c:pt>
                <c:pt idx="27">
                  <c:v>0.42946190729888101</c:v>
                </c:pt>
                <c:pt idx="28">
                  <c:v>0.42814339218833602</c:v>
                </c:pt>
                <c:pt idx="29">
                  <c:v>0.42544667027612298</c:v>
                </c:pt>
                <c:pt idx="30">
                  <c:v>0.425250609590896</c:v>
                </c:pt>
                <c:pt idx="31">
                  <c:v>0.42341597796143199</c:v>
                </c:pt>
                <c:pt idx="32">
                  <c:v>0.43591813202652002</c:v>
                </c:pt>
                <c:pt idx="33">
                  <c:v>0.42889946793615202</c:v>
                </c:pt>
                <c:pt idx="34">
                  <c:v>0.42230790415863401</c:v>
                </c:pt>
                <c:pt idx="35">
                  <c:v>0.415884279475982</c:v>
                </c:pt>
                <c:pt idx="36">
                  <c:v>0.41646408839778998</c:v>
                </c:pt>
                <c:pt idx="37">
                  <c:v>0.42131468531468502</c:v>
                </c:pt>
                <c:pt idx="38">
                  <c:v>0.41957067187064401</c:v>
                </c:pt>
                <c:pt idx="39">
                  <c:v>0.41997194950911598</c:v>
                </c:pt>
                <c:pt idx="40">
                  <c:v>0.42286202964652198</c:v>
                </c:pt>
                <c:pt idx="41">
                  <c:v>0.42239493379389698</c:v>
                </c:pt>
                <c:pt idx="42">
                  <c:v>0.42696235774730001</c:v>
                </c:pt>
                <c:pt idx="43">
                  <c:v>0.42641946697566602</c:v>
                </c:pt>
                <c:pt idx="44">
                  <c:v>0.43415769566482398</c:v>
                </c:pt>
                <c:pt idx="45">
                  <c:v>0.441141141141141</c:v>
                </c:pt>
                <c:pt idx="46">
                  <c:v>0.44121808674253998</c:v>
                </c:pt>
                <c:pt idx="47">
                  <c:v>0.43365853658536502</c:v>
                </c:pt>
                <c:pt idx="48">
                  <c:v>0.43667673716012001</c:v>
                </c:pt>
                <c:pt idx="49">
                  <c:v>0.427709359605911</c:v>
                </c:pt>
                <c:pt idx="50">
                  <c:v>0.42740147783251198</c:v>
                </c:pt>
                <c:pt idx="51">
                  <c:v>0.42399999999999999</c:v>
                </c:pt>
                <c:pt idx="52">
                  <c:v>0.42271648873072298</c:v>
                </c:pt>
                <c:pt idx="53">
                  <c:v>0.43128326434062603</c:v>
                </c:pt>
                <c:pt idx="54">
                  <c:v>0.440577041129527</c:v>
                </c:pt>
                <c:pt idx="55">
                  <c:v>0.44384146341463399</c:v>
                </c:pt>
                <c:pt idx="56">
                  <c:v>0.462324159021406</c:v>
                </c:pt>
                <c:pt idx="57">
                  <c:v>0.46446637877853097</c:v>
                </c:pt>
                <c:pt idx="58">
                  <c:v>0.46261136712749601</c:v>
                </c:pt>
                <c:pt idx="59">
                  <c:v>0.46629560915275198</c:v>
                </c:pt>
                <c:pt idx="60">
                  <c:v>0.462653562653562</c:v>
                </c:pt>
                <c:pt idx="61">
                  <c:v>0.460757946210268</c:v>
                </c:pt>
                <c:pt idx="62">
                  <c:v>0.46172839506172803</c:v>
                </c:pt>
                <c:pt idx="63">
                  <c:v>0.44959471630141001</c:v>
                </c:pt>
                <c:pt idx="64">
                  <c:v>0.45426921908234502</c:v>
                </c:pt>
                <c:pt idx="65">
                  <c:v>0.44878787878787801</c:v>
                </c:pt>
                <c:pt idx="66">
                  <c:v>0.46664522354454802</c:v>
                </c:pt>
                <c:pt idx="67">
                  <c:v>0.46450331125827798</c:v>
                </c:pt>
                <c:pt idx="68">
                  <c:v>0.46379999999999999</c:v>
                </c:pt>
                <c:pt idx="69">
                  <c:v>0.46221322537111997</c:v>
                </c:pt>
                <c:pt idx="70">
                  <c:v>0.46179813985532198</c:v>
                </c:pt>
                <c:pt idx="71">
                  <c:v>0.46390410958904099</c:v>
                </c:pt>
                <c:pt idx="72">
                  <c:v>0.46180818150567199</c:v>
                </c:pt>
                <c:pt idx="73">
                  <c:v>0.46830110497237498</c:v>
                </c:pt>
                <c:pt idx="74">
                  <c:v>0.46945224719101097</c:v>
                </c:pt>
                <c:pt idx="75">
                  <c:v>0.46748768472906399</c:v>
                </c:pt>
                <c:pt idx="76">
                  <c:v>0.46776685393258399</c:v>
                </c:pt>
                <c:pt idx="77">
                  <c:v>0.46798168369144</c:v>
                </c:pt>
                <c:pt idx="78">
                  <c:v>0.471134380453752</c:v>
                </c:pt>
                <c:pt idx="79">
                  <c:v>0.482607155508324</c:v>
                </c:pt>
                <c:pt idx="80">
                  <c:v>0.48379928315412102</c:v>
                </c:pt>
                <c:pt idx="81">
                  <c:v>0.48976945244956699</c:v>
                </c:pt>
                <c:pt idx="82">
                  <c:v>0.49198834668608799</c:v>
                </c:pt>
                <c:pt idx="83">
                  <c:v>0.48494860499265702</c:v>
                </c:pt>
                <c:pt idx="84">
                  <c:v>0.47954711468224898</c:v>
                </c:pt>
                <c:pt idx="85">
                  <c:v>0.47196261682242902</c:v>
                </c:pt>
                <c:pt idx="86">
                  <c:v>0.46923076923076901</c:v>
                </c:pt>
                <c:pt idx="87">
                  <c:v>0.45946890286512898</c:v>
                </c:pt>
                <c:pt idx="88">
                  <c:v>0.45532359081419599</c:v>
                </c:pt>
                <c:pt idx="89">
                  <c:v>0.45308768338451</c:v>
                </c:pt>
                <c:pt idx="90">
                  <c:v>0.46216308427157898</c:v>
                </c:pt>
                <c:pt idx="91">
                  <c:v>0.45284416021541501</c:v>
                </c:pt>
                <c:pt idx="92">
                  <c:v>0.44551053484602898</c:v>
                </c:pt>
                <c:pt idx="93">
                  <c:v>0.44562832967721699</c:v>
                </c:pt>
                <c:pt idx="94">
                  <c:v>0.44181705040447999</c:v>
                </c:pt>
                <c:pt idx="95">
                  <c:v>0.44842236800999602</c:v>
                </c:pt>
                <c:pt idx="96">
                  <c:v>0.45129664769133399</c:v>
                </c:pt>
                <c:pt idx="97">
                  <c:v>0.44854003139717402</c:v>
                </c:pt>
                <c:pt idx="98">
                  <c:v>0.45261509552145301</c:v>
                </c:pt>
                <c:pt idx="99">
                  <c:v>0.45337499999999997</c:v>
                </c:pt>
                <c:pt idx="100">
                  <c:v>0.45048422368009999</c:v>
                </c:pt>
                <c:pt idx="101">
                  <c:v>0.44537239015269497</c:v>
                </c:pt>
                <c:pt idx="102">
                  <c:v>0.44219330855018502</c:v>
                </c:pt>
                <c:pt idx="103">
                  <c:v>0.43964813069431302</c:v>
                </c:pt>
                <c:pt idx="104">
                  <c:v>0.43931519413023501</c:v>
                </c:pt>
                <c:pt idx="105">
                  <c:v>0.44226646248085699</c:v>
                </c:pt>
                <c:pt idx="106">
                  <c:v>0.44349939246658499</c:v>
                </c:pt>
                <c:pt idx="107">
                  <c:v>0.44097709923664102</c:v>
                </c:pt>
                <c:pt idx="108">
                  <c:v>0.44418604651162702</c:v>
                </c:pt>
                <c:pt idx="109">
                  <c:v>0.44812213740458001</c:v>
                </c:pt>
                <c:pt idx="110">
                  <c:v>0.44975520195838398</c:v>
                </c:pt>
                <c:pt idx="111">
                  <c:v>0.450659306961054</c:v>
                </c:pt>
                <c:pt idx="112">
                  <c:v>0.448282152629978</c:v>
                </c:pt>
                <c:pt idx="113">
                  <c:v>0.44466788543570901</c:v>
                </c:pt>
                <c:pt idx="114">
                  <c:v>0.44917143717987301</c:v>
                </c:pt>
                <c:pt idx="115">
                  <c:v>0.44788647342995103</c:v>
                </c:pt>
                <c:pt idx="116">
                  <c:v>0.43876923076923002</c:v>
                </c:pt>
                <c:pt idx="117">
                  <c:v>0.44720843672456501</c:v>
                </c:pt>
                <c:pt idx="118">
                  <c:v>0.455022109917877</c:v>
                </c:pt>
                <c:pt idx="119">
                  <c:v>0.45764742983286</c:v>
                </c:pt>
                <c:pt idx="120">
                  <c:v>0.45560762261793097</c:v>
                </c:pt>
                <c:pt idx="121">
                  <c:v>0.454318677892111</c:v>
                </c:pt>
                <c:pt idx="122">
                  <c:v>0.44405422057917399</c:v>
                </c:pt>
                <c:pt idx="123">
                  <c:v>0.45221156820290698</c:v>
                </c:pt>
                <c:pt idx="124">
                  <c:v>0.43689138576779002</c:v>
                </c:pt>
                <c:pt idx="125">
                  <c:v>0.43998767714109599</c:v>
                </c:pt>
                <c:pt idx="126">
                  <c:v>0.44012307692307601</c:v>
                </c:pt>
                <c:pt idx="127">
                  <c:v>0.44173106646058702</c:v>
                </c:pt>
                <c:pt idx="128">
                  <c:v>0.44898461538461498</c:v>
                </c:pt>
                <c:pt idx="129">
                  <c:v>0.438020042514424</c:v>
                </c:pt>
                <c:pt idx="130">
                  <c:v>0.43362015980331797</c:v>
                </c:pt>
                <c:pt idx="131">
                  <c:v>0.42663408674404302</c:v>
                </c:pt>
                <c:pt idx="132">
                  <c:v>0.42383578431372498</c:v>
                </c:pt>
                <c:pt idx="133">
                  <c:v>0.42764578833693301</c:v>
                </c:pt>
                <c:pt idx="134">
                  <c:v>0.43265822784810098</c:v>
                </c:pt>
                <c:pt idx="135">
                  <c:v>0.43166345536287698</c:v>
                </c:pt>
                <c:pt idx="136">
                  <c:v>0.43418043202033002</c:v>
                </c:pt>
                <c:pt idx="137">
                  <c:v>0.432620155038759</c:v>
                </c:pt>
                <c:pt idx="138">
                  <c:v>0.42937676166614402</c:v>
                </c:pt>
                <c:pt idx="139">
                  <c:v>0.42777093596059101</c:v>
                </c:pt>
                <c:pt idx="140">
                  <c:v>0.43248447204968898</c:v>
                </c:pt>
                <c:pt idx="141">
                  <c:v>0.43152647975077801</c:v>
                </c:pt>
                <c:pt idx="142">
                  <c:v>0.434431323803604</c:v>
                </c:pt>
                <c:pt idx="143">
                  <c:v>0.43870162297128501</c:v>
                </c:pt>
                <c:pt idx="144">
                  <c:v>0.437162586315128</c:v>
                </c:pt>
                <c:pt idx="145">
                  <c:v>0.43890462700660998</c:v>
                </c:pt>
                <c:pt idx="146">
                  <c:v>0.44751974723538701</c:v>
                </c:pt>
                <c:pt idx="147">
                  <c:v>0.45135309278350499</c:v>
                </c:pt>
                <c:pt idx="148">
                  <c:v>0.45820895522388</c:v>
                </c:pt>
                <c:pt idx="149">
                  <c:v>0.46247944755014803</c:v>
                </c:pt>
                <c:pt idx="150">
                  <c:v>0.46439790575916201</c:v>
                </c:pt>
                <c:pt idx="151">
                  <c:v>0.46553635474404897</c:v>
                </c:pt>
                <c:pt idx="152">
                  <c:v>0.46546158812136801</c:v>
                </c:pt>
                <c:pt idx="153">
                  <c:v>0.48282958199356901</c:v>
                </c:pt>
                <c:pt idx="154">
                  <c:v>0.490527654164017</c:v>
                </c:pt>
                <c:pt idx="155">
                  <c:v>0.498495297805642</c:v>
                </c:pt>
                <c:pt idx="156">
                  <c:v>0.49310986964618198</c:v>
                </c:pt>
                <c:pt idx="157">
                  <c:v>0.496952560477536</c:v>
                </c:pt>
                <c:pt idx="158">
                  <c:v>0.50472636815920402</c:v>
                </c:pt>
                <c:pt idx="159">
                  <c:v>0.50278734732226704</c:v>
                </c:pt>
                <c:pt idx="160">
                  <c:v>0.48903265557609299</c:v>
                </c:pt>
                <c:pt idx="161">
                  <c:v>0.48243531202435302</c:v>
                </c:pt>
                <c:pt idx="162">
                  <c:v>0.485593220338983</c:v>
                </c:pt>
                <c:pt idx="163">
                  <c:v>0.48855384615384601</c:v>
                </c:pt>
                <c:pt idx="164">
                  <c:v>0.49478877582485298</c:v>
                </c:pt>
                <c:pt idx="165">
                  <c:v>0.49797468354430302</c:v>
                </c:pt>
                <c:pt idx="166">
                  <c:v>0.49402843601895702</c:v>
                </c:pt>
                <c:pt idx="167">
                  <c:v>0.48742662959530397</c:v>
                </c:pt>
                <c:pt idx="168">
                  <c:v>0.48907922912205498</c:v>
                </c:pt>
                <c:pt idx="169">
                  <c:v>0.49408519767085501</c:v>
                </c:pt>
                <c:pt idx="170">
                  <c:v>0.485887341005451</c:v>
                </c:pt>
                <c:pt idx="171">
                  <c:v>0.48785736243467498</c:v>
                </c:pt>
                <c:pt idx="172">
                  <c:v>0.48486519607843098</c:v>
                </c:pt>
                <c:pt idx="173">
                  <c:v>0.48767123287671199</c:v>
                </c:pt>
                <c:pt idx="174">
                  <c:v>0.50649599999999995</c:v>
                </c:pt>
                <c:pt idx="175">
                  <c:v>0.49739921976592899</c:v>
                </c:pt>
                <c:pt idx="176">
                  <c:v>0.50321944809461205</c:v>
                </c:pt>
                <c:pt idx="177">
                  <c:v>0.50647249190938504</c:v>
                </c:pt>
                <c:pt idx="178">
                  <c:v>0.50422799874725899</c:v>
                </c:pt>
                <c:pt idx="179">
                  <c:v>0.50459363957597103</c:v>
                </c:pt>
                <c:pt idx="180">
                  <c:v>0.50243142144638397</c:v>
                </c:pt>
                <c:pt idx="181">
                  <c:v>0.48826609177702401</c:v>
                </c:pt>
                <c:pt idx="182">
                  <c:v>0.47857360560804602</c:v>
                </c:pt>
                <c:pt idx="183">
                  <c:v>0.4811979005866</c:v>
                </c:pt>
                <c:pt idx="184">
                  <c:v>0.48388699161750998</c:v>
                </c:pt>
                <c:pt idx="185">
                  <c:v>0.48238198087010098</c:v>
                </c:pt>
                <c:pt idx="186">
                  <c:v>0.48085369625734597</c:v>
                </c:pt>
                <c:pt idx="187">
                  <c:v>0.47724642095644199</c:v>
                </c:pt>
                <c:pt idx="188">
                  <c:v>0.48044831880448302</c:v>
                </c:pt>
                <c:pt idx="189">
                  <c:v>0.477071651090342</c:v>
                </c:pt>
                <c:pt idx="190">
                  <c:v>0.46431326016018898</c:v>
                </c:pt>
                <c:pt idx="191">
                  <c:v>0.455154490326306</c:v>
                </c:pt>
                <c:pt idx="192">
                  <c:v>0.46007538416932398</c:v>
                </c:pt>
                <c:pt idx="193">
                  <c:v>0.45856321839080399</c:v>
                </c:pt>
                <c:pt idx="194">
                  <c:v>0.46427320490367702</c:v>
                </c:pt>
                <c:pt idx="195">
                  <c:v>0.471492138831207</c:v>
                </c:pt>
                <c:pt idx="196">
                  <c:v>0.46886875182695098</c:v>
                </c:pt>
                <c:pt idx="197">
                  <c:v>0.46564132327336</c:v>
                </c:pt>
                <c:pt idx="198">
                  <c:v>0.46418470418470398</c:v>
                </c:pt>
                <c:pt idx="199">
                  <c:v>0.474985285462036</c:v>
                </c:pt>
                <c:pt idx="200">
                  <c:v>0.47959004392386501</c:v>
                </c:pt>
                <c:pt idx="201">
                  <c:v>0.48164222873900298</c:v>
                </c:pt>
                <c:pt idx="202">
                  <c:v>0.47002328288707801</c:v>
                </c:pt>
                <c:pt idx="203">
                  <c:v>0.47057793345008703</c:v>
                </c:pt>
                <c:pt idx="204">
                  <c:v>0.47260726072607201</c:v>
                </c:pt>
                <c:pt idx="205">
                  <c:v>0.45125858123569701</c:v>
                </c:pt>
                <c:pt idx="206">
                  <c:v>0.44771890053839603</c:v>
                </c:pt>
                <c:pt idx="207">
                  <c:v>0.44428044280442802</c:v>
                </c:pt>
                <c:pt idx="208">
                  <c:v>0.45361250368622802</c:v>
                </c:pt>
                <c:pt idx="209">
                  <c:v>0.47665425379547399</c:v>
                </c:pt>
                <c:pt idx="210">
                  <c:v>0.48017021276595701</c:v>
                </c:pt>
                <c:pt idx="211">
                  <c:v>0.478928067700987</c:v>
                </c:pt>
                <c:pt idx="212">
                  <c:v>0.47700141442715699</c:v>
                </c:pt>
                <c:pt idx="213">
                  <c:v>0.48256454888308598</c:v>
                </c:pt>
                <c:pt idx="214">
                  <c:v>0.48115942028985498</c:v>
                </c:pt>
                <c:pt idx="215">
                  <c:v>0.487137891077636</c:v>
                </c:pt>
                <c:pt idx="216">
                  <c:v>0.47121168719564499</c:v>
                </c:pt>
                <c:pt idx="217">
                  <c:v>0.467827576363117</c:v>
                </c:pt>
                <c:pt idx="218">
                  <c:v>0.469300225733634</c:v>
                </c:pt>
                <c:pt idx="219">
                  <c:v>0.474146341463414</c:v>
                </c:pt>
                <c:pt idx="220">
                  <c:v>0.47625730994151999</c:v>
                </c:pt>
                <c:pt idx="221">
                  <c:v>0.47018150388936902</c:v>
                </c:pt>
                <c:pt idx="222">
                  <c:v>0.466086468276249</c:v>
                </c:pt>
                <c:pt idx="223">
                  <c:v>0.462786097767731</c:v>
                </c:pt>
                <c:pt idx="224">
                  <c:v>0.45570051049347698</c:v>
                </c:pt>
                <c:pt idx="225">
                  <c:v>0.45036952814098902</c:v>
                </c:pt>
                <c:pt idx="226">
                  <c:v>0.453099348995188</c:v>
                </c:pt>
                <c:pt idx="227">
                  <c:v>0.45857595848947802</c:v>
                </c:pt>
                <c:pt idx="228">
                  <c:v>0.46385822196397403</c:v>
                </c:pt>
                <c:pt idx="229">
                  <c:v>0.46244239631336398</c:v>
                </c:pt>
                <c:pt idx="230">
                  <c:v>0.46339181286549702</c:v>
                </c:pt>
                <c:pt idx="231">
                  <c:v>0.46664698937426202</c:v>
                </c:pt>
                <c:pt idx="232">
                  <c:v>0.46140350877192898</c:v>
                </c:pt>
                <c:pt idx="233">
                  <c:v>0.44959254947613497</c:v>
                </c:pt>
                <c:pt idx="234">
                  <c:v>0.44857806152060298</c:v>
                </c:pt>
                <c:pt idx="235">
                  <c:v>0.44047546479731697</c:v>
                </c:pt>
                <c:pt idx="236">
                  <c:v>0.43083913965464998</c:v>
                </c:pt>
                <c:pt idx="237">
                  <c:v>0.44138528138528099</c:v>
                </c:pt>
                <c:pt idx="238">
                  <c:v>0.43636363636363601</c:v>
                </c:pt>
                <c:pt idx="239">
                  <c:v>0.43098515519568098</c:v>
                </c:pt>
                <c:pt idx="240">
                  <c:v>0.440551500405515</c:v>
                </c:pt>
                <c:pt idx="241">
                  <c:v>0.43739406779661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65-4CDF-91FD-9E04D901ECA1}"/>
            </c:ext>
          </c:extLst>
        </c:ser>
        <c:ser>
          <c:idx val="1"/>
          <c:order val="1"/>
          <c:tx>
            <c:strRef>
              <c:f>BACK_TEST!$G$81</c:f>
              <c:strCache>
                <c:ptCount val="1"/>
                <c:pt idx="0">
                  <c:v>saya_divide_mean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43817</c:v>
                </c:pt>
                <c:pt idx="1">
                  <c:v>43816</c:v>
                </c:pt>
                <c:pt idx="2">
                  <c:v>43815</c:v>
                </c:pt>
                <c:pt idx="3">
                  <c:v>43812</c:v>
                </c:pt>
                <c:pt idx="4">
                  <c:v>43811</c:v>
                </c:pt>
                <c:pt idx="5">
                  <c:v>43810</c:v>
                </c:pt>
                <c:pt idx="6">
                  <c:v>43809</c:v>
                </c:pt>
                <c:pt idx="7">
                  <c:v>43808</c:v>
                </c:pt>
                <c:pt idx="8">
                  <c:v>43805</c:v>
                </c:pt>
                <c:pt idx="9">
                  <c:v>43804</c:v>
                </c:pt>
                <c:pt idx="10">
                  <c:v>43803</c:v>
                </c:pt>
                <c:pt idx="11">
                  <c:v>43802</c:v>
                </c:pt>
                <c:pt idx="12">
                  <c:v>43801</c:v>
                </c:pt>
                <c:pt idx="13">
                  <c:v>43798</c:v>
                </c:pt>
                <c:pt idx="14">
                  <c:v>43797</c:v>
                </c:pt>
                <c:pt idx="15">
                  <c:v>43796</c:v>
                </c:pt>
                <c:pt idx="16">
                  <c:v>43795</c:v>
                </c:pt>
                <c:pt idx="17">
                  <c:v>43794</c:v>
                </c:pt>
                <c:pt idx="18">
                  <c:v>43791</c:v>
                </c:pt>
                <c:pt idx="19">
                  <c:v>43790</c:v>
                </c:pt>
                <c:pt idx="20">
                  <c:v>43789</c:v>
                </c:pt>
                <c:pt idx="21">
                  <c:v>43788</c:v>
                </c:pt>
                <c:pt idx="22">
                  <c:v>43787</c:v>
                </c:pt>
                <c:pt idx="23">
                  <c:v>43784</c:v>
                </c:pt>
                <c:pt idx="24">
                  <c:v>43783</c:v>
                </c:pt>
                <c:pt idx="25">
                  <c:v>43782</c:v>
                </c:pt>
                <c:pt idx="26">
                  <c:v>43781</c:v>
                </c:pt>
                <c:pt idx="27">
                  <c:v>43780</c:v>
                </c:pt>
                <c:pt idx="28">
                  <c:v>43777</c:v>
                </c:pt>
                <c:pt idx="29">
                  <c:v>43776</c:v>
                </c:pt>
                <c:pt idx="30">
                  <c:v>43775</c:v>
                </c:pt>
                <c:pt idx="31">
                  <c:v>43774</c:v>
                </c:pt>
                <c:pt idx="32">
                  <c:v>43770</c:v>
                </c:pt>
                <c:pt idx="33">
                  <c:v>43769</c:v>
                </c:pt>
                <c:pt idx="34">
                  <c:v>43768</c:v>
                </c:pt>
                <c:pt idx="35">
                  <c:v>43767</c:v>
                </c:pt>
                <c:pt idx="36">
                  <c:v>43766</c:v>
                </c:pt>
                <c:pt idx="37">
                  <c:v>43763</c:v>
                </c:pt>
                <c:pt idx="38">
                  <c:v>43762</c:v>
                </c:pt>
                <c:pt idx="39">
                  <c:v>43761</c:v>
                </c:pt>
                <c:pt idx="40">
                  <c:v>43759</c:v>
                </c:pt>
                <c:pt idx="41">
                  <c:v>43756</c:v>
                </c:pt>
                <c:pt idx="42">
                  <c:v>43755</c:v>
                </c:pt>
                <c:pt idx="43">
                  <c:v>43754</c:v>
                </c:pt>
                <c:pt idx="44">
                  <c:v>43753</c:v>
                </c:pt>
                <c:pt idx="45">
                  <c:v>43749</c:v>
                </c:pt>
                <c:pt idx="46">
                  <c:v>43748</c:v>
                </c:pt>
                <c:pt idx="47">
                  <c:v>43747</c:v>
                </c:pt>
                <c:pt idx="48">
                  <c:v>43746</c:v>
                </c:pt>
                <c:pt idx="49">
                  <c:v>43745</c:v>
                </c:pt>
                <c:pt idx="50">
                  <c:v>43742</c:v>
                </c:pt>
                <c:pt idx="51">
                  <c:v>43741</c:v>
                </c:pt>
                <c:pt idx="52">
                  <c:v>43740</c:v>
                </c:pt>
                <c:pt idx="53">
                  <c:v>43739</c:v>
                </c:pt>
                <c:pt idx="54">
                  <c:v>43738</c:v>
                </c:pt>
                <c:pt idx="55">
                  <c:v>43735</c:v>
                </c:pt>
                <c:pt idx="56">
                  <c:v>43734</c:v>
                </c:pt>
                <c:pt idx="57">
                  <c:v>43733</c:v>
                </c:pt>
                <c:pt idx="58">
                  <c:v>43732</c:v>
                </c:pt>
                <c:pt idx="59">
                  <c:v>43728</c:v>
                </c:pt>
                <c:pt idx="60">
                  <c:v>43727</c:v>
                </c:pt>
                <c:pt idx="61">
                  <c:v>43726</c:v>
                </c:pt>
                <c:pt idx="62">
                  <c:v>43725</c:v>
                </c:pt>
                <c:pt idx="63">
                  <c:v>43721</c:v>
                </c:pt>
                <c:pt idx="64">
                  <c:v>43720</c:v>
                </c:pt>
                <c:pt idx="65">
                  <c:v>43719</c:v>
                </c:pt>
                <c:pt idx="66">
                  <c:v>43718</c:v>
                </c:pt>
                <c:pt idx="67">
                  <c:v>43717</c:v>
                </c:pt>
                <c:pt idx="68">
                  <c:v>43714</c:v>
                </c:pt>
                <c:pt idx="69">
                  <c:v>43713</c:v>
                </c:pt>
                <c:pt idx="70">
                  <c:v>43712</c:v>
                </c:pt>
                <c:pt idx="71">
                  <c:v>43711</c:v>
                </c:pt>
                <c:pt idx="72">
                  <c:v>43710</c:v>
                </c:pt>
                <c:pt idx="73">
                  <c:v>43707</c:v>
                </c:pt>
                <c:pt idx="74">
                  <c:v>43706</c:v>
                </c:pt>
                <c:pt idx="75">
                  <c:v>43705</c:v>
                </c:pt>
                <c:pt idx="76">
                  <c:v>43704</c:v>
                </c:pt>
                <c:pt idx="77">
                  <c:v>43703</c:v>
                </c:pt>
                <c:pt idx="78">
                  <c:v>43700</c:v>
                </c:pt>
                <c:pt idx="79">
                  <c:v>43699</c:v>
                </c:pt>
                <c:pt idx="80">
                  <c:v>43698</c:v>
                </c:pt>
                <c:pt idx="81">
                  <c:v>43697</c:v>
                </c:pt>
                <c:pt idx="82">
                  <c:v>43696</c:v>
                </c:pt>
                <c:pt idx="83">
                  <c:v>43693</c:v>
                </c:pt>
                <c:pt idx="84">
                  <c:v>43692</c:v>
                </c:pt>
                <c:pt idx="85">
                  <c:v>43691</c:v>
                </c:pt>
                <c:pt idx="86">
                  <c:v>43690</c:v>
                </c:pt>
                <c:pt idx="87">
                  <c:v>43686</c:v>
                </c:pt>
                <c:pt idx="88">
                  <c:v>43685</c:v>
                </c:pt>
                <c:pt idx="89">
                  <c:v>43684</c:v>
                </c:pt>
                <c:pt idx="90">
                  <c:v>43683</c:v>
                </c:pt>
                <c:pt idx="91">
                  <c:v>43682</c:v>
                </c:pt>
                <c:pt idx="92">
                  <c:v>43679</c:v>
                </c:pt>
                <c:pt idx="93">
                  <c:v>43678</c:v>
                </c:pt>
                <c:pt idx="94">
                  <c:v>43677</c:v>
                </c:pt>
                <c:pt idx="95">
                  <c:v>43676</c:v>
                </c:pt>
                <c:pt idx="96">
                  <c:v>43675</c:v>
                </c:pt>
                <c:pt idx="97">
                  <c:v>43672</c:v>
                </c:pt>
                <c:pt idx="98">
                  <c:v>43671</c:v>
                </c:pt>
                <c:pt idx="99">
                  <c:v>43670</c:v>
                </c:pt>
                <c:pt idx="100">
                  <c:v>43669</c:v>
                </c:pt>
                <c:pt idx="101">
                  <c:v>43668</c:v>
                </c:pt>
                <c:pt idx="102">
                  <c:v>43665</c:v>
                </c:pt>
                <c:pt idx="103">
                  <c:v>43664</c:v>
                </c:pt>
                <c:pt idx="104">
                  <c:v>43663</c:v>
                </c:pt>
                <c:pt idx="105">
                  <c:v>43662</c:v>
                </c:pt>
                <c:pt idx="106">
                  <c:v>43658</c:v>
                </c:pt>
                <c:pt idx="107">
                  <c:v>43657</c:v>
                </c:pt>
                <c:pt idx="108">
                  <c:v>43656</c:v>
                </c:pt>
                <c:pt idx="109">
                  <c:v>43655</c:v>
                </c:pt>
                <c:pt idx="110">
                  <c:v>43654</c:v>
                </c:pt>
                <c:pt idx="111">
                  <c:v>43651</c:v>
                </c:pt>
                <c:pt idx="112">
                  <c:v>43650</c:v>
                </c:pt>
                <c:pt idx="113">
                  <c:v>43649</c:v>
                </c:pt>
                <c:pt idx="114">
                  <c:v>43648</c:v>
                </c:pt>
                <c:pt idx="115">
                  <c:v>43647</c:v>
                </c:pt>
                <c:pt idx="116">
                  <c:v>43644</c:v>
                </c:pt>
                <c:pt idx="117">
                  <c:v>43643</c:v>
                </c:pt>
                <c:pt idx="118">
                  <c:v>43642</c:v>
                </c:pt>
                <c:pt idx="119">
                  <c:v>43641</c:v>
                </c:pt>
                <c:pt idx="120">
                  <c:v>43640</c:v>
                </c:pt>
                <c:pt idx="121">
                  <c:v>43637</c:v>
                </c:pt>
                <c:pt idx="122">
                  <c:v>43636</c:v>
                </c:pt>
                <c:pt idx="123">
                  <c:v>43635</c:v>
                </c:pt>
                <c:pt idx="124">
                  <c:v>43634</c:v>
                </c:pt>
                <c:pt idx="125">
                  <c:v>43633</c:v>
                </c:pt>
                <c:pt idx="126">
                  <c:v>43630</c:v>
                </c:pt>
                <c:pt idx="127">
                  <c:v>43629</c:v>
                </c:pt>
                <c:pt idx="128">
                  <c:v>43628</c:v>
                </c:pt>
                <c:pt idx="129">
                  <c:v>43627</c:v>
                </c:pt>
                <c:pt idx="130">
                  <c:v>43626</c:v>
                </c:pt>
                <c:pt idx="131">
                  <c:v>43623</c:v>
                </c:pt>
                <c:pt idx="132">
                  <c:v>43622</c:v>
                </c:pt>
                <c:pt idx="133">
                  <c:v>43621</c:v>
                </c:pt>
                <c:pt idx="134">
                  <c:v>43620</c:v>
                </c:pt>
                <c:pt idx="135">
                  <c:v>43619</c:v>
                </c:pt>
                <c:pt idx="136">
                  <c:v>43616</c:v>
                </c:pt>
                <c:pt idx="137">
                  <c:v>43615</c:v>
                </c:pt>
                <c:pt idx="138">
                  <c:v>43614</c:v>
                </c:pt>
                <c:pt idx="139">
                  <c:v>43613</c:v>
                </c:pt>
                <c:pt idx="140">
                  <c:v>43612</c:v>
                </c:pt>
                <c:pt idx="141">
                  <c:v>43609</c:v>
                </c:pt>
                <c:pt idx="142">
                  <c:v>43608</c:v>
                </c:pt>
                <c:pt idx="143">
                  <c:v>43607</c:v>
                </c:pt>
                <c:pt idx="144">
                  <c:v>43606</c:v>
                </c:pt>
                <c:pt idx="145">
                  <c:v>43605</c:v>
                </c:pt>
                <c:pt idx="146">
                  <c:v>43602</c:v>
                </c:pt>
                <c:pt idx="147">
                  <c:v>43601</c:v>
                </c:pt>
                <c:pt idx="148">
                  <c:v>43600</c:v>
                </c:pt>
                <c:pt idx="149">
                  <c:v>43599</c:v>
                </c:pt>
                <c:pt idx="150">
                  <c:v>43598</c:v>
                </c:pt>
                <c:pt idx="151">
                  <c:v>43595</c:v>
                </c:pt>
                <c:pt idx="152">
                  <c:v>43594</c:v>
                </c:pt>
                <c:pt idx="153">
                  <c:v>43593</c:v>
                </c:pt>
                <c:pt idx="154">
                  <c:v>43592</c:v>
                </c:pt>
                <c:pt idx="155">
                  <c:v>43581</c:v>
                </c:pt>
                <c:pt idx="156">
                  <c:v>43580</c:v>
                </c:pt>
                <c:pt idx="157">
                  <c:v>43579</c:v>
                </c:pt>
                <c:pt idx="158">
                  <c:v>43578</c:v>
                </c:pt>
                <c:pt idx="159">
                  <c:v>43577</c:v>
                </c:pt>
                <c:pt idx="160">
                  <c:v>43574</c:v>
                </c:pt>
                <c:pt idx="161">
                  <c:v>43573</c:v>
                </c:pt>
                <c:pt idx="162">
                  <c:v>43572</c:v>
                </c:pt>
                <c:pt idx="163">
                  <c:v>43571</c:v>
                </c:pt>
                <c:pt idx="164">
                  <c:v>43570</c:v>
                </c:pt>
                <c:pt idx="165">
                  <c:v>43567</c:v>
                </c:pt>
                <c:pt idx="166">
                  <c:v>43566</c:v>
                </c:pt>
                <c:pt idx="167">
                  <c:v>43565</c:v>
                </c:pt>
                <c:pt idx="168">
                  <c:v>43564</c:v>
                </c:pt>
                <c:pt idx="169">
                  <c:v>43563</c:v>
                </c:pt>
                <c:pt idx="170">
                  <c:v>43560</c:v>
                </c:pt>
                <c:pt idx="171">
                  <c:v>43559</c:v>
                </c:pt>
                <c:pt idx="172">
                  <c:v>43558</c:v>
                </c:pt>
                <c:pt idx="173">
                  <c:v>43557</c:v>
                </c:pt>
                <c:pt idx="174">
                  <c:v>43556</c:v>
                </c:pt>
                <c:pt idx="175">
                  <c:v>43553</c:v>
                </c:pt>
                <c:pt idx="176">
                  <c:v>43552</c:v>
                </c:pt>
                <c:pt idx="177">
                  <c:v>43551</c:v>
                </c:pt>
                <c:pt idx="178">
                  <c:v>43550</c:v>
                </c:pt>
                <c:pt idx="179">
                  <c:v>43549</c:v>
                </c:pt>
                <c:pt idx="180">
                  <c:v>43546</c:v>
                </c:pt>
                <c:pt idx="181">
                  <c:v>43544</c:v>
                </c:pt>
                <c:pt idx="182">
                  <c:v>43543</c:v>
                </c:pt>
                <c:pt idx="183">
                  <c:v>43542</c:v>
                </c:pt>
                <c:pt idx="184">
                  <c:v>43539</c:v>
                </c:pt>
                <c:pt idx="185">
                  <c:v>43538</c:v>
                </c:pt>
                <c:pt idx="186">
                  <c:v>43537</c:v>
                </c:pt>
                <c:pt idx="187">
                  <c:v>43536</c:v>
                </c:pt>
                <c:pt idx="188">
                  <c:v>43535</c:v>
                </c:pt>
                <c:pt idx="189">
                  <c:v>43532</c:v>
                </c:pt>
                <c:pt idx="190">
                  <c:v>43531</c:v>
                </c:pt>
                <c:pt idx="191">
                  <c:v>43530</c:v>
                </c:pt>
                <c:pt idx="192">
                  <c:v>43529</c:v>
                </c:pt>
                <c:pt idx="193">
                  <c:v>43528</c:v>
                </c:pt>
                <c:pt idx="194">
                  <c:v>43525</c:v>
                </c:pt>
                <c:pt idx="195">
                  <c:v>43524</c:v>
                </c:pt>
                <c:pt idx="196">
                  <c:v>43523</c:v>
                </c:pt>
                <c:pt idx="197">
                  <c:v>43522</c:v>
                </c:pt>
                <c:pt idx="198">
                  <c:v>43521</c:v>
                </c:pt>
                <c:pt idx="199">
                  <c:v>43518</c:v>
                </c:pt>
                <c:pt idx="200">
                  <c:v>43517</c:v>
                </c:pt>
                <c:pt idx="201">
                  <c:v>43516</c:v>
                </c:pt>
                <c:pt idx="202">
                  <c:v>43515</c:v>
                </c:pt>
                <c:pt idx="203">
                  <c:v>43514</c:v>
                </c:pt>
                <c:pt idx="204">
                  <c:v>43511</c:v>
                </c:pt>
                <c:pt idx="205">
                  <c:v>43510</c:v>
                </c:pt>
                <c:pt idx="206">
                  <c:v>43509</c:v>
                </c:pt>
                <c:pt idx="207">
                  <c:v>43508</c:v>
                </c:pt>
                <c:pt idx="208">
                  <c:v>43504</c:v>
                </c:pt>
                <c:pt idx="209">
                  <c:v>43503</c:v>
                </c:pt>
                <c:pt idx="210">
                  <c:v>43502</c:v>
                </c:pt>
                <c:pt idx="211">
                  <c:v>43501</c:v>
                </c:pt>
                <c:pt idx="212">
                  <c:v>43500</c:v>
                </c:pt>
                <c:pt idx="213">
                  <c:v>43497</c:v>
                </c:pt>
                <c:pt idx="214">
                  <c:v>43496</c:v>
                </c:pt>
                <c:pt idx="215">
                  <c:v>43495</c:v>
                </c:pt>
                <c:pt idx="216">
                  <c:v>43494</c:v>
                </c:pt>
                <c:pt idx="217">
                  <c:v>43493</c:v>
                </c:pt>
                <c:pt idx="218">
                  <c:v>43490</c:v>
                </c:pt>
                <c:pt idx="219">
                  <c:v>43489</c:v>
                </c:pt>
                <c:pt idx="220">
                  <c:v>43488</c:v>
                </c:pt>
                <c:pt idx="221">
                  <c:v>43487</c:v>
                </c:pt>
                <c:pt idx="222">
                  <c:v>43486</c:v>
                </c:pt>
                <c:pt idx="223">
                  <c:v>43483</c:v>
                </c:pt>
                <c:pt idx="224">
                  <c:v>43482</c:v>
                </c:pt>
                <c:pt idx="225">
                  <c:v>43481</c:v>
                </c:pt>
                <c:pt idx="226">
                  <c:v>43480</c:v>
                </c:pt>
                <c:pt idx="227">
                  <c:v>43476</c:v>
                </c:pt>
                <c:pt idx="228">
                  <c:v>43475</c:v>
                </c:pt>
                <c:pt idx="229">
                  <c:v>43474</c:v>
                </c:pt>
                <c:pt idx="230">
                  <c:v>43473</c:v>
                </c:pt>
                <c:pt idx="231">
                  <c:v>43472</c:v>
                </c:pt>
                <c:pt idx="232">
                  <c:v>43469</c:v>
                </c:pt>
                <c:pt idx="233">
                  <c:v>43462</c:v>
                </c:pt>
                <c:pt idx="234">
                  <c:v>43461</c:v>
                </c:pt>
                <c:pt idx="235">
                  <c:v>43460</c:v>
                </c:pt>
                <c:pt idx="236">
                  <c:v>43459</c:v>
                </c:pt>
                <c:pt idx="237">
                  <c:v>43455</c:v>
                </c:pt>
                <c:pt idx="238">
                  <c:v>43454</c:v>
                </c:pt>
                <c:pt idx="239">
                  <c:v>43453</c:v>
                </c:pt>
                <c:pt idx="240">
                  <c:v>43452</c:v>
                </c:pt>
                <c:pt idx="241">
                  <c:v>43451</c:v>
                </c:pt>
              </c:numCache>
            </c:numRef>
          </c:cat>
          <c:val>
            <c:numRef>
              <c:f>BACK_TEST!$G$82:$G$700</c:f>
              <c:numCache>
                <c:formatCode>General</c:formatCode>
                <c:ptCount val="619"/>
                <c:pt idx="0">
                  <c:v>0.445082187958391</c:v>
                </c:pt>
                <c:pt idx="1">
                  <c:v>0.445414069534463</c:v>
                </c:pt>
                <c:pt idx="2">
                  <c:v>0.44572108015853001</c:v>
                </c:pt>
                <c:pt idx="3">
                  <c:v>0.44603411565511297</c:v>
                </c:pt>
                <c:pt idx="4">
                  <c:v>0.44635097637535998</c:v>
                </c:pt>
                <c:pt idx="5">
                  <c:v>0.44677781291198698</c:v>
                </c:pt>
                <c:pt idx="6">
                  <c:v>0.44720946417275498</c:v>
                </c:pt>
                <c:pt idx="7">
                  <c:v>0.447683300640913</c:v>
                </c:pt>
                <c:pt idx="8">
                  <c:v>0.44819840985695703</c:v>
                </c:pt>
                <c:pt idx="9">
                  <c:v>0.44856080265160603</c:v>
                </c:pt>
                <c:pt idx="10">
                  <c:v>0.448826994129706</c:v>
                </c:pt>
                <c:pt idx="11">
                  <c:v>0.44902501920242099</c:v>
                </c:pt>
                <c:pt idx="12">
                  <c:v>0.44920238397038997</c:v>
                </c:pt>
                <c:pt idx="13">
                  <c:v>0.44908244431590599</c:v>
                </c:pt>
                <c:pt idx="14">
                  <c:v>0.44904111696181598</c:v>
                </c:pt>
                <c:pt idx="15">
                  <c:v>0.44897543882003499</c:v>
                </c:pt>
                <c:pt idx="16">
                  <c:v>0.449057072584227</c:v>
                </c:pt>
                <c:pt idx="17">
                  <c:v>0.44904614090607697</c:v>
                </c:pt>
                <c:pt idx="18">
                  <c:v>0.44891044662252999</c:v>
                </c:pt>
                <c:pt idx="19">
                  <c:v>0.44874739851607198</c:v>
                </c:pt>
                <c:pt idx="20">
                  <c:v>0.44845330124746802</c:v>
                </c:pt>
                <c:pt idx="21">
                  <c:v>0.44834600968503302</c:v>
                </c:pt>
                <c:pt idx="22">
                  <c:v>0.44841520558978198</c:v>
                </c:pt>
                <c:pt idx="23">
                  <c:v>0.448421167755233</c:v>
                </c:pt>
                <c:pt idx="24">
                  <c:v>0.448582416285777</c:v>
                </c:pt>
                <c:pt idx="25">
                  <c:v>0.44879118799793599</c:v>
                </c:pt>
                <c:pt idx="26">
                  <c:v>0.44897597674268203</c:v>
                </c:pt>
                <c:pt idx="27">
                  <c:v>0.44913543508327403</c:v>
                </c:pt>
                <c:pt idx="28">
                  <c:v>0.44930518709995898</c:v>
                </c:pt>
                <c:pt idx="29">
                  <c:v>0.44945858361337199</c:v>
                </c:pt>
                <c:pt idx="30">
                  <c:v>0.44964349726475999</c:v>
                </c:pt>
                <c:pt idx="31">
                  <c:v>0.44987037530329299</c:v>
                </c:pt>
                <c:pt idx="32">
                  <c:v>0.450138154163361</c:v>
                </c:pt>
                <c:pt idx="33">
                  <c:v>0.45020560705949603</c:v>
                </c:pt>
                <c:pt idx="34">
                  <c:v>0.450409428107169</c:v>
                </c:pt>
                <c:pt idx="35">
                  <c:v>0.45075361788378199</c:v>
                </c:pt>
                <c:pt idx="36">
                  <c:v>0.45120523018354702</c:v>
                </c:pt>
                <c:pt idx="37">
                  <c:v>0.45166116643105703</c:v>
                </c:pt>
                <c:pt idx="38">
                  <c:v>0.45202073266192799</c:v>
                </c:pt>
                <c:pt idx="39">
                  <c:v>0.45235536217612898</c:v>
                </c:pt>
                <c:pt idx="40">
                  <c:v>0.452744688678406</c:v>
                </c:pt>
                <c:pt idx="41">
                  <c:v>0.45307834792885099</c:v>
                </c:pt>
                <c:pt idx="42">
                  <c:v>0.45329667188852202</c:v>
                </c:pt>
                <c:pt idx="43">
                  <c:v>0.45356661960821898</c:v>
                </c:pt>
                <c:pt idx="44">
                  <c:v>0.45394798818078202</c:v>
                </c:pt>
                <c:pt idx="45">
                  <c:v>0.45426118463635601</c:v>
                </c:pt>
                <c:pt idx="46">
                  <c:v>0.45445407105604702</c:v>
                </c:pt>
                <c:pt idx="47">
                  <c:v>0.45462874560470801</c:v>
                </c:pt>
                <c:pt idx="48">
                  <c:v>0.45476735472462498</c:v>
                </c:pt>
                <c:pt idx="49">
                  <c:v>0.45497448580519501</c:v>
                </c:pt>
                <c:pt idx="50">
                  <c:v>0.45509691282068698</c:v>
                </c:pt>
                <c:pt idx="51">
                  <c:v>0.45526472881146801</c:v>
                </c:pt>
                <c:pt idx="52">
                  <c:v>0.45547970317044301</c:v>
                </c:pt>
                <c:pt idx="53">
                  <c:v>0.45573323087350798</c:v>
                </c:pt>
                <c:pt idx="54">
                  <c:v>0.45596924888742701</c:v>
                </c:pt>
                <c:pt idx="55">
                  <c:v>0.45593515557255898</c:v>
                </c:pt>
                <c:pt idx="56">
                  <c:v>0.45579887152440801</c:v>
                </c:pt>
                <c:pt idx="57">
                  <c:v>0.45532300389404401</c:v>
                </c:pt>
                <c:pt idx="58">
                  <c:v>0.45478126263451302</c:v>
                </c:pt>
                <c:pt idx="59">
                  <c:v>0.45431505491730501</c:v>
                </c:pt>
                <c:pt idx="60">
                  <c:v>0.45386655649990998</c:v>
                </c:pt>
                <c:pt idx="61">
                  <c:v>0.45345335506936801</c:v>
                </c:pt>
                <c:pt idx="62">
                  <c:v>0.45309898821350197</c:v>
                </c:pt>
                <c:pt idx="63">
                  <c:v>0.45271087834652901</c:v>
                </c:pt>
                <c:pt idx="64">
                  <c:v>0.45244130561805901</c:v>
                </c:pt>
                <c:pt idx="65">
                  <c:v>0.452087995176435</c:v>
                </c:pt>
                <c:pt idx="66">
                  <c:v>0.45187061641992599</c:v>
                </c:pt>
                <c:pt idx="67">
                  <c:v>0.45140236650267601</c:v>
                </c:pt>
                <c:pt idx="68">
                  <c:v>0.45100140666994698</c:v>
                </c:pt>
                <c:pt idx="69">
                  <c:v>0.45066676164289698</c:v>
                </c:pt>
                <c:pt idx="70">
                  <c:v>0.45033275312215099</c:v>
                </c:pt>
                <c:pt idx="71">
                  <c:v>0.45002750628416799</c:v>
                </c:pt>
                <c:pt idx="72">
                  <c:v>0.44980904811945199</c:v>
                </c:pt>
                <c:pt idx="73">
                  <c:v>0.44966964693648998</c:v>
                </c:pt>
                <c:pt idx="74">
                  <c:v>0.44953508493984401</c:v>
                </c:pt>
                <c:pt idx="75">
                  <c:v>0.44944211427796499</c:v>
                </c:pt>
                <c:pt idx="76">
                  <c:v>0.449400917225033</c:v>
                </c:pt>
                <c:pt idx="77">
                  <c:v>0.44937117723585301</c:v>
                </c:pt>
                <c:pt idx="78">
                  <c:v>0.44933757596158502</c:v>
                </c:pt>
                <c:pt idx="79">
                  <c:v>0.44949351198211601</c:v>
                </c:pt>
                <c:pt idx="80">
                  <c:v>0.449599118630859</c:v>
                </c:pt>
                <c:pt idx="81">
                  <c:v>0.44979506549287901</c:v>
                </c:pt>
                <c:pt idx="82">
                  <c:v>0.44983960438883402</c:v>
                </c:pt>
                <c:pt idx="83">
                  <c:v>0.44990579390605301</c:v>
                </c:pt>
                <c:pt idx="84">
                  <c:v>0.450169497414941</c:v>
                </c:pt>
                <c:pt idx="85">
                  <c:v>0.45047936718347398</c:v>
                </c:pt>
                <c:pt idx="86">
                  <c:v>0.45070696770018998</c:v>
                </c:pt>
                <c:pt idx="87">
                  <c:v>0.45088302827077098</c:v>
                </c:pt>
                <c:pt idx="88">
                  <c:v>0.45123135250375601</c:v>
                </c:pt>
                <c:pt idx="89">
                  <c:v>0.451674422574951</c:v>
                </c:pt>
                <c:pt idx="90">
                  <c:v>0.45223043714082201</c:v>
                </c:pt>
                <c:pt idx="91">
                  <c:v>0.45270792513112501</c:v>
                </c:pt>
                <c:pt idx="92">
                  <c:v>0.45325704880850598</c:v>
                </c:pt>
                <c:pt idx="93">
                  <c:v>0.45381593007182902</c:v>
                </c:pt>
                <c:pt idx="94">
                  <c:v>0.45439527539776098</c:v>
                </c:pt>
                <c:pt idx="95">
                  <c:v>0.45509218402797902</c:v>
                </c:pt>
                <c:pt idx="96">
                  <c:v>0.45559171700125201</c:v>
                </c:pt>
                <c:pt idx="97">
                  <c:v>0.45607919319782902</c:v>
                </c:pt>
                <c:pt idx="98">
                  <c:v>0.45656352872691303</c:v>
                </c:pt>
                <c:pt idx="99">
                  <c:v>0.45703094389165</c:v>
                </c:pt>
                <c:pt idx="100">
                  <c:v>0.45773922389165</c:v>
                </c:pt>
                <c:pt idx="101">
                  <c:v>0.45836475717279401</c:v>
                </c:pt>
                <c:pt idx="102">
                  <c:v>0.45913605127868601</c:v>
                </c:pt>
                <c:pt idx="103">
                  <c:v>0.45999310705680901</c:v>
                </c:pt>
                <c:pt idx="104">
                  <c:v>0.46085417196418099</c:v>
                </c:pt>
                <c:pt idx="105">
                  <c:v>0.46172455123679101</c:v>
                </c:pt>
                <c:pt idx="106">
                  <c:v>0.46252675068966498</c:v>
                </c:pt>
                <c:pt idx="107">
                  <c:v>0.46312364001380402</c:v>
                </c:pt>
                <c:pt idx="108">
                  <c:v>0.463624926765423</c:v>
                </c:pt>
                <c:pt idx="109">
                  <c:v>0.46411841815308902</c:v>
                </c:pt>
                <c:pt idx="110">
                  <c:v>0.464595282875928</c:v>
                </c:pt>
                <c:pt idx="111">
                  <c:v>0.46503030659475098</c:v>
                </c:pt>
                <c:pt idx="112">
                  <c:v>0.465432898452035</c:v>
                </c:pt>
                <c:pt idx="113">
                  <c:v>0.465819088696388</c:v>
                </c:pt>
                <c:pt idx="114">
                  <c:v>0.46629616114130501</c:v>
                </c:pt>
                <c:pt idx="115">
                  <c:v>0.46666816399344402</c:v>
                </c:pt>
                <c:pt idx="116">
                  <c:v>0.466887187816514</c:v>
                </c:pt>
                <c:pt idx="117">
                  <c:v>0.46710565794394199</c:v>
                </c:pt>
                <c:pt idx="118">
                  <c:v>0.46727721724320498</c:v>
                </c:pt>
                <c:pt idx="119">
                  <c:v>0.46732443202284402</c:v>
                </c:pt>
                <c:pt idx="120">
                  <c:v>0.46741277569045497</c:v>
                </c:pt>
                <c:pt idx="121">
                  <c:v>0.46762456923996598</c:v>
                </c:pt>
                <c:pt idx="122">
                  <c:v>0.46781857022576401</c:v>
                </c:pt>
                <c:pt idx="123">
                  <c:v>0.46810639826168599</c:v>
                </c:pt>
                <c:pt idx="124">
                  <c:v>0.46826604007477701</c:v>
                </c:pt>
                <c:pt idx="125">
                  <c:v>0.46877395873736699</c:v>
                </c:pt>
                <c:pt idx="126">
                  <c:v>0.46930199029447001</c:v>
                </c:pt>
                <c:pt idx="127">
                  <c:v>0.46985557898534902</c:v>
                </c:pt>
                <c:pt idx="128">
                  <c:v>0.470232808537702</c:v>
                </c:pt>
                <c:pt idx="129">
                  <c:v>0.47052071944524199</c:v>
                </c:pt>
                <c:pt idx="130">
                  <c:v>0.47098188235473099</c:v>
                </c:pt>
                <c:pt idx="131">
                  <c:v>0.47121706130716201</c:v>
                </c:pt>
                <c:pt idx="132">
                  <c:v>0.47149819215775401</c:v>
                </c:pt>
                <c:pt idx="133">
                  <c:v>0.47177078760429603</c:v>
                </c:pt>
                <c:pt idx="134">
                  <c:v>0.47211701047562099</c:v>
                </c:pt>
                <c:pt idx="135">
                  <c:v>0.47270362415491901</c:v>
                </c:pt>
                <c:pt idx="136">
                  <c:v>0.47335038092029302</c:v>
                </c:pt>
                <c:pt idx="137">
                  <c:v>0.47394701606270201</c:v>
                </c:pt>
                <c:pt idx="138">
                  <c:v>0.47453876618787999</c:v>
                </c:pt>
                <c:pt idx="139">
                  <c:v>0.47524793668410598</c:v>
                </c:pt>
                <c:pt idx="140">
                  <c:v>0.47595978314183002</c:v>
                </c:pt>
                <c:pt idx="141">
                  <c:v>0.47668849539553598</c:v>
                </c:pt>
                <c:pt idx="142">
                  <c:v>0.47721763149480101</c:v>
                </c:pt>
                <c:pt idx="143">
                  <c:v>0.47766291486226098</c:v>
                </c:pt>
                <c:pt idx="144">
                  <c:v>0.47807089623242599</c:v>
                </c:pt>
                <c:pt idx="145">
                  <c:v>0.47856401296773599</c:v>
                </c:pt>
                <c:pt idx="146">
                  <c:v>0.47906204874020197</c:v>
                </c:pt>
                <c:pt idx="147">
                  <c:v>0.479364205495588</c:v>
                </c:pt>
                <c:pt idx="148">
                  <c:v>0.47956065050215801</c:v>
                </c:pt>
                <c:pt idx="149">
                  <c:v>0.479621679069409</c:v>
                </c:pt>
                <c:pt idx="150">
                  <c:v>0.47953129324198701</c:v>
                </c:pt>
                <c:pt idx="151">
                  <c:v>0.47934424820707799</c:v>
                </c:pt>
                <c:pt idx="152">
                  <c:v>0.47917842146376</c:v>
                </c:pt>
                <c:pt idx="153">
                  <c:v>0.47908661306866801</c:v>
                </c:pt>
                <c:pt idx="154">
                  <c:v>0.47883366160160701</c:v>
                </c:pt>
                <c:pt idx="155">
                  <c:v>0.478459191496931</c:v>
                </c:pt>
                <c:pt idx="156">
                  <c:v>0.47799114503106299</c:v>
                </c:pt>
                <c:pt idx="157">
                  <c:v>0.477638306627437</c:v>
                </c:pt>
                <c:pt idx="158">
                  <c:v>0.47716431927136199</c:v>
                </c:pt>
                <c:pt idx="159">
                  <c:v>0.476429201688922</c:v>
                </c:pt>
                <c:pt idx="160">
                  <c:v>0.47570641121156598</c:v>
                </c:pt>
                <c:pt idx="161">
                  <c:v>0.47505898200118202</c:v>
                </c:pt>
                <c:pt idx="162">
                  <c:v>0.474371033036253</c:v>
                </c:pt>
                <c:pt idx="163">
                  <c:v>0.47378159385020402</c:v>
                </c:pt>
                <c:pt idx="164">
                  <c:v>0.47308572438633401</c:v>
                </c:pt>
                <c:pt idx="165">
                  <c:v>0.472235009444612</c:v>
                </c:pt>
                <c:pt idx="166">
                  <c:v>0.47146936700276099</c:v>
                </c:pt>
                <c:pt idx="167">
                  <c:v>0.47071424209313001</c:v>
                </c:pt>
                <c:pt idx="168">
                  <c:v>0.47015546012185699</c:v>
                </c:pt>
                <c:pt idx="169">
                  <c:v>0.46952358765992203</c:v>
                </c:pt>
                <c:pt idx="170">
                  <c:v>0.46876297191189298</c:v>
                </c:pt>
                <c:pt idx="171">
                  <c:v>0.46799524103354101</c:v>
                </c:pt>
                <c:pt idx="172">
                  <c:v>0.46725421638665998</c:v>
                </c:pt>
                <c:pt idx="173">
                  <c:v>0.466681315833404</c:v>
                </c:pt>
                <c:pt idx="174">
                  <c:v>0.46599240835618999</c:v>
                </c:pt>
                <c:pt idx="175">
                  <c:v>0.46511547668557701</c:v>
                </c:pt>
                <c:pt idx="176">
                  <c:v>0.46422310492309299</c:v>
                </c:pt>
                <c:pt idx="177">
                  <c:v>0.46327269359733803</c:v>
                </c:pt>
                <c:pt idx="178">
                  <c:v>0.462232568292338</c:v>
                </c:pt>
                <c:pt idx="179">
                  <c:v>0.46127974251613701</c:v>
                </c:pt>
                <c:pt idx="180">
                  <c:v>0.46017680656111898</c:v>
                </c:pt>
                <c:pt idx="181">
                  <c:v>0.459117727565447</c:v>
                </c:pt>
                <c:pt idx="182">
                  <c:v>0.45840787042481101</c:v>
                </c:pt>
                <c:pt idx="183">
                  <c:v>0.457824848200377</c:v>
                </c:pt>
                <c:pt idx="184">
                  <c:v>0.45711332963385098</c:v>
                </c:pt>
                <c:pt idx="185">
                  <c:v>0.45641874765586699</c:v>
                </c:pt>
                <c:pt idx="186">
                  <c:v>0.45564438848493799</c:v>
                </c:pt>
                <c:pt idx="187">
                  <c:v>0.45479594547525598</c:v>
                </c:pt>
                <c:pt idx="188">
                  <c:v>0.45396347625488798</c:v>
                </c:pt>
                <c:pt idx="189">
                  <c:v>0.45284436360267499</c:v>
                </c:pt>
                <c:pt idx="190">
                  <c:v>0.45190558905629502</c:v>
                </c:pt>
                <c:pt idx="191">
                  <c:v>0.45107694025115203</c:v>
                </c:pt>
                <c:pt idx="192">
                  <c:v>0.450329537739589</c:v>
                </c:pt>
                <c:pt idx="193">
                  <c:v>0.449575442856393</c:v>
                </c:pt>
                <c:pt idx="194">
                  <c:v>0.448757944732602</c:v>
                </c:pt>
                <c:pt idx="195">
                  <c:v>0.44786072602777599</c:v>
                </c:pt>
                <c:pt idx="196">
                  <c:v>0.446810583224313</c:v>
                </c:pt>
                <c:pt idx="197">
                  <c:v>0.44613266091957099</c:v>
                </c:pt>
                <c:pt idx="198">
                  <c:v>0.44546847003767798</c:v>
                </c:pt>
                <c:pt idx="199">
                  <c:v>0.444999065991869</c:v>
                </c:pt>
                <c:pt idx="200">
                  <c:v>0.44445964796603699</c:v>
                </c:pt>
                <c:pt idx="201">
                  <c:v>0.44373609726048102</c:v>
                </c:pt>
                <c:pt idx="202">
                  <c:v>0.44287876261150799</c:v>
                </c:pt>
                <c:pt idx="203">
                  <c:v>0.44218357551267201</c:v>
                </c:pt>
                <c:pt idx="204">
                  <c:v>0.44134304190104501</c:v>
                </c:pt>
                <c:pt idx="205">
                  <c:v>0.440398879708994</c:v>
                </c:pt>
                <c:pt idx="206">
                  <c:v>0.43978882645459699</c:v>
                </c:pt>
                <c:pt idx="207">
                  <c:v>0.43930100914904502</c:v>
                </c:pt>
                <c:pt idx="208">
                  <c:v>0.43894769143373502</c:v>
                </c:pt>
                <c:pt idx="209">
                  <c:v>0.43855588061957002</c:v>
                </c:pt>
                <c:pt idx="210">
                  <c:v>0.43795641682006098</c:v>
                </c:pt>
                <c:pt idx="211">
                  <c:v>0.43723003664457799</c:v>
                </c:pt>
                <c:pt idx="212">
                  <c:v>0.43652673000763298</c:v>
                </c:pt>
                <c:pt idx="213">
                  <c:v>0.43575509230340398</c:v>
                </c:pt>
                <c:pt idx="214">
                  <c:v>0.43507312282206101</c:v>
                </c:pt>
                <c:pt idx="215">
                  <c:v>0.43447090855097498</c:v>
                </c:pt>
                <c:pt idx="216">
                  <c:v>0.433658886104622</c:v>
                </c:pt>
                <c:pt idx="217">
                  <c:v>0.433182958266007</c:v>
                </c:pt>
                <c:pt idx="218">
                  <c:v>0.43283963544204002</c:v>
                </c:pt>
                <c:pt idx="219">
                  <c:v>0.432436832018608</c:v>
                </c:pt>
                <c:pt idx="220">
                  <c:v>0.43190104432110799</c:v>
                </c:pt>
                <c:pt idx="221">
                  <c:v>0.43141299152512902</c:v>
                </c:pt>
                <c:pt idx="222">
                  <c:v>0.43086061748445498</c:v>
                </c:pt>
                <c:pt idx="223">
                  <c:v>0.43018320250797198</c:v>
                </c:pt>
                <c:pt idx="224">
                  <c:v>0.42966402657052499</c:v>
                </c:pt>
                <c:pt idx="225">
                  <c:v>0.42916903111585403</c:v>
                </c:pt>
                <c:pt idx="226">
                  <c:v>0.42883411760384699</c:v>
                </c:pt>
                <c:pt idx="227">
                  <c:v>0.42857105350528801</c:v>
                </c:pt>
                <c:pt idx="228">
                  <c:v>0.42835331896857998</c:v>
                </c:pt>
                <c:pt idx="229">
                  <c:v>0.42818615273861999</c:v>
                </c:pt>
                <c:pt idx="230">
                  <c:v>0.42800357554117102</c:v>
                </c:pt>
                <c:pt idx="231">
                  <c:v>0.42771379977850299</c:v>
                </c:pt>
                <c:pt idx="232">
                  <c:v>0.42734324650830102</c:v>
                </c:pt>
                <c:pt idx="233">
                  <c:v>0.426981219684755</c:v>
                </c:pt>
                <c:pt idx="234">
                  <c:v>0.42695216678187697</c:v>
                </c:pt>
                <c:pt idx="235">
                  <c:v>0.42689734337429203</c:v>
                </c:pt>
                <c:pt idx="236">
                  <c:v>0.426845278486432</c:v>
                </c:pt>
                <c:pt idx="237">
                  <c:v>0.42689164984981898</c:v>
                </c:pt>
                <c:pt idx="238">
                  <c:v>0.42681637695338798</c:v>
                </c:pt>
                <c:pt idx="239">
                  <c:v>0.42673965317330997</c:v>
                </c:pt>
                <c:pt idx="240">
                  <c:v>0.42671775407743001</c:v>
                </c:pt>
                <c:pt idx="241">
                  <c:v>0.42666276829612099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65-4CDF-91FD-9E04D901ECA1}"/>
            </c:ext>
          </c:extLst>
        </c:ser>
        <c:ser>
          <c:idx val="2"/>
          <c:order val="2"/>
          <c:tx>
            <c:strRef>
              <c:f>BACK_TEST!$R$81</c:f>
              <c:strCache>
                <c:ptCount val="1"/>
                <c:pt idx="0">
                  <c:v>+2-Sigama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43817</c:v>
                </c:pt>
                <c:pt idx="1">
                  <c:v>43816</c:v>
                </c:pt>
                <c:pt idx="2">
                  <c:v>43815</c:v>
                </c:pt>
                <c:pt idx="3">
                  <c:v>43812</c:v>
                </c:pt>
                <c:pt idx="4">
                  <c:v>43811</c:v>
                </c:pt>
                <c:pt idx="5">
                  <c:v>43810</c:v>
                </c:pt>
                <c:pt idx="6">
                  <c:v>43809</c:v>
                </c:pt>
                <c:pt idx="7">
                  <c:v>43808</c:v>
                </c:pt>
                <c:pt idx="8">
                  <c:v>43805</c:v>
                </c:pt>
                <c:pt idx="9">
                  <c:v>43804</c:v>
                </c:pt>
                <c:pt idx="10">
                  <c:v>43803</c:v>
                </c:pt>
                <c:pt idx="11">
                  <c:v>43802</c:v>
                </c:pt>
                <c:pt idx="12">
                  <c:v>43801</c:v>
                </c:pt>
                <c:pt idx="13">
                  <c:v>43798</c:v>
                </c:pt>
                <c:pt idx="14">
                  <c:v>43797</c:v>
                </c:pt>
                <c:pt idx="15">
                  <c:v>43796</c:v>
                </c:pt>
                <c:pt idx="16">
                  <c:v>43795</c:v>
                </c:pt>
                <c:pt idx="17">
                  <c:v>43794</c:v>
                </c:pt>
                <c:pt idx="18">
                  <c:v>43791</c:v>
                </c:pt>
                <c:pt idx="19">
                  <c:v>43790</c:v>
                </c:pt>
                <c:pt idx="20">
                  <c:v>43789</c:v>
                </c:pt>
                <c:pt idx="21">
                  <c:v>43788</c:v>
                </c:pt>
                <c:pt idx="22">
                  <c:v>43787</c:v>
                </c:pt>
                <c:pt idx="23">
                  <c:v>43784</c:v>
                </c:pt>
                <c:pt idx="24">
                  <c:v>43783</c:v>
                </c:pt>
                <c:pt idx="25">
                  <c:v>43782</c:v>
                </c:pt>
                <c:pt idx="26">
                  <c:v>43781</c:v>
                </c:pt>
                <c:pt idx="27">
                  <c:v>43780</c:v>
                </c:pt>
                <c:pt idx="28">
                  <c:v>43777</c:v>
                </c:pt>
                <c:pt idx="29">
                  <c:v>43776</c:v>
                </c:pt>
                <c:pt idx="30">
                  <c:v>43775</c:v>
                </c:pt>
                <c:pt idx="31">
                  <c:v>43774</c:v>
                </c:pt>
                <c:pt idx="32">
                  <c:v>43770</c:v>
                </c:pt>
                <c:pt idx="33">
                  <c:v>43769</c:v>
                </c:pt>
                <c:pt idx="34">
                  <c:v>43768</c:v>
                </c:pt>
                <c:pt idx="35">
                  <c:v>43767</c:v>
                </c:pt>
                <c:pt idx="36">
                  <c:v>43766</c:v>
                </c:pt>
                <c:pt idx="37">
                  <c:v>43763</c:v>
                </c:pt>
                <c:pt idx="38">
                  <c:v>43762</c:v>
                </c:pt>
                <c:pt idx="39">
                  <c:v>43761</c:v>
                </c:pt>
                <c:pt idx="40">
                  <c:v>43759</c:v>
                </c:pt>
                <c:pt idx="41">
                  <c:v>43756</c:v>
                </c:pt>
                <c:pt idx="42">
                  <c:v>43755</c:v>
                </c:pt>
                <c:pt idx="43">
                  <c:v>43754</c:v>
                </c:pt>
                <c:pt idx="44">
                  <c:v>43753</c:v>
                </c:pt>
                <c:pt idx="45">
                  <c:v>43749</c:v>
                </c:pt>
                <c:pt idx="46">
                  <c:v>43748</c:v>
                </c:pt>
                <c:pt idx="47">
                  <c:v>43747</c:v>
                </c:pt>
                <c:pt idx="48">
                  <c:v>43746</c:v>
                </c:pt>
                <c:pt idx="49">
                  <c:v>43745</c:v>
                </c:pt>
                <c:pt idx="50">
                  <c:v>43742</c:v>
                </c:pt>
                <c:pt idx="51">
                  <c:v>43741</c:v>
                </c:pt>
                <c:pt idx="52">
                  <c:v>43740</c:v>
                </c:pt>
                <c:pt idx="53">
                  <c:v>43739</c:v>
                </c:pt>
                <c:pt idx="54">
                  <c:v>43738</c:v>
                </c:pt>
                <c:pt idx="55">
                  <c:v>43735</c:v>
                </c:pt>
                <c:pt idx="56">
                  <c:v>43734</c:v>
                </c:pt>
                <c:pt idx="57">
                  <c:v>43733</c:v>
                </c:pt>
                <c:pt idx="58">
                  <c:v>43732</c:v>
                </c:pt>
                <c:pt idx="59">
                  <c:v>43728</c:v>
                </c:pt>
                <c:pt idx="60">
                  <c:v>43727</c:v>
                </c:pt>
                <c:pt idx="61">
                  <c:v>43726</c:v>
                </c:pt>
                <c:pt idx="62">
                  <c:v>43725</c:v>
                </c:pt>
                <c:pt idx="63">
                  <c:v>43721</c:v>
                </c:pt>
                <c:pt idx="64">
                  <c:v>43720</c:v>
                </c:pt>
                <c:pt idx="65">
                  <c:v>43719</c:v>
                </c:pt>
                <c:pt idx="66">
                  <c:v>43718</c:v>
                </c:pt>
                <c:pt idx="67">
                  <c:v>43717</c:v>
                </c:pt>
                <c:pt idx="68">
                  <c:v>43714</c:v>
                </c:pt>
                <c:pt idx="69">
                  <c:v>43713</c:v>
                </c:pt>
                <c:pt idx="70">
                  <c:v>43712</c:v>
                </c:pt>
                <c:pt idx="71">
                  <c:v>43711</c:v>
                </c:pt>
                <c:pt idx="72">
                  <c:v>43710</c:v>
                </c:pt>
                <c:pt idx="73">
                  <c:v>43707</c:v>
                </c:pt>
                <c:pt idx="74">
                  <c:v>43706</c:v>
                </c:pt>
                <c:pt idx="75">
                  <c:v>43705</c:v>
                </c:pt>
                <c:pt idx="76">
                  <c:v>43704</c:v>
                </c:pt>
                <c:pt idx="77">
                  <c:v>43703</c:v>
                </c:pt>
                <c:pt idx="78">
                  <c:v>43700</c:v>
                </c:pt>
                <c:pt idx="79">
                  <c:v>43699</c:v>
                </c:pt>
                <c:pt idx="80">
                  <c:v>43698</c:v>
                </c:pt>
                <c:pt idx="81">
                  <c:v>43697</c:v>
                </c:pt>
                <c:pt idx="82">
                  <c:v>43696</c:v>
                </c:pt>
                <c:pt idx="83">
                  <c:v>43693</c:v>
                </c:pt>
                <c:pt idx="84">
                  <c:v>43692</c:v>
                </c:pt>
                <c:pt idx="85">
                  <c:v>43691</c:v>
                </c:pt>
                <c:pt idx="86">
                  <c:v>43690</c:v>
                </c:pt>
                <c:pt idx="87">
                  <c:v>43686</c:v>
                </c:pt>
                <c:pt idx="88">
                  <c:v>43685</c:v>
                </c:pt>
                <c:pt idx="89">
                  <c:v>43684</c:v>
                </c:pt>
                <c:pt idx="90">
                  <c:v>43683</c:v>
                </c:pt>
                <c:pt idx="91">
                  <c:v>43682</c:v>
                </c:pt>
                <c:pt idx="92">
                  <c:v>43679</c:v>
                </c:pt>
                <c:pt idx="93">
                  <c:v>43678</c:v>
                </c:pt>
                <c:pt idx="94">
                  <c:v>43677</c:v>
                </c:pt>
                <c:pt idx="95">
                  <c:v>43676</c:v>
                </c:pt>
                <c:pt idx="96">
                  <c:v>43675</c:v>
                </c:pt>
                <c:pt idx="97">
                  <c:v>43672</c:v>
                </c:pt>
                <c:pt idx="98">
                  <c:v>43671</c:v>
                </c:pt>
                <c:pt idx="99">
                  <c:v>43670</c:v>
                </c:pt>
                <c:pt idx="100">
                  <c:v>43669</c:v>
                </c:pt>
                <c:pt idx="101">
                  <c:v>43668</c:v>
                </c:pt>
                <c:pt idx="102">
                  <c:v>43665</c:v>
                </c:pt>
                <c:pt idx="103">
                  <c:v>43664</c:v>
                </c:pt>
                <c:pt idx="104">
                  <c:v>43663</c:v>
                </c:pt>
                <c:pt idx="105">
                  <c:v>43662</c:v>
                </c:pt>
                <c:pt idx="106">
                  <c:v>43658</c:v>
                </c:pt>
                <c:pt idx="107">
                  <c:v>43657</c:v>
                </c:pt>
                <c:pt idx="108">
                  <c:v>43656</c:v>
                </c:pt>
                <c:pt idx="109">
                  <c:v>43655</c:v>
                </c:pt>
                <c:pt idx="110">
                  <c:v>43654</c:v>
                </c:pt>
                <c:pt idx="111">
                  <c:v>43651</c:v>
                </c:pt>
                <c:pt idx="112">
                  <c:v>43650</c:v>
                </c:pt>
                <c:pt idx="113">
                  <c:v>43649</c:v>
                </c:pt>
                <c:pt idx="114">
                  <c:v>43648</c:v>
                </c:pt>
                <c:pt idx="115">
                  <c:v>43647</c:v>
                </c:pt>
                <c:pt idx="116">
                  <c:v>43644</c:v>
                </c:pt>
                <c:pt idx="117">
                  <c:v>43643</c:v>
                </c:pt>
                <c:pt idx="118">
                  <c:v>43642</c:v>
                </c:pt>
                <c:pt idx="119">
                  <c:v>43641</c:v>
                </c:pt>
                <c:pt idx="120">
                  <c:v>43640</c:v>
                </c:pt>
                <c:pt idx="121">
                  <c:v>43637</c:v>
                </c:pt>
                <c:pt idx="122">
                  <c:v>43636</c:v>
                </c:pt>
                <c:pt idx="123">
                  <c:v>43635</c:v>
                </c:pt>
                <c:pt idx="124">
                  <c:v>43634</c:v>
                </c:pt>
                <c:pt idx="125">
                  <c:v>43633</c:v>
                </c:pt>
                <c:pt idx="126">
                  <c:v>43630</c:v>
                </c:pt>
                <c:pt idx="127">
                  <c:v>43629</c:v>
                </c:pt>
                <c:pt idx="128">
                  <c:v>43628</c:v>
                </c:pt>
                <c:pt idx="129">
                  <c:v>43627</c:v>
                </c:pt>
                <c:pt idx="130">
                  <c:v>43626</c:v>
                </c:pt>
                <c:pt idx="131">
                  <c:v>43623</c:v>
                </c:pt>
                <c:pt idx="132">
                  <c:v>43622</c:v>
                </c:pt>
                <c:pt idx="133">
                  <c:v>43621</c:v>
                </c:pt>
                <c:pt idx="134">
                  <c:v>43620</c:v>
                </c:pt>
                <c:pt idx="135">
                  <c:v>43619</c:v>
                </c:pt>
                <c:pt idx="136">
                  <c:v>43616</c:v>
                </c:pt>
                <c:pt idx="137">
                  <c:v>43615</c:v>
                </c:pt>
                <c:pt idx="138">
                  <c:v>43614</c:v>
                </c:pt>
                <c:pt idx="139">
                  <c:v>43613</c:v>
                </c:pt>
                <c:pt idx="140">
                  <c:v>43612</c:v>
                </c:pt>
                <c:pt idx="141">
                  <c:v>43609</c:v>
                </c:pt>
                <c:pt idx="142">
                  <c:v>43608</c:v>
                </c:pt>
                <c:pt idx="143">
                  <c:v>43607</c:v>
                </c:pt>
                <c:pt idx="144">
                  <c:v>43606</c:v>
                </c:pt>
                <c:pt idx="145">
                  <c:v>43605</c:v>
                </c:pt>
                <c:pt idx="146">
                  <c:v>43602</c:v>
                </c:pt>
                <c:pt idx="147">
                  <c:v>43601</c:v>
                </c:pt>
                <c:pt idx="148">
                  <c:v>43600</c:v>
                </c:pt>
                <c:pt idx="149">
                  <c:v>43599</c:v>
                </c:pt>
                <c:pt idx="150">
                  <c:v>43598</c:v>
                </c:pt>
                <c:pt idx="151">
                  <c:v>43595</c:v>
                </c:pt>
                <c:pt idx="152">
                  <c:v>43594</c:v>
                </c:pt>
                <c:pt idx="153">
                  <c:v>43593</c:v>
                </c:pt>
                <c:pt idx="154">
                  <c:v>43592</c:v>
                </c:pt>
                <c:pt idx="155">
                  <c:v>43581</c:v>
                </c:pt>
                <c:pt idx="156">
                  <c:v>43580</c:v>
                </c:pt>
                <c:pt idx="157">
                  <c:v>43579</c:v>
                </c:pt>
                <c:pt idx="158">
                  <c:v>43578</c:v>
                </c:pt>
                <c:pt idx="159">
                  <c:v>43577</c:v>
                </c:pt>
                <c:pt idx="160">
                  <c:v>43574</c:v>
                </c:pt>
                <c:pt idx="161">
                  <c:v>43573</c:v>
                </c:pt>
                <c:pt idx="162">
                  <c:v>43572</c:v>
                </c:pt>
                <c:pt idx="163">
                  <c:v>43571</c:v>
                </c:pt>
                <c:pt idx="164">
                  <c:v>43570</c:v>
                </c:pt>
                <c:pt idx="165">
                  <c:v>43567</c:v>
                </c:pt>
                <c:pt idx="166">
                  <c:v>43566</c:v>
                </c:pt>
                <c:pt idx="167">
                  <c:v>43565</c:v>
                </c:pt>
                <c:pt idx="168">
                  <c:v>43564</c:v>
                </c:pt>
                <c:pt idx="169">
                  <c:v>43563</c:v>
                </c:pt>
                <c:pt idx="170">
                  <c:v>43560</c:v>
                </c:pt>
                <c:pt idx="171">
                  <c:v>43559</c:v>
                </c:pt>
                <c:pt idx="172">
                  <c:v>43558</c:v>
                </c:pt>
                <c:pt idx="173">
                  <c:v>43557</c:v>
                </c:pt>
                <c:pt idx="174">
                  <c:v>43556</c:v>
                </c:pt>
                <c:pt idx="175">
                  <c:v>43553</c:v>
                </c:pt>
                <c:pt idx="176">
                  <c:v>43552</c:v>
                </c:pt>
                <c:pt idx="177">
                  <c:v>43551</c:v>
                </c:pt>
                <c:pt idx="178">
                  <c:v>43550</c:v>
                </c:pt>
                <c:pt idx="179">
                  <c:v>43549</c:v>
                </c:pt>
                <c:pt idx="180">
                  <c:v>43546</c:v>
                </c:pt>
                <c:pt idx="181">
                  <c:v>43544</c:v>
                </c:pt>
                <c:pt idx="182">
                  <c:v>43543</c:v>
                </c:pt>
                <c:pt idx="183">
                  <c:v>43542</c:v>
                </c:pt>
                <c:pt idx="184">
                  <c:v>43539</c:v>
                </c:pt>
                <c:pt idx="185">
                  <c:v>43538</c:v>
                </c:pt>
                <c:pt idx="186">
                  <c:v>43537</c:v>
                </c:pt>
                <c:pt idx="187">
                  <c:v>43536</c:v>
                </c:pt>
                <c:pt idx="188">
                  <c:v>43535</c:v>
                </c:pt>
                <c:pt idx="189">
                  <c:v>43532</c:v>
                </c:pt>
                <c:pt idx="190">
                  <c:v>43531</c:v>
                </c:pt>
                <c:pt idx="191">
                  <c:v>43530</c:v>
                </c:pt>
                <c:pt idx="192">
                  <c:v>43529</c:v>
                </c:pt>
                <c:pt idx="193">
                  <c:v>43528</c:v>
                </c:pt>
                <c:pt idx="194">
                  <c:v>43525</c:v>
                </c:pt>
                <c:pt idx="195">
                  <c:v>43524</c:v>
                </c:pt>
                <c:pt idx="196">
                  <c:v>43523</c:v>
                </c:pt>
                <c:pt idx="197">
                  <c:v>43522</c:v>
                </c:pt>
                <c:pt idx="198">
                  <c:v>43521</c:v>
                </c:pt>
                <c:pt idx="199">
                  <c:v>43518</c:v>
                </c:pt>
                <c:pt idx="200">
                  <c:v>43517</c:v>
                </c:pt>
                <c:pt idx="201">
                  <c:v>43516</c:v>
                </c:pt>
                <c:pt idx="202">
                  <c:v>43515</c:v>
                </c:pt>
                <c:pt idx="203">
                  <c:v>43514</c:v>
                </c:pt>
                <c:pt idx="204">
                  <c:v>43511</c:v>
                </c:pt>
                <c:pt idx="205">
                  <c:v>43510</c:v>
                </c:pt>
                <c:pt idx="206">
                  <c:v>43509</c:v>
                </c:pt>
                <c:pt idx="207">
                  <c:v>43508</c:v>
                </c:pt>
                <c:pt idx="208">
                  <c:v>43504</c:v>
                </c:pt>
                <c:pt idx="209">
                  <c:v>43503</c:v>
                </c:pt>
                <c:pt idx="210">
                  <c:v>43502</c:v>
                </c:pt>
                <c:pt idx="211">
                  <c:v>43501</c:v>
                </c:pt>
                <c:pt idx="212">
                  <c:v>43500</c:v>
                </c:pt>
                <c:pt idx="213">
                  <c:v>43497</c:v>
                </c:pt>
                <c:pt idx="214">
                  <c:v>43496</c:v>
                </c:pt>
                <c:pt idx="215">
                  <c:v>43495</c:v>
                </c:pt>
                <c:pt idx="216">
                  <c:v>43494</c:v>
                </c:pt>
                <c:pt idx="217">
                  <c:v>43493</c:v>
                </c:pt>
                <c:pt idx="218">
                  <c:v>43490</c:v>
                </c:pt>
                <c:pt idx="219">
                  <c:v>43489</c:v>
                </c:pt>
                <c:pt idx="220">
                  <c:v>43488</c:v>
                </c:pt>
                <c:pt idx="221">
                  <c:v>43487</c:v>
                </c:pt>
                <c:pt idx="222">
                  <c:v>43486</c:v>
                </c:pt>
                <c:pt idx="223">
                  <c:v>43483</c:v>
                </c:pt>
                <c:pt idx="224">
                  <c:v>43482</c:v>
                </c:pt>
                <c:pt idx="225">
                  <c:v>43481</c:v>
                </c:pt>
                <c:pt idx="226">
                  <c:v>43480</c:v>
                </c:pt>
                <c:pt idx="227">
                  <c:v>43476</c:v>
                </c:pt>
                <c:pt idx="228">
                  <c:v>43475</c:v>
                </c:pt>
                <c:pt idx="229">
                  <c:v>43474</c:v>
                </c:pt>
                <c:pt idx="230">
                  <c:v>43473</c:v>
                </c:pt>
                <c:pt idx="231">
                  <c:v>43472</c:v>
                </c:pt>
                <c:pt idx="232">
                  <c:v>43469</c:v>
                </c:pt>
                <c:pt idx="233">
                  <c:v>43462</c:v>
                </c:pt>
                <c:pt idx="234">
                  <c:v>43461</c:v>
                </c:pt>
                <c:pt idx="235">
                  <c:v>43460</c:v>
                </c:pt>
                <c:pt idx="236">
                  <c:v>43459</c:v>
                </c:pt>
                <c:pt idx="237">
                  <c:v>43455</c:v>
                </c:pt>
                <c:pt idx="238">
                  <c:v>43454</c:v>
                </c:pt>
                <c:pt idx="239">
                  <c:v>43453</c:v>
                </c:pt>
                <c:pt idx="240">
                  <c:v>43452</c:v>
                </c:pt>
                <c:pt idx="241">
                  <c:v>43451</c:v>
                </c:pt>
              </c:numCache>
            </c:numRef>
          </c:cat>
          <c:val>
            <c:numRef>
              <c:f>BACK_TEST!$R$82:$R$700</c:f>
              <c:numCache>
                <c:formatCode>General</c:formatCode>
                <c:ptCount val="619"/>
                <c:pt idx="0">
                  <c:v>0.47682017972536117</c:v>
                </c:pt>
                <c:pt idx="1">
                  <c:v>0.47755911111733718</c:v>
                </c:pt>
                <c:pt idx="2">
                  <c:v>0.47827181528980123</c:v>
                </c:pt>
                <c:pt idx="3">
                  <c:v>0.47898116254418477</c:v>
                </c:pt>
                <c:pt idx="4">
                  <c:v>0.47979663954557999</c:v>
                </c:pt>
                <c:pt idx="5">
                  <c:v>0.4812311218088034</c:v>
                </c:pt>
                <c:pt idx="6">
                  <c:v>0.48268102001490837</c:v>
                </c:pt>
                <c:pt idx="7">
                  <c:v>0.48444345143686718</c:v>
                </c:pt>
                <c:pt idx="8">
                  <c:v>0.48631955340575961</c:v>
                </c:pt>
                <c:pt idx="9">
                  <c:v>0.48754595055932665</c:v>
                </c:pt>
                <c:pt idx="10">
                  <c:v>0.48837806608070777</c:v>
                </c:pt>
                <c:pt idx="11">
                  <c:v>0.4888875043840652</c:v>
                </c:pt>
                <c:pt idx="12">
                  <c:v>0.48930381435462256</c:v>
                </c:pt>
                <c:pt idx="13">
                  <c:v>0.48900612925018139</c:v>
                </c:pt>
                <c:pt idx="14">
                  <c:v>0.48893244385503376</c:v>
                </c:pt>
                <c:pt idx="15">
                  <c:v>0.48882365651706799</c:v>
                </c:pt>
                <c:pt idx="16">
                  <c:v>0.4889878506009368</c:v>
                </c:pt>
                <c:pt idx="17">
                  <c:v>0.48897231666525015</c:v>
                </c:pt>
                <c:pt idx="18">
                  <c:v>0.48881458261958699</c:v>
                </c:pt>
                <c:pt idx="19">
                  <c:v>0.48860388442552599</c:v>
                </c:pt>
                <c:pt idx="20">
                  <c:v>0.48818428546404163</c:v>
                </c:pt>
                <c:pt idx="21">
                  <c:v>0.48803326416417581</c:v>
                </c:pt>
                <c:pt idx="22">
                  <c:v>0.4881047000481466</c:v>
                </c:pt>
                <c:pt idx="23">
                  <c:v>0.48811060108203619</c:v>
                </c:pt>
                <c:pt idx="24">
                  <c:v>0.48824041553414538</c:v>
                </c:pt>
                <c:pt idx="25">
                  <c:v>0.48838299675675056</c:v>
                </c:pt>
                <c:pt idx="26">
                  <c:v>0.48846817218338362</c:v>
                </c:pt>
                <c:pt idx="27">
                  <c:v>0.48847125500175381</c:v>
                </c:pt>
                <c:pt idx="28">
                  <c:v>0.48840914114155637</c:v>
                </c:pt>
                <c:pt idx="29">
                  <c:v>0.48831878281986341</c:v>
                </c:pt>
                <c:pt idx="30">
                  <c:v>0.48817549932926702</c:v>
                </c:pt>
                <c:pt idx="31">
                  <c:v>0.48802371981927839</c:v>
                </c:pt>
                <c:pt idx="32">
                  <c:v>0.48782410783501062</c:v>
                </c:pt>
                <c:pt idx="33">
                  <c:v>0.48780752747745021</c:v>
                </c:pt>
                <c:pt idx="34">
                  <c:v>0.48771170734180458</c:v>
                </c:pt>
                <c:pt idx="35">
                  <c:v>0.48748436920177518</c:v>
                </c:pt>
                <c:pt idx="36">
                  <c:v>0.48703174273528321</c:v>
                </c:pt>
                <c:pt idx="37">
                  <c:v>0.4865660784371128</c:v>
                </c:pt>
                <c:pt idx="38">
                  <c:v>0.48621619338826</c:v>
                </c:pt>
                <c:pt idx="39">
                  <c:v>0.48575603156379699</c:v>
                </c:pt>
                <c:pt idx="40">
                  <c:v>0.48529632744470863</c:v>
                </c:pt>
                <c:pt idx="41">
                  <c:v>0.48490282618225516</c:v>
                </c:pt>
                <c:pt idx="42">
                  <c:v>0.48449466804764241</c:v>
                </c:pt>
                <c:pt idx="43">
                  <c:v>0.48419363226456935</c:v>
                </c:pt>
                <c:pt idx="44">
                  <c:v>0.48391864326124862</c:v>
                </c:pt>
                <c:pt idx="45">
                  <c:v>0.48388700796739981</c:v>
                </c:pt>
                <c:pt idx="46">
                  <c:v>0.48392366068503784</c:v>
                </c:pt>
                <c:pt idx="47">
                  <c:v>0.48393731279599062</c:v>
                </c:pt>
                <c:pt idx="48">
                  <c:v>0.48377469361597236</c:v>
                </c:pt>
                <c:pt idx="49">
                  <c:v>0.48368246463454179</c:v>
                </c:pt>
                <c:pt idx="50">
                  <c:v>0.48341441099735716</c:v>
                </c:pt>
                <c:pt idx="51">
                  <c:v>0.48306823257063464</c:v>
                </c:pt>
                <c:pt idx="52">
                  <c:v>0.48255266454545398</c:v>
                </c:pt>
                <c:pt idx="53">
                  <c:v>0.48191566699543836</c:v>
                </c:pt>
                <c:pt idx="54">
                  <c:v>0.48157868921328739</c:v>
                </c:pt>
                <c:pt idx="55">
                  <c:v>0.48163312556452098</c:v>
                </c:pt>
                <c:pt idx="56">
                  <c:v>0.48185781988134962</c:v>
                </c:pt>
                <c:pt idx="57">
                  <c:v>0.48217922487099441</c:v>
                </c:pt>
                <c:pt idx="58">
                  <c:v>0.48250311324133199</c:v>
                </c:pt>
                <c:pt idx="59">
                  <c:v>0.48266347378097801</c:v>
                </c:pt>
                <c:pt idx="60">
                  <c:v>0.48250547095136098</c:v>
                </c:pt>
                <c:pt idx="61">
                  <c:v>0.48246505405144119</c:v>
                </c:pt>
                <c:pt idx="62">
                  <c:v>0.482393033597253</c:v>
                </c:pt>
                <c:pt idx="63">
                  <c:v>0.48230706213719798</c:v>
                </c:pt>
                <c:pt idx="64">
                  <c:v>0.48251063405031119</c:v>
                </c:pt>
                <c:pt idx="65">
                  <c:v>0.48268124790371958</c:v>
                </c:pt>
                <c:pt idx="66">
                  <c:v>0.48278458020734516</c:v>
                </c:pt>
                <c:pt idx="67">
                  <c:v>0.48247048282959942</c:v>
                </c:pt>
                <c:pt idx="68">
                  <c:v>0.48215893854026098</c:v>
                </c:pt>
                <c:pt idx="69">
                  <c:v>0.48180638505781259</c:v>
                </c:pt>
                <c:pt idx="70">
                  <c:v>0.48150718926904357</c:v>
                </c:pt>
                <c:pt idx="71">
                  <c:v>0.48119523433427519</c:v>
                </c:pt>
                <c:pt idx="72">
                  <c:v>0.48081391722935202</c:v>
                </c:pt>
                <c:pt idx="73">
                  <c:v>0.4805512342920274</c:v>
                </c:pt>
                <c:pt idx="74">
                  <c:v>0.48017779042755199</c:v>
                </c:pt>
                <c:pt idx="75">
                  <c:v>0.47988419361830797</c:v>
                </c:pt>
                <c:pt idx="76">
                  <c:v>0.47975343228322281</c:v>
                </c:pt>
                <c:pt idx="77">
                  <c:v>0.479655948169525</c:v>
                </c:pt>
                <c:pt idx="78">
                  <c:v>0.47954517192946661</c:v>
                </c:pt>
                <c:pt idx="79">
                  <c:v>0.48026505172846079</c:v>
                </c:pt>
                <c:pt idx="80">
                  <c:v>0.48087474882347242</c:v>
                </c:pt>
                <c:pt idx="81">
                  <c:v>0.48209276408621721</c:v>
                </c:pt>
                <c:pt idx="82">
                  <c:v>0.4823660833566098</c:v>
                </c:pt>
                <c:pt idx="83">
                  <c:v>0.48279328491284423</c:v>
                </c:pt>
                <c:pt idx="84">
                  <c:v>0.48446378362558701</c:v>
                </c:pt>
                <c:pt idx="85">
                  <c:v>0.4862193399778218</c:v>
                </c:pt>
                <c:pt idx="86">
                  <c:v>0.48720074574071459</c:v>
                </c:pt>
                <c:pt idx="87">
                  <c:v>0.48785682348118276</c:v>
                </c:pt>
                <c:pt idx="88">
                  <c:v>0.48900568889795759</c:v>
                </c:pt>
                <c:pt idx="89">
                  <c:v>0.49039797817904679</c:v>
                </c:pt>
                <c:pt idx="90">
                  <c:v>0.49219678746000761</c:v>
                </c:pt>
                <c:pt idx="91">
                  <c:v>0.49397216353088519</c:v>
                </c:pt>
                <c:pt idx="92">
                  <c:v>0.49559604674966856</c:v>
                </c:pt>
                <c:pt idx="93">
                  <c:v>0.4968323313795448</c:v>
                </c:pt>
                <c:pt idx="94">
                  <c:v>0.49811955852841439</c:v>
                </c:pt>
                <c:pt idx="95">
                  <c:v>0.499650547013963</c:v>
                </c:pt>
                <c:pt idx="96">
                  <c:v>0.50067669445969176</c:v>
                </c:pt>
                <c:pt idx="97">
                  <c:v>0.501754620076165</c:v>
                </c:pt>
                <c:pt idx="98">
                  <c:v>0.502677178516997</c:v>
                </c:pt>
                <c:pt idx="99">
                  <c:v>0.50368256133014744</c:v>
                </c:pt>
                <c:pt idx="100">
                  <c:v>0.50574078094345498</c:v>
                </c:pt>
                <c:pt idx="101">
                  <c:v>0.50718755845358821</c:v>
                </c:pt>
                <c:pt idx="102">
                  <c:v>0.50893150525808539</c:v>
                </c:pt>
                <c:pt idx="103">
                  <c:v>0.51079512902650626</c:v>
                </c:pt>
                <c:pt idx="104">
                  <c:v>0.51243093781884463</c:v>
                </c:pt>
                <c:pt idx="105">
                  <c:v>0.51401627066053646</c:v>
                </c:pt>
                <c:pt idx="106">
                  <c:v>0.51544208748220921</c:v>
                </c:pt>
                <c:pt idx="107">
                  <c:v>0.51617675494656978</c:v>
                </c:pt>
                <c:pt idx="108">
                  <c:v>0.51654184497461375</c:v>
                </c:pt>
                <c:pt idx="109">
                  <c:v>0.51699131161222023</c:v>
                </c:pt>
                <c:pt idx="110">
                  <c:v>0.51752758639813301</c:v>
                </c:pt>
                <c:pt idx="111">
                  <c:v>0.51800387705113593</c:v>
                </c:pt>
                <c:pt idx="112">
                  <c:v>0.51842242314966103</c:v>
                </c:pt>
                <c:pt idx="113">
                  <c:v>0.51872512258433057</c:v>
                </c:pt>
                <c:pt idx="114">
                  <c:v>0.51907581834529803</c:v>
                </c:pt>
                <c:pt idx="115">
                  <c:v>0.51935299043746819</c:v>
                </c:pt>
                <c:pt idx="116">
                  <c:v>0.519394152886406</c:v>
                </c:pt>
                <c:pt idx="117">
                  <c:v>0.51927811958574122</c:v>
                </c:pt>
                <c:pt idx="118">
                  <c:v>0.51927115318485095</c:v>
                </c:pt>
                <c:pt idx="119">
                  <c:v>0.51928018484053207</c:v>
                </c:pt>
                <c:pt idx="120">
                  <c:v>0.51932492454407897</c:v>
                </c:pt>
                <c:pt idx="121">
                  <c:v>0.51947190940974397</c:v>
                </c:pt>
                <c:pt idx="122">
                  <c:v>0.51957411295879541</c:v>
                </c:pt>
                <c:pt idx="123">
                  <c:v>0.51956937474465337</c:v>
                </c:pt>
                <c:pt idx="124">
                  <c:v>0.51960493199000801</c:v>
                </c:pt>
                <c:pt idx="125">
                  <c:v>0.51961250836573536</c:v>
                </c:pt>
                <c:pt idx="126">
                  <c:v>0.51975481514945765</c:v>
                </c:pt>
                <c:pt idx="127">
                  <c:v>0.51992527934452604</c:v>
                </c:pt>
                <c:pt idx="128">
                  <c:v>0.51987373064747677</c:v>
                </c:pt>
                <c:pt idx="129">
                  <c:v>0.51991522006783997</c:v>
                </c:pt>
                <c:pt idx="130">
                  <c:v>0.51979645519620699</c:v>
                </c:pt>
                <c:pt idx="131">
                  <c:v>0.51947615890410925</c:v>
                </c:pt>
                <c:pt idx="132">
                  <c:v>0.51895412469216684</c:v>
                </c:pt>
                <c:pt idx="133">
                  <c:v>0.51835533804805622</c:v>
                </c:pt>
                <c:pt idx="134">
                  <c:v>0.51776112587268996</c:v>
                </c:pt>
                <c:pt idx="135">
                  <c:v>0.517425732751293</c:v>
                </c:pt>
                <c:pt idx="136">
                  <c:v>0.51707152065351625</c:v>
                </c:pt>
                <c:pt idx="137">
                  <c:v>0.51672487095546105</c:v>
                </c:pt>
                <c:pt idx="138">
                  <c:v>0.51622753275760203</c:v>
                </c:pt>
                <c:pt idx="139">
                  <c:v>0.51562859932714822</c:v>
                </c:pt>
                <c:pt idx="140">
                  <c:v>0.51482130587935004</c:v>
                </c:pt>
                <c:pt idx="141">
                  <c:v>0.51429105371916817</c:v>
                </c:pt>
                <c:pt idx="142">
                  <c:v>0.51335145406526683</c:v>
                </c:pt>
                <c:pt idx="143">
                  <c:v>0.51247565618330859</c:v>
                </c:pt>
                <c:pt idx="144">
                  <c:v>0.51174628713766235</c:v>
                </c:pt>
                <c:pt idx="145">
                  <c:v>0.5108847176736514</c:v>
                </c:pt>
                <c:pt idx="146">
                  <c:v>0.510046453526799</c:v>
                </c:pt>
                <c:pt idx="147">
                  <c:v>0.50954386753423864</c:v>
                </c:pt>
                <c:pt idx="148">
                  <c:v>0.50919532081617658</c:v>
                </c:pt>
                <c:pt idx="149">
                  <c:v>0.50909864678172556</c:v>
                </c:pt>
                <c:pt idx="150">
                  <c:v>0.50925847179460559</c:v>
                </c:pt>
                <c:pt idx="151">
                  <c:v>0.50962140056267924</c:v>
                </c:pt>
                <c:pt idx="152">
                  <c:v>0.50988938461064615</c:v>
                </c:pt>
                <c:pt idx="153">
                  <c:v>0.51000154053657298</c:v>
                </c:pt>
                <c:pt idx="154">
                  <c:v>0.50993185801438745</c:v>
                </c:pt>
                <c:pt idx="155">
                  <c:v>0.50966132061543845</c:v>
                </c:pt>
                <c:pt idx="156">
                  <c:v>0.50902973729672985</c:v>
                </c:pt>
                <c:pt idx="157">
                  <c:v>0.50858291808945899</c:v>
                </c:pt>
                <c:pt idx="158">
                  <c:v>0.50799988039258259</c:v>
                </c:pt>
                <c:pt idx="159">
                  <c:v>0.50723015658094162</c:v>
                </c:pt>
                <c:pt idx="160">
                  <c:v>0.50654349289732381</c:v>
                </c:pt>
                <c:pt idx="161">
                  <c:v>0.50677610552099739</c:v>
                </c:pt>
                <c:pt idx="162">
                  <c:v>0.50761962178715658</c:v>
                </c:pt>
                <c:pt idx="163">
                  <c:v>0.50777265282650486</c:v>
                </c:pt>
                <c:pt idx="164">
                  <c:v>0.50796392634666621</c:v>
                </c:pt>
                <c:pt idx="165">
                  <c:v>0.50805405466975162</c:v>
                </c:pt>
                <c:pt idx="166">
                  <c:v>0.50750910308161423</c:v>
                </c:pt>
                <c:pt idx="167">
                  <c:v>0.50720213722621144</c:v>
                </c:pt>
                <c:pt idx="168">
                  <c:v>0.50688528564332858</c:v>
                </c:pt>
                <c:pt idx="169">
                  <c:v>0.50655874131145717</c:v>
                </c:pt>
                <c:pt idx="170">
                  <c:v>0.50609116201807214</c:v>
                </c:pt>
                <c:pt idx="171">
                  <c:v>0.50624029416287997</c:v>
                </c:pt>
                <c:pt idx="172">
                  <c:v>0.50608044856236278</c:v>
                </c:pt>
                <c:pt idx="173">
                  <c:v>0.50571864717011139</c:v>
                </c:pt>
                <c:pt idx="174">
                  <c:v>0.50534608710562579</c:v>
                </c:pt>
                <c:pt idx="175">
                  <c:v>0.50374432190107721</c:v>
                </c:pt>
                <c:pt idx="176">
                  <c:v>0.50291971687141834</c:v>
                </c:pt>
                <c:pt idx="177">
                  <c:v>0.5015910785614478</c:v>
                </c:pt>
                <c:pt idx="178">
                  <c:v>0.50003552785274419</c:v>
                </c:pt>
                <c:pt idx="179">
                  <c:v>0.49839686393824839</c:v>
                </c:pt>
                <c:pt idx="180">
                  <c:v>0.49699494764248775</c:v>
                </c:pt>
                <c:pt idx="181">
                  <c:v>0.49558107374173477</c:v>
                </c:pt>
                <c:pt idx="182">
                  <c:v>0.49464596885695183</c:v>
                </c:pt>
                <c:pt idx="183">
                  <c:v>0.49415332213343577</c:v>
                </c:pt>
                <c:pt idx="184">
                  <c:v>0.4936724283500768</c:v>
                </c:pt>
                <c:pt idx="185">
                  <c:v>0.4928961260553662</c:v>
                </c:pt>
                <c:pt idx="186">
                  <c:v>0.492349310526908</c:v>
                </c:pt>
                <c:pt idx="187">
                  <c:v>0.49206817715623558</c:v>
                </c:pt>
                <c:pt idx="188">
                  <c:v>0.49197444962786896</c:v>
                </c:pt>
                <c:pt idx="189">
                  <c:v>0.49257385143776161</c:v>
                </c:pt>
                <c:pt idx="190">
                  <c:v>0.4926160867338214</c:v>
                </c:pt>
                <c:pt idx="191">
                  <c:v>0.49324734247573621</c:v>
                </c:pt>
                <c:pt idx="192">
                  <c:v>0.49413947915333722</c:v>
                </c:pt>
                <c:pt idx="193">
                  <c:v>0.49461808614875141</c:v>
                </c:pt>
                <c:pt idx="194">
                  <c:v>0.49531841659084058</c:v>
                </c:pt>
                <c:pt idx="195">
                  <c:v>0.49576472692796958</c:v>
                </c:pt>
                <c:pt idx="196">
                  <c:v>0.4960314244420882</c:v>
                </c:pt>
                <c:pt idx="197">
                  <c:v>0.49551987277628962</c:v>
                </c:pt>
                <c:pt idx="198">
                  <c:v>0.49512747878655017</c:v>
                </c:pt>
                <c:pt idx="199">
                  <c:v>0.49460706966573997</c:v>
                </c:pt>
                <c:pt idx="200">
                  <c:v>0.49362956585073636</c:v>
                </c:pt>
                <c:pt idx="201">
                  <c:v>0.49241150611436924</c:v>
                </c:pt>
                <c:pt idx="202">
                  <c:v>0.49111646806056941</c:v>
                </c:pt>
                <c:pt idx="203">
                  <c:v>0.49033920296056122</c:v>
                </c:pt>
                <c:pt idx="204">
                  <c:v>0.48968718524599963</c:v>
                </c:pt>
                <c:pt idx="205">
                  <c:v>0.489028861749076</c:v>
                </c:pt>
                <c:pt idx="206">
                  <c:v>0.48900301155625958</c:v>
                </c:pt>
                <c:pt idx="207">
                  <c:v>0.48891478193872639</c:v>
                </c:pt>
                <c:pt idx="208">
                  <c:v>0.48879147301377263</c:v>
                </c:pt>
                <c:pt idx="209">
                  <c:v>0.48839438538591823</c:v>
                </c:pt>
                <c:pt idx="210">
                  <c:v>0.4870230798380516</c:v>
                </c:pt>
                <c:pt idx="211">
                  <c:v>0.48537989893750921</c:v>
                </c:pt>
                <c:pt idx="212">
                  <c:v>0.48375183699196056</c:v>
                </c:pt>
                <c:pt idx="213">
                  <c:v>0.48219432263888817</c:v>
                </c:pt>
                <c:pt idx="214">
                  <c:v>0.48022714290996082</c:v>
                </c:pt>
                <c:pt idx="215">
                  <c:v>0.4783366455467466</c:v>
                </c:pt>
                <c:pt idx="216">
                  <c:v>0.47581627360001122</c:v>
                </c:pt>
                <c:pt idx="217">
                  <c:v>0.47442992295214159</c:v>
                </c:pt>
                <c:pt idx="218">
                  <c:v>0.47334947964129043</c:v>
                </c:pt>
                <c:pt idx="219">
                  <c:v>0.4720800161656456</c:v>
                </c:pt>
                <c:pt idx="220">
                  <c:v>0.47034288059738599</c:v>
                </c:pt>
                <c:pt idx="221">
                  <c:v>0.4684952657005696</c:v>
                </c:pt>
                <c:pt idx="222">
                  <c:v>0.46683410710303419</c:v>
                </c:pt>
                <c:pt idx="223">
                  <c:v>0.4653829689157174</c:v>
                </c:pt>
                <c:pt idx="224">
                  <c:v>0.46406454062295122</c:v>
                </c:pt>
                <c:pt idx="225">
                  <c:v>0.46312220336137822</c:v>
                </c:pt>
                <c:pt idx="226">
                  <c:v>0.4624379372101024</c:v>
                </c:pt>
                <c:pt idx="227">
                  <c:v>0.46171670491624783</c:v>
                </c:pt>
                <c:pt idx="228">
                  <c:v>0.4609171369265524</c:v>
                </c:pt>
                <c:pt idx="229">
                  <c:v>0.460142248559406</c:v>
                </c:pt>
                <c:pt idx="230">
                  <c:v>0.45932487469538064</c:v>
                </c:pt>
                <c:pt idx="231">
                  <c:v>0.45810856365067076</c:v>
                </c:pt>
                <c:pt idx="232">
                  <c:v>0.45648206570134764</c:v>
                </c:pt>
                <c:pt idx="233">
                  <c:v>0.45507427448695981</c:v>
                </c:pt>
                <c:pt idx="234">
                  <c:v>0.45495599107495577</c:v>
                </c:pt>
                <c:pt idx="235">
                  <c:v>0.45474728040269902</c:v>
                </c:pt>
                <c:pt idx="236">
                  <c:v>0.45460794817589939</c:v>
                </c:pt>
                <c:pt idx="237">
                  <c:v>0.45469243984535979</c:v>
                </c:pt>
                <c:pt idx="238">
                  <c:v>0.45449006919019896</c:v>
                </c:pt>
                <c:pt idx="239">
                  <c:v>0.45433884958809978</c:v>
                </c:pt>
                <c:pt idx="240">
                  <c:v>0.45430604533176261</c:v>
                </c:pt>
                <c:pt idx="241">
                  <c:v>0.45415683086662662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765-4CDF-91FD-9E04D901ECA1}"/>
            </c:ext>
          </c:extLst>
        </c:ser>
        <c:ser>
          <c:idx val="3"/>
          <c:order val="3"/>
          <c:tx>
            <c:strRef>
              <c:f>BACK_TEST!$S$81</c:f>
              <c:strCache>
                <c:ptCount val="1"/>
                <c:pt idx="0">
                  <c:v>-2-Sigama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43817</c:v>
                </c:pt>
                <c:pt idx="1">
                  <c:v>43816</c:v>
                </c:pt>
                <c:pt idx="2">
                  <c:v>43815</c:v>
                </c:pt>
                <c:pt idx="3">
                  <c:v>43812</c:v>
                </c:pt>
                <c:pt idx="4">
                  <c:v>43811</c:v>
                </c:pt>
                <c:pt idx="5">
                  <c:v>43810</c:v>
                </c:pt>
                <c:pt idx="6">
                  <c:v>43809</c:v>
                </c:pt>
                <c:pt idx="7">
                  <c:v>43808</c:v>
                </c:pt>
                <c:pt idx="8">
                  <c:v>43805</c:v>
                </c:pt>
                <c:pt idx="9">
                  <c:v>43804</c:v>
                </c:pt>
                <c:pt idx="10">
                  <c:v>43803</c:v>
                </c:pt>
                <c:pt idx="11">
                  <c:v>43802</c:v>
                </c:pt>
                <c:pt idx="12">
                  <c:v>43801</c:v>
                </c:pt>
                <c:pt idx="13">
                  <c:v>43798</c:v>
                </c:pt>
                <c:pt idx="14">
                  <c:v>43797</c:v>
                </c:pt>
                <c:pt idx="15">
                  <c:v>43796</c:v>
                </c:pt>
                <c:pt idx="16">
                  <c:v>43795</c:v>
                </c:pt>
                <c:pt idx="17">
                  <c:v>43794</c:v>
                </c:pt>
                <c:pt idx="18">
                  <c:v>43791</c:v>
                </c:pt>
                <c:pt idx="19">
                  <c:v>43790</c:v>
                </c:pt>
                <c:pt idx="20">
                  <c:v>43789</c:v>
                </c:pt>
                <c:pt idx="21">
                  <c:v>43788</c:v>
                </c:pt>
                <c:pt idx="22">
                  <c:v>43787</c:v>
                </c:pt>
                <c:pt idx="23">
                  <c:v>43784</c:v>
                </c:pt>
                <c:pt idx="24">
                  <c:v>43783</c:v>
                </c:pt>
                <c:pt idx="25">
                  <c:v>43782</c:v>
                </c:pt>
                <c:pt idx="26">
                  <c:v>43781</c:v>
                </c:pt>
                <c:pt idx="27">
                  <c:v>43780</c:v>
                </c:pt>
                <c:pt idx="28">
                  <c:v>43777</c:v>
                </c:pt>
                <c:pt idx="29">
                  <c:v>43776</c:v>
                </c:pt>
                <c:pt idx="30">
                  <c:v>43775</c:v>
                </c:pt>
                <c:pt idx="31">
                  <c:v>43774</c:v>
                </c:pt>
                <c:pt idx="32">
                  <c:v>43770</c:v>
                </c:pt>
                <c:pt idx="33">
                  <c:v>43769</c:v>
                </c:pt>
                <c:pt idx="34">
                  <c:v>43768</c:v>
                </c:pt>
                <c:pt idx="35">
                  <c:v>43767</c:v>
                </c:pt>
                <c:pt idx="36">
                  <c:v>43766</c:v>
                </c:pt>
                <c:pt idx="37">
                  <c:v>43763</c:v>
                </c:pt>
                <c:pt idx="38">
                  <c:v>43762</c:v>
                </c:pt>
                <c:pt idx="39">
                  <c:v>43761</c:v>
                </c:pt>
                <c:pt idx="40">
                  <c:v>43759</c:v>
                </c:pt>
                <c:pt idx="41">
                  <c:v>43756</c:v>
                </c:pt>
                <c:pt idx="42">
                  <c:v>43755</c:v>
                </c:pt>
                <c:pt idx="43">
                  <c:v>43754</c:v>
                </c:pt>
                <c:pt idx="44">
                  <c:v>43753</c:v>
                </c:pt>
                <c:pt idx="45">
                  <c:v>43749</c:v>
                </c:pt>
                <c:pt idx="46">
                  <c:v>43748</c:v>
                </c:pt>
                <c:pt idx="47">
                  <c:v>43747</c:v>
                </c:pt>
                <c:pt idx="48">
                  <c:v>43746</c:v>
                </c:pt>
                <c:pt idx="49">
                  <c:v>43745</c:v>
                </c:pt>
                <c:pt idx="50">
                  <c:v>43742</c:v>
                </c:pt>
                <c:pt idx="51">
                  <c:v>43741</c:v>
                </c:pt>
                <c:pt idx="52">
                  <c:v>43740</c:v>
                </c:pt>
                <c:pt idx="53">
                  <c:v>43739</c:v>
                </c:pt>
                <c:pt idx="54">
                  <c:v>43738</c:v>
                </c:pt>
                <c:pt idx="55">
                  <c:v>43735</c:v>
                </c:pt>
                <c:pt idx="56">
                  <c:v>43734</c:v>
                </c:pt>
                <c:pt idx="57">
                  <c:v>43733</c:v>
                </c:pt>
                <c:pt idx="58">
                  <c:v>43732</c:v>
                </c:pt>
                <c:pt idx="59">
                  <c:v>43728</c:v>
                </c:pt>
                <c:pt idx="60">
                  <c:v>43727</c:v>
                </c:pt>
                <c:pt idx="61">
                  <c:v>43726</c:v>
                </c:pt>
                <c:pt idx="62">
                  <c:v>43725</c:v>
                </c:pt>
                <c:pt idx="63">
                  <c:v>43721</c:v>
                </c:pt>
                <c:pt idx="64">
                  <c:v>43720</c:v>
                </c:pt>
                <c:pt idx="65">
                  <c:v>43719</c:v>
                </c:pt>
                <c:pt idx="66">
                  <c:v>43718</c:v>
                </c:pt>
                <c:pt idx="67">
                  <c:v>43717</c:v>
                </c:pt>
                <c:pt idx="68">
                  <c:v>43714</c:v>
                </c:pt>
                <c:pt idx="69">
                  <c:v>43713</c:v>
                </c:pt>
                <c:pt idx="70">
                  <c:v>43712</c:v>
                </c:pt>
                <c:pt idx="71">
                  <c:v>43711</c:v>
                </c:pt>
                <c:pt idx="72">
                  <c:v>43710</c:v>
                </c:pt>
                <c:pt idx="73">
                  <c:v>43707</c:v>
                </c:pt>
                <c:pt idx="74">
                  <c:v>43706</c:v>
                </c:pt>
                <c:pt idx="75">
                  <c:v>43705</c:v>
                </c:pt>
                <c:pt idx="76">
                  <c:v>43704</c:v>
                </c:pt>
                <c:pt idx="77">
                  <c:v>43703</c:v>
                </c:pt>
                <c:pt idx="78">
                  <c:v>43700</c:v>
                </c:pt>
                <c:pt idx="79">
                  <c:v>43699</c:v>
                </c:pt>
                <c:pt idx="80">
                  <c:v>43698</c:v>
                </c:pt>
                <c:pt idx="81">
                  <c:v>43697</c:v>
                </c:pt>
                <c:pt idx="82">
                  <c:v>43696</c:v>
                </c:pt>
                <c:pt idx="83">
                  <c:v>43693</c:v>
                </c:pt>
                <c:pt idx="84">
                  <c:v>43692</c:v>
                </c:pt>
                <c:pt idx="85">
                  <c:v>43691</c:v>
                </c:pt>
                <c:pt idx="86">
                  <c:v>43690</c:v>
                </c:pt>
                <c:pt idx="87">
                  <c:v>43686</c:v>
                </c:pt>
                <c:pt idx="88">
                  <c:v>43685</c:v>
                </c:pt>
                <c:pt idx="89">
                  <c:v>43684</c:v>
                </c:pt>
                <c:pt idx="90">
                  <c:v>43683</c:v>
                </c:pt>
                <c:pt idx="91">
                  <c:v>43682</c:v>
                </c:pt>
                <c:pt idx="92">
                  <c:v>43679</c:v>
                </c:pt>
                <c:pt idx="93">
                  <c:v>43678</c:v>
                </c:pt>
                <c:pt idx="94">
                  <c:v>43677</c:v>
                </c:pt>
                <c:pt idx="95">
                  <c:v>43676</c:v>
                </c:pt>
                <c:pt idx="96">
                  <c:v>43675</c:v>
                </c:pt>
                <c:pt idx="97">
                  <c:v>43672</c:v>
                </c:pt>
                <c:pt idx="98">
                  <c:v>43671</c:v>
                </c:pt>
                <c:pt idx="99">
                  <c:v>43670</c:v>
                </c:pt>
                <c:pt idx="100">
                  <c:v>43669</c:v>
                </c:pt>
                <c:pt idx="101">
                  <c:v>43668</c:v>
                </c:pt>
                <c:pt idx="102">
                  <c:v>43665</c:v>
                </c:pt>
                <c:pt idx="103">
                  <c:v>43664</c:v>
                </c:pt>
                <c:pt idx="104">
                  <c:v>43663</c:v>
                </c:pt>
                <c:pt idx="105">
                  <c:v>43662</c:v>
                </c:pt>
                <c:pt idx="106">
                  <c:v>43658</c:v>
                </c:pt>
                <c:pt idx="107">
                  <c:v>43657</c:v>
                </c:pt>
                <c:pt idx="108">
                  <c:v>43656</c:v>
                </c:pt>
                <c:pt idx="109">
                  <c:v>43655</c:v>
                </c:pt>
                <c:pt idx="110">
                  <c:v>43654</c:v>
                </c:pt>
                <c:pt idx="111">
                  <c:v>43651</c:v>
                </c:pt>
                <c:pt idx="112">
                  <c:v>43650</c:v>
                </c:pt>
                <c:pt idx="113">
                  <c:v>43649</c:v>
                </c:pt>
                <c:pt idx="114">
                  <c:v>43648</c:v>
                </c:pt>
                <c:pt idx="115">
                  <c:v>43647</c:v>
                </c:pt>
                <c:pt idx="116">
                  <c:v>43644</c:v>
                </c:pt>
                <c:pt idx="117">
                  <c:v>43643</c:v>
                </c:pt>
                <c:pt idx="118">
                  <c:v>43642</c:v>
                </c:pt>
                <c:pt idx="119">
                  <c:v>43641</c:v>
                </c:pt>
                <c:pt idx="120">
                  <c:v>43640</c:v>
                </c:pt>
                <c:pt idx="121">
                  <c:v>43637</c:v>
                </c:pt>
                <c:pt idx="122">
                  <c:v>43636</c:v>
                </c:pt>
                <c:pt idx="123">
                  <c:v>43635</c:v>
                </c:pt>
                <c:pt idx="124">
                  <c:v>43634</c:v>
                </c:pt>
                <c:pt idx="125">
                  <c:v>43633</c:v>
                </c:pt>
                <c:pt idx="126">
                  <c:v>43630</c:v>
                </c:pt>
                <c:pt idx="127">
                  <c:v>43629</c:v>
                </c:pt>
                <c:pt idx="128">
                  <c:v>43628</c:v>
                </c:pt>
                <c:pt idx="129">
                  <c:v>43627</c:v>
                </c:pt>
                <c:pt idx="130">
                  <c:v>43626</c:v>
                </c:pt>
                <c:pt idx="131">
                  <c:v>43623</c:v>
                </c:pt>
                <c:pt idx="132">
                  <c:v>43622</c:v>
                </c:pt>
                <c:pt idx="133">
                  <c:v>43621</c:v>
                </c:pt>
                <c:pt idx="134">
                  <c:v>43620</c:v>
                </c:pt>
                <c:pt idx="135">
                  <c:v>43619</c:v>
                </c:pt>
                <c:pt idx="136">
                  <c:v>43616</c:v>
                </c:pt>
                <c:pt idx="137">
                  <c:v>43615</c:v>
                </c:pt>
                <c:pt idx="138">
                  <c:v>43614</c:v>
                </c:pt>
                <c:pt idx="139">
                  <c:v>43613</c:v>
                </c:pt>
                <c:pt idx="140">
                  <c:v>43612</c:v>
                </c:pt>
                <c:pt idx="141">
                  <c:v>43609</c:v>
                </c:pt>
                <c:pt idx="142">
                  <c:v>43608</c:v>
                </c:pt>
                <c:pt idx="143">
                  <c:v>43607</c:v>
                </c:pt>
                <c:pt idx="144">
                  <c:v>43606</c:v>
                </c:pt>
                <c:pt idx="145">
                  <c:v>43605</c:v>
                </c:pt>
                <c:pt idx="146">
                  <c:v>43602</c:v>
                </c:pt>
                <c:pt idx="147">
                  <c:v>43601</c:v>
                </c:pt>
                <c:pt idx="148">
                  <c:v>43600</c:v>
                </c:pt>
                <c:pt idx="149">
                  <c:v>43599</c:v>
                </c:pt>
                <c:pt idx="150">
                  <c:v>43598</c:v>
                </c:pt>
                <c:pt idx="151">
                  <c:v>43595</c:v>
                </c:pt>
                <c:pt idx="152">
                  <c:v>43594</c:v>
                </c:pt>
                <c:pt idx="153">
                  <c:v>43593</c:v>
                </c:pt>
                <c:pt idx="154">
                  <c:v>43592</c:v>
                </c:pt>
                <c:pt idx="155">
                  <c:v>43581</c:v>
                </c:pt>
                <c:pt idx="156">
                  <c:v>43580</c:v>
                </c:pt>
                <c:pt idx="157">
                  <c:v>43579</c:v>
                </c:pt>
                <c:pt idx="158">
                  <c:v>43578</c:v>
                </c:pt>
                <c:pt idx="159">
                  <c:v>43577</c:v>
                </c:pt>
                <c:pt idx="160">
                  <c:v>43574</c:v>
                </c:pt>
                <c:pt idx="161">
                  <c:v>43573</c:v>
                </c:pt>
                <c:pt idx="162">
                  <c:v>43572</c:v>
                </c:pt>
                <c:pt idx="163">
                  <c:v>43571</c:v>
                </c:pt>
                <c:pt idx="164">
                  <c:v>43570</c:v>
                </c:pt>
                <c:pt idx="165">
                  <c:v>43567</c:v>
                </c:pt>
                <c:pt idx="166">
                  <c:v>43566</c:v>
                </c:pt>
                <c:pt idx="167">
                  <c:v>43565</c:v>
                </c:pt>
                <c:pt idx="168">
                  <c:v>43564</c:v>
                </c:pt>
                <c:pt idx="169">
                  <c:v>43563</c:v>
                </c:pt>
                <c:pt idx="170">
                  <c:v>43560</c:v>
                </c:pt>
                <c:pt idx="171">
                  <c:v>43559</c:v>
                </c:pt>
                <c:pt idx="172">
                  <c:v>43558</c:v>
                </c:pt>
                <c:pt idx="173">
                  <c:v>43557</c:v>
                </c:pt>
                <c:pt idx="174">
                  <c:v>43556</c:v>
                </c:pt>
                <c:pt idx="175">
                  <c:v>43553</c:v>
                </c:pt>
                <c:pt idx="176">
                  <c:v>43552</c:v>
                </c:pt>
                <c:pt idx="177">
                  <c:v>43551</c:v>
                </c:pt>
                <c:pt idx="178">
                  <c:v>43550</c:v>
                </c:pt>
                <c:pt idx="179">
                  <c:v>43549</c:v>
                </c:pt>
                <c:pt idx="180">
                  <c:v>43546</c:v>
                </c:pt>
                <c:pt idx="181">
                  <c:v>43544</c:v>
                </c:pt>
                <c:pt idx="182">
                  <c:v>43543</c:v>
                </c:pt>
                <c:pt idx="183">
                  <c:v>43542</c:v>
                </c:pt>
                <c:pt idx="184">
                  <c:v>43539</c:v>
                </c:pt>
                <c:pt idx="185">
                  <c:v>43538</c:v>
                </c:pt>
                <c:pt idx="186">
                  <c:v>43537</c:v>
                </c:pt>
                <c:pt idx="187">
                  <c:v>43536</c:v>
                </c:pt>
                <c:pt idx="188">
                  <c:v>43535</c:v>
                </c:pt>
                <c:pt idx="189">
                  <c:v>43532</c:v>
                </c:pt>
                <c:pt idx="190">
                  <c:v>43531</c:v>
                </c:pt>
                <c:pt idx="191">
                  <c:v>43530</c:v>
                </c:pt>
                <c:pt idx="192">
                  <c:v>43529</c:v>
                </c:pt>
                <c:pt idx="193">
                  <c:v>43528</c:v>
                </c:pt>
                <c:pt idx="194">
                  <c:v>43525</c:v>
                </c:pt>
                <c:pt idx="195">
                  <c:v>43524</c:v>
                </c:pt>
                <c:pt idx="196">
                  <c:v>43523</c:v>
                </c:pt>
                <c:pt idx="197">
                  <c:v>43522</c:v>
                </c:pt>
                <c:pt idx="198">
                  <c:v>43521</c:v>
                </c:pt>
                <c:pt idx="199">
                  <c:v>43518</c:v>
                </c:pt>
                <c:pt idx="200">
                  <c:v>43517</c:v>
                </c:pt>
                <c:pt idx="201">
                  <c:v>43516</c:v>
                </c:pt>
                <c:pt idx="202">
                  <c:v>43515</c:v>
                </c:pt>
                <c:pt idx="203">
                  <c:v>43514</c:v>
                </c:pt>
                <c:pt idx="204">
                  <c:v>43511</c:v>
                </c:pt>
                <c:pt idx="205">
                  <c:v>43510</c:v>
                </c:pt>
                <c:pt idx="206">
                  <c:v>43509</c:v>
                </c:pt>
                <c:pt idx="207">
                  <c:v>43508</c:v>
                </c:pt>
                <c:pt idx="208">
                  <c:v>43504</c:v>
                </c:pt>
                <c:pt idx="209">
                  <c:v>43503</c:v>
                </c:pt>
                <c:pt idx="210">
                  <c:v>43502</c:v>
                </c:pt>
                <c:pt idx="211">
                  <c:v>43501</c:v>
                </c:pt>
                <c:pt idx="212">
                  <c:v>43500</c:v>
                </c:pt>
                <c:pt idx="213">
                  <c:v>43497</c:v>
                </c:pt>
                <c:pt idx="214">
                  <c:v>43496</c:v>
                </c:pt>
                <c:pt idx="215">
                  <c:v>43495</c:v>
                </c:pt>
                <c:pt idx="216">
                  <c:v>43494</c:v>
                </c:pt>
                <c:pt idx="217">
                  <c:v>43493</c:v>
                </c:pt>
                <c:pt idx="218">
                  <c:v>43490</c:v>
                </c:pt>
                <c:pt idx="219">
                  <c:v>43489</c:v>
                </c:pt>
                <c:pt idx="220">
                  <c:v>43488</c:v>
                </c:pt>
                <c:pt idx="221">
                  <c:v>43487</c:v>
                </c:pt>
                <c:pt idx="222">
                  <c:v>43486</c:v>
                </c:pt>
                <c:pt idx="223">
                  <c:v>43483</c:v>
                </c:pt>
                <c:pt idx="224">
                  <c:v>43482</c:v>
                </c:pt>
                <c:pt idx="225">
                  <c:v>43481</c:v>
                </c:pt>
                <c:pt idx="226">
                  <c:v>43480</c:v>
                </c:pt>
                <c:pt idx="227">
                  <c:v>43476</c:v>
                </c:pt>
                <c:pt idx="228">
                  <c:v>43475</c:v>
                </c:pt>
                <c:pt idx="229">
                  <c:v>43474</c:v>
                </c:pt>
                <c:pt idx="230">
                  <c:v>43473</c:v>
                </c:pt>
                <c:pt idx="231">
                  <c:v>43472</c:v>
                </c:pt>
                <c:pt idx="232">
                  <c:v>43469</c:v>
                </c:pt>
                <c:pt idx="233">
                  <c:v>43462</c:v>
                </c:pt>
                <c:pt idx="234">
                  <c:v>43461</c:v>
                </c:pt>
                <c:pt idx="235">
                  <c:v>43460</c:v>
                </c:pt>
                <c:pt idx="236">
                  <c:v>43459</c:v>
                </c:pt>
                <c:pt idx="237">
                  <c:v>43455</c:v>
                </c:pt>
                <c:pt idx="238">
                  <c:v>43454</c:v>
                </c:pt>
                <c:pt idx="239">
                  <c:v>43453</c:v>
                </c:pt>
                <c:pt idx="240">
                  <c:v>43452</c:v>
                </c:pt>
                <c:pt idx="241">
                  <c:v>43451</c:v>
                </c:pt>
              </c:numCache>
            </c:numRef>
          </c:cat>
          <c:val>
            <c:numRef>
              <c:f>BACK_TEST!$S$82:$S$700</c:f>
              <c:numCache>
                <c:formatCode>General</c:formatCode>
                <c:ptCount val="619"/>
                <c:pt idx="0">
                  <c:v>0.41334419619142082</c:v>
                </c:pt>
                <c:pt idx="1">
                  <c:v>0.41326902795158882</c:v>
                </c:pt>
                <c:pt idx="2">
                  <c:v>0.4131703450272588</c:v>
                </c:pt>
                <c:pt idx="3">
                  <c:v>0.41308706876604118</c:v>
                </c:pt>
                <c:pt idx="4">
                  <c:v>0.41290531320513996</c:v>
                </c:pt>
                <c:pt idx="5">
                  <c:v>0.41232450401517057</c:v>
                </c:pt>
                <c:pt idx="6">
                  <c:v>0.41173790833060159</c:v>
                </c:pt>
                <c:pt idx="7">
                  <c:v>0.41092314984495881</c:v>
                </c:pt>
                <c:pt idx="8">
                  <c:v>0.41007726630815444</c:v>
                </c:pt>
                <c:pt idx="9">
                  <c:v>0.40957565474388541</c:v>
                </c:pt>
                <c:pt idx="10">
                  <c:v>0.40927592217870423</c:v>
                </c:pt>
                <c:pt idx="11">
                  <c:v>0.40916253402077679</c:v>
                </c:pt>
                <c:pt idx="12">
                  <c:v>0.40910095358615739</c:v>
                </c:pt>
                <c:pt idx="13">
                  <c:v>0.4091587593816306</c:v>
                </c:pt>
                <c:pt idx="14">
                  <c:v>0.4091497900685982</c:v>
                </c:pt>
                <c:pt idx="15">
                  <c:v>0.40912722112300198</c:v>
                </c:pt>
                <c:pt idx="16">
                  <c:v>0.4091262945675172</c:v>
                </c:pt>
                <c:pt idx="17">
                  <c:v>0.4091199651469038</c:v>
                </c:pt>
                <c:pt idx="18">
                  <c:v>0.40900631062547299</c:v>
                </c:pt>
                <c:pt idx="19">
                  <c:v>0.40889091260661797</c:v>
                </c:pt>
                <c:pt idx="20">
                  <c:v>0.4087223170308944</c:v>
                </c:pt>
                <c:pt idx="21">
                  <c:v>0.40865875520589023</c:v>
                </c:pt>
                <c:pt idx="22">
                  <c:v>0.40872571113141737</c:v>
                </c:pt>
                <c:pt idx="23">
                  <c:v>0.4087317344284298</c:v>
                </c:pt>
                <c:pt idx="24">
                  <c:v>0.40892441703740862</c:v>
                </c:pt>
                <c:pt idx="25">
                  <c:v>0.40919937923912142</c:v>
                </c:pt>
                <c:pt idx="26">
                  <c:v>0.40948378130198043</c:v>
                </c:pt>
                <c:pt idx="27">
                  <c:v>0.40979961516479424</c:v>
                </c:pt>
                <c:pt idx="28">
                  <c:v>0.41020123305836159</c:v>
                </c:pt>
                <c:pt idx="29">
                  <c:v>0.41059838440688057</c:v>
                </c:pt>
                <c:pt idx="30">
                  <c:v>0.41111149520025297</c:v>
                </c:pt>
                <c:pt idx="31">
                  <c:v>0.41171703078730759</c:v>
                </c:pt>
                <c:pt idx="32">
                  <c:v>0.41245220049171138</c:v>
                </c:pt>
                <c:pt idx="33">
                  <c:v>0.41260368664154184</c:v>
                </c:pt>
                <c:pt idx="34">
                  <c:v>0.41310714887253341</c:v>
                </c:pt>
                <c:pt idx="35">
                  <c:v>0.41402286656578879</c:v>
                </c:pt>
                <c:pt idx="36">
                  <c:v>0.41537871763181083</c:v>
                </c:pt>
                <c:pt idx="37">
                  <c:v>0.41675625442500125</c:v>
                </c:pt>
                <c:pt idx="38">
                  <c:v>0.41782527193559599</c:v>
                </c:pt>
                <c:pt idx="39">
                  <c:v>0.41895469278846098</c:v>
                </c:pt>
                <c:pt idx="40">
                  <c:v>0.42019304991210338</c:v>
                </c:pt>
                <c:pt idx="41">
                  <c:v>0.42125386967544681</c:v>
                </c:pt>
                <c:pt idx="42">
                  <c:v>0.42209867572940163</c:v>
                </c:pt>
                <c:pt idx="43">
                  <c:v>0.42293960695186861</c:v>
                </c:pt>
                <c:pt idx="44">
                  <c:v>0.42397733310031543</c:v>
                </c:pt>
                <c:pt idx="45">
                  <c:v>0.42463536130531221</c:v>
                </c:pt>
                <c:pt idx="46">
                  <c:v>0.42498448142705619</c:v>
                </c:pt>
                <c:pt idx="47">
                  <c:v>0.4253201784134254</c:v>
                </c:pt>
                <c:pt idx="48">
                  <c:v>0.42576001583327761</c:v>
                </c:pt>
                <c:pt idx="49">
                  <c:v>0.42626650697584823</c:v>
                </c:pt>
                <c:pt idx="50">
                  <c:v>0.42677941464401681</c:v>
                </c:pt>
                <c:pt idx="51">
                  <c:v>0.42746122505230139</c:v>
                </c:pt>
                <c:pt idx="52">
                  <c:v>0.42840674179543203</c:v>
                </c:pt>
                <c:pt idx="53">
                  <c:v>0.42955079475157759</c:v>
                </c:pt>
                <c:pt idx="54">
                  <c:v>0.43035980856156664</c:v>
                </c:pt>
                <c:pt idx="55">
                  <c:v>0.43023718558059698</c:v>
                </c:pt>
                <c:pt idx="56">
                  <c:v>0.4297399231674664</c:v>
                </c:pt>
                <c:pt idx="57">
                  <c:v>0.42846678291709361</c:v>
                </c:pt>
                <c:pt idx="58">
                  <c:v>0.42705941202769404</c:v>
                </c:pt>
                <c:pt idx="59">
                  <c:v>0.425966636053632</c:v>
                </c:pt>
                <c:pt idx="60">
                  <c:v>0.42522764204845898</c:v>
                </c:pt>
                <c:pt idx="61">
                  <c:v>0.42444165608729484</c:v>
                </c:pt>
                <c:pt idx="62">
                  <c:v>0.42380494282975095</c:v>
                </c:pt>
                <c:pt idx="63">
                  <c:v>0.42311469455586004</c:v>
                </c:pt>
                <c:pt idx="64">
                  <c:v>0.42237197718580682</c:v>
                </c:pt>
                <c:pt idx="65">
                  <c:v>0.42149474244915042</c:v>
                </c:pt>
                <c:pt idx="66">
                  <c:v>0.42095665263250681</c:v>
                </c:pt>
                <c:pt idx="67">
                  <c:v>0.4203342501757526</c:v>
                </c:pt>
                <c:pt idx="68">
                  <c:v>0.41984387479963298</c:v>
                </c:pt>
                <c:pt idx="69">
                  <c:v>0.41952713822798138</c:v>
                </c:pt>
                <c:pt idx="70">
                  <c:v>0.4191583169752584</c:v>
                </c:pt>
                <c:pt idx="71">
                  <c:v>0.41885977823406079</c:v>
                </c:pt>
                <c:pt idx="72">
                  <c:v>0.41880417900955197</c:v>
                </c:pt>
                <c:pt idx="73">
                  <c:v>0.41878805958095255</c:v>
                </c:pt>
                <c:pt idx="74">
                  <c:v>0.41889237945213603</c:v>
                </c:pt>
                <c:pt idx="75">
                  <c:v>0.419000034937622</c:v>
                </c:pt>
                <c:pt idx="76">
                  <c:v>0.41904840216684319</c:v>
                </c:pt>
                <c:pt idx="77">
                  <c:v>0.41908640630218102</c:v>
                </c:pt>
                <c:pt idx="78">
                  <c:v>0.41912997999370344</c:v>
                </c:pt>
                <c:pt idx="79">
                  <c:v>0.41872197223577123</c:v>
                </c:pt>
                <c:pt idx="80">
                  <c:v>0.41832348843824557</c:v>
                </c:pt>
                <c:pt idx="81">
                  <c:v>0.41749736689954081</c:v>
                </c:pt>
                <c:pt idx="82">
                  <c:v>0.41731312542105825</c:v>
                </c:pt>
                <c:pt idx="83">
                  <c:v>0.41701830289926178</c:v>
                </c:pt>
                <c:pt idx="84">
                  <c:v>0.41587521120429499</c:v>
                </c:pt>
                <c:pt idx="85">
                  <c:v>0.41473939438912616</c:v>
                </c:pt>
                <c:pt idx="86">
                  <c:v>0.41421318965966536</c:v>
                </c:pt>
                <c:pt idx="87">
                  <c:v>0.41390923306035921</c:v>
                </c:pt>
                <c:pt idx="88">
                  <c:v>0.41345701610955443</c:v>
                </c:pt>
                <c:pt idx="89">
                  <c:v>0.4129508669708552</c:v>
                </c:pt>
                <c:pt idx="90">
                  <c:v>0.4122640868216364</c:v>
                </c:pt>
                <c:pt idx="91">
                  <c:v>0.41144368673136483</c:v>
                </c:pt>
                <c:pt idx="92">
                  <c:v>0.4109180508673434</c:v>
                </c:pt>
                <c:pt idx="93">
                  <c:v>0.41079952876411324</c:v>
                </c:pt>
                <c:pt idx="94">
                  <c:v>0.41067099226710757</c:v>
                </c:pt>
                <c:pt idx="95">
                  <c:v>0.41053382104199504</c:v>
                </c:pt>
                <c:pt idx="96">
                  <c:v>0.41050673954281219</c:v>
                </c:pt>
                <c:pt idx="97">
                  <c:v>0.41040376631949305</c:v>
                </c:pt>
                <c:pt idx="98">
                  <c:v>0.41044987893682905</c:v>
                </c:pt>
                <c:pt idx="99">
                  <c:v>0.41037932645315262</c:v>
                </c:pt>
                <c:pt idx="100">
                  <c:v>0.40973766683984503</c:v>
                </c:pt>
                <c:pt idx="101">
                  <c:v>0.40954195589199982</c:v>
                </c:pt>
                <c:pt idx="102">
                  <c:v>0.40934059729928662</c:v>
                </c:pt>
                <c:pt idx="103">
                  <c:v>0.40919108508711183</c:v>
                </c:pt>
                <c:pt idx="104">
                  <c:v>0.40927740610951741</c:v>
                </c:pt>
                <c:pt idx="105">
                  <c:v>0.40943283181304563</c:v>
                </c:pt>
                <c:pt idx="106">
                  <c:v>0.4096114138971208</c:v>
                </c:pt>
                <c:pt idx="107">
                  <c:v>0.4100705250810382</c:v>
                </c:pt>
                <c:pt idx="108">
                  <c:v>0.41070800855623218</c:v>
                </c:pt>
                <c:pt idx="109">
                  <c:v>0.41124552469395781</c:v>
                </c:pt>
                <c:pt idx="110">
                  <c:v>0.41166297935372298</c:v>
                </c:pt>
                <c:pt idx="111">
                  <c:v>0.41205673613836596</c:v>
                </c:pt>
                <c:pt idx="112">
                  <c:v>0.41244337375440898</c:v>
                </c:pt>
                <c:pt idx="113">
                  <c:v>0.41291305480844542</c:v>
                </c:pt>
                <c:pt idx="114">
                  <c:v>0.41351650393731199</c:v>
                </c:pt>
                <c:pt idx="115">
                  <c:v>0.41398333754941979</c:v>
                </c:pt>
                <c:pt idx="116">
                  <c:v>0.41438022274662201</c:v>
                </c:pt>
                <c:pt idx="117">
                  <c:v>0.41493319630214276</c:v>
                </c:pt>
                <c:pt idx="118">
                  <c:v>0.415283281301559</c:v>
                </c:pt>
                <c:pt idx="119">
                  <c:v>0.41536867920515602</c:v>
                </c:pt>
                <c:pt idx="120">
                  <c:v>0.41550062683683098</c:v>
                </c:pt>
                <c:pt idx="121">
                  <c:v>0.41577722907018799</c:v>
                </c:pt>
                <c:pt idx="122">
                  <c:v>0.41606302749273261</c:v>
                </c:pt>
                <c:pt idx="123">
                  <c:v>0.4166434217787186</c:v>
                </c:pt>
                <c:pt idx="124">
                  <c:v>0.41692714815954601</c:v>
                </c:pt>
                <c:pt idx="125">
                  <c:v>0.41793540910899857</c:v>
                </c:pt>
                <c:pt idx="126">
                  <c:v>0.41884916543948242</c:v>
                </c:pt>
                <c:pt idx="127">
                  <c:v>0.419785878626172</c:v>
                </c:pt>
                <c:pt idx="128">
                  <c:v>0.42059188642792722</c:v>
                </c:pt>
                <c:pt idx="129">
                  <c:v>0.42112621882264401</c:v>
                </c:pt>
                <c:pt idx="130">
                  <c:v>0.42216730951325498</c:v>
                </c:pt>
                <c:pt idx="131">
                  <c:v>0.42295796371021482</c:v>
                </c:pt>
                <c:pt idx="132">
                  <c:v>0.42404225962334119</c:v>
                </c:pt>
                <c:pt idx="133">
                  <c:v>0.42518623716053583</c:v>
                </c:pt>
                <c:pt idx="134">
                  <c:v>0.42647289507855202</c:v>
                </c:pt>
                <c:pt idx="135">
                  <c:v>0.42798151555854502</c:v>
                </c:pt>
                <c:pt idx="136">
                  <c:v>0.4296292411870698</c:v>
                </c:pt>
                <c:pt idx="137">
                  <c:v>0.43116916116994303</c:v>
                </c:pt>
                <c:pt idx="138">
                  <c:v>0.43284999961815801</c:v>
                </c:pt>
                <c:pt idx="139">
                  <c:v>0.43486727404106379</c:v>
                </c:pt>
                <c:pt idx="140">
                  <c:v>0.43709826040430999</c:v>
                </c:pt>
                <c:pt idx="141">
                  <c:v>0.4390859370719038</c:v>
                </c:pt>
                <c:pt idx="142">
                  <c:v>0.44108380892433519</c:v>
                </c:pt>
                <c:pt idx="143">
                  <c:v>0.44285017354121337</c:v>
                </c:pt>
                <c:pt idx="144">
                  <c:v>0.44439550532718958</c:v>
                </c:pt>
                <c:pt idx="145">
                  <c:v>0.44624330826182057</c:v>
                </c:pt>
                <c:pt idx="146">
                  <c:v>0.448077643953605</c:v>
                </c:pt>
                <c:pt idx="147">
                  <c:v>0.44918454345693742</c:v>
                </c:pt>
                <c:pt idx="148">
                  <c:v>0.4499259801881394</c:v>
                </c:pt>
                <c:pt idx="149">
                  <c:v>0.45014471135709239</c:v>
                </c:pt>
                <c:pt idx="150">
                  <c:v>0.44980411468936843</c:v>
                </c:pt>
                <c:pt idx="151">
                  <c:v>0.44906709585147681</c:v>
                </c:pt>
                <c:pt idx="152">
                  <c:v>0.44846745831687379</c:v>
                </c:pt>
                <c:pt idx="153">
                  <c:v>0.44817168560076304</c:v>
                </c:pt>
                <c:pt idx="154">
                  <c:v>0.44773546518882662</c:v>
                </c:pt>
                <c:pt idx="155">
                  <c:v>0.44725706237842361</c:v>
                </c:pt>
                <c:pt idx="156">
                  <c:v>0.44695255276539619</c:v>
                </c:pt>
                <c:pt idx="157">
                  <c:v>0.44669369516541502</c:v>
                </c:pt>
                <c:pt idx="158">
                  <c:v>0.44632875815014139</c:v>
                </c:pt>
                <c:pt idx="159">
                  <c:v>0.44562824679690238</c:v>
                </c:pt>
                <c:pt idx="160">
                  <c:v>0.44486932952580815</c:v>
                </c:pt>
                <c:pt idx="161">
                  <c:v>0.44334185848136665</c:v>
                </c:pt>
                <c:pt idx="162">
                  <c:v>0.44112244428534941</c:v>
                </c:pt>
                <c:pt idx="163">
                  <c:v>0.43979053487390324</c:v>
                </c:pt>
                <c:pt idx="164">
                  <c:v>0.43820752242600181</c:v>
                </c:pt>
                <c:pt idx="165">
                  <c:v>0.43641596421947237</c:v>
                </c:pt>
                <c:pt idx="166">
                  <c:v>0.4354296309239078</c:v>
                </c:pt>
                <c:pt idx="167">
                  <c:v>0.43422634696004858</c:v>
                </c:pt>
                <c:pt idx="168">
                  <c:v>0.43342563460038541</c:v>
                </c:pt>
                <c:pt idx="169">
                  <c:v>0.43248843400838682</c:v>
                </c:pt>
                <c:pt idx="170">
                  <c:v>0.43143478180571376</c:v>
                </c:pt>
                <c:pt idx="171">
                  <c:v>0.429750187904202</c:v>
                </c:pt>
                <c:pt idx="172">
                  <c:v>0.42842798421095718</c:v>
                </c:pt>
                <c:pt idx="173">
                  <c:v>0.42764398449669661</c:v>
                </c:pt>
                <c:pt idx="174">
                  <c:v>0.4266387296067542</c:v>
                </c:pt>
                <c:pt idx="175">
                  <c:v>0.42648663147007682</c:v>
                </c:pt>
                <c:pt idx="176">
                  <c:v>0.42552649297476758</c:v>
                </c:pt>
                <c:pt idx="177">
                  <c:v>0.42495430863322825</c:v>
                </c:pt>
                <c:pt idx="178">
                  <c:v>0.42442960873193181</c:v>
                </c:pt>
                <c:pt idx="179">
                  <c:v>0.42416262109402564</c:v>
                </c:pt>
                <c:pt idx="180">
                  <c:v>0.42335866547975021</c:v>
                </c:pt>
                <c:pt idx="181">
                  <c:v>0.42265438138915923</c:v>
                </c:pt>
                <c:pt idx="182">
                  <c:v>0.4221697719926702</c:v>
                </c:pt>
                <c:pt idx="183">
                  <c:v>0.42149637426731823</c:v>
                </c:pt>
                <c:pt idx="184">
                  <c:v>0.42055423091762517</c:v>
                </c:pt>
                <c:pt idx="185">
                  <c:v>0.41994136925636777</c:v>
                </c:pt>
                <c:pt idx="186">
                  <c:v>0.41893946644296798</c:v>
                </c:pt>
                <c:pt idx="187">
                  <c:v>0.41752371379427639</c:v>
                </c:pt>
                <c:pt idx="188">
                  <c:v>0.41595250288190699</c:v>
                </c:pt>
                <c:pt idx="189">
                  <c:v>0.41311487576758837</c:v>
                </c:pt>
                <c:pt idx="190">
                  <c:v>0.41119509137876864</c:v>
                </c:pt>
                <c:pt idx="191">
                  <c:v>0.40890653802656785</c:v>
                </c:pt>
                <c:pt idx="192">
                  <c:v>0.40651959632584078</c:v>
                </c:pt>
                <c:pt idx="193">
                  <c:v>0.4045327995640346</c:v>
                </c:pt>
                <c:pt idx="194">
                  <c:v>0.40219747287436342</c:v>
                </c:pt>
                <c:pt idx="195">
                  <c:v>0.3999567251275824</c:v>
                </c:pt>
                <c:pt idx="196">
                  <c:v>0.39758974200653779</c:v>
                </c:pt>
                <c:pt idx="197">
                  <c:v>0.39674544906285236</c:v>
                </c:pt>
                <c:pt idx="198">
                  <c:v>0.39580946128880579</c:v>
                </c:pt>
                <c:pt idx="199">
                  <c:v>0.39539106231799803</c:v>
                </c:pt>
                <c:pt idx="200">
                  <c:v>0.39528973008133761</c:v>
                </c:pt>
                <c:pt idx="201">
                  <c:v>0.39506068840659281</c:v>
                </c:pt>
                <c:pt idx="202">
                  <c:v>0.39464105716244657</c:v>
                </c:pt>
                <c:pt idx="203">
                  <c:v>0.39402794806478281</c:v>
                </c:pt>
                <c:pt idx="204">
                  <c:v>0.39299889855609038</c:v>
                </c:pt>
                <c:pt idx="205">
                  <c:v>0.39176889766891199</c:v>
                </c:pt>
                <c:pt idx="206">
                  <c:v>0.3905746413529344</c:v>
                </c:pt>
                <c:pt idx="207">
                  <c:v>0.38968723635936364</c:v>
                </c:pt>
                <c:pt idx="208">
                  <c:v>0.38910390985369742</c:v>
                </c:pt>
                <c:pt idx="209">
                  <c:v>0.3887173758532218</c:v>
                </c:pt>
                <c:pt idx="210">
                  <c:v>0.38888975380207036</c:v>
                </c:pt>
                <c:pt idx="211">
                  <c:v>0.38908017435164677</c:v>
                </c:pt>
                <c:pt idx="212">
                  <c:v>0.3893016230233054</c:v>
                </c:pt>
                <c:pt idx="213">
                  <c:v>0.38931586196791979</c:v>
                </c:pt>
                <c:pt idx="214">
                  <c:v>0.38991910273416119</c:v>
                </c:pt>
                <c:pt idx="215">
                  <c:v>0.39060517155520336</c:v>
                </c:pt>
                <c:pt idx="216">
                  <c:v>0.39150149860923278</c:v>
                </c:pt>
                <c:pt idx="217">
                  <c:v>0.39193599357987241</c:v>
                </c:pt>
                <c:pt idx="218">
                  <c:v>0.39232979124278961</c:v>
                </c:pt>
                <c:pt idx="219">
                  <c:v>0.39279364787157039</c:v>
                </c:pt>
                <c:pt idx="220">
                  <c:v>0.39345920804482998</c:v>
                </c:pt>
                <c:pt idx="221">
                  <c:v>0.39433071734968844</c:v>
                </c:pt>
                <c:pt idx="222">
                  <c:v>0.39488712786587576</c:v>
                </c:pt>
                <c:pt idx="223">
                  <c:v>0.39498343610022657</c:v>
                </c:pt>
                <c:pt idx="224">
                  <c:v>0.39526351251809877</c:v>
                </c:pt>
                <c:pt idx="225">
                  <c:v>0.39521585887032984</c:v>
                </c:pt>
                <c:pt idx="226">
                  <c:v>0.39523029799759157</c:v>
                </c:pt>
                <c:pt idx="227">
                  <c:v>0.39542540209432819</c:v>
                </c:pt>
                <c:pt idx="228">
                  <c:v>0.39578950101060756</c:v>
                </c:pt>
                <c:pt idx="229">
                  <c:v>0.39623005691783397</c:v>
                </c:pt>
                <c:pt idx="230">
                  <c:v>0.39668227638696141</c:v>
                </c:pt>
                <c:pt idx="231">
                  <c:v>0.39731903590633522</c:v>
                </c:pt>
                <c:pt idx="232">
                  <c:v>0.39820442731525441</c:v>
                </c:pt>
                <c:pt idx="233">
                  <c:v>0.39888816488255019</c:v>
                </c:pt>
                <c:pt idx="234">
                  <c:v>0.39894834248879818</c:v>
                </c:pt>
                <c:pt idx="235">
                  <c:v>0.39904740634588504</c:v>
                </c:pt>
                <c:pt idx="236">
                  <c:v>0.39908260879696461</c:v>
                </c:pt>
                <c:pt idx="237">
                  <c:v>0.39909085985427817</c:v>
                </c:pt>
                <c:pt idx="238">
                  <c:v>0.39914268471657699</c:v>
                </c:pt>
                <c:pt idx="239">
                  <c:v>0.39914045675852017</c:v>
                </c:pt>
                <c:pt idx="240">
                  <c:v>0.39912946282309741</c:v>
                </c:pt>
                <c:pt idx="241">
                  <c:v>0.39916870572561536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765-4CDF-91FD-9E04D901EC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232384"/>
        <c:axId val="114033408"/>
      </c:lineChart>
      <c:scatterChart>
        <c:scatterStyle val="lineMarker"/>
        <c:varyColors val="0"/>
        <c:ser>
          <c:idx val="4"/>
          <c:order val="4"/>
          <c:tx>
            <c:v>open_line</c:v>
          </c:tx>
          <c:spPr>
            <a:ln w="412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43742</c:v>
                </c:pt>
                <c:pt idx="1">
                  <c:v>43742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765-4CDF-91FD-9E04D901ECA1}"/>
            </c:ext>
          </c:extLst>
        </c:ser>
        <c:ser>
          <c:idx val="5"/>
          <c:order val="5"/>
          <c:tx>
            <c:v>close_line</c:v>
          </c:tx>
          <c:spPr>
            <a:ln w="38100"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43759</c:v>
                </c:pt>
                <c:pt idx="1">
                  <c:v>43759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765-4CDF-91FD-9E04D901EC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9802376"/>
        <c:axId val="599800736"/>
      </c:scatterChart>
      <c:dateAx>
        <c:axId val="1212323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14033408"/>
        <c:crosses val="autoZero"/>
        <c:auto val="1"/>
        <c:lblOffset val="100"/>
        <c:baseTimeUnit val="days"/>
      </c:dateAx>
      <c:valAx>
        <c:axId val="114033408"/>
        <c:scaling>
          <c:orientation val="minMax"/>
          <c:max val="0.51992527934452604"/>
          <c:min val="0.3887173758532218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21232384"/>
        <c:crosses val="autoZero"/>
        <c:crossBetween val="between"/>
      </c:valAx>
      <c:valAx>
        <c:axId val="599800736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599802376"/>
        <c:crosses val="max"/>
        <c:crossBetween val="midCat"/>
      </c:valAx>
      <c:valAx>
        <c:axId val="59980237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5998007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43323764538918591"/>
          <c:y val="4.0261585319565599E-2"/>
          <c:w val="0.141793035912854"/>
          <c:h val="0.23665409588805356"/>
        </c:manualLayout>
      </c:layout>
      <c:overlay val="0"/>
    </c:legend>
    <c:plotVisOnly val="1"/>
    <c:dispBlanksAs val="gap"/>
    <c:showDLblsOverMax val="0"/>
  </c:chart>
  <c:printSettings>
    <c:headerFooter/>
    <c:pageMargins b="0.75000000000000466" l="0.70000000000000062" r="0.70000000000000062" t="0.75000000000000466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8067850133471853E-2"/>
          <c:y val="2.2610696632096309E-2"/>
          <c:w val="0.8908422569562694"/>
          <c:h val="0.86412527110401971"/>
        </c:manualLayout>
      </c:layout>
      <c:lineChart>
        <c:grouping val="standard"/>
        <c:varyColors val="0"/>
        <c:ser>
          <c:idx val="0"/>
          <c:order val="0"/>
          <c:tx>
            <c:strRef>
              <c:f>BACK_TEST!$AA$81</c:f>
              <c:strCache>
                <c:ptCount val="1"/>
                <c:pt idx="0">
                  <c:v>sell(8750)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43817</c:v>
                </c:pt>
                <c:pt idx="1">
                  <c:v>43816</c:v>
                </c:pt>
                <c:pt idx="2">
                  <c:v>43815</c:v>
                </c:pt>
                <c:pt idx="3">
                  <c:v>43812</c:v>
                </c:pt>
                <c:pt idx="4">
                  <c:v>43811</c:v>
                </c:pt>
                <c:pt idx="5">
                  <c:v>43810</c:v>
                </c:pt>
                <c:pt idx="6">
                  <c:v>43809</c:v>
                </c:pt>
                <c:pt idx="7">
                  <c:v>43808</c:v>
                </c:pt>
                <c:pt idx="8">
                  <c:v>43805</c:v>
                </c:pt>
                <c:pt idx="9">
                  <c:v>43804</c:v>
                </c:pt>
                <c:pt idx="10">
                  <c:v>43803</c:v>
                </c:pt>
                <c:pt idx="11">
                  <c:v>43802</c:v>
                </c:pt>
                <c:pt idx="12">
                  <c:v>43801</c:v>
                </c:pt>
                <c:pt idx="13">
                  <c:v>43798</c:v>
                </c:pt>
                <c:pt idx="14">
                  <c:v>43797</c:v>
                </c:pt>
                <c:pt idx="15">
                  <c:v>43796</c:v>
                </c:pt>
                <c:pt idx="16">
                  <c:v>43795</c:v>
                </c:pt>
                <c:pt idx="17">
                  <c:v>43794</c:v>
                </c:pt>
                <c:pt idx="18">
                  <c:v>43791</c:v>
                </c:pt>
                <c:pt idx="19">
                  <c:v>43790</c:v>
                </c:pt>
                <c:pt idx="20">
                  <c:v>43789</c:v>
                </c:pt>
                <c:pt idx="21">
                  <c:v>43788</c:v>
                </c:pt>
                <c:pt idx="22">
                  <c:v>43787</c:v>
                </c:pt>
                <c:pt idx="23">
                  <c:v>43784</c:v>
                </c:pt>
                <c:pt idx="24">
                  <c:v>43783</c:v>
                </c:pt>
                <c:pt idx="25">
                  <c:v>43782</c:v>
                </c:pt>
                <c:pt idx="26">
                  <c:v>43781</c:v>
                </c:pt>
                <c:pt idx="27">
                  <c:v>43780</c:v>
                </c:pt>
                <c:pt idx="28">
                  <c:v>43777</c:v>
                </c:pt>
                <c:pt idx="29">
                  <c:v>43776</c:v>
                </c:pt>
                <c:pt idx="30">
                  <c:v>43775</c:v>
                </c:pt>
                <c:pt idx="31">
                  <c:v>43774</c:v>
                </c:pt>
                <c:pt idx="32">
                  <c:v>43770</c:v>
                </c:pt>
                <c:pt idx="33">
                  <c:v>43769</c:v>
                </c:pt>
                <c:pt idx="34">
                  <c:v>43768</c:v>
                </c:pt>
                <c:pt idx="35">
                  <c:v>43767</c:v>
                </c:pt>
                <c:pt idx="36">
                  <c:v>43766</c:v>
                </c:pt>
                <c:pt idx="37">
                  <c:v>43763</c:v>
                </c:pt>
                <c:pt idx="38">
                  <c:v>43762</c:v>
                </c:pt>
                <c:pt idx="39">
                  <c:v>43761</c:v>
                </c:pt>
                <c:pt idx="40">
                  <c:v>43759</c:v>
                </c:pt>
                <c:pt idx="41">
                  <c:v>43756</c:v>
                </c:pt>
                <c:pt idx="42">
                  <c:v>43755</c:v>
                </c:pt>
                <c:pt idx="43">
                  <c:v>43754</c:v>
                </c:pt>
                <c:pt idx="44">
                  <c:v>43753</c:v>
                </c:pt>
                <c:pt idx="45">
                  <c:v>43749</c:v>
                </c:pt>
                <c:pt idx="46">
                  <c:v>43748</c:v>
                </c:pt>
                <c:pt idx="47">
                  <c:v>43747</c:v>
                </c:pt>
                <c:pt idx="48">
                  <c:v>43746</c:v>
                </c:pt>
                <c:pt idx="49">
                  <c:v>43745</c:v>
                </c:pt>
                <c:pt idx="50">
                  <c:v>43742</c:v>
                </c:pt>
                <c:pt idx="51">
                  <c:v>43741</c:v>
                </c:pt>
                <c:pt idx="52">
                  <c:v>43740</c:v>
                </c:pt>
                <c:pt idx="53">
                  <c:v>43739</c:v>
                </c:pt>
                <c:pt idx="54">
                  <c:v>43738</c:v>
                </c:pt>
                <c:pt idx="55">
                  <c:v>43735</c:v>
                </c:pt>
                <c:pt idx="56">
                  <c:v>43734</c:v>
                </c:pt>
                <c:pt idx="57">
                  <c:v>43733</c:v>
                </c:pt>
                <c:pt idx="58">
                  <c:v>43732</c:v>
                </c:pt>
                <c:pt idx="59">
                  <c:v>43728</c:v>
                </c:pt>
                <c:pt idx="60">
                  <c:v>43727</c:v>
                </c:pt>
                <c:pt idx="61">
                  <c:v>43726</c:v>
                </c:pt>
                <c:pt idx="62">
                  <c:v>43725</c:v>
                </c:pt>
                <c:pt idx="63">
                  <c:v>43721</c:v>
                </c:pt>
                <c:pt idx="64">
                  <c:v>43720</c:v>
                </c:pt>
                <c:pt idx="65">
                  <c:v>43719</c:v>
                </c:pt>
                <c:pt idx="66">
                  <c:v>43718</c:v>
                </c:pt>
                <c:pt idx="67">
                  <c:v>43717</c:v>
                </c:pt>
                <c:pt idx="68">
                  <c:v>43714</c:v>
                </c:pt>
                <c:pt idx="69">
                  <c:v>43713</c:v>
                </c:pt>
                <c:pt idx="70">
                  <c:v>43712</c:v>
                </c:pt>
                <c:pt idx="71">
                  <c:v>43711</c:v>
                </c:pt>
                <c:pt idx="72">
                  <c:v>43710</c:v>
                </c:pt>
                <c:pt idx="73">
                  <c:v>43707</c:v>
                </c:pt>
                <c:pt idx="74">
                  <c:v>43706</c:v>
                </c:pt>
                <c:pt idx="75">
                  <c:v>43705</c:v>
                </c:pt>
                <c:pt idx="76">
                  <c:v>43704</c:v>
                </c:pt>
                <c:pt idx="77">
                  <c:v>43703</c:v>
                </c:pt>
                <c:pt idx="78">
                  <c:v>43700</c:v>
                </c:pt>
                <c:pt idx="79">
                  <c:v>43699</c:v>
                </c:pt>
                <c:pt idx="80">
                  <c:v>43698</c:v>
                </c:pt>
                <c:pt idx="81">
                  <c:v>43697</c:v>
                </c:pt>
                <c:pt idx="82">
                  <c:v>43696</c:v>
                </c:pt>
                <c:pt idx="83">
                  <c:v>43693</c:v>
                </c:pt>
                <c:pt idx="84">
                  <c:v>43692</c:v>
                </c:pt>
                <c:pt idx="85">
                  <c:v>43691</c:v>
                </c:pt>
                <c:pt idx="86">
                  <c:v>43690</c:v>
                </c:pt>
                <c:pt idx="87">
                  <c:v>43686</c:v>
                </c:pt>
                <c:pt idx="88">
                  <c:v>43685</c:v>
                </c:pt>
                <c:pt idx="89">
                  <c:v>43684</c:v>
                </c:pt>
                <c:pt idx="90">
                  <c:v>43683</c:v>
                </c:pt>
                <c:pt idx="91">
                  <c:v>43682</c:v>
                </c:pt>
                <c:pt idx="92">
                  <c:v>43679</c:v>
                </c:pt>
                <c:pt idx="93">
                  <c:v>43678</c:v>
                </c:pt>
                <c:pt idx="94">
                  <c:v>43677</c:v>
                </c:pt>
                <c:pt idx="95">
                  <c:v>43676</c:v>
                </c:pt>
                <c:pt idx="96">
                  <c:v>43675</c:v>
                </c:pt>
                <c:pt idx="97">
                  <c:v>43672</c:v>
                </c:pt>
                <c:pt idx="98">
                  <c:v>43671</c:v>
                </c:pt>
                <c:pt idx="99">
                  <c:v>43670</c:v>
                </c:pt>
                <c:pt idx="100">
                  <c:v>43669</c:v>
                </c:pt>
                <c:pt idx="101">
                  <c:v>43668</c:v>
                </c:pt>
                <c:pt idx="102">
                  <c:v>43665</c:v>
                </c:pt>
                <c:pt idx="103">
                  <c:v>43664</c:v>
                </c:pt>
                <c:pt idx="104">
                  <c:v>43663</c:v>
                </c:pt>
                <c:pt idx="105">
                  <c:v>43662</c:v>
                </c:pt>
                <c:pt idx="106">
                  <c:v>43658</c:v>
                </c:pt>
                <c:pt idx="107">
                  <c:v>43657</c:v>
                </c:pt>
                <c:pt idx="108">
                  <c:v>43656</c:v>
                </c:pt>
                <c:pt idx="109">
                  <c:v>43655</c:v>
                </c:pt>
                <c:pt idx="110">
                  <c:v>43654</c:v>
                </c:pt>
                <c:pt idx="111">
                  <c:v>43651</c:v>
                </c:pt>
                <c:pt idx="112">
                  <c:v>43650</c:v>
                </c:pt>
                <c:pt idx="113">
                  <c:v>43649</c:v>
                </c:pt>
                <c:pt idx="114">
                  <c:v>43648</c:v>
                </c:pt>
                <c:pt idx="115">
                  <c:v>43647</c:v>
                </c:pt>
                <c:pt idx="116">
                  <c:v>43644</c:v>
                </c:pt>
                <c:pt idx="117">
                  <c:v>43643</c:v>
                </c:pt>
                <c:pt idx="118">
                  <c:v>43642</c:v>
                </c:pt>
                <c:pt idx="119">
                  <c:v>43641</c:v>
                </c:pt>
                <c:pt idx="120">
                  <c:v>43640</c:v>
                </c:pt>
                <c:pt idx="121">
                  <c:v>43637</c:v>
                </c:pt>
                <c:pt idx="122">
                  <c:v>43636</c:v>
                </c:pt>
                <c:pt idx="123">
                  <c:v>43635</c:v>
                </c:pt>
                <c:pt idx="124">
                  <c:v>43634</c:v>
                </c:pt>
                <c:pt idx="125">
                  <c:v>43633</c:v>
                </c:pt>
                <c:pt idx="126">
                  <c:v>43630</c:v>
                </c:pt>
                <c:pt idx="127">
                  <c:v>43629</c:v>
                </c:pt>
                <c:pt idx="128">
                  <c:v>43628</c:v>
                </c:pt>
                <c:pt idx="129">
                  <c:v>43627</c:v>
                </c:pt>
                <c:pt idx="130">
                  <c:v>43626</c:v>
                </c:pt>
                <c:pt idx="131">
                  <c:v>43623</c:v>
                </c:pt>
                <c:pt idx="132">
                  <c:v>43622</c:v>
                </c:pt>
                <c:pt idx="133">
                  <c:v>43621</c:v>
                </c:pt>
                <c:pt idx="134">
                  <c:v>43620</c:v>
                </c:pt>
                <c:pt idx="135">
                  <c:v>43619</c:v>
                </c:pt>
                <c:pt idx="136">
                  <c:v>43616</c:v>
                </c:pt>
                <c:pt idx="137">
                  <c:v>43615</c:v>
                </c:pt>
                <c:pt idx="138">
                  <c:v>43614</c:v>
                </c:pt>
                <c:pt idx="139">
                  <c:v>43613</c:v>
                </c:pt>
                <c:pt idx="140">
                  <c:v>43612</c:v>
                </c:pt>
                <c:pt idx="141">
                  <c:v>43609</c:v>
                </c:pt>
                <c:pt idx="142">
                  <c:v>43608</c:v>
                </c:pt>
                <c:pt idx="143">
                  <c:v>43607</c:v>
                </c:pt>
                <c:pt idx="144">
                  <c:v>43606</c:v>
                </c:pt>
                <c:pt idx="145">
                  <c:v>43605</c:v>
                </c:pt>
                <c:pt idx="146">
                  <c:v>43602</c:v>
                </c:pt>
                <c:pt idx="147">
                  <c:v>43601</c:v>
                </c:pt>
                <c:pt idx="148">
                  <c:v>43600</c:v>
                </c:pt>
                <c:pt idx="149">
                  <c:v>43599</c:v>
                </c:pt>
                <c:pt idx="150">
                  <c:v>43598</c:v>
                </c:pt>
                <c:pt idx="151">
                  <c:v>43595</c:v>
                </c:pt>
                <c:pt idx="152">
                  <c:v>43594</c:v>
                </c:pt>
                <c:pt idx="153">
                  <c:v>43593</c:v>
                </c:pt>
                <c:pt idx="154">
                  <c:v>43592</c:v>
                </c:pt>
                <c:pt idx="155">
                  <c:v>43581</c:v>
                </c:pt>
                <c:pt idx="156">
                  <c:v>43580</c:v>
                </c:pt>
                <c:pt idx="157">
                  <c:v>43579</c:v>
                </c:pt>
                <c:pt idx="158">
                  <c:v>43578</c:v>
                </c:pt>
                <c:pt idx="159">
                  <c:v>43577</c:v>
                </c:pt>
                <c:pt idx="160">
                  <c:v>43574</c:v>
                </c:pt>
                <c:pt idx="161">
                  <c:v>43573</c:v>
                </c:pt>
                <c:pt idx="162">
                  <c:v>43572</c:v>
                </c:pt>
                <c:pt idx="163">
                  <c:v>43571</c:v>
                </c:pt>
                <c:pt idx="164">
                  <c:v>43570</c:v>
                </c:pt>
                <c:pt idx="165">
                  <c:v>43567</c:v>
                </c:pt>
                <c:pt idx="166">
                  <c:v>43566</c:v>
                </c:pt>
                <c:pt idx="167">
                  <c:v>43565</c:v>
                </c:pt>
                <c:pt idx="168">
                  <c:v>43564</c:v>
                </c:pt>
                <c:pt idx="169">
                  <c:v>43563</c:v>
                </c:pt>
                <c:pt idx="170">
                  <c:v>43560</c:v>
                </c:pt>
                <c:pt idx="171">
                  <c:v>43559</c:v>
                </c:pt>
                <c:pt idx="172">
                  <c:v>43558</c:v>
                </c:pt>
                <c:pt idx="173">
                  <c:v>43557</c:v>
                </c:pt>
                <c:pt idx="174">
                  <c:v>43556</c:v>
                </c:pt>
                <c:pt idx="175">
                  <c:v>43553</c:v>
                </c:pt>
                <c:pt idx="176">
                  <c:v>43552</c:v>
                </c:pt>
                <c:pt idx="177">
                  <c:v>43551</c:v>
                </c:pt>
                <c:pt idx="178">
                  <c:v>43550</c:v>
                </c:pt>
                <c:pt idx="179">
                  <c:v>43549</c:v>
                </c:pt>
                <c:pt idx="180">
                  <c:v>43546</c:v>
                </c:pt>
                <c:pt idx="181">
                  <c:v>43544</c:v>
                </c:pt>
                <c:pt idx="182">
                  <c:v>43543</c:v>
                </c:pt>
                <c:pt idx="183">
                  <c:v>43542</c:v>
                </c:pt>
                <c:pt idx="184">
                  <c:v>43539</c:v>
                </c:pt>
                <c:pt idx="185">
                  <c:v>43538</c:v>
                </c:pt>
                <c:pt idx="186">
                  <c:v>43537</c:v>
                </c:pt>
                <c:pt idx="187">
                  <c:v>43536</c:v>
                </c:pt>
                <c:pt idx="188">
                  <c:v>43535</c:v>
                </c:pt>
                <c:pt idx="189">
                  <c:v>43532</c:v>
                </c:pt>
                <c:pt idx="190">
                  <c:v>43531</c:v>
                </c:pt>
                <c:pt idx="191">
                  <c:v>43530</c:v>
                </c:pt>
                <c:pt idx="192">
                  <c:v>43529</c:v>
                </c:pt>
                <c:pt idx="193">
                  <c:v>43528</c:v>
                </c:pt>
                <c:pt idx="194">
                  <c:v>43525</c:v>
                </c:pt>
                <c:pt idx="195">
                  <c:v>43524</c:v>
                </c:pt>
                <c:pt idx="196">
                  <c:v>43523</c:v>
                </c:pt>
                <c:pt idx="197">
                  <c:v>43522</c:v>
                </c:pt>
                <c:pt idx="198">
                  <c:v>43521</c:v>
                </c:pt>
                <c:pt idx="199">
                  <c:v>43518</c:v>
                </c:pt>
                <c:pt idx="200">
                  <c:v>43517</c:v>
                </c:pt>
                <c:pt idx="201">
                  <c:v>43516</c:v>
                </c:pt>
                <c:pt idx="202">
                  <c:v>43515</c:v>
                </c:pt>
                <c:pt idx="203">
                  <c:v>43514</c:v>
                </c:pt>
                <c:pt idx="204">
                  <c:v>43511</c:v>
                </c:pt>
                <c:pt idx="205">
                  <c:v>43510</c:v>
                </c:pt>
                <c:pt idx="206">
                  <c:v>43509</c:v>
                </c:pt>
                <c:pt idx="207">
                  <c:v>43508</c:v>
                </c:pt>
                <c:pt idx="208">
                  <c:v>43504</c:v>
                </c:pt>
                <c:pt idx="209">
                  <c:v>43503</c:v>
                </c:pt>
                <c:pt idx="210">
                  <c:v>43502</c:v>
                </c:pt>
                <c:pt idx="211">
                  <c:v>43501</c:v>
                </c:pt>
                <c:pt idx="212">
                  <c:v>43500</c:v>
                </c:pt>
                <c:pt idx="213">
                  <c:v>43497</c:v>
                </c:pt>
                <c:pt idx="214">
                  <c:v>43496</c:v>
                </c:pt>
                <c:pt idx="215">
                  <c:v>43495</c:v>
                </c:pt>
                <c:pt idx="216">
                  <c:v>43494</c:v>
                </c:pt>
                <c:pt idx="217">
                  <c:v>43493</c:v>
                </c:pt>
                <c:pt idx="218">
                  <c:v>43490</c:v>
                </c:pt>
                <c:pt idx="219">
                  <c:v>43489</c:v>
                </c:pt>
                <c:pt idx="220">
                  <c:v>43488</c:v>
                </c:pt>
                <c:pt idx="221">
                  <c:v>43487</c:v>
                </c:pt>
                <c:pt idx="222">
                  <c:v>43486</c:v>
                </c:pt>
                <c:pt idx="223">
                  <c:v>43483</c:v>
                </c:pt>
                <c:pt idx="224">
                  <c:v>43482</c:v>
                </c:pt>
                <c:pt idx="225">
                  <c:v>43481</c:v>
                </c:pt>
                <c:pt idx="226">
                  <c:v>43480</c:v>
                </c:pt>
                <c:pt idx="227">
                  <c:v>43476</c:v>
                </c:pt>
                <c:pt idx="228">
                  <c:v>43475</c:v>
                </c:pt>
                <c:pt idx="229">
                  <c:v>43474</c:v>
                </c:pt>
                <c:pt idx="230">
                  <c:v>43473</c:v>
                </c:pt>
                <c:pt idx="231">
                  <c:v>43472</c:v>
                </c:pt>
                <c:pt idx="232">
                  <c:v>43469</c:v>
                </c:pt>
                <c:pt idx="233">
                  <c:v>43462</c:v>
                </c:pt>
                <c:pt idx="234">
                  <c:v>43461</c:v>
                </c:pt>
                <c:pt idx="235">
                  <c:v>43460</c:v>
                </c:pt>
                <c:pt idx="236">
                  <c:v>43459</c:v>
                </c:pt>
                <c:pt idx="237">
                  <c:v>43455</c:v>
                </c:pt>
                <c:pt idx="238">
                  <c:v>43454</c:v>
                </c:pt>
                <c:pt idx="239">
                  <c:v>43453</c:v>
                </c:pt>
                <c:pt idx="240">
                  <c:v>43452</c:v>
                </c:pt>
                <c:pt idx="241">
                  <c:v>43451</c:v>
                </c:pt>
              </c:numCache>
            </c:numRef>
          </c:cat>
          <c:val>
            <c:numRef>
              <c:f>BACK_TEST!$AA$82:$AA$700</c:f>
              <c:numCache>
                <c:formatCode>General</c:formatCode>
                <c:ptCount val="619"/>
                <c:pt idx="0">
                  <c:v>1864</c:v>
                </c:pt>
                <c:pt idx="1">
                  <c:v>1873</c:v>
                </c:pt>
                <c:pt idx="2">
                  <c:v>1865</c:v>
                </c:pt>
                <c:pt idx="3">
                  <c:v>1872.5</c:v>
                </c:pt>
                <c:pt idx="4">
                  <c:v>1808.5</c:v>
                </c:pt>
                <c:pt idx="5">
                  <c:v>1824</c:v>
                </c:pt>
                <c:pt idx="6">
                  <c:v>1825.5</c:v>
                </c:pt>
                <c:pt idx="7">
                  <c:v>1833</c:v>
                </c:pt>
                <c:pt idx="8">
                  <c:v>1802</c:v>
                </c:pt>
                <c:pt idx="9">
                  <c:v>1797.5</c:v>
                </c:pt>
                <c:pt idx="10">
                  <c:v>1779</c:v>
                </c:pt>
                <c:pt idx="11">
                  <c:v>1788</c:v>
                </c:pt>
                <c:pt idx="12">
                  <c:v>1761.5</c:v>
                </c:pt>
                <c:pt idx="13">
                  <c:v>1763</c:v>
                </c:pt>
                <c:pt idx="14">
                  <c:v>1772</c:v>
                </c:pt>
                <c:pt idx="15">
                  <c:v>1775.5</c:v>
                </c:pt>
                <c:pt idx="16">
                  <c:v>1774</c:v>
                </c:pt>
                <c:pt idx="17">
                  <c:v>1767</c:v>
                </c:pt>
                <c:pt idx="18">
                  <c:v>1740.5</c:v>
                </c:pt>
                <c:pt idx="19">
                  <c:v>1719</c:v>
                </c:pt>
                <c:pt idx="20">
                  <c:v>1739</c:v>
                </c:pt>
                <c:pt idx="21">
                  <c:v>1804.5</c:v>
                </c:pt>
                <c:pt idx="22">
                  <c:v>1809</c:v>
                </c:pt>
                <c:pt idx="23">
                  <c:v>1841</c:v>
                </c:pt>
                <c:pt idx="24">
                  <c:v>1813.5</c:v>
                </c:pt>
                <c:pt idx="25">
                  <c:v>1843</c:v>
                </c:pt>
                <c:pt idx="26">
                  <c:v>1882.5</c:v>
                </c:pt>
                <c:pt idx="27">
                  <c:v>1877</c:v>
                </c:pt>
                <c:pt idx="28">
                  <c:v>1869</c:v>
                </c:pt>
                <c:pt idx="29">
                  <c:v>1847</c:v>
                </c:pt>
                <c:pt idx="30">
                  <c:v>1845.5</c:v>
                </c:pt>
                <c:pt idx="31">
                  <c:v>1815</c:v>
                </c:pt>
                <c:pt idx="32">
                  <c:v>1734.5</c:v>
                </c:pt>
                <c:pt idx="33">
                  <c:v>1785.5</c:v>
                </c:pt>
                <c:pt idx="34">
                  <c:v>1815.5</c:v>
                </c:pt>
                <c:pt idx="35">
                  <c:v>1832</c:v>
                </c:pt>
                <c:pt idx="36">
                  <c:v>1810</c:v>
                </c:pt>
                <c:pt idx="37">
                  <c:v>1787.5</c:v>
                </c:pt>
                <c:pt idx="38">
                  <c:v>1793.5</c:v>
                </c:pt>
                <c:pt idx="39">
                  <c:v>1782.5</c:v>
                </c:pt>
                <c:pt idx="40">
                  <c:v>1754</c:v>
                </c:pt>
                <c:pt idx="41">
                  <c:v>1737</c:v>
                </c:pt>
                <c:pt idx="42">
                  <c:v>1713.5</c:v>
                </c:pt>
                <c:pt idx="43">
                  <c:v>1726</c:v>
                </c:pt>
                <c:pt idx="44">
                  <c:v>1718.5</c:v>
                </c:pt>
                <c:pt idx="45">
                  <c:v>1665</c:v>
                </c:pt>
                <c:pt idx="46">
                  <c:v>1625.5</c:v>
                </c:pt>
                <c:pt idx="47">
                  <c:v>1640</c:v>
                </c:pt>
                <c:pt idx="48">
                  <c:v>1655</c:v>
                </c:pt>
                <c:pt idx="49">
                  <c:v>1624</c:v>
                </c:pt>
                <c:pt idx="50">
                  <c:v>1624</c:v>
                </c:pt>
                <c:pt idx="51">
                  <c:v>1650</c:v>
                </c:pt>
                <c:pt idx="52">
                  <c:v>1686</c:v>
                </c:pt>
                <c:pt idx="53">
                  <c:v>1691</c:v>
                </c:pt>
                <c:pt idx="54">
                  <c:v>1629</c:v>
                </c:pt>
                <c:pt idx="55">
                  <c:v>1640</c:v>
                </c:pt>
                <c:pt idx="56">
                  <c:v>1635</c:v>
                </c:pt>
                <c:pt idx="57">
                  <c:v>1621</c:v>
                </c:pt>
                <c:pt idx="58">
                  <c:v>1627.5</c:v>
                </c:pt>
                <c:pt idx="59">
                  <c:v>1617</c:v>
                </c:pt>
                <c:pt idx="60">
                  <c:v>1628</c:v>
                </c:pt>
                <c:pt idx="61">
                  <c:v>1636</c:v>
                </c:pt>
                <c:pt idx="62">
                  <c:v>1660.5</c:v>
                </c:pt>
                <c:pt idx="63">
                  <c:v>1665.5</c:v>
                </c:pt>
                <c:pt idx="64">
                  <c:v>1645.5</c:v>
                </c:pt>
                <c:pt idx="65">
                  <c:v>1650</c:v>
                </c:pt>
                <c:pt idx="66">
                  <c:v>1554.5</c:v>
                </c:pt>
                <c:pt idx="67">
                  <c:v>1510</c:v>
                </c:pt>
                <c:pt idx="68">
                  <c:v>1500</c:v>
                </c:pt>
                <c:pt idx="69">
                  <c:v>1482</c:v>
                </c:pt>
                <c:pt idx="70">
                  <c:v>1451.5</c:v>
                </c:pt>
                <c:pt idx="71">
                  <c:v>1460</c:v>
                </c:pt>
                <c:pt idx="72">
                  <c:v>1454.5</c:v>
                </c:pt>
                <c:pt idx="73">
                  <c:v>1448</c:v>
                </c:pt>
                <c:pt idx="74">
                  <c:v>1424</c:v>
                </c:pt>
                <c:pt idx="75">
                  <c:v>1421</c:v>
                </c:pt>
                <c:pt idx="76">
                  <c:v>1424</c:v>
                </c:pt>
                <c:pt idx="77">
                  <c:v>1419.5</c:v>
                </c:pt>
                <c:pt idx="78">
                  <c:v>1432.5</c:v>
                </c:pt>
                <c:pt idx="79">
                  <c:v>1411.5</c:v>
                </c:pt>
                <c:pt idx="80">
                  <c:v>1395</c:v>
                </c:pt>
                <c:pt idx="81">
                  <c:v>1388</c:v>
                </c:pt>
                <c:pt idx="82">
                  <c:v>1373</c:v>
                </c:pt>
                <c:pt idx="83">
                  <c:v>1362</c:v>
                </c:pt>
                <c:pt idx="84">
                  <c:v>1369</c:v>
                </c:pt>
                <c:pt idx="85">
                  <c:v>1391</c:v>
                </c:pt>
                <c:pt idx="86">
                  <c:v>1365</c:v>
                </c:pt>
                <c:pt idx="87">
                  <c:v>1431</c:v>
                </c:pt>
                <c:pt idx="88">
                  <c:v>1437</c:v>
                </c:pt>
                <c:pt idx="89">
                  <c:v>1465.5</c:v>
                </c:pt>
                <c:pt idx="90">
                  <c:v>1465.5</c:v>
                </c:pt>
                <c:pt idx="91">
                  <c:v>1485.5</c:v>
                </c:pt>
                <c:pt idx="92">
                  <c:v>1542.5</c:v>
                </c:pt>
                <c:pt idx="93">
                  <c:v>1595.5</c:v>
                </c:pt>
                <c:pt idx="94">
                  <c:v>1607</c:v>
                </c:pt>
                <c:pt idx="95">
                  <c:v>1600.5</c:v>
                </c:pt>
                <c:pt idx="96">
                  <c:v>1581</c:v>
                </c:pt>
                <c:pt idx="97">
                  <c:v>1592.5</c:v>
                </c:pt>
                <c:pt idx="98">
                  <c:v>1596.5</c:v>
                </c:pt>
                <c:pt idx="99">
                  <c:v>1600</c:v>
                </c:pt>
                <c:pt idx="100">
                  <c:v>1600.5</c:v>
                </c:pt>
                <c:pt idx="101">
                  <c:v>1604.5</c:v>
                </c:pt>
                <c:pt idx="102">
                  <c:v>1614</c:v>
                </c:pt>
                <c:pt idx="103">
                  <c:v>1591.5</c:v>
                </c:pt>
                <c:pt idx="104">
                  <c:v>1635.5</c:v>
                </c:pt>
                <c:pt idx="105">
                  <c:v>1632.5</c:v>
                </c:pt>
                <c:pt idx="106">
                  <c:v>1646</c:v>
                </c:pt>
                <c:pt idx="107">
                  <c:v>1637.5</c:v>
                </c:pt>
                <c:pt idx="108">
                  <c:v>1634</c:v>
                </c:pt>
                <c:pt idx="109">
                  <c:v>1637.5</c:v>
                </c:pt>
                <c:pt idx="110">
                  <c:v>1634</c:v>
                </c:pt>
                <c:pt idx="111">
                  <c:v>1630.5</c:v>
                </c:pt>
                <c:pt idx="112">
                  <c:v>1644.5</c:v>
                </c:pt>
                <c:pt idx="113">
                  <c:v>1641</c:v>
                </c:pt>
                <c:pt idx="114">
                  <c:v>1659.5</c:v>
                </c:pt>
                <c:pt idx="115">
                  <c:v>1656</c:v>
                </c:pt>
                <c:pt idx="116">
                  <c:v>1625</c:v>
                </c:pt>
                <c:pt idx="117">
                  <c:v>1612</c:v>
                </c:pt>
                <c:pt idx="118">
                  <c:v>1583</c:v>
                </c:pt>
                <c:pt idx="119">
                  <c:v>1585.5</c:v>
                </c:pt>
                <c:pt idx="120">
                  <c:v>1600.5</c:v>
                </c:pt>
                <c:pt idx="121">
                  <c:v>1603.5</c:v>
                </c:pt>
                <c:pt idx="122">
                  <c:v>1623</c:v>
                </c:pt>
                <c:pt idx="123">
                  <c:v>1616.5</c:v>
                </c:pt>
                <c:pt idx="124">
                  <c:v>1602</c:v>
                </c:pt>
                <c:pt idx="125">
                  <c:v>1623</c:v>
                </c:pt>
                <c:pt idx="126">
                  <c:v>1625</c:v>
                </c:pt>
                <c:pt idx="127">
                  <c:v>1617.5</c:v>
                </c:pt>
                <c:pt idx="128">
                  <c:v>1625</c:v>
                </c:pt>
                <c:pt idx="129">
                  <c:v>1646.5</c:v>
                </c:pt>
                <c:pt idx="130">
                  <c:v>1627</c:v>
                </c:pt>
                <c:pt idx="131">
                  <c:v>1637</c:v>
                </c:pt>
                <c:pt idx="132">
                  <c:v>1632</c:v>
                </c:pt>
                <c:pt idx="133">
                  <c:v>1620.5</c:v>
                </c:pt>
                <c:pt idx="134">
                  <c:v>1580</c:v>
                </c:pt>
                <c:pt idx="135">
                  <c:v>1557</c:v>
                </c:pt>
                <c:pt idx="136">
                  <c:v>1574</c:v>
                </c:pt>
                <c:pt idx="137">
                  <c:v>1612.5</c:v>
                </c:pt>
                <c:pt idx="138">
                  <c:v>1596.5</c:v>
                </c:pt>
                <c:pt idx="139">
                  <c:v>1624</c:v>
                </c:pt>
                <c:pt idx="140">
                  <c:v>1610</c:v>
                </c:pt>
                <c:pt idx="141">
                  <c:v>1605</c:v>
                </c:pt>
                <c:pt idx="142">
                  <c:v>1609</c:v>
                </c:pt>
                <c:pt idx="143">
                  <c:v>1602</c:v>
                </c:pt>
                <c:pt idx="144">
                  <c:v>1593</c:v>
                </c:pt>
                <c:pt idx="145">
                  <c:v>1588.5</c:v>
                </c:pt>
                <c:pt idx="146">
                  <c:v>1582.5</c:v>
                </c:pt>
                <c:pt idx="147">
                  <c:v>1552</c:v>
                </c:pt>
                <c:pt idx="148">
                  <c:v>1541</c:v>
                </c:pt>
                <c:pt idx="149">
                  <c:v>1520.5</c:v>
                </c:pt>
                <c:pt idx="150">
                  <c:v>1528</c:v>
                </c:pt>
                <c:pt idx="151">
                  <c:v>1533.5</c:v>
                </c:pt>
                <c:pt idx="152">
                  <c:v>1549</c:v>
                </c:pt>
                <c:pt idx="153">
                  <c:v>1555</c:v>
                </c:pt>
                <c:pt idx="154">
                  <c:v>1573</c:v>
                </c:pt>
                <c:pt idx="155">
                  <c:v>1595</c:v>
                </c:pt>
                <c:pt idx="156">
                  <c:v>1611</c:v>
                </c:pt>
                <c:pt idx="157">
                  <c:v>1591.5</c:v>
                </c:pt>
                <c:pt idx="158">
                  <c:v>1608</c:v>
                </c:pt>
                <c:pt idx="159">
                  <c:v>1596.5</c:v>
                </c:pt>
                <c:pt idx="160">
                  <c:v>1623</c:v>
                </c:pt>
                <c:pt idx="161">
                  <c:v>1642.5</c:v>
                </c:pt>
                <c:pt idx="162">
                  <c:v>1652</c:v>
                </c:pt>
                <c:pt idx="163">
                  <c:v>1625</c:v>
                </c:pt>
                <c:pt idx="164">
                  <c:v>1621.5</c:v>
                </c:pt>
                <c:pt idx="165">
                  <c:v>1580</c:v>
                </c:pt>
                <c:pt idx="166">
                  <c:v>1582.5</c:v>
                </c:pt>
                <c:pt idx="167">
                  <c:v>1618.5</c:v>
                </c:pt>
                <c:pt idx="168">
                  <c:v>1634.5</c:v>
                </c:pt>
                <c:pt idx="169">
                  <c:v>1631.5</c:v>
                </c:pt>
                <c:pt idx="170">
                  <c:v>1651</c:v>
                </c:pt>
                <c:pt idx="171">
                  <c:v>1626.5</c:v>
                </c:pt>
                <c:pt idx="172">
                  <c:v>1632</c:v>
                </c:pt>
                <c:pt idx="173">
                  <c:v>1606</c:v>
                </c:pt>
                <c:pt idx="174">
                  <c:v>1562.5</c:v>
                </c:pt>
                <c:pt idx="175">
                  <c:v>1538</c:v>
                </c:pt>
                <c:pt idx="176">
                  <c:v>1522</c:v>
                </c:pt>
                <c:pt idx="177">
                  <c:v>1545</c:v>
                </c:pt>
                <c:pt idx="178">
                  <c:v>1596.5</c:v>
                </c:pt>
                <c:pt idx="179">
                  <c:v>1556.5</c:v>
                </c:pt>
                <c:pt idx="180">
                  <c:v>1604</c:v>
                </c:pt>
                <c:pt idx="181">
                  <c:v>1623.5</c:v>
                </c:pt>
                <c:pt idx="182">
                  <c:v>1640.5</c:v>
                </c:pt>
                <c:pt idx="183">
                  <c:v>1619.5</c:v>
                </c:pt>
                <c:pt idx="184">
                  <c:v>1610.5</c:v>
                </c:pt>
                <c:pt idx="185">
                  <c:v>1620.5</c:v>
                </c:pt>
                <c:pt idx="186">
                  <c:v>1616.5</c:v>
                </c:pt>
                <c:pt idx="187">
                  <c:v>1641.5</c:v>
                </c:pt>
                <c:pt idx="188">
                  <c:v>1606</c:v>
                </c:pt>
                <c:pt idx="189">
                  <c:v>1605</c:v>
                </c:pt>
                <c:pt idx="190">
                  <c:v>1685.5</c:v>
                </c:pt>
                <c:pt idx="191">
                  <c:v>1731.5</c:v>
                </c:pt>
                <c:pt idx="192">
                  <c:v>1724.5</c:v>
                </c:pt>
                <c:pt idx="193">
                  <c:v>1740</c:v>
                </c:pt>
                <c:pt idx="194">
                  <c:v>1713</c:v>
                </c:pt>
                <c:pt idx="195">
                  <c:v>1685.5</c:v>
                </c:pt>
                <c:pt idx="196">
                  <c:v>1710.5</c:v>
                </c:pt>
                <c:pt idx="197">
                  <c:v>1723</c:v>
                </c:pt>
                <c:pt idx="198">
                  <c:v>1732.5</c:v>
                </c:pt>
                <c:pt idx="199">
                  <c:v>1699</c:v>
                </c:pt>
                <c:pt idx="200">
                  <c:v>1707.5</c:v>
                </c:pt>
                <c:pt idx="201">
                  <c:v>1705</c:v>
                </c:pt>
                <c:pt idx="202">
                  <c:v>1718</c:v>
                </c:pt>
                <c:pt idx="203">
                  <c:v>1713</c:v>
                </c:pt>
                <c:pt idx="204">
                  <c:v>1666.5</c:v>
                </c:pt>
                <c:pt idx="205">
                  <c:v>1748</c:v>
                </c:pt>
                <c:pt idx="206">
                  <c:v>1764.5</c:v>
                </c:pt>
                <c:pt idx="207">
                  <c:v>1761.5</c:v>
                </c:pt>
                <c:pt idx="208">
                  <c:v>1695.5</c:v>
                </c:pt>
                <c:pt idx="209">
                  <c:v>1745.5</c:v>
                </c:pt>
                <c:pt idx="210">
                  <c:v>1762.5</c:v>
                </c:pt>
                <c:pt idx="211">
                  <c:v>1772.5</c:v>
                </c:pt>
                <c:pt idx="212">
                  <c:v>1767.5</c:v>
                </c:pt>
                <c:pt idx="213">
                  <c:v>1723.5</c:v>
                </c:pt>
                <c:pt idx="214">
                  <c:v>1759.5</c:v>
                </c:pt>
                <c:pt idx="215">
                  <c:v>1726</c:v>
                </c:pt>
                <c:pt idx="216">
                  <c:v>1745.5</c:v>
                </c:pt>
                <c:pt idx="217">
                  <c:v>1751.5</c:v>
                </c:pt>
                <c:pt idx="218">
                  <c:v>1772</c:v>
                </c:pt>
                <c:pt idx="219">
                  <c:v>1742.5</c:v>
                </c:pt>
                <c:pt idx="220">
                  <c:v>1710</c:v>
                </c:pt>
                <c:pt idx="221">
                  <c:v>1735.5</c:v>
                </c:pt>
                <c:pt idx="222">
                  <c:v>1781</c:v>
                </c:pt>
                <c:pt idx="223">
                  <c:v>1769.5</c:v>
                </c:pt>
                <c:pt idx="224">
                  <c:v>1763</c:v>
                </c:pt>
                <c:pt idx="225">
                  <c:v>1759</c:v>
                </c:pt>
                <c:pt idx="226">
                  <c:v>1766.5</c:v>
                </c:pt>
                <c:pt idx="227">
                  <c:v>1734.5</c:v>
                </c:pt>
                <c:pt idx="228">
                  <c:v>1721</c:v>
                </c:pt>
                <c:pt idx="229">
                  <c:v>1736</c:v>
                </c:pt>
                <c:pt idx="230">
                  <c:v>1710</c:v>
                </c:pt>
                <c:pt idx="231">
                  <c:v>1694</c:v>
                </c:pt>
                <c:pt idx="232">
                  <c:v>1653</c:v>
                </c:pt>
                <c:pt idx="233">
                  <c:v>1718</c:v>
                </c:pt>
                <c:pt idx="234">
                  <c:v>1723</c:v>
                </c:pt>
                <c:pt idx="235">
                  <c:v>1640.5</c:v>
                </c:pt>
                <c:pt idx="236">
                  <c:v>1650.5</c:v>
                </c:pt>
                <c:pt idx="237">
                  <c:v>1732.5</c:v>
                </c:pt>
                <c:pt idx="238">
                  <c:v>1787.5</c:v>
                </c:pt>
                <c:pt idx="239">
                  <c:v>1852.5</c:v>
                </c:pt>
                <c:pt idx="240">
                  <c:v>1849.5</c:v>
                </c:pt>
                <c:pt idx="241">
                  <c:v>1888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A4-4155-890F-945854EC8FD5}"/>
            </c:ext>
          </c:extLst>
        </c:ser>
        <c:ser>
          <c:idx val="1"/>
          <c:order val="1"/>
          <c:tx>
            <c:strRef>
              <c:f>BACK_TEST!$AB$81</c:f>
              <c:strCache>
                <c:ptCount val="1"/>
                <c:pt idx="0">
                  <c:v>buy(8002)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43817</c:v>
                </c:pt>
                <c:pt idx="1">
                  <c:v>43816</c:v>
                </c:pt>
                <c:pt idx="2">
                  <c:v>43815</c:v>
                </c:pt>
                <c:pt idx="3">
                  <c:v>43812</c:v>
                </c:pt>
                <c:pt idx="4">
                  <c:v>43811</c:v>
                </c:pt>
                <c:pt idx="5">
                  <c:v>43810</c:v>
                </c:pt>
                <c:pt idx="6">
                  <c:v>43809</c:v>
                </c:pt>
                <c:pt idx="7">
                  <c:v>43808</c:v>
                </c:pt>
                <c:pt idx="8">
                  <c:v>43805</c:v>
                </c:pt>
                <c:pt idx="9">
                  <c:v>43804</c:v>
                </c:pt>
                <c:pt idx="10">
                  <c:v>43803</c:v>
                </c:pt>
                <c:pt idx="11">
                  <c:v>43802</c:v>
                </c:pt>
                <c:pt idx="12">
                  <c:v>43801</c:v>
                </c:pt>
                <c:pt idx="13">
                  <c:v>43798</c:v>
                </c:pt>
                <c:pt idx="14">
                  <c:v>43797</c:v>
                </c:pt>
                <c:pt idx="15">
                  <c:v>43796</c:v>
                </c:pt>
                <c:pt idx="16">
                  <c:v>43795</c:v>
                </c:pt>
                <c:pt idx="17">
                  <c:v>43794</c:v>
                </c:pt>
                <c:pt idx="18">
                  <c:v>43791</c:v>
                </c:pt>
                <c:pt idx="19">
                  <c:v>43790</c:v>
                </c:pt>
                <c:pt idx="20">
                  <c:v>43789</c:v>
                </c:pt>
                <c:pt idx="21">
                  <c:v>43788</c:v>
                </c:pt>
                <c:pt idx="22">
                  <c:v>43787</c:v>
                </c:pt>
                <c:pt idx="23">
                  <c:v>43784</c:v>
                </c:pt>
                <c:pt idx="24">
                  <c:v>43783</c:v>
                </c:pt>
                <c:pt idx="25">
                  <c:v>43782</c:v>
                </c:pt>
                <c:pt idx="26">
                  <c:v>43781</c:v>
                </c:pt>
                <c:pt idx="27">
                  <c:v>43780</c:v>
                </c:pt>
                <c:pt idx="28">
                  <c:v>43777</c:v>
                </c:pt>
                <c:pt idx="29">
                  <c:v>43776</c:v>
                </c:pt>
                <c:pt idx="30">
                  <c:v>43775</c:v>
                </c:pt>
                <c:pt idx="31">
                  <c:v>43774</c:v>
                </c:pt>
                <c:pt idx="32">
                  <c:v>43770</c:v>
                </c:pt>
                <c:pt idx="33">
                  <c:v>43769</c:v>
                </c:pt>
                <c:pt idx="34">
                  <c:v>43768</c:v>
                </c:pt>
                <c:pt idx="35">
                  <c:v>43767</c:v>
                </c:pt>
                <c:pt idx="36">
                  <c:v>43766</c:v>
                </c:pt>
                <c:pt idx="37">
                  <c:v>43763</c:v>
                </c:pt>
                <c:pt idx="38">
                  <c:v>43762</c:v>
                </c:pt>
                <c:pt idx="39">
                  <c:v>43761</c:v>
                </c:pt>
                <c:pt idx="40">
                  <c:v>43759</c:v>
                </c:pt>
                <c:pt idx="41">
                  <c:v>43756</c:v>
                </c:pt>
                <c:pt idx="42">
                  <c:v>43755</c:v>
                </c:pt>
                <c:pt idx="43">
                  <c:v>43754</c:v>
                </c:pt>
                <c:pt idx="44">
                  <c:v>43753</c:v>
                </c:pt>
                <c:pt idx="45">
                  <c:v>43749</c:v>
                </c:pt>
                <c:pt idx="46">
                  <c:v>43748</c:v>
                </c:pt>
                <c:pt idx="47">
                  <c:v>43747</c:v>
                </c:pt>
                <c:pt idx="48">
                  <c:v>43746</c:v>
                </c:pt>
                <c:pt idx="49">
                  <c:v>43745</c:v>
                </c:pt>
                <c:pt idx="50">
                  <c:v>43742</c:v>
                </c:pt>
                <c:pt idx="51">
                  <c:v>43741</c:v>
                </c:pt>
                <c:pt idx="52">
                  <c:v>43740</c:v>
                </c:pt>
                <c:pt idx="53">
                  <c:v>43739</c:v>
                </c:pt>
                <c:pt idx="54">
                  <c:v>43738</c:v>
                </c:pt>
                <c:pt idx="55">
                  <c:v>43735</c:v>
                </c:pt>
                <c:pt idx="56">
                  <c:v>43734</c:v>
                </c:pt>
                <c:pt idx="57">
                  <c:v>43733</c:v>
                </c:pt>
                <c:pt idx="58">
                  <c:v>43732</c:v>
                </c:pt>
                <c:pt idx="59">
                  <c:v>43728</c:v>
                </c:pt>
                <c:pt idx="60">
                  <c:v>43727</c:v>
                </c:pt>
                <c:pt idx="61">
                  <c:v>43726</c:v>
                </c:pt>
                <c:pt idx="62">
                  <c:v>43725</c:v>
                </c:pt>
                <c:pt idx="63">
                  <c:v>43721</c:v>
                </c:pt>
                <c:pt idx="64">
                  <c:v>43720</c:v>
                </c:pt>
                <c:pt idx="65">
                  <c:v>43719</c:v>
                </c:pt>
                <c:pt idx="66">
                  <c:v>43718</c:v>
                </c:pt>
                <c:pt idx="67">
                  <c:v>43717</c:v>
                </c:pt>
                <c:pt idx="68">
                  <c:v>43714</c:v>
                </c:pt>
                <c:pt idx="69">
                  <c:v>43713</c:v>
                </c:pt>
                <c:pt idx="70">
                  <c:v>43712</c:v>
                </c:pt>
                <c:pt idx="71">
                  <c:v>43711</c:v>
                </c:pt>
                <c:pt idx="72">
                  <c:v>43710</c:v>
                </c:pt>
                <c:pt idx="73">
                  <c:v>43707</c:v>
                </c:pt>
                <c:pt idx="74">
                  <c:v>43706</c:v>
                </c:pt>
                <c:pt idx="75">
                  <c:v>43705</c:v>
                </c:pt>
                <c:pt idx="76">
                  <c:v>43704</c:v>
                </c:pt>
                <c:pt idx="77">
                  <c:v>43703</c:v>
                </c:pt>
                <c:pt idx="78">
                  <c:v>43700</c:v>
                </c:pt>
                <c:pt idx="79">
                  <c:v>43699</c:v>
                </c:pt>
                <c:pt idx="80">
                  <c:v>43698</c:v>
                </c:pt>
                <c:pt idx="81">
                  <c:v>43697</c:v>
                </c:pt>
                <c:pt idx="82">
                  <c:v>43696</c:v>
                </c:pt>
                <c:pt idx="83">
                  <c:v>43693</c:v>
                </c:pt>
                <c:pt idx="84">
                  <c:v>43692</c:v>
                </c:pt>
                <c:pt idx="85">
                  <c:v>43691</c:v>
                </c:pt>
                <c:pt idx="86">
                  <c:v>43690</c:v>
                </c:pt>
                <c:pt idx="87">
                  <c:v>43686</c:v>
                </c:pt>
                <c:pt idx="88">
                  <c:v>43685</c:v>
                </c:pt>
                <c:pt idx="89">
                  <c:v>43684</c:v>
                </c:pt>
                <c:pt idx="90">
                  <c:v>43683</c:v>
                </c:pt>
                <c:pt idx="91">
                  <c:v>43682</c:v>
                </c:pt>
                <c:pt idx="92">
                  <c:v>43679</c:v>
                </c:pt>
                <c:pt idx="93">
                  <c:v>43678</c:v>
                </c:pt>
                <c:pt idx="94">
                  <c:v>43677</c:v>
                </c:pt>
                <c:pt idx="95">
                  <c:v>43676</c:v>
                </c:pt>
                <c:pt idx="96">
                  <c:v>43675</c:v>
                </c:pt>
                <c:pt idx="97">
                  <c:v>43672</c:v>
                </c:pt>
                <c:pt idx="98">
                  <c:v>43671</c:v>
                </c:pt>
                <c:pt idx="99">
                  <c:v>43670</c:v>
                </c:pt>
                <c:pt idx="100">
                  <c:v>43669</c:v>
                </c:pt>
                <c:pt idx="101">
                  <c:v>43668</c:v>
                </c:pt>
                <c:pt idx="102">
                  <c:v>43665</c:v>
                </c:pt>
                <c:pt idx="103">
                  <c:v>43664</c:v>
                </c:pt>
                <c:pt idx="104">
                  <c:v>43663</c:v>
                </c:pt>
                <c:pt idx="105">
                  <c:v>43662</c:v>
                </c:pt>
                <c:pt idx="106">
                  <c:v>43658</c:v>
                </c:pt>
                <c:pt idx="107">
                  <c:v>43657</c:v>
                </c:pt>
                <c:pt idx="108">
                  <c:v>43656</c:v>
                </c:pt>
                <c:pt idx="109">
                  <c:v>43655</c:v>
                </c:pt>
                <c:pt idx="110">
                  <c:v>43654</c:v>
                </c:pt>
                <c:pt idx="111">
                  <c:v>43651</c:v>
                </c:pt>
                <c:pt idx="112">
                  <c:v>43650</c:v>
                </c:pt>
                <c:pt idx="113">
                  <c:v>43649</c:v>
                </c:pt>
                <c:pt idx="114">
                  <c:v>43648</c:v>
                </c:pt>
                <c:pt idx="115">
                  <c:v>43647</c:v>
                </c:pt>
                <c:pt idx="116">
                  <c:v>43644</c:v>
                </c:pt>
                <c:pt idx="117">
                  <c:v>43643</c:v>
                </c:pt>
                <c:pt idx="118">
                  <c:v>43642</c:v>
                </c:pt>
                <c:pt idx="119">
                  <c:v>43641</c:v>
                </c:pt>
                <c:pt idx="120">
                  <c:v>43640</c:v>
                </c:pt>
                <c:pt idx="121">
                  <c:v>43637</c:v>
                </c:pt>
                <c:pt idx="122">
                  <c:v>43636</c:v>
                </c:pt>
                <c:pt idx="123">
                  <c:v>43635</c:v>
                </c:pt>
                <c:pt idx="124">
                  <c:v>43634</c:v>
                </c:pt>
                <c:pt idx="125">
                  <c:v>43633</c:v>
                </c:pt>
                <c:pt idx="126">
                  <c:v>43630</c:v>
                </c:pt>
                <c:pt idx="127">
                  <c:v>43629</c:v>
                </c:pt>
                <c:pt idx="128">
                  <c:v>43628</c:v>
                </c:pt>
                <c:pt idx="129">
                  <c:v>43627</c:v>
                </c:pt>
                <c:pt idx="130">
                  <c:v>43626</c:v>
                </c:pt>
                <c:pt idx="131">
                  <c:v>43623</c:v>
                </c:pt>
                <c:pt idx="132">
                  <c:v>43622</c:v>
                </c:pt>
                <c:pt idx="133">
                  <c:v>43621</c:v>
                </c:pt>
                <c:pt idx="134">
                  <c:v>43620</c:v>
                </c:pt>
                <c:pt idx="135">
                  <c:v>43619</c:v>
                </c:pt>
                <c:pt idx="136">
                  <c:v>43616</c:v>
                </c:pt>
                <c:pt idx="137">
                  <c:v>43615</c:v>
                </c:pt>
                <c:pt idx="138">
                  <c:v>43614</c:v>
                </c:pt>
                <c:pt idx="139">
                  <c:v>43613</c:v>
                </c:pt>
                <c:pt idx="140">
                  <c:v>43612</c:v>
                </c:pt>
                <c:pt idx="141">
                  <c:v>43609</c:v>
                </c:pt>
                <c:pt idx="142">
                  <c:v>43608</c:v>
                </c:pt>
                <c:pt idx="143">
                  <c:v>43607</c:v>
                </c:pt>
                <c:pt idx="144">
                  <c:v>43606</c:v>
                </c:pt>
                <c:pt idx="145">
                  <c:v>43605</c:v>
                </c:pt>
                <c:pt idx="146">
                  <c:v>43602</c:v>
                </c:pt>
                <c:pt idx="147">
                  <c:v>43601</c:v>
                </c:pt>
                <c:pt idx="148">
                  <c:v>43600</c:v>
                </c:pt>
                <c:pt idx="149">
                  <c:v>43599</c:v>
                </c:pt>
                <c:pt idx="150">
                  <c:v>43598</c:v>
                </c:pt>
                <c:pt idx="151">
                  <c:v>43595</c:v>
                </c:pt>
                <c:pt idx="152">
                  <c:v>43594</c:v>
                </c:pt>
                <c:pt idx="153">
                  <c:v>43593</c:v>
                </c:pt>
                <c:pt idx="154">
                  <c:v>43592</c:v>
                </c:pt>
                <c:pt idx="155">
                  <c:v>43581</c:v>
                </c:pt>
                <c:pt idx="156">
                  <c:v>43580</c:v>
                </c:pt>
                <c:pt idx="157">
                  <c:v>43579</c:v>
                </c:pt>
                <c:pt idx="158">
                  <c:v>43578</c:v>
                </c:pt>
                <c:pt idx="159">
                  <c:v>43577</c:v>
                </c:pt>
                <c:pt idx="160">
                  <c:v>43574</c:v>
                </c:pt>
                <c:pt idx="161">
                  <c:v>43573</c:v>
                </c:pt>
                <c:pt idx="162">
                  <c:v>43572</c:v>
                </c:pt>
                <c:pt idx="163">
                  <c:v>43571</c:v>
                </c:pt>
                <c:pt idx="164">
                  <c:v>43570</c:v>
                </c:pt>
                <c:pt idx="165">
                  <c:v>43567</c:v>
                </c:pt>
                <c:pt idx="166">
                  <c:v>43566</c:v>
                </c:pt>
                <c:pt idx="167">
                  <c:v>43565</c:v>
                </c:pt>
                <c:pt idx="168">
                  <c:v>43564</c:v>
                </c:pt>
                <c:pt idx="169">
                  <c:v>43563</c:v>
                </c:pt>
                <c:pt idx="170">
                  <c:v>43560</c:v>
                </c:pt>
                <c:pt idx="171">
                  <c:v>43559</c:v>
                </c:pt>
                <c:pt idx="172">
                  <c:v>43558</c:v>
                </c:pt>
                <c:pt idx="173">
                  <c:v>43557</c:v>
                </c:pt>
                <c:pt idx="174">
                  <c:v>43556</c:v>
                </c:pt>
                <c:pt idx="175">
                  <c:v>43553</c:v>
                </c:pt>
                <c:pt idx="176">
                  <c:v>43552</c:v>
                </c:pt>
                <c:pt idx="177">
                  <c:v>43551</c:v>
                </c:pt>
                <c:pt idx="178">
                  <c:v>43550</c:v>
                </c:pt>
                <c:pt idx="179">
                  <c:v>43549</c:v>
                </c:pt>
                <c:pt idx="180">
                  <c:v>43546</c:v>
                </c:pt>
                <c:pt idx="181">
                  <c:v>43544</c:v>
                </c:pt>
                <c:pt idx="182">
                  <c:v>43543</c:v>
                </c:pt>
                <c:pt idx="183">
                  <c:v>43542</c:v>
                </c:pt>
                <c:pt idx="184">
                  <c:v>43539</c:v>
                </c:pt>
                <c:pt idx="185">
                  <c:v>43538</c:v>
                </c:pt>
                <c:pt idx="186">
                  <c:v>43537</c:v>
                </c:pt>
                <c:pt idx="187">
                  <c:v>43536</c:v>
                </c:pt>
                <c:pt idx="188">
                  <c:v>43535</c:v>
                </c:pt>
                <c:pt idx="189">
                  <c:v>43532</c:v>
                </c:pt>
                <c:pt idx="190">
                  <c:v>43531</c:v>
                </c:pt>
                <c:pt idx="191">
                  <c:v>43530</c:v>
                </c:pt>
                <c:pt idx="192">
                  <c:v>43529</c:v>
                </c:pt>
                <c:pt idx="193">
                  <c:v>43528</c:v>
                </c:pt>
                <c:pt idx="194">
                  <c:v>43525</c:v>
                </c:pt>
                <c:pt idx="195">
                  <c:v>43524</c:v>
                </c:pt>
                <c:pt idx="196">
                  <c:v>43523</c:v>
                </c:pt>
                <c:pt idx="197">
                  <c:v>43522</c:v>
                </c:pt>
                <c:pt idx="198">
                  <c:v>43521</c:v>
                </c:pt>
                <c:pt idx="199">
                  <c:v>43518</c:v>
                </c:pt>
                <c:pt idx="200">
                  <c:v>43517</c:v>
                </c:pt>
                <c:pt idx="201">
                  <c:v>43516</c:v>
                </c:pt>
                <c:pt idx="202">
                  <c:v>43515</c:v>
                </c:pt>
                <c:pt idx="203">
                  <c:v>43514</c:v>
                </c:pt>
                <c:pt idx="204">
                  <c:v>43511</c:v>
                </c:pt>
                <c:pt idx="205">
                  <c:v>43510</c:v>
                </c:pt>
                <c:pt idx="206">
                  <c:v>43509</c:v>
                </c:pt>
                <c:pt idx="207">
                  <c:v>43508</c:v>
                </c:pt>
                <c:pt idx="208">
                  <c:v>43504</c:v>
                </c:pt>
                <c:pt idx="209">
                  <c:v>43503</c:v>
                </c:pt>
                <c:pt idx="210">
                  <c:v>43502</c:v>
                </c:pt>
                <c:pt idx="211">
                  <c:v>43501</c:v>
                </c:pt>
                <c:pt idx="212">
                  <c:v>43500</c:v>
                </c:pt>
                <c:pt idx="213">
                  <c:v>43497</c:v>
                </c:pt>
                <c:pt idx="214">
                  <c:v>43496</c:v>
                </c:pt>
                <c:pt idx="215">
                  <c:v>43495</c:v>
                </c:pt>
                <c:pt idx="216">
                  <c:v>43494</c:v>
                </c:pt>
                <c:pt idx="217">
                  <c:v>43493</c:v>
                </c:pt>
                <c:pt idx="218">
                  <c:v>43490</c:v>
                </c:pt>
                <c:pt idx="219">
                  <c:v>43489</c:v>
                </c:pt>
                <c:pt idx="220">
                  <c:v>43488</c:v>
                </c:pt>
                <c:pt idx="221">
                  <c:v>43487</c:v>
                </c:pt>
                <c:pt idx="222">
                  <c:v>43486</c:v>
                </c:pt>
                <c:pt idx="223">
                  <c:v>43483</c:v>
                </c:pt>
                <c:pt idx="224">
                  <c:v>43482</c:v>
                </c:pt>
                <c:pt idx="225">
                  <c:v>43481</c:v>
                </c:pt>
                <c:pt idx="226">
                  <c:v>43480</c:v>
                </c:pt>
                <c:pt idx="227">
                  <c:v>43476</c:v>
                </c:pt>
                <c:pt idx="228">
                  <c:v>43475</c:v>
                </c:pt>
                <c:pt idx="229">
                  <c:v>43474</c:v>
                </c:pt>
                <c:pt idx="230">
                  <c:v>43473</c:v>
                </c:pt>
                <c:pt idx="231">
                  <c:v>43472</c:v>
                </c:pt>
                <c:pt idx="232">
                  <c:v>43469</c:v>
                </c:pt>
                <c:pt idx="233">
                  <c:v>43462</c:v>
                </c:pt>
                <c:pt idx="234">
                  <c:v>43461</c:v>
                </c:pt>
                <c:pt idx="235">
                  <c:v>43460</c:v>
                </c:pt>
                <c:pt idx="236">
                  <c:v>43459</c:v>
                </c:pt>
                <c:pt idx="237">
                  <c:v>43455</c:v>
                </c:pt>
                <c:pt idx="238">
                  <c:v>43454</c:v>
                </c:pt>
                <c:pt idx="239">
                  <c:v>43453</c:v>
                </c:pt>
                <c:pt idx="240">
                  <c:v>43452</c:v>
                </c:pt>
                <c:pt idx="241">
                  <c:v>43451</c:v>
                </c:pt>
              </c:numCache>
            </c:numRef>
          </c:cat>
          <c:val>
            <c:numRef>
              <c:f>BACK_TEST!$AB$82:$AB$700</c:f>
              <c:numCache>
                <c:formatCode>General</c:formatCode>
                <c:ptCount val="619"/>
                <c:pt idx="0">
                  <c:v>1886.170985710826</c:v>
                </c:pt>
                <c:pt idx="1">
                  <c:v>1904.4611286025674</c:v>
                </c:pt>
                <c:pt idx="2">
                  <c:v>1895.3160571566966</c:v>
                </c:pt>
                <c:pt idx="3">
                  <c:v>1915.2065875514654</c:v>
                </c:pt>
                <c:pt idx="4">
                  <c:v>1863.0796803100025</c:v>
                </c:pt>
                <c:pt idx="5">
                  <c:v>1882.5129571324778</c:v>
                </c:pt>
                <c:pt idx="6">
                  <c:v>1895.7733107289903</c:v>
                </c:pt>
                <c:pt idx="7">
                  <c:v>1899.8885928796321</c:v>
                </c:pt>
                <c:pt idx="8">
                  <c:v>1885.9423589246792</c:v>
                </c:pt>
                <c:pt idx="9">
                  <c:v>1888.6858803584405</c:v>
                </c:pt>
                <c:pt idx="10">
                  <c:v>1859.1930249455077</c:v>
                </c:pt>
                <c:pt idx="11">
                  <c:v>1863.765560668443</c:v>
                </c:pt>
                <c:pt idx="12">
                  <c:v>1886.6282392831197</c:v>
                </c:pt>
                <c:pt idx="13">
                  <c:v>1847.7616856381694</c:v>
                </c:pt>
                <c:pt idx="14">
                  <c:v>1855.5349963671592</c:v>
                </c:pt>
                <c:pt idx="15">
                  <c:v>1851.1910874303708</c:v>
                </c:pt>
                <c:pt idx="16">
                  <c:v>1839.9883749091791</c:v>
                </c:pt>
                <c:pt idx="17">
                  <c:v>1840.9028820537662</c:v>
                </c:pt>
                <c:pt idx="18">
                  <c:v>1821.9268588035845</c:v>
                </c:pt>
                <c:pt idx="19">
                  <c:v>1823.0699927343182</c:v>
                </c:pt>
                <c:pt idx="20">
                  <c:v>1814.8394284330348</c:v>
                </c:pt>
                <c:pt idx="21">
                  <c:v>1840.4456284814726</c:v>
                </c:pt>
                <c:pt idx="22">
                  <c:v>1853.2487285056916</c:v>
                </c:pt>
                <c:pt idx="23">
                  <c:v>1854.1632356502787</c:v>
                </c:pt>
                <c:pt idx="24">
                  <c:v>1814.8394284330348</c:v>
                </c:pt>
                <c:pt idx="25">
                  <c:v>1839.7597481230325</c:v>
                </c:pt>
                <c:pt idx="26">
                  <c:v>1865.3659481714701</c:v>
                </c:pt>
                <c:pt idx="27">
                  <c:v>1842.9605231290871</c:v>
                </c:pt>
                <c:pt idx="28">
                  <c:v>1829.471542746428</c:v>
                </c:pt>
                <c:pt idx="29">
                  <c:v>1796.5492855412933</c:v>
                </c:pt>
                <c:pt idx="30">
                  <c:v>1794.2630176798257</c:v>
                </c:pt>
                <c:pt idx="31">
                  <c:v>1756.9968515379028</c:v>
                </c:pt>
                <c:pt idx="32">
                  <c:v>1728.6471300557037</c:v>
                </c:pt>
                <c:pt idx="33">
                  <c:v>1750.8239283119399</c:v>
                </c:pt>
                <c:pt idx="34">
                  <c:v>1752.8815693872612</c:v>
                </c:pt>
                <c:pt idx="35">
                  <c:v>1741.9074836522161</c:v>
                </c:pt>
                <c:pt idx="36">
                  <c:v>1723.3887139743281</c:v>
                </c:pt>
                <c:pt idx="37">
                  <c:v>1721.7883264713007</c:v>
                </c:pt>
                <c:pt idx="38">
                  <c:v>1720.4165657544202</c:v>
                </c:pt>
                <c:pt idx="39">
                  <c:v>1711.5001210946962</c:v>
                </c:pt>
                <c:pt idx="40">
                  <c:v>1695.7248728505695</c:v>
                </c:pt>
                <c:pt idx="41">
                  <c:v>1677.434729958828</c:v>
                </c:pt>
                <c:pt idx="42">
                  <c:v>1672.6335674497459</c:v>
                </c:pt>
                <c:pt idx="43">
                  <c:v>1682.6931460402036</c:v>
                </c:pt>
                <c:pt idx="44">
                  <c:v>1705.7844514410272</c:v>
                </c:pt>
                <c:pt idx="45">
                  <c:v>1679.263744248002</c:v>
                </c:pt>
                <c:pt idx="46">
                  <c:v>1639.7113102446115</c:v>
                </c:pt>
                <c:pt idx="47">
                  <c:v>1625.9937030758056</c:v>
                </c:pt>
                <c:pt idx="48">
                  <c:v>1652.2857834826837</c:v>
                </c:pt>
                <c:pt idx="49">
                  <c:v>1588.0416565754422</c:v>
                </c:pt>
                <c:pt idx="50">
                  <c:v>1586.8985226447085</c:v>
                </c:pt>
                <c:pt idx="51">
                  <c:v>1599.4729958827804</c:v>
                </c:pt>
                <c:pt idx="52">
                  <c:v>1629.4231048680069</c:v>
                </c:pt>
                <c:pt idx="53">
                  <c:v>1667.3751513683701</c:v>
                </c:pt>
                <c:pt idx="54">
                  <c:v>1640.8544441753454</c:v>
                </c:pt>
                <c:pt idx="55">
                  <c:v>1664.1743763623153</c:v>
                </c:pt>
                <c:pt idx="56">
                  <c:v>1728.1898764834102</c:v>
                </c:pt>
                <c:pt idx="57">
                  <c:v>1721.331072899007</c:v>
                </c:pt>
                <c:pt idx="58">
                  <c:v>1721.331072899007</c:v>
                </c:pt>
                <c:pt idx="59">
                  <c:v>1723.8459675466215</c:v>
                </c:pt>
                <c:pt idx="60">
                  <c:v>1722.0169532574475</c:v>
                </c:pt>
                <c:pt idx="61">
                  <c:v>1723.3887139743281</c:v>
                </c:pt>
                <c:pt idx="62">
                  <c:v>1752.8815693872612</c:v>
                </c:pt>
                <c:pt idx="63">
                  <c:v>1711.9573746669896</c:v>
                </c:pt>
                <c:pt idx="64">
                  <c:v>1708.9852264470817</c:v>
                </c:pt>
                <c:pt idx="65">
                  <c:v>1692.9813514168081</c:v>
                </c:pt>
                <c:pt idx="66">
                  <c:v>1658.4587067086463</c:v>
                </c:pt>
                <c:pt idx="67">
                  <c:v>1603.5882780334223</c:v>
                </c:pt>
                <c:pt idx="68">
                  <c:v>1590.5565512230567</c:v>
                </c:pt>
                <c:pt idx="69">
                  <c:v>1566.0934851053526</c:v>
                </c:pt>
                <c:pt idx="70">
                  <c:v>1532.4853475417776</c:v>
                </c:pt>
                <c:pt idx="71">
                  <c:v>1548.4892225720514</c:v>
                </c:pt>
                <c:pt idx="72">
                  <c:v>1535.6861225478326</c:v>
                </c:pt>
                <c:pt idx="73">
                  <c:v>1550.3182368612256</c:v>
                </c:pt>
                <c:pt idx="74">
                  <c:v>1528.370065391136</c:v>
                </c:pt>
                <c:pt idx="75">
                  <c:v>1518.7677403729717</c:v>
                </c:pt>
                <c:pt idx="76">
                  <c:v>1522.8830225236136</c:v>
                </c:pt>
                <c:pt idx="77">
                  <c:v>1518.7677403729717</c:v>
                </c:pt>
                <c:pt idx="78">
                  <c:v>1543.002179704529</c:v>
                </c:pt>
                <c:pt idx="79">
                  <c:v>1557.4056672317754</c:v>
                </c:pt>
                <c:pt idx="80">
                  <c:v>1543.002179704529</c:v>
                </c:pt>
                <c:pt idx="81">
                  <c:v>1554.2048922257206</c:v>
                </c:pt>
                <c:pt idx="82">
                  <c:v>1544.3739404214098</c:v>
                </c:pt>
                <c:pt idx="83">
                  <c:v>1510.0799224993946</c:v>
                </c:pt>
                <c:pt idx="84">
                  <c:v>1500.934851053524</c:v>
                </c:pt>
                <c:pt idx="85">
                  <c:v>1500.934851053524</c:v>
                </c:pt>
                <c:pt idx="86">
                  <c:v>1464.3545652700413</c:v>
                </c:pt>
                <c:pt idx="87">
                  <c:v>1503.2211189149916</c:v>
                </c:pt>
                <c:pt idx="88">
                  <c:v>1495.905061758295</c:v>
                </c:pt>
                <c:pt idx="89">
                  <c:v>1518.0818600145315</c:v>
                </c:pt>
                <c:pt idx="90">
                  <c:v>1548.4892225720514</c:v>
                </c:pt>
                <c:pt idx="91">
                  <c:v>1537.9723904093003</c:v>
                </c:pt>
                <c:pt idx="92">
                  <c:v>1571.1232744005815</c:v>
                </c:pt>
                <c:pt idx="93">
                  <c:v>1625.5364495035119</c:v>
                </c:pt>
                <c:pt idx="94">
                  <c:v>1623.2501816420443</c:v>
                </c:pt>
                <c:pt idx="95">
                  <c:v>1640.8544441753454</c:v>
                </c:pt>
                <c:pt idx="96">
                  <c:v>1631.2521191571811</c:v>
                </c:pt>
                <c:pt idx="97">
                  <c:v>1633.0811334463551</c:v>
                </c:pt>
                <c:pt idx="98">
                  <c:v>1652.0571566965368</c:v>
                </c:pt>
                <c:pt idx="99">
                  <c:v>1658.4587067086463</c:v>
                </c:pt>
                <c:pt idx="100">
                  <c:v>1648.3991281181886</c:v>
                </c:pt>
                <c:pt idx="101">
                  <c:v>1633.7670138047956</c:v>
                </c:pt>
                <c:pt idx="102">
                  <c:v>1631.7093727294748</c:v>
                </c:pt>
                <c:pt idx="103">
                  <c:v>1599.7016226689273</c:v>
                </c:pt>
                <c:pt idx="104">
                  <c:v>1642.6834584645194</c:v>
                </c:pt>
                <c:pt idx="105">
                  <c:v>1650.6853959796563</c:v>
                </c:pt>
                <c:pt idx="106">
                  <c:v>1668.9755388713975</c:v>
                </c:pt>
                <c:pt idx="107">
                  <c:v>1650.9140227658031</c:v>
                </c:pt>
                <c:pt idx="108">
                  <c:v>1659.3732138532332</c:v>
                </c:pt>
                <c:pt idx="109">
                  <c:v>1677.6633567449746</c:v>
                </c:pt>
                <c:pt idx="110">
                  <c:v>1680.1782513925891</c:v>
                </c:pt>
                <c:pt idx="111">
                  <c:v>1679.9496246064423</c:v>
                </c:pt>
                <c:pt idx="112">
                  <c:v>1685.4366674739649</c:v>
                </c:pt>
                <c:pt idx="113">
                  <c:v>1668.2896585129574</c:v>
                </c:pt>
                <c:pt idx="114">
                  <c:v>1704.1840639379996</c:v>
                </c:pt>
                <c:pt idx="115">
                  <c:v>1695.7248728505695</c:v>
                </c:pt>
                <c:pt idx="116">
                  <c:v>1630.1089852264472</c:v>
                </c:pt>
                <c:pt idx="117">
                  <c:v>1648.1705013320418</c:v>
                </c:pt>
                <c:pt idx="118">
                  <c:v>1646.798740615161</c:v>
                </c:pt>
                <c:pt idx="119">
                  <c:v>1658.91596028094</c:v>
                </c:pt>
                <c:pt idx="120">
                  <c:v>1667.1465245822235</c:v>
                </c:pt>
                <c:pt idx="121">
                  <c:v>1665.5461370791961</c:v>
                </c:pt>
                <c:pt idx="122">
                  <c:v>1647.7132477597484</c:v>
                </c:pt>
                <c:pt idx="123">
                  <c:v>1671.2618067328654</c:v>
                </c:pt>
                <c:pt idx="124">
                  <c:v>1600.1588762412207</c:v>
                </c:pt>
                <c:pt idx="125">
                  <c:v>1632.6238798740617</c:v>
                </c:pt>
                <c:pt idx="126">
                  <c:v>1635.1387745216762</c:v>
                </c:pt>
                <c:pt idx="127">
                  <c:v>1633.5383870186488</c:v>
                </c:pt>
                <c:pt idx="128">
                  <c:v>1668.0610317268106</c:v>
                </c:pt>
                <c:pt idx="129">
                  <c:v>1648.8563816904823</c:v>
                </c:pt>
                <c:pt idx="130">
                  <c:v>1612.9619762654397</c:v>
                </c:pt>
                <c:pt idx="131">
                  <c:v>1596.7294744490191</c:v>
                </c:pt>
                <c:pt idx="132">
                  <c:v>1581.4114797771861</c:v>
                </c:pt>
                <c:pt idx="133">
                  <c:v>1584.3836279970938</c:v>
                </c:pt>
                <c:pt idx="134">
                  <c:v>1562.8927100992978</c:v>
                </c:pt>
                <c:pt idx="135">
                  <c:v>1536.6006296924197</c:v>
                </c:pt>
                <c:pt idx="136">
                  <c:v>1562.4354565270041</c:v>
                </c:pt>
                <c:pt idx="137">
                  <c:v>1594.9004601598451</c:v>
                </c:pt>
                <c:pt idx="138">
                  <c:v>1567.2366190360863</c:v>
                </c:pt>
                <c:pt idx="139">
                  <c:v>1588.270283361589</c:v>
                </c:pt>
                <c:pt idx="140">
                  <c:v>1591.928311939937</c:v>
                </c:pt>
                <c:pt idx="141">
                  <c:v>1583.4691208525069</c:v>
                </c:pt>
                <c:pt idx="142">
                  <c:v>1598.1012351658999</c:v>
                </c:pt>
                <c:pt idx="143">
                  <c:v>1606.7890530394768</c:v>
                </c:pt>
                <c:pt idx="144">
                  <c:v>1592.1569387260838</c:v>
                </c:pt>
                <c:pt idx="145">
                  <c:v>1593.9859530152582</c:v>
                </c:pt>
                <c:pt idx="146">
                  <c:v>1619.1348994914026</c:v>
                </c:pt>
                <c:pt idx="147">
                  <c:v>1601.5306369581015</c:v>
                </c:pt>
                <c:pt idx="148">
                  <c:v>1614.3337369823203</c:v>
                </c:pt>
                <c:pt idx="149">
                  <c:v>1607.7035601840641</c:v>
                </c:pt>
                <c:pt idx="150">
                  <c:v>1622.3356744974571</c:v>
                </c:pt>
                <c:pt idx="151">
                  <c:v>1632.166626301768</c:v>
                </c:pt>
                <c:pt idx="152">
                  <c:v>1648.3991281181886</c:v>
                </c:pt>
                <c:pt idx="153">
                  <c:v>1716.5299103899249</c:v>
                </c:pt>
                <c:pt idx="154">
                  <c:v>1764.0842819084526</c:v>
                </c:pt>
                <c:pt idx="155">
                  <c:v>1817.8115766529429</c:v>
                </c:pt>
                <c:pt idx="156">
                  <c:v>1816.2111891499153</c:v>
                </c:pt>
                <c:pt idx="157">
                  <c:v>1808.2092516347784</c:v>
                </c:pt>
                <c:pt idx="158">
                  <c:v>1855.5349963671592</c:v>
                </c:pt>
                <c:pt idx="159">
                  <c:v>1835.1872124000972</c:v>
                </c:pt>
                <c:pt idx="160">
                  <c:v>1814.6108016468881</c:v>
                </c:pt>
                <c:pt idx="161">
                  <c:v>1811.63865342698</c:v>
                </c:pt>
                <c:pt idx="162">
                  <c:v>1834.0440784693633</c:v>
                </c:pt>
                <c:pt idx="163">
                  <c:v>1815.0680552191816</c:v>
                </c:pt>
                <c:pt idx="164">
                  <c:v>1834.2727052555099</c:v>
                </c:pt>
                <c:pt idx="165">
                  <c:v>1798.835553402761</c:v>
                </c:pt>
                <c:pt idx="166">
                  <c:v>1787.4042140954227</c:v>
                </c:pt>
                <c:pt idx="167">
                  <c:v>1803.6367159118431</c:v>
                </c:pt>
                <c:pt idx="168">
                  <c:v>1827.6425284572538</c:v>
                </c:pt>
                <c:pt idx="169">
                  <c:v>1842.9605231290871</c:v>
                </c:pt>
                <c:pt idx="170">
                  <c:v>1834.0440784693633</c:v>
                </c:pt>
                <c:pt idx="171">
                  <c:v>1814.1535480745945</c:v>
                </c:pt>
                <c:pt idx="172">
                  <c:v>1809.1237587793655</c:v>
                </c:pt>
                <c:pt idx="173">
                  <c:v>1790.6049891014777</c:v>
                </c:pt>
                <c:pt idx="174">
                  <c:v>1809.3523855655123</c:v>
                </c:pt>
                <c:pt idx="175">
                  <c:v>1748.9949140227659</c:v>
                </c:pt>
                <c:pt idx="176">
                  <c:v>1751.0525550980867</c:v>
                </c:pt>
                <c:pt idx="177">
                  <c:v>1789.0046015984501</c:v>
                </c:pt>
                <c:pt idx="178">
                  <c:v>1840.4456284814726</c:v>
                </c:pt>
                <c:pt idx="179">
                  <c:v>1795.6347783967062</c:v>
                </c:pt>
                <c:pt idx="180">
                  <c:v>1842.5032695567936</c:v>
                </c:pt>
                <c:pt idx="181">
                  <c:v>1812.3245337854205</c:v>
                </c:pt>
                <c:pt idx="182">
                  <c:v>1794.9488980382662</c:v>
                </c:pt>
                <c:pt idx="183">
                  <c:v>1781.6885444417535</c:v>
                </c:pt>
                <c:pt idx="184">
                  <c:v>1781.6885444417535</c:v>
                </c:pt>
                <c:pt idx="185">
                  <c:v>1787.1755873092761</c:v>
                </c:pt>
                <c:pt idx="186">
                  <c:v>1777.1160087188182</c:v>
                </c:pt>
                <c:pt idx="187">
                  <c:v>1791.0622426737709</c:v>
                </c:pt>
                <c:pt idx="188">
                  <c:v>1764.0842819084526</c:v>
                </c:pt>
                <c:pt idx="189">
                  <c:v>1750.5953015257935</c:v>
                </c:pt>
                <c:pt idx="190">
                  <c:v>1789.2332283845969</c:v>
                </c:pt>
                <c:pt idx="191">
                  <c:v>1801.8077016226691</c:v>
                </c:pt>
                <c:pt idx="192">
                  <c:v>1813.9249212884476</c:v>
                </c:pt>
                <c:pt idx="193">
                  <c:v>1824.2131266650522</c:v>
                </c:pt>
                <c:pt idx="194">
                  <c:v>1818.2688302252361</c:v>
                </c:pt>
                <c:pt idx="195">
                  <c:v>1816.8970695083558</c:v>
                </c:pt>
                <c:pt idx="196">
                  <c:v>1833.5868248970696</c:v>
                </c:pt>
                <c:pt idx="197">
                  <c:v>1834.2727052555099</c:v>
                </c:pt>
                <c:pt idx="198">
                  <c:v>1838.6166141922986</c:v>
                </c:pt>
                <c:pt idx="199">
                  <c:v>1845.0181642044081</c:v>
                </c:pt>
                <c:pt idx="200">
                  <c:v>1872.2247517558733</c:v>
                </c:pt>
                <c:pt idx="201">
                  <c:v>1877.4831678372491</c:v>
                </c:pt>
                <c:pt idx="202">
                  <c:v>1846.1612981351418</c:v>
                </c:pt>
                <c:pt idx="203">
                  <c:v>1842.9605231290871</c:v>
                </c:pt>
                <c:pt idx="204">
                  <c:v>1800.6645676919352</c:v>
                </c:pt>
                <c:pt idx="205">
                  <c:v>1803.4080891256963</c:v>
                </c:pt>
                <c:pt idx="206">
                  <c:v>1806.1516105594576</c:v>
                </c:pt>
                <c:pt idx="207">
                  <c:v>1789.2332283845969</c:v>
                </c:pt>
                <c:pt idx="208">
                  <c:v>1758.3686122547836</c:v>
                </c:pt>
                <c:pt idx="209">
                  <c:v>1902.1748607410998</c:v>
                </c:pt>
                <c:pt idx="210">
                  <c:v>1934.8684911600872</c:v>
                </c:pt>
                <c:pt idx="211">
                  <c:v>1940.8127875999032</c:v>
                </c:pt>
                <c:pt idx="212">
                  <c:v>1927.5524340033908</c:v>
                </c:pt>
                <c:pt idx="213">
                  <c:v>1901.4889803826595</c:v>
                </c:pt>
                <c:pt idx="214">
                  <c:v>1935.5543715185277</c:v>
                </c:pt>
                <c:pt idx="215">
                  <c:v>1922.294017922015</c:v>
                </c:pt>
                <c:pt idx="216">
                  <c:v>1880.4553160571568</c:v>
                </c:pt>
                <c:pt idx="217">
                  <c:v>1873.367885686607</c:v>
                </c:pt>
                <c:pt idx="218">
                  <c:v>1901.2603535965127</c:v>
                </c:pt>
                <c:pt idx="219">
                  <c:v>1888.9145071445873</c:v>
                </c:pt>
                <c:pt idx="220">
                  <c:v>1861.9365463792687</c:v>
                </c:pt>
                <c:pt idx="221">
                  <c:v>1865.5945749576169</c:v>
                </c:pt>
                <c:pt idx="222">
                  <c:v>1897.8309518043111</c:v>
                </c:pt>
                <c:pt idx="223">
                  <c:v>1872.2247517558733</c:v>
                </c:pt>
                <c:pt idx="224">
                  <c:v>1836.7875999031244</c:v>
                </c:pt>
                <c:pt idx="225">
                  <c:v>1811.1813998546866</c:v>
                </c:pt>
                <c:pt idx="226">
                  <c:v>1829.9287963187214</c:v>
                </c:pt>
                <c:pt idx="227">
                  <c:v>1818.4974570113829</c:v>
                </c:pt>
                <c:pt idx="228">
                  <c:v>1825.1276338096393</c:v>
                </c:pt>
                <c:pt idx="229">
                  <c:v>1835.4158391862436</c:v>
                </c:pt>
                <c:pt idx="230">
                  <c:v>1811.63865342698</c:v>
                </c:pt>
                <c:pt idx="231">
                  <c:v>1807.2947444901915</c:v>
                </c:pt>
                <c:pt idx="232">
                  <c:v>1743.7364979413903</c:v>
                </c:pt>
                <c:pt idx="233">
                  <c:v>1765.9132961976266</c:v>
                </c:pt>
                <c:pt idx="234">
                  <c:v>1767.0564301283605</c:v>
                </c:pt>
                <c:pt idx="235">
                  <c:v>1652.0571566965368</c:v>
                </c:pt>
                <c:pt idx="236">
                  <c:v>1625.7650762896587</c:v>
                </c:pt>
                <c:pt idx="237">
                  <c:v>1748.3090336643259</c:v>
                </c:pt>
                <c:pt idx="238">
                  <c:v>1783.2889319447809</c:v>
                </c:pt>
                <c:pt idx="239">
                  <c:v>1825.3562605957861</c:v>
                </c:pt>
                <c:pt idx="240">
                  <c:v>1862.8510535238556</c:v>
                </c:pt>
                <c:pt idx="241">
                  <c:v>1888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A4-4155-890F-945854EC8F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062464"/>
        <c:axId val="114064000"/>
      </c:lineChart>
      <c:scatterChart>
        <c:scatterStyle val="lineMarker"/>
        <c:varyColors val="0"/>
        <c:ser>
          <c:idx val="2"/>
          <c:order val="2"/>
          <c:tx>
            <c:v>open_line</c:v>
          </c:tx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43742</c:v>
                </c:pt>
                <c:pt idx="1">
                  <c:v>43742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A4-4155-890F-945854EC8FD5}"/>
            </c:ext>
          </c:extLst>
        </c:ser>
        <c:ser>
          <c:idx val="3"/>
          <c:order val="3"/>
          <c:tx>
            <c:v>close_line</c:v>
          </c:tx>
          <c:spPr>
            <a:ln w="3810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43759</c:v>
                </c:pt>
                <c:pt idx="1">
                  <c:v>43759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A4-4155-890F-945854EC8F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2321224"/>
        <c:axId val="602320240"/>
      </c:scatterChart>
      <c:dateAx>
        <c:axId val="1140624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14064000"/>
        <c:crosses val="autoZero"/>
        <c:auto val="1"/>
        <c:lblOffset val="100"/>
        <c:baseTimeUnit val="days"/>
      </c:dateAx>
      <c:valAx>
        <c:axId val="114064000"/>
        <c:scaling>
          <c:orientation val="minMax"/>
          <c:max val="1940.8127875999032"/>
          <c:min val="136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4062464"/>
        <c:crosses val="autoZero"/>
        <c:crossBetween val="between"/>
      </c:valAx>
      <c:valAx>
        <c:axId val="602320240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602321224"/>
        <c:crosses val="max"/>
        <c:crossBetween val="midCat"/>
      </c:valAx>
      <c:valAx>
        <c:axId val="60232122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023202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44072092033075916"/>
          <c:y val="2.718552935941277E-2"/>
          <c:w val="0.15740666186479205"/>
          <c:h val="0.14730611803097302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BACK_TEST!$U$81</c:f>
              <c:strCache>
                <c:ptCount val="1"/>
                <c:pt idx="0">
                  <c:v>sell return</c:v>
                </c:pt>
              </c:strCache>
            </c:strRef>
          </c:tx>
          <c:spPr>
            <a:ln w="19050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cat>
            <c:numRef>
              <c:f>BACK_TEST!$Y$82:$Y$300</c:f>
              <c:numCache>
                <c:formatCode>m/d/yyyy</c:formatCode>
                <c:ptCount val="219"/>
                <c:pt idx="0">
                  <c:v>43817</c:v>
                </c:pt>
                <c:pt idx="1">
                  <c:v>43816</c:v>
                </c:pt>
                <c:pt idx="2">
                  <c:v>43815</c:v>
                </c:pt>
                <c:pt idx="3">
                  <c:v>43812</c:v>
                </c:pt>
                <c:pt idx="4">
                  <c:v>43811</c:v>
                </c:pt>
                <c:pt idx="5">
                  <c:v>43810</c:v>
                </c:pt>
                <c:pt idx="6">
                  <c:v>43809</c:v>
                </c:pt>
                <c:pt idx="7">
                  <c:v>43808</c:v>
                </c:pt>
                <c:pt idx="8">
                  <c:v>43805</c:v>
                </c:pt>
                <c:pt idx="9">
                  <c:v>43804</c:v>
                </c:pt>
                <c:pt idx="10">
                  <c:v>43803</c:v>
                </c:pt>
                <c:pt idx="11">
                  <c:v>43802</c:v>
                </c:pt>
                <c:pt idx="12">
                  <c:v>43801</c:v>
                </c:pt>
                <c:pt idx="13">
                  <c:v>43798</c:v>
                </c:pt>
                <c:pt idx="14">
                  <c:v>43797</c:v>
                </c:pt>
                <c:pt idx="15">
                  <c:v>43796</c:v>
                </c:pt>
                <c:pt idx="16">
                  <c:v>43795</c:v>
                </c:pt>
                <c:pt idx="17">
                  <c:v>43794</c:v>
                </c:pt>
                <c:pt idx="18">
                  <c:v>43791</c:v>
                </c:pt>
                <c:pt idx="19">
                  <c:v>43790</c:v>
                </c:pt>
                <c:pt idx="20">
                  <c:v>43789</c:v>
                </c:pt>
                <c:pt idx="21">
                  <c:v>43788</c:v>
                </c:pt>
                <c:pt idx="22">
                  <c:v>43787</c:v>
                </c:pt>
                <c:pt idx="23">
                  <c:v>43784</c:v>
                </c:pt>
                <c:pt idx="24">
                  <c:v>43783</c:v>
                </c:pt>
                <c:pt idx="25">
                  <c:v>43782</c:v>
                </c:pt>
                <c:pt idx="26">
                  <c:v>43781</c:v>
                </c:pt>
                <c:pt idx="27">
                  <c:v>43780</c:v>
                </c:pt>
                <c:pt idx="28">
                  <c:v>43777</c:v>
                </c:pt>
                <c:pt idx="29">
                  <c:v>43776</c:v>
                </c:pt>
                <c:pt idx="30">
                  <c:v>43775</c:v>
                </c:pt>
                <c:pt idx="31">
                  <c:v>43774</c:v>
                </c:pt>
                <c:pt idx="32">
                  <c:v>43770</c:v>
                </c:pt>
                <c:pt idx="33">
                  <c:v>43769</c:v>
                </c:pt>
                <c:pt idx="34">
                  <c:v>43768</c:v>
                </c:pt>
                <c:pt idx="35">
                  <c:v>43767</c:v>
                </c:pt>
                <c:pt idx="36">
                  <c:v>43766</c:v>
                </c:pt>
                <c:pt idx="37">
                  <c:v>43763</c:v>
                </c:pt>
                <c:pt idx="38">
                  <c:v>43762</c:v>
                </c:pt>
                <c:pt idx="39">
                  <c:v>43761</c:v>
                </c:pt>
                <c:pt idx="40">
                  <c:v>43759</c:v>
                </c:pt>
                <c:pt idx="41">
                  <c:v>43756</c:v>
                </c:pt>
                <c:pt idx="42">
                  <c:v>43755</c:v>
                </c:pt>
                <c:pt idx="43">
                  <c:v>43754</c:v>
                </c:pt>
                <c:pt idx="44">
                  <c:v>43753</c:v>
                </c:pt>
                <c:pt idx="45">
                  <c:v>43749</c:v>
                </c:pt>
                <c:pt idx="46">
                  <c:v>43748</c:v>
                </c:pt>
                <c:pt idx="47">
                  <c:v>43747</c:v>
                </c:pt>
                <c:pt idx="48">
                  <c:v>43746</c:v>
                </c:pt>
                <c:pt idx="49">
                  <c:v>43745</c:v>
                </c:pt>
                <c:pt idx="50">
                  <c:v>43742</c:v>
                </c:pt>
              </c:numCache>
            </c:numRef>
          </c:cat>
          <c:val>
            <c:numRef>
              <c:f>BACK_TEST!$U$82:$U$300</c:f>
              <c:numCache>
                <c:formatCode>General</c:formatCode>
                <c:ptCount val="219"/>
                <c:pt idx="0">
                  <c:v>-138170</c:v>
                </c:pt>
                <c:pt idx="1">
                  <c:v>-143570</c:v>
                </c:pt>
                <c:pt idx="2">
                  <c:v>-138770</c:v>
                </c:pt>
                <c:pt idx="3">
                  <c:v>-143270</c:v>
                </c:pt>
                <c:pt idx="4">
                  <c:v>-104870</c:v>
                </c:pt>
                <c:pt idx="5">
                  <c:v>-114170</c:v>
                </c:pt>
                <c:pt idx="6">
                  <c:v>-115070</c:v>
                </c:pt>
                <c:pt idx="7">
                  <c:v>-119570</c:v>
                </c:pt>
                <c:pt idx="8">
                  <c:v>-100970</c:v>
                </c:pt>
                <c:pt idx="9">
                  <c:v>-98270</c:v>
                </c:pt>
                <c:pt idx="10">
                  <c:v>-87170</c:v>
                </c:pt>
                <c:pt idx="11">
                  <c:v>-92570</c:v>
                </c:pt>
                <c:pt idx="12">
                  <c:v>-76670</c:v>
                </c:pt>
                <c:pt idx="13">
                  <c:v>-77570</c:v>
                </c:pt>
                <c:pt idx="14">
                  <c:v>-82970</c:v>
                </c:pt>
                <c:pt idx="15">
                  <c:v>-85070</c:v>
                </c:pt>
                <c:pt idx="16">
                  <c:v>-84170</c:v>
                </c:pt>
                <c:pt idx="17">
                  <c:v>-79970</c:v>
                </c:pt>
                <c:pt idx="18">
                  <c:v>-64070</c:v>
                </c:pt>
                <c:pt idx="19">
                  <c:v>-51170</c:v>
                </c:pt>
                <c:pt idx="20">
                  <c:v>-63170</c:v>
                </c:pt>
                <c:pt idx="21">
                  <c:v>-102470</c:v>
                </c:pt>
                <c:pt idx="22">
                  <c:v>-105170</c:v>
                </c:pt>
                <c:pt idx="23">
                  <c:v>-124370</c:v>
                </c:pt>
                <c:pt idx="24">
                  <c:v>-107870</c:v>
                </c:pt>
                <c:pt idx="25">
                  <c:v>-125570</c:v>
                </c:pt>
                <c:pt idx="26">
                  <c:v>-149270</c:v>
                </c:pt>
                <c:pt idx="27">
                  <c:v>-145970</c:v>
                </c:pt>
                <c:pt idx="28">
                  <c:v>-141170</c:v>
                </c:pt>
                <c:pt idx="29">
                  <c:v>-127970</c:v>
                </c:pt>
                <c:pt idx="30">
                  <c:v>-127070</c:v>
                </c:pt>
                <c:pt idx="31">
                  <c:v>-108770</c:v>
                </c:pt>
                <c:pt idx="32">
                  <c:v>-60470</c:v>
                </c:pt>
                <c:pt idx="33">
                  <c:v>-91070</c:v>
                </c:pt>
                <c:pt idx="34">
                  <c:v>-109070</c:v>
                </c:pt>
                <c:pt idx="35">
                  <c:v>-118970</c:v>
                </c:pt>
                <c:pt idx="36">
                  <c:v>-105770</c:v>
                </c:pt>
                <c:pt idx="37">
                  <c:v>-92270</c:v>
                </c:pt>
                <c:pt idx="38">
                  <c:v>-95870</c:v>
                </c:pt>
                <c:pt idx="39">
                  <c:v>-89270</c:v>
                </c:pt>
                <c:pt idx="40">
                  <c:v>-72170</c:v>
                </c:pt>
                <c:pt idx="41">
                  <c:v>-61970</c:v>
                </c:pt>
                <c:pt idx="42">
                  <c:v>-47870</c:v>
                </c:pt>
                <c:pt idx="43">
                  <c:v>-55370</c:v>
                </c:pt>
                <c:pt idx="44">
                  <c:v>-50870</c:v>
                </c:pt>
                <c:pt idx="45">
                  <c:v>-18770</c:v>
                </c:pt>
                <c:pt idx="46">
                  <c:v>4930</c:v>
                </c:pt>
                <c:pt idx="47">
                  <c:v>-3770</c:v>
                </c:pt>
                <c:pt idx="48">
                  <c:v>-12770</c:v>
                </c:pt>
                <c:pt idx="49">
                  <c:v>5830</c:v>
                </c:pt>
                <c:pt idx="50">
                  <c:v>5830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A3-4835-B79D-38D1DD5AD937}"/>
            </c:ext>
          </c:extLst>
        </c:ser>
        <c:ser>
          <c:idx val="1"/>
          <c:order val="1"/>
          <c:tx>
            <c:strRef>
              <c:f>BACK_TEST!$V$81</c:f>
              <c:strCache>
                <c:ptCount val="1"/>
                <c:pt idx="0">
                  <c:v>buy return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BACK_TEST!$Y$82:$Y$300</c:f>
              <c:numCache>
                <c:formatCode>m/d/yyyy</c:formatCode>
                <c:ptCount val="219"/>
                <c:pt idx="0">
                  <c:v>43817</c:v>
                </c:pt>
                <c:pt idx="1">
                  <c:v>43816</c:v>
                </c:pt>
                <c:pt idx="2">
                  <c:v>43815</c:v>
                </c:pt>
                <c:pt idx="3">
                  <c:v>43812</c:v>
                </c:pt>
                <c:pt idx="4">
                  <c:v>43811</c:v>
                </c:pt>
                <c:pt idx="5">
                  <c:v>43810</c:v>
                </c:pt>
                <c:pt idx="6">
                  <c:v>43809</c:v>
                </c:pt>
                <c:pt idx="7">
                  <c:v>43808</c:v>
                </c:pt>
                <c:pt idx="8">
                  <c:v>43805</c:v>
                </c:pt>
                <c:pt idx="9">
                  <c:v>43804</c:v>
                </c:pt>
                <c:pt idx="10">
                  <c:v>43803</c:v>
                </c:pt>
                <c:pt idx="11">
                  <c:v>43802</c:v>
                </c:pt>
                <c:pt idx="12">
                  <c:v>43801</c:v>
                </c:pt>
                <c:pt idx="13">
                  <c:v>43798</c:v>
                </c:pt>
                <c:pt idx="14">
                  <c:v>43797</c:v>
                </c:pt>
                <c:pt idx="15">
                  <c:v>43796</c:v>
                </c:pt>
                <c:pt idx="16">
                  <c:v>43795</c:v>
                </c:pt>
                <c:pt idx="17">
                  <c:v>43794</c:v>
                </c:pt>
                <c:pt idx="18">
                  <c:v>43791</c:v>
                </c:pt>
                <c:pt idx="19">
                  <c:v>43790</c:v>
                </c:pt>
                <c:pt idx="20">
                  <c:v>43789</c:v>
                </c:pt>
                <c:pt idx="21">
                  <c:v>43788</c:v>
                </c:pt>
                <c:pt idx="22">
                  <c:v>43787</c:v>
                </c:pt>
                <c:pt idx="23">
                  <c:v>43784</c:v>
                </c:pt>
                <c:pt idx="24">
                  <c:v>43783</c:v>
                </c:pt>
                <c:pt idx="25">
                  <c:v>43782</c:v>
                </c:pt>
                <c:pt idx="26">
                  <c:v>43781</c:v>
                </c:pt>
                <c:pt idx="27">
                  <c:v>43780</c:v>
                </c:pt>
                <c:pt idx="28">
                  <c:v>43777</c:v>
                </c:pt>
                <c:pt idx="29">
                  <c:v>43776</c:v>
                </c:pt>
                <c:pt idx="30">
                  <c:v>43775</c:v>
                </c:pt>
                <c:pt idx="31">
                  <c:v>43774</c:v>
                </c:pt>
                <c:pt idx="32">
                  <c:v>43770</c:v>
                </c:pt>
                <c:pt idx="33">
                  <c:v>43769</c:v>
                </c:pt>
                <c:pt idx="34">
                  <c:v>43768</c:v>
                </c:pt>
                <c:pt idx="35">
                  <c:v>43767</c:v>
                </c:pt>
                <c:pt idx="36">
                  <c:v>43766</c:v>
                </c:pt>
                <c:pt idx="37">
                  <c:v>43763</c:v>
                </c:pt>
                <c:pt idx="38">
                  <c:v>43762</c:v>
                </c:pt>
                <c:pt idx="39">
                  <c:v>43761</c:v>
                </c:pt>
                <c:pt idx="40">
                  <c:v>43759</c:v>
                </c:pt>
                <c:pt idx="41">
                  <c:v>43756</c:v>
                </c:pt>
                <c:pt idx="42">
                  <c:v>43755</c:v>
                </c:pt>
                <c:pt idx="43">
                  <c:v>43754</c:v>
                </c:pt>
                <c:pt idx="44">
                  <c:v>43753</c:v>
                </c:pt>
                <c:pt idx="45">
                  <c:v>43749</c:v>
                </c:pt>
                <c:pt idx="46">
                  <c:v>43748</c:v>
                </c:pt>
                <c:pt idx="47">
                  <c:v>43747</c:v>
                </c:pt>
                <c:pt idx="48">
                  <c:v>43746</c:v>
                </c:pt>
                <c:pt idx="49">
                  <c:v>43745</c:v>
                </c:pt>
                <c:pt idx="50">
                  <c:v>43742</c:v>
                </c:pt>
              </c:numCache>
            </c:numRef>
          </c:cat>
          <c:val>
            <c:numRef>
              <c:f>BACK_TEST!$V$82:$V$300</c:f>
              <c:numCache>
                <c:formatCode>General</c:formatCode>
                <c:ptCount val="219"/>
                <c:pt idx="0">
                  <c:v>180539.00000000003</c:v>
                </c:pt>
                <c:pt idx="1">
                  <c:v>191739.00000000003</c:v>
                </c:pt>
                <c:pt idx="2">
                  <c:v>186139.00000000003</c:v>
                </c:pt>
                <c:pt idx="3">
                  <c:v>198319.00000000012</c:v>
                </c:pt>
                <c:pt idx="4">
                  <c:v>166399</c:v>
                </c:pt>
                <c:pt idx="5">
                  <c:v>178299</c:v>
                </c:pt>
                <c:pt idx="6">
                  <c:v>186419.00000000012</c:v>
                </c:pt>
                <c:pt idx="7">
                  <c:v>188939.00000000003</c:v>
                </c:pt>
                <c:pt idx="8">
                  <c:v>180399</c:v>
                </c:pt>
                <c:pt idx="9">
                  <c:v>182079.00000000006</c:v>
                </c:pt>
                <c:pt idx="10">
                  <c:v>164019.00000000012</c:v>
                </c:pt>
                <c:pt idx="11">
                  <c:v>166819.00000000012</c:v>
                </c:pt>
                <c:pt idx="12">
                  <c:v>180819.00000000012</c:v>
                </c:pt>
                <c:pt idx="13">
                  <c:v>157019.00000000012</c:v>
                </c:pt>
                <c:pt idx="14">
                  <c:v>161779.00000000006</c:v>
                </c:pt>
                <c:pt idx="15">
                  <c:v>159119.00000000012</c:v>
                </c:pt>
                <c:pt idx="16">
                  <c:v>152258.99999999997</c:v>
                </c:pt>
                <c:pt idx="17">
                  <c:v>152819.00000000012</c:v>
                </c:pt>
                <c:pt idx="18">
                  <c:v>141199</c:v>
                </c:pt>
                <c:pt idx="19">
                  <c:v>141899</c:v>
                </c:pt>
                <c:pt idx="20">
                  <c:v>136858.99999999997</c:v>
                </c:pt>
                <c:pt idx="21">
                  <c:v>152539.00000000003</c:v>
                </c:pt>
                <c:pt idx="22">
                  <c:v>160379.00000000006</c:v>
                </c:pt>
                <c:pt idx="23">
                  <c:v>160939.00000000003</c:v>
                </c:pt>
                <c:pt idx="24">
                  <c:v>136858.99999999997</c:v>
                </c:pt>
                <c:pt idx="25">
                  <c:v>152119.00000000012</c:v>
                </c:pt>
                <c:pt idx="26">
                  <c:v>167799</c:v>
                </c:pt>
                <c:pt idx="27">
                  <c:v>154079.00000000006</c:v>
                </c:pt>
                <c:pt idx="28">
                  <c:v>145819.00000000012</c:v>
                </c:pt>
                <c:pt idx="29">
                  <c:v>125658.99999999997</c:v>
                </c:pt>
                <c:pt idx="30">
                  <c:v>124258.99999999997</c:v>
                </c:pt>
                <c:pt idx="31">
                  <c:v>101439.00000000004</c:v>
                </c:pt>
                <c:pt idx="32">
                  <c:v>84079.000000000073</c:v>
                </c:pt>
                <c:pt idx="33">
                  <c:v>97658.999999999971</c:v>
                </c:pt>
                <c:pt idx="34">
                  <c:v>98919.000000000102</c:v>
                </c:pt>
                <c:pt idx="35">
                  <c:v>92199</c:v>
                </c:pt>
                <c:pt idx="36">
                  <c:v>80858.999999999971</c:v>
                </c:pt>
                <c:pt idx="37">
                  <c:v>79879.000000000073</c:v>
                </c:pt>
                <c:pt idx="38">
                  <c:v>79039.000000000044</c:v>
                </c:pt>
                <c:pt idx="39">
                  <c:v>73579.000000000073</c:v>
                </c:pt>
                <c:pt idx="40">
                  <c:v>63919.000000000102</c:v>
                </c:pt>
                <c:pt idx="41">
                  <c:v>52719.000000000102</c:v>
                </c:pt>
                <c:pt idx="42">
                  <c:v>49779.000000000073</c:v>
                </c:pt>
                <c:pt idx="43">
                  <c:v>55939.000000000036</c:v>
                </c:pt>
                <c:pt idx="44">
                  <c:v>70079.000000000073</c:v>
                </c:pt>
                <c:pt idx="45">
                  <c:v>53839.000000000036</c:v>
                </c:pt>
                <c:pt idx="46">
                  <c:v>29619.000000000102</c:v>
                </c:pt>
                <c:pt idx="47">
                  <c:v>21219.000000000102</c:v>
                </c:pt>
                <c:pt idx="48">
                  <c:v>37319.000000000102</c:v>
                </c:pt>
                <c:pt idx="49">
                  <c:v>-2020.99999999993</c:v>
                </c:pt>
                <c:pt idx="50">
                  <c:v>-2720.99999999993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A3-4835-B79D-38D1DD5AD937}"/>
            </c:ext>
          </c:extLst>
        </c:ser>
        <c:ser>
          <c:idx val="2"/>
          <c:order val="2"/>
          <c:tx>
            <c:strRef>
              <c:f>BACK_TEST!$W$81</c:f>
              <c:strCache>
                <c:ptCount val="1"/>
                <c:pt idx="0">
                  <c:v>total return</c:v>
                </c:pt>
              </c:strCache>
            </c:strRef>
          </c:tx>
          <c:spPr>
            <a:ln w="44450">
              <a:solidFill>
                <a:schemeClr val="tx1"/>
              </a:solidFill>
            </a:ln>
          </c:spPr>
          <c:marker>
            <c:symbol val="none"/>
          </c:marker>
          <c:cat>
            <c:numRef>
              <c:f>BACK_TEST!$Y$82:$Y$300</c:f>
              <c:numCache>
                <c:formatCode>m/d/yyyy</c:formatCode>
                <c:ptCount val="219"/>
                <c:pt idx="0">
                  <c:v>43817</c:v>
                </c:pt>
                <c:pt idx="1">
                  <c:v>43816</c:v>
                </c:pt>
                <c:pt idx="2">
                  <c:v>43815</c:v>
                </c:pt>
                <c:pt idx="3">
                  <c:v>43812</c:v>
                </c:pt>
                <c:pt idx="4">
                  <c:v>43811</c:v>
                </c:pt>
                <c:pt idx="5">
                  <c:v>43810</c:v>
                </c:pt>
                <c:pt idx="6">
                  <c:v>43809</c:v>
                </c:pt>
                <c:pt idx="7">
                  <c:v>43808</c:v>
                </c:pt>
                <c:pt idx="8">
                  <c:v>43805</c:v>
                </c:pt>
                <c:pt idx="9">
                  <c:v>43804</c:v>
                </c:pt>
                <c:pt idx="10">
                  <c:v>43803</c:v>
                </c:pt>
                <c:pt idx="11">
                  <c:v>43802</c:v>
                </c:pt>
                <c:pt idx="12">
                  <c:v>43801</c:v>
                </c:pt>
                <c:pt idx="13">
                  <c:v>43798</c:v>
                </c:pt>
                <c:pt idx="14">
                  <c:v>43797</c:v>
                </c:pt>
                <c:pt idx="15">
                  <c:v>43796</c:v>
                </c:pt>
                <c:pt idx="16">
                  <c:v>43795</c:v>
                </c:pt>
                <c:pt idx="17">
                  <c:v>43794</c:v>
                </c:pt>
                <c:pt idx="18">
                  <c:v>43791</c:v>
                </c:pt>
                <c:pt idx="19">
                  <c:v>43790</c:v>
                </c:pt>
                <c:pt idx="20">
                  <c:v>43789</c:v>
                </c:pt>
                <c:pt idx="21">
                  <c:v>43788</c:v>
                </c:pt>
                <c:pt idx="22">
                  <c:v>43787</c:v>
                </c:pt>
                <c:pt idx="23">
                  <c:v>43784</c:v>
                </c:pt>
                <c:pt idx="24">
                  <c:v>43783</c:v>
                </c:pt>
                <c:pt idx="25">
                  <c:v>43782</c:v>
                </c:pt>
                <c:pt idx="26">
                  <c:v>43781</c:v>
                </c:pt>
                <c:pt idx="27">
                  <c:v>43780</c:v>
                </c:pt>
                <c:pt idx="28">
                  <c:v>43777</c:v>
                </c:pt>
                <c:pt idx="29">
                  <c:v>43776</c:v>
                </c:pt>
                <c:pt idx="30">
                  <c:v>43775</c:v>
                </c:pt>
                <c:pt idx="31">
                  <c:v>43774</c:v>
                </c:pt>
                <c:pt idx="32">
                  <c:v>43770</c:v>
                </c:pt>
                <c:pt idx="33">
                  <c:v>43769</c:v>
                </c:pt>
                <c:pt idx="34">
                  <c:v>43768</c:v>
                </c:pt>
                <c:pt idx="35">
                  <c:v>43767</c:v>
                </c:pt>
                <c:pt idx="36">
                  <c:v>43766</c:v>
                </c:pt>
                <c:pt idx="37">
                  <c:v>43763</c:v>
                </c:pt>
                <c:pt idx="38">
                  <c:v>43762</c:v>
                </c:pt>
                <c:pt idx="39">
                  <c:v>43761</c:v>
                </c:pt>
                <c:pt idx="40">
                  <c:v>43759</c:v>
                </c:pt>
                <c:pt idx="41">
                  <c:v>43756</c:v>
                </c:pt>
                <c:pt idx="42">
                  <c:v>43755</c:v>
                </c:pt>
                <c:pt idx="43">
                  <c:v>43754</c:v>
                </c:pt>
                <c:pt idx="44">
                  <c:v>43753</c:v>
                </c:pt>
                <c:pt idx="45">
                  <c:v>43749</c:v>
                </c:pt>
                <c:pt idx="46">
                  <c:v>43748</c:v>
                </c:pt>
                <c:pt idx="47">
                  <c:v>43747</c:v>
                </c:pt>
                <c:pt idx="48">
                  <c:v>43746</c:v>
                </c:pt>
                <c:pt idx="49">
                  <c:v>43745</c:v>
                </c:pt>
                <c:pt idx="50">
                  <c:v>43742</c:v>
                </c:pt>
              </c:numCache>
            </c:numRef>
          </c:cat>
          <c:val>
            <c:numRef>
              <c:f>BACK_TEST!$W$82:$W$300</c:f>
              <c:numCache>
                <c:formatCode>General</c:formatCode>
                <c:ptCount val="219"/>
                <c:pt idx="0">
                  <c:v>42369.000000000029</c:v>
                </c:pt>
                <c:pt idx="1">
                  <c:v>48169.000000000029</c:v>
                </c:pt>
                <c:pt idx="2">
                  <c:v>47369.000000000029</c:v>
                </c:pt>
                <c:pt idx="3">
                  <c:v>55049.000000000116</c:v>
                </c:pt>
                <c:pt idx="4">
                  <c:v>61529</c:v>
                </c:pt>
                <c:pt idx="5">
                  <c:v>64129</c:v>
                </c:pt>
                <c:pt idx="6">
                  <c:v>71349.000000000116</c:v>
                </c:pt>
                <c:pt idx="7">
                  <c:v>69369.000000000029</c:v>
                </c:pt>
                <c:pt idx="8">
                  <c:v>79429</c:v>
                </c:pt>
                <c:pt idx="9">
                  <c:v>83809.000000000058</c:v>
                </c:pt>
                <c:pt idx="10">
                  <c:v>76849.000000000116</c:v>
                </c:pt>
                <c:pt idx="11">
                  <c:v>74249.000000000116</c:v>
                </c:pt>
                <c:pt idx="12">
                  <c:v>104149.00000000012</c:v>
                </c:pt>
                <c:pt idx="13">
                  <c:v>79449.000000000116</c:v>
                </c:pt>
                <c:pt idx="14">
                  <c:v>78809.000000000058</c:v>
                </c:pt>
                <c:pt idx="15">
                  <c:v>74049.000000000116</c:v>
                </c:pt>
                <c:pt idx="16">
                  <c:v>68088.999999999971</c:v>
                </c:pt>
                <c:pt idx="17">
                  <c:v>72849.000000000116</c:v>
                </c:pt>
                <c:pt idx="18">
                  <c:v>77129</c:v>
                </c:pt>
                <c:pt idx="19">
                  <c:v>90729</c:v>
                </c:pt>
                <c:pt idx="20">
                  <c:v>73688.999999999971</c:v>
                </c:pt>
                <c:pt idx="21">
                  <c:v>50069.000000000029</c:v>
                </c:pt>
                <c:pt idx="22">
                  <c:v>55209.000000000058</c:v>
                </c:pt>
                <c:pt idx="23">
                  <c:v>36569.000000000029</c:v>
                </c:pt>
                <c:pt idx="24">
                  <c:v>28988.999999999971</c:v>
                </c:pt>
                <c:pt idx="25">
                  <c:v>26549.000000000116</c:v>
                </c:pt>
                <c:pt idx="26">
                  <c:v>18529</c:v>
                </c:pt>
                <c:pt idx="27">
                  <c:v>8109.0000000000582</c:v>
                </c:pt>
                <c:pt idx="28">
                  <c:v>4649.0000000001164</c:v>
                </c:pt>
                <c:pt idx="29">
                  <c:v>-2311.0000000000291</c:v>
                </c:pt>
                <c:pt idx="30">
                  <c:v>-2811.0000000000291</c:v>
                </c:pt>
                <c:pt idx="31">
                  <c:v>-7330.9999999999563</c:v>
                </c:pt>
                <c:pt idx="32">
                  <c:v>23609.000000000073</c:v>
                </c:pt>
                <c:pt idx="33">
                  <c:v>6588.9999999999709</c:v>
                </c:pt>
                <c:pt idx="34">
                  <c:v>-10150.999999999898</c:v>
                </c:pt>
                <c:pt idx="35">
                  <c:v>-26771</c:v>
                </c:pt>
                <c:pt idx="36">
                  <c:v>-24911.000000000029</c:v>
                </c:pt>
                <c:pt idx="37">
                  <c:v>-12390.999999999927</c:v>
                </c:pt>
                <c:pt idx="38">
                  <c:v>-16830.999999999956</c:v>
                </c:pt>
                <c:pt idx="39">
                  <c:v>-15690.999999999927</c:v>
                </c:pt>
                <c:pt idx="40">
                  <c:v>-8250.9999999998981</c:v>
                </c:pt>
                <c:pt idx="41">
                  <c:v>-9250.9999999998981</c:v>
                </c:pt>
                <c:pt idx="42">
                  <c:v>1909.0000000000728</c:v>
                </c:pt>
                <c:pt idx="43">
                  <c:v>569.00000000003638</c:v>
                </c:pt>
                <c:pt idx="44">
                  <c:v>19209.000000000073</c:v>
                </c:pt>
                <c:pt idx="45">
                  <c:v>35069.000000000036</c:v>
                </c:pt>
                <c:pt idx="46">
                  <c:v>34549.000000000102</c:v>
                </c:pt>
                <c:pt idx="47">
                  <c:v>17449.000000000102</c:v>
                </c:pt>
                <c:pt idx="48">
                  <c:v>24549.000000000102</c:v>
                </c:pt>
                <c:pt idx="49">
                  <c:v>3809.00000000007</c:v>
                </c:pt>
                <c:pt idx="50">
                  <c:v>3109.00000000007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DA3-4835-B79D-38D1DD5AD9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780608"/>
        <c:axId val="137782400"/>
      </c:lineChart>
      <c:scatterChart>
        <c:scatterStyle val="lineMarker"/>
        <c:varyColors val="0"/>
        <c:ser>
          <c:idx val="3"/>
          <c:order val="3"/>
          <c:tx>
            <c:v>open_line</c:v>
          </c:tx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43742</c:v>
                </c:pt>
                <c:pt idx="1">
                  <c:v>43742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A3-4835-B79D-38D1DD5AD937}"/>
            </c:ext>
          </c:extLst>
        </c:ser>
        <c:ser>
          <c:idx val="4"/>
          <c:order val="4"/>
          <c:tx>
            <c:v>close_line</c:v>
          </c:tx>
          <c:spPr>
            <a:ln w="3810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43759</c:v>
                </c:pt>
                <c:pt idx="1">
                  <c:v>43759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A3-4835-B79D-38D1DD5AD9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5845536"/>
        <c:axId val="609404648"/>
      </c:scatterChart>
      <c:dateAx>
        <c:axId val="1377806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782400"/>
        <c:crosses val="autoZero"/>
        <c:auto val="1"/>
        <c:lblOffset val="100"/>
        <c:baseTimeUnit val="days"/>
      </c:dateAx>
      <c:valAx>
        <c:axId val="137782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780608"/>
        <c:crosses val="autoZero"/>
        <c:crossBetween val="between"/>
      </c:valAx>
      <c:valAx>
        <c:axId val="609404648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605845536"/>
        <c:crosses val="max"/>
        <c:crossBetween val="midCat"/>
      </c:valAx>
      <c:valAx>
        <c:axId val="60584553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0940464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BACK_TEST!$K$81</c:f>
              <c:strCache>
                <c:ptCount val="1"/>
                <c:pt idx="0">
                  <c:v>CORR_3M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43817</c:v>
                </c:pt>
                <c:pt idx="1">
                  <c:v>43816</c:v>
                </c:pt>
                <c:pt idx="2">
                  <c:v>43815</c:v>
                </c:pt>
                <c:pt idx="3">
                  <c:v>43812</c:v>
                </c:pt>
                <c:pt idx="4">
                  <c:v>43811</c:v>
                </c:pt>
                <c:pt idx="5">
                  <c:v>43810</c:v>
                </c:pt>
                <c:pt idx="6">
                  <c:v>43809</c:v>
                </c:pt>
                <c:pt idx="7">
                  <c:v>43808</c:v>
                </c:pt>
                <c:pt idx="8">
                  <c:v>43805</c:v>
                </c:pt>
                <c:pt idx="9">
                  <c:v>43804</c:v>
                </c:pt>
                <c:pt idx="10">
                  <c:v>43803</c:v>
                </c:pt>
                <c:pt idx="11">
                  <c:v>43802</c:v>
                </c:pt>
                <c:pt idx="12">
                  <c:v>43801</c:v>
                </c:pt>
                <c:pt idx="13">
                  <c:v>43798</c:v>
                </c:pt>
                <c:pt idx="14">
                  <c:v>43797</c:v>
                </c:pt>
                <c:pt idx="15">
                  <c:v>43796</c:v>
                </c:pt>
                <c:pt idx="16">
                  <c:v>43795</c:v>
                </c:pt>
                <c:pt idx="17">
                  <c:v>43794</c:v>
                </c:pt>
                <c:pt idx="18">
                  <c:v>43791</c:v>
                </c:pt>
                <c:pt idx="19">
                  <c:v>43790</c:v>
                </c:pt>
                <c:pt idx="20">
                  <c:v>43789</c:v>
                </c:pt>
                <c:pt idx="21">
                  <c:v>43788</c:v>
                </c:pt>
                <c:pt idx="22">
                  <c:v>43787</c:v>
                </c:pt>
                <c:pt idx="23">
                  <c:v>43784</c:v>
                </c:pt>
                <c:pt idx="24">
                  <c:v>43783</c:v>
                </c:pt>
                <c:pt idx="25">
                  <c:v>43782</c:v>
                </c:pt>
                <c:pt idx="26">
                  <c:v>43781</c:v>
                </c:pt>
                <c:pt idx="27">
                  <c:v>43780</c:v>
                </c:pt>
                <c:pt idx="28">
                  <c:v>43777</c:v>
                </c:pt>
                <c:pt idx="29">
                  <c:v>43776</c:v>
                </c:pt>
                <c:pt idx="30">
                  <c:v>43775</c:v>
                </c:pt>
                <c:pt idx="31">
                  <c:v>43774</c:v>
                </c:pt>
                <c:pt idx="32">
                  <c:v>43770</c:v>
                </c:pt>
                <c:pt idx="33">
                  <c:v>43769</c:v>
                </c:pt>
                <c:pt idx="34">
                  <c:v>43768</c:v>
                </c:pt>
                <c:pt idx="35">
                  <c:v>43767</c:v>
                </c:pt>
                <c:pt idx="36">
                  <c:v>43766</c:v>
                </c:pt>
                <c:pt idx="37">
                  <c:v>43763</c:v>
                </c:pt>
                <c:pt idx="38">
                  <c:v>43762</c:v>
                </c:pt>
                <c:pt idx="39">
                  <c:v>43761</c:v>
                </c:pt>
                <c:pt idx="40">
                  <c:v>43759</c:v>
                </c:pt>
                <c:pt idx="41">
                  <c:v>43756</c:v>
                </c:pt>
                <c:pt idx="42">
                  <c:v>43755</c:v>
                </c:pt>
                <c:pt idx="43">
                  <c:v>43754</c:v>
                </c:pt>
                <c:pt idx="44">
                  <c:v>43753</c:v>
                </c:pt>
                <c:pt idx="45">
                  <c:v>43749</c:v>
                </c:pt>
                <c:pt idx="46">
                  <c:v>43748</c:v>
                </c:pt>
                <c:pt idx="47">
                  <c:v>43747</c:v>
                </c:pt>
                <c:pt idx="48">
                  <c:v>43746</c:v>
                </c:pt>
                <c:pt idx="49">
                  <c:v>43745</c:v>
                </c:pt>
                <c:pt idx="50">
                  <c:v>43742</c:v>
                </c:pt>
                <c:pt idx="51">
                  <c:v>43741</c:v>
                </c:pt>
                <c:pt idx="52">
                  <c:v>43740</c:v>
                </c:pt>
                <c:pt idx="53">
                  <c:v>43739</c:v>
                </c:pt>
                <c:pt idx="54">
                  <c:v>43738</c:v>
                </c:pt>
                <c:pt idx="55">
                  <c:v>43735</c:v>
                </c:pt>
                <c:pt idx="56">
                  <c:v>43734</c:v>
                </c:pt>
                <c:pt idx="57">
                  <c:v>43733</c:v>
                </c:pt>
                <c:pt idx="58">
                  <c:v>43732</c:v>
                </c:pt>
                <c:pt idx="59">
                  <c:v>43728</c:v>
                </c:pt>
                <c:pt idx="60">
                  <c:v>43727</c:v>
                </c:pt>
                <c:pt idx="61">
                  <c:v>43726</c:v>
                </c:pt>
                <c:pt idx="62">
                  <c:v>43725</c:v>
                </c:pt>
                <c:pt idx="63">
                  <c:v>43721</c:v>
                </c:pt>
                <c:pt idx="64">
                  <c:v>43720</c:v>
                </c:pt>
                <c:pt idx="65">
                  <c:v>43719</c:v>
                </c:pt>
                <c:pt idx="66">
                  <c:v>43718</c:v>
                </c:pt>
                <c:pt idx="67">
                  <c:v>43717</c:v>
                </c:pt>
                <c:pt idx="68">
                  <c:v>43714</c:v>
                </c:pt>
                <c:pt idx="69">
                  <c:v>43713</c:v>
                </c:pt>
                <c:pt idx="70">
                  <c:v>43712</c:v>
                </c:pt>
                <c:pt idx="71">
                  <c:v>43711</c:v>
                </c:pt>
                <c:pt idx="72">
                  <c:v>43710</c:v>
                </c:pt>
                <c:pt idx="73">
                  <c:v>43707</c:v>
                </c:pt>
                <c:pt idx="74">
                  <c:v>43706</c:v>
                </c:pt>
                <c:pt idx="75">
                  <c:v>43705</c:v>
                </c:pt>
                <c:pt idx="76">
                  <c:v>43704</c:v>
                </c:pt>
                <c:pt idx="77">
                  <c:v>43703</c:v>
                </c:pt>
                <c:pt idx="78">
                  <c:v>43700</c:v>
                </c:pt>
                <c:pt idx="79">
                  <c:v>43699</c:v>
                </c:pt>
                <c:pt idx="80">
                  <c:v>43698</c:v>
                </c:pt>
                <c:pt idx="81">
                  <c:v>43697</c:v>
                </c:pt>
                <c:pt idx="82">
                  <c:v>43696</c:v>
                </c:pt>
                <c:pt idx="83">
                  <c:v>43693</c:v>
                </c:pt>
                <c:pt idx="84">
                  <c:v>43692</c:v>
                </c:pt>
                <c:pt idx="85">
                  <c:v>43691</c:v>
                </c:pt>
                <c:pt idx="86">
                  <c:v>43690</c:v>
                </c:pt>
                <c:pt idx="87">
                  <c:v>43686</c:v>
                </c:pt>
                <c:pt idx="88">
                  <c:v>43685</c:v>
                </c:pt>
                <c:pt idx="89">
                  <c:v>43684</c:v>
                </c:pt>
                <c:pt idx="90">
                  <c:v>43683</c:v>
                </c:pt>
                <c:pt idx="91">
                  <c:v>43682</c:v>
                </c:pt>
                <c:pt idx="92">
                  <c:v>43679</c:v>
                </c:pt>
                <c:pt idx="93">
                  <c:v>43678</c:v>
                </c:pt>
                <c:pt idx="94">
                  <c:v>43677</c:v>
                </c:pt>
                <c:pt idx="95">
                  <c:v>43676</c:v>
                </c:pt>
                <c:pt idx="96">
                  <c:v>43675</c:v>
                </c:pt>
                <c:pt idx="97">
                  <c:v>43672</c:v>
                </c:pt>
                <c:pt idx="98">
                  <c:v>43671</c:v>
                </c:pt>
                <c:pt idx="99">
                  <c:v>43670</c:v>
                </c:pt>
                <c:pt idx="100">
                  <c:v>43669</c:v>
                </c:pt>
                <c:pt idx="101">
                  <c:v>43668</c:v>
                </c:pt>
                <c:pt idx="102">
                  <c:v>43665</c:v>
                </c:pt>
                <c:pt idx="103">
                  <c:v>43664</c:v>
                </c:pt>
                <c:pt idx="104">
                  <c:v>43663</c:v>
                </c:pt>
                <c:pt idx="105">
                  <c:v>43662</c:v>
                </c:pt>
                <c:pt idx="106">
                  <c:v>43658</c:v>
                </c:pt>
                <c:pt idx="107">
                  <c:v>43657</c:v>
                </c:pt>
                <c:pt idx="108">
                  <c:v>43656</c:v>
                </c:pt>
                <c:pt idx="109">
                  <c:v>43655</c:v>
                </c:pt>
                <c:pt idx="110">
                  <c:v>43654</c:v>
                </c:pt>
                <c:pt idx="111">
                  <c:v>43651</c:v>
                </c:pt>
                <c:pt idx="112">
                  <c:v>43650</c:v>
                </c:pt>
                <c:pt idx="113">
                  <c:v>43649</c:v>
                </c:pt>
                <c:pt idx="114">
                  <c:v>43648</c:v>
                </c:pt>
                <c:pt idx="115">
                  <c:v>43647</c:v>
                </c:pt>
                <c:pt idx="116">
                  <c:v>43644</c:v>
                </c:pt>
                <c:pt idx="117">
                  <c:v>43643</c:v>
                </c:pt>
                <c:pt idx="118">
                  <c:v>43642</c:v>
                </c:pt>
                <c:pt idx="119">
                  <c:v>43641</c:v>
                </c:pt>
                <c:pt idx="120">
                  <c:v>43640</c:v>
                </c:pt>
                <c:pt idx="121">
                  <c:v>43637</c:v>
                </c:pt>
                <c:pt idx="122">
                  <c:v>43636</c:v>
                </c:pt>
                <c:pt idx="123">
                  <c:v>43635</c:v>
                </c:pt>
                <c:pt idx="124">
                  <c:v>43634</c:v>
                </c:pt>
                <c:pt idx="125">
                  <c:v>43633</c:v>
                </c:pt>
                <c:pt idx="126">
                  <c:v>43630</c:v>
                </c:pt>
                <c:pt idx="127">
                  <c:v>43629</c:v>
                </c:pt>
                <c:pt idx="128">
                  <c:v>43628</c:v>
                </c:pt>
                <c:pt idx="129">
                  <c:v>43627</c:v>
                </c:pt>
                <c:pt idx="130">
                  <c:v>43626</c:v>
                </c:pt>
                <c:pt idx="131">
                  <c:v>43623</c:v>
                </c:pt>
                <c:pt idx="132">
                  <c:v>43622</c:v>
                </c:pt>
                <c:pt idx="133">
                  <c:v>43621</c:v>
                </c:pt>
                <c:pt idx="134">
                  <c:v>43620</c:v>
                </c:pt>
                <c:pt idx="135">
                  <c:v>43619</c:v>
                </c:pt>
                <c:pt idx="136">
                  <c:v>43616</c:v>
                </c:pt>
                <c:pt idx="137">
                  <c:v>43615</c:v>
                </c:pt>
                <c:pt idx="138">
                  <c:v>43614</c:v>
                </c:pt>
                <c:pt idx="139">
                  <c:v>43613</c:v>
                </c:pt>
                <c:pt idx="140">
                  <c:v>43612</c:v>
                </c:pt>
                <c:pt idx="141">
                  <c:v>43609</c:v>
                </c:pt>
                <c:pt idx="142">
                  <c:v>43608</c:v>
                </c:pt>
                <c:pt idx="143">
                  <c:v>43607</c:v>
                </c:pt>
                <c:pt idx="144">
                  <c:v>43606</c:v>
                </c:pt>
                <c:pt idx="145">
                  <c:v>43605</c:v>
                </c:pt>
                <c:pt idx="146">
                  <c:v>43602</c:v>
                </c:pt>
                <c:pt idx="147">
                  <c:v>43601</c:v>
                </c:pt>
                <c:pt idx="148">
                  <c:v>43600</c:v>
                </c:pt>
                <c:pt idx="149">
                  <c:v>43599</c:v>
                </c:pt>
                <c:pt idx="150">
                  <c:v>43598</c:v>
                </c:pt>
                <c:pt idx="151">
                  <c:v>43595</c:v>
                </c:pt>
                <c:pt idx="152">
                  <c:v>43594</c:v>
                </c:pt>
                <c:pt idx="153">
                  <c:v>43593</c:v>
                </c:pt>
                <c:pt idx="154">
                  <c:v>43592</c:v>
                </c:pt>
                <c:pt idx="155">
                  <c:v>43581</c:v>
                </c:pt>
                <c:pt idx="156">
                  <c:v>43580</c:v>
                </c:pt>
                <c:pt idx="157">
                  <c:v>43579</c:v>
                </c:pt>
                <c:pt idx="158">
                  <c:v>43578</c:v>
                </c:pt>
                <c:pt idx="159">
                  <c:v>43577</c:v>
                </c:pt>
                <c:pt idx="160">
                  <c:v>43574</c:v>
                </c:pt>
                <c:pt idx="161">
                  <c:v>43573</c:v>
                </c:pt>
                <c:pt idx="162">
                  <c:v>43572</c:v>
                </c:pt>
                <c:pt idx="163">
                  <c:v>43571</c:v>
                </c:pt>
                <c:pt idx="164">
                  <c:v>43570</c:v>
                </c:pt>
                <c:pt idx="165">
                  <c:v>43567</c:v>
                </c:pt>
                <c:pt idx="166">
                  <c:v>43566</c:v>
                </c:pt>
                <c:pt idx="167">
                  <c:v>43565</c:v>
                </c:pt>
                <c:pt idx="168">
                  <c:v>43564</c:v>
                </c:pt>
                <c:pt idx="169">
                  <c:v>43563</c:v>
                </c:pt>
                <c:pt idx="170">
                  <c:v>43560</c:v>
                </c:pt>
                <c:pt idx="171">
                  <c:v>43559</c:v>
                </c:pt>
                <c:pt idx="172">
                  <c:v>43558</c:v>
                </c:pt>
                <c:pt idx="173">
                  <c:v>43557</c:v>
                </c:pt>
                <c:pt idx="174">
                  <c:v>43556</c:v>
                </c:pt>
                <c:pt idx="175">
                  <c:v>43553</c:v>
                </c:pt>
                <c:pt idx="176">
                  <c:v>43552</c:v>
                </c:pt>
                <c:pt idx="177">
                  <c:v>43551</c:v>
                </c:pt>
                <c:pt idx="178">
                  <c:v>43550</c:v>
                </c:pt>
                <c:pt idx="179">
                  <c:v>43549</c:v>
                </c:pt>
                <c:pt idx="180">
                  <c:v>43546</c:v>
                </c:pt>
                <c:pt idx="181">
                  <c:v>43544</c:v>
                </c:pt>
                <c:pt idx="182">
                  <c:v>43543</c:v>
                </c:pt>
                <c:pt idx="183">
                  <c:v>43542</c:v>
                </c:pt>
                <c:pt idx="184">
                  <c:v>43539</c:v>
                </c:pt>
                <c:pt idx="185">
                  <c:v>43538</c:v>
                </c:pt>
                <c:pt idx="186">
                  <c:v>43537</c:v>
                </c:pt>
                <c:pt idx="187">
                  <c:v>43536</c:v>
                </c:pt>
                <c:pt idx="188">
                  <c:v>43535</c:v>
                </c:pt>
                <c:pt idx="189">
                  <c:v>43532</c:v>
                </c:pt>
                <c:pt idx="190">
                  <c:v>43531</c:v>
                </c:pt>
                <c:pt idx="191">
                  <c:v>43530</c:v>
                </c:pt>
                <c:pt idx="192">
                  <c:v>43529</c:v>
                </c:pt>
                <c:pt idx="193">
                  <c:v>43528</c:v>
                </c:pt>
                <c:pt idx="194">
                  <c:v>43525</c:v>
                </c:pt>
                <c:pt idx="195">
                  <c:v>43524</c:v>
                </c:pt>
                <c:pt idx="196">
                  <c:v>43523</c:v>
                </c:pt>
                <c:pt idx="197">
                  <c:v>43522</c:v>
                </c:pt>
                <c:pt idx="198">
                  <c:v>43521</c:v>
                </c:pt>
                <c:pt idx="199">
                  <c:v>43518</c:v>
                </c:pt>
                <c:pt idx="200">
                  <c:v>43517</c:v>
                </c:pt>
                <c:pt idx="201">
                  <c:v>43516</c:v>
                </c:pt>
                <c:pt idx="202">
                  <c:v>43515</c:v>
                </c:pt>
                <c:pt idx="203">
                  <c:v>43514</c:v>
                </c:pt>
                <c:pt idx="204">
                  <c:v>43511</c:v>
                </c:pt>
                <c:pt idx="205">
                  <c:v>43510</c:v>
                </c:pt>
                <c:pt idx="206">
                  <c:v>43509</c:v>
                </c:pt>
                <c:pt idx="207">
                  <c:v>43508</c:v>
                </c:pt>
                <c:pt idx="208">
                  <c:v>43504</c:v>
                </c:pt>
                <c:pt idx="209">
                  <c:v>43503</c:v>
                </c:pt>
                <c:pt idx="210">
                  <c:v>43502</c:v>
                </c:pt>
                <c:pt idx="211">
                  <c:v>43501</c:v>
                </c:pt>
                <c:pt idx="212">
                  <c:v>43500</c:v>
                </c:pt>
                <c:pt idx="213">
                  <c:v>43497</c:v>
                </c:pt>
                <c:pt idx="214">
                  <c:v>43496</c:v>
                </c:pt>
                <c:pt idx="215">
                  <c:v>43495</c:v>
                </c:pt>
                <c:pt idx="216">
                  <c:v>43494</c:v>
                </c:pt>
                <c:pt idx="217">
                  <c:v>43493</c:v>
                </c:pt>
                <c:pt idx="218">
                  <c:v>43490</c:v>
                </c:pt>
                <c:pt idx="219">
                  <c:v>43489</c:v>
                </c:pt>
                <c:pt idx="220">
                  <c:v>43488</c:v>
                </c:pt>
                <c:pt idx="221">
                  <c:v>43487</c:v>
                </c:pt>
                <c:pt idx="222">
                  <c:v>43486</c:v>
                </c:pt>
                <c:pt idx="223">
                  <c:v>43483</c:v>
                </c:pt>
                <c:pt idx="224">
                  <c:v>43482</c:v>
                </c:pt>
                <c:pt idx="225">
                  <c:v>43481</c:v>
                </c:pt>
                <c:pt idx="226">
                  <c:v>43480</c:v>
                </c:pt>
                <c:pt idx="227">
                  <c:v>43476</c:v>
                </c:pt>
                <c:pt idx="228">
                  <c:v>43475</c:v>
                </c:pt>
                <c:pt idx="229">
                  <c:v>43474</c:v>
                </c:pt>
                <c:pt idx="230">
                  <c:v>43473</c:v>
                </c:pt>
                <c:pt idx="231">
                  <c:v>43472</c:v>
                </c:pt>
                <c:pt idx="232">
                  <c:v>43469</c:v>
                </c:pt>
                <c:pt idx="233">
                  <c:v>43462</c:v>
                </c:pt>
                <c:pt idx="234">
                  <c:v>43461</c:v>
                </c:pt>
                <c:pt idx="235">
                  <c:v>43460</c:v>
                </c:pt>
                <c:pt idx="236">
                  <c:v>43459</c:v>
                </c:pt>
                <c:pt idx="237">
                  <c:v>43455</c:v>
                </c:pt>
                <c:pt idx="238">
                  <c:v>43454</c:v>
                </c:pt>
                <c:pt idx="239">
                  <c:v>43453</c:v>
                </c:pt>
                <c:pt idx="240">
                  <c:v>43452</c:v>
                </c:pt>
                <c:pt idx="241">
                  <c:v>43451</c:v>
                </c:pt>
              </c:numCache>
            </c:numRef>
          </c:cat>
          <c:val>
            <c:numRef>
              <c:f>BACK_TEST!$K$82:$K$700</c:f>
              <c:numCache>
                <c:formatCode>General</c:formatCode>
                <c:ptCount val="619"/>
                <c:pt idx="0">
                  <c:v>0.76668823614399095</c:v>
                </c:pt>
                <c:pt idx="1">
                  <c:v>0.75532750355648903</c:v>
                </c:pt>
                <c:pt idx="2">
                  <c:v>0.74200913011673297</c:v>
                </c:pt>
                <c:pt idx="3">
                  <c:v>0.73050699510223605</c:v>
                </c:pt>
                <c:pt idx="4">
                  <c:v>0.72855862371139801</c:v>
                </c:pt>
                <c:pt idx="5">
                  <c:v>0.723584150914937</c:v>
                </c:pt>
                <c:pt idx="6">
                  <c:v>0.72020857279667805</c:v>
                </c:pt>
                <c:pt idx="7">
                  <c:v>0.71622371924462203</c:v>
                </c:pt>
                <c:pt idx="8">
                  <c:v>0.72973436163930605</c:v>
                </c:pt>
                <c:pt idx="9">
                  <c:v>0.745850756865436</c:v>
                </c:pt>
                <c:pt idx="10">
                  <c:v>0.76570177873969003</c:v>
                </c:pt>
                <c:pt idx="11">
                  <c:v>0.78768087471988502</c:v>
                </c:pt>
                <c:pt idx="12">
                  <c:v>0.81155933519818702</c:v>
                </c:pt>
                <c:pt idx="13">
                  <c:v>0.83885038473970297</c:v>
                </c:pt>
                <c:pt idx="14">
                  <c:v>0.85263476657922999</c:v>
                </c:pt>
                <c:pt idx="15">
                  <c:v>0.86485231409274399</c:v>
                </c:pt>
                <c:pt idx="16">
                  <c:v>0.87446069414441896</c:v>
                </c:pt>
                <c:pt idx="17">
                  <c:v>0.88422928250119903</c:v>
                </c:pt>
                <c:pt idx="18">
                  <c:v>0.89246212434718897</c:v>
                </c:pt>
                <c:pt idx="19">
                  <c:v>0.90122668614733703</c:v>
                </c:pt>
                <c:pt idx="20">
                  <c:v>0.90752603159302403</c:v>
                </c:pt>
                <c:pt idx="21">
                  <c:v>0.90893409883186205</c:v>
                </c:pt>
                <c:pt idx="22">
                  <c:v>0.91197814165068203</c:v>
                </c:pt>
                <c:pt idx="23">
                  <c:v>0.91516918928471302</c:v>
                </c:pt>
                <c:pt idx="24">
                  <c:v>0.917900950612347</c:v>
                </c:pt>
                <c:pt idx="25">
                  <c:v>0.91943115908745598</c:v>
                </c:pt>
                <c:pt idx="26">
                  <c:v>0.91994113613306505</c:v>
                </c:pt>
                <c:pt idx="27">
                  <c:v>0.91586384574125901</c:v>
                </c:pt>
                <c:pt idx="28">
                  <c:v>0.91280025442122303</c:v>
                </c:pt>
                <c:pt idx="29">
                  <c:v>0.90908368858035704</c:v>
                </c:pt>
                <c:pt idx="30">
                  <c:v>0.90443163234801804</c:v>
                </c:pt>
                <c:pt idx="31">
                  <c:v>0.90183484508791201</c:v>
                </c:pt>
                <c:pt idx="32">
                  <c:v>0.89936881955178605</c:v>
                </c:pt>
                <c:pt idx="33">
                  <c:v>0.89531547719751703</c:v>
                </c:pt>
                <c:pt idx="34">
                  <c:v>0.89008863220481704</c:v>
                </c:pt>
                <c:pt idx="35">
                  <c:v>0.88614448136111201</c:v>
                </c:pt>
                <c:pt idx="36">
                  <c:v>0.88369529344889697</c:v>
                </c:pt>
                <c:pt idx="37">
                  <c:v>0.88050472775295796</c:v>
                </c:pt>
                <c:pt idx="38">
                  <c:v>0.87758116435018396</c:v>
                </c:pt>
                <c:pt idx="39">
                  <c:v>0.875707501457895</c:v>
                </c:pt>
                <c:pt idx="40">
                  <c:v>0.87542933848222804</c:v>
                </c:pt>
                <c:pt idx="41">
                  <c:v>0.87681162129200796</c:v>
                </c:pt>
                <c:pt idx="42">
                  <c:v>0.87549750342879396</c:v>
                </c:pt>
                <c:pt idx="43">
                  <c:v>0.87532415422869603</c:v>
                </c:pt>
                <c:pt idx="44">
                  <c:v>0.87204894838514402</c:v>
                </c:pt>
                <c:pt idx="45">
                  <c:v>0.87147083504831702</c:v>
                </c:pt>
                <c:pt idx="46">
                  <c:v>0.872046702215866</c:v>
                </c:pt>
                <c:pt idx="47">
                  <c:v>0.87598497573448297</c:v>
                </c:pt>
                <c:pt idx="48">
                  <c:v>0.87808032467250896</c:v>
                </c:pt>
                <c:pt idx="49">
                  <c:v>0.88832475143308998</c:v>
                </c:pt>
                <c:pt idx="50">
                  <c:v>0.89891456209326503</c:v>
                </c:pt>
                <c:pt idx="51">
                  <c:v>0.91144242103825801</c:v>
                </c:pt>
                <c:pt idx="52">
                  <c:v>0.92215244693682796</c:v>
                </c:pt>
                <c:pt idx="53">
                  <c:v>0.92692110094847502</c:v>
                </c:pt>
                <c:pt idx="54">
                  <c:v>0.92989551575391305</c:v>
                </c:pt>
                <c:pt idx="55">
                  <c:v>0.92729334357690996</c:v>
                </c:pt>
                <c:pt idx="56">
                  <c:v>0.92835537846373795</c:v>
                </c:pt>
                <c:pt idx="57">
                  <c:v>0.93075553259958099</c:v>
                </c:pt>
                <c:pt idx="58">
                  <c:v>0.93243670300715098</c:v>
                </c:pt>
                <c:pt idx="59">
                  <c:v>0.93676822092483703</c:v>
                </c:pt>
                <c:pt idx="60">
                  <c:v>0.93907717714626404</c:v>
                </c:pt>
                <c:pt idx="61">
                  <c:v>0.94168396514476005</c:v>
                </c:pt>
                <c:pt idx="62">
                  <c:v>0.94176833096175105</c:v>
                </c:pt>
                <c:pt idx="63">
                  <c:v>0.93865302078574697</c:v>
                </c:pt>
                <c:pt idx="64">
                  <c:v>0.93863126913733397</c:v>
                </c:pt>
                <c:pt idx="65">
                  <c:v>0.93833242275392303</c:v>
                </c:pt>
                <c:pt idx="66">
                  <c:v>0.94201769097449695</c:v>
                </c:pt>
                <c:pt idx="67">
                  <c:v>0.93922994173584395</c:v>
                </c:pt>
                <c:pt idx="68">
                  <c:v>0.93129989685241799</c:v>
                </c:pt>
                <c:pt idx="69">
                  <c:v>0.91954575470567401</c:v>
                </c:pt>
                <c:pt idx="70">
                  <c:v>0.90992131119804998</c:v>
                </c:pt>
                <c:pt idx="71">
                  <c:v>0.90176156685138198</c:v>
                </c:pt>
                <c:pt idx="72">
                  <c:v>0.89077718363154301</c:v>
                </c:pt>
                <c:pt idx="73">
                  <c:v>0.88381937861405802</c:v>
                </c:pt>
                <c:pt idx="74">
                  <c:v>0.87652321306431902</c:v>
                </c:pt>
                <c:pt idx="75">
                  <c:v>0.86428282654502497</c:v>
                </c:pt>
                <c:pt idx="76">
                  <c:v>0.85257430471899898</c:v>
                </c:pt>
                <c:pt idx="77">
                  <c:v>0.84242001764910801</c:v>
                </c:pt>
                <c:pt idx="78">
                  <c:v>0.83388969808119895</c:v>
                </c:pt>
                <c:pt idx="79">
                  <c:v>0.83283867471337003</c:v>
                </c:pt>
                <c:pt idx="80">
                  <c:v>0.831535912761311</c:v>
                </c:pt>
                <c:pt idx="81">
                  <c:v>0.83608099209930697</c:v>
                </c:pt>
                <c:pt idx="82">
                  <c:v>0.84284687303339201</c:v>
                </c:pt>
                <c:pt idx="83">
                  <c:v>0.83902573704961603</c:v>
                </c:pt>
                <c:pt idx="84">
                  <c:v>0.83026512616514903</c:v>
                </c:pt>
                <c:pt idx="85">
                  <c:v>0.812823884084377</c:v>
                </c:pt>
                <c:pt idx="86">
                  <c:v>0.76745231109980905</c:v>
                </c:pt>
                <c:pt idx="87">
                  <c:v>0.70621541554087797</c:v>
                </c:pt>
                <c:pt idx="88">
                  <c:v>0.63320713426705899</c:v>
                </c:pt>
                <c:pt idx="89">
                  <c:v>0.51023393129716299</c:v>
                </c:pt>
                <c:pt idx="90">
                  <c:v>0.38070344771407399</c:v>
                </c:pt>
                <c:pt idx="91">
                  <c:v>0.303906294573839</c:v>
                </c:pt>
                <c:pt idx="92">
                  <c:v>0.27106882772935598</c:v>
                </c:pt>
                <c:pt idx="93">
                  <c:v>0.27043373441403701</c:v>
                </c:pt>
                <c:pt idx="94">
                  <c:v>0.27094361819540203</c:v>
                </c:pt>
                <c:pt idx="95">
                  <c:v>0.27139121367105701</c:v>
                </c:pt>
                <c:pt idx="96">
                  <c:v>0.27189994075106899</c:v>
                </c:pt>
                <c:pt idx="97">
                  <c:v>0.27214196489963899</c:v>
                </c:pt>
                <c:pt idx="98">
                  <c:v>0.21777717253899401</c:v>
                </c:pt>
                <c:pt idx="99">
                  <c:v>0.20764092545749199</c:v>
                </c:pt>
                <c:pt idx="100">
                  <c:v>0.17125846545550899</c:v>
                </c:pt>
                <c:pt idx="101">
                  <c:v>0.15952502365367499</c:v>
                </c:pt>
                <c:pt idx="102">
                  <c:v>0.137956360337435</c:v>
                </c:pt>
                <c:pt idx="103">
                  <c:v>0.14860610009653399</c:v>
                </c:pt>
                <c:pt idx="104">
                  <c:v>0.186162439400409</c:v>
                </c:pt>
                <c:pt idx="105">
                  <c:v>0.231772686174429</c:v>
                </c:pt>
                <c:pt idx="106">
                  <c:v>0.25175728724290802</c:v>
                </c:pt>
                <c:pt idx="107">
                  <c:v>0.229815513310792</c:v>
                </c:pt>
                <c:pt idx="108">
                  <c:v>0.21280787504902801</c:v>
                </c:pt>
                <c:pt idx="109">
                  <c:v>0.22075591320365601</c:v>
                </c:pt>
                <c:pt idx="110">
                  <c:v>0.2420373035026</c:v>
                </c:pt>
                <c:pt idx="111">
                  <c:v>0.26125304361734802</c:v>
                </c:pt>
                <c:pt idx="112">
                  <c:v>0.293432718035534</c:v>
                </c:pt>
                <c:pt idx="113">
                  <c:v>0.31029162460071702</c:v>
                </c:pt>
                <c:pt idx="114">
                  <c:v>0.32575515514979297</c:v>
                </c:pt>
                <c:pt idx="115">
                  <c:v>0.32976082385739802</c:v>
                </c:pt>
                <c:pt idx="116">
                  <c:v>0.27413560281238197</c:v>
                </c:pt>
                <c:pt idx="117">
                  <c:v>0.24065252764723299</c:v>
                </c:pt>
                <c:pt idx="118">
                  <c:v>0.206002640513121</c:v>
                </c:pt>
                <c:pt idx="119">
                  <c:v>0.199780761303164</c:v>
                </c:pt>
                <c:pt idx="120">
                  <c:v>0.17737334262476401</c:v>
                </c:pt>
                <c:pt idx="121">
                  <c:v>0.180364678825196</c:v>
                </c:pt>
                <c:pt idx="122">
                  <c:v>0.18850150600156901</c:v>
                </c:pt>
                <c:pt idx="123">
                  <c:v>0.20313602264762201</c:v>
                </c:pt>
                <c:pt idx="124">
                  <c:v>0.22108512991714199</c:v>
                </c:pt>
                <c:pt idx="125">
                  <c:v>0.23806400009061501</c:v>
                </c:pt>
                <c:pt idx="126">
                  <c:v>0.25363225508107201</c:v>
                </c:pt>
                <c:pt idx="127">
                  <c:v>0.26930311544410401</c:v>
                </c:pt>
                <c:pt idx="128">
                  <c:v>0.28172618452339598</c:v>
                </c:pt>
                <c:pt idx="129">
                  <c:v>0.31410858982648998</c:v>
                </c:pt>
                <c:pt idx="130">
                  <c:v>0.33613026991156097</c:v>
                </c:pt>
                <c:pt idx="131">
                  <c:v>0.370957671051173</c:v>
                </c:pt>
                <c:pt idx="132">
                  <c:v>0.40944939243312101</c:v>
                </c:pt>
                <c:pt idx="133">
                  <c:v>0.428633436387023</c:v>
                </c:pt>
                <c:pt idx="134">
                  <c:v>0.430904053095024</c:v>
                </c:pt>
                <c:pt idx="135">
                  <c:v>0.421776832386909</c:v>
                </c:pt>
                <c:pt idx="136">
                  <c:v>0.42393941943638003</c:v>
                </c:pt>
                <c:pt idx="137">
                  <c:v>0.43786696662936803</c:v>
                </c:pt>
                <c:pt idx="138">
                  <c:v>0.44671177221346198</c:v>
                </c:pt>
                <c:pt idx="139">
                  <c:v>0.47419484347638402</c:v>
                </c:pt>
                <c:pt idx="140">
                  <c:v>0.49948723379703303</c:v>
                </c:pt>
                <c:pt idx="141">
                  <c:v>0.54285738039013898</c:v>
                </c:pt>
                <c:pt idx="142">
                  <c:v>0.56205946094848902</c:v>
                </c:pt>
                <c:pt idx="143">
                  <c:v>0.57758608232874598</c:v>
                </c:pt>
                <c:pt idx="144">
                  <c:v>0.60265484249504697</c:v>
                </c:pt>
                <c:pt idx="145">
                  <c:v>0.633352289503468</c:v>
                </c:pt>
                <c:pt idx="146">
                  <c:v>0.66609979767653504</c:v>
                </c:pt>
                <c:pt idx="147">
                  <c:v>0.66415634553979297</c:v>
                </c:pt>
                <c:pt idx="148">
                  <c:v>0.654134910043218</c:v>
                </c:pt>
                <c:pt idx="149">
                  <c:v>0.62813622752584697</c:v>
                </c:pt>
                <c:pt idx="150">
                  <c:v>0.58306885696842803</c:v>
                </c:pt>
                <c:pt idx="151">
                  <c:v>0.498213786028812</c:v>
                </c:pt>
                <c:pt idx="152">
                  <c:v>0.478283673338944</c:v>
                </c:pt>
                <c:pt idx="153">
                  <c:v>0.44604856487963701</c:v>
                </c:pt>
                <c:pt idx="154">
                  <c:v>0.38144754012252702</c:v>
                </c:pt>
                <c:pt idx="155">
                  <c:v>0.627503594047782</c:v>
                </c:pt>
                <c:pt idx="156">
                  <c:v>0.62814446610819497</c:v>
                </c:pt>
                <c:pt idx="157">
                  <c:v>0.64336253096460905</c:v>
                </c:pt>
                <c:pt idx="158">
                  <c:v>0.66554767017896399</c:v>
                </c:pt>
                <c:pt idx="159">
                  <c:v>0.67673362811307503</c:v>
                </c:pt>
                <c:pt idx="160">
                  <c:v>0.69158885401917602</c:v>
                </c:pt>
                <c:pt idx="161">
                  <c:v>0.69075203302770105</c:v>
                </c:pt>
                <c:pt idx="162">
                  <c:v>0.69604327660854004</c:v>
                </c:pt>
                <c:pt idx="163">
                  <c:v>0.68946760120668704</c:v>
                </c:pt>
                <c:pt idx="164">
                  <c:v>0.67837831600398601</c:v>
                </c:pt>
                <c:pt idx="165">
                  <c:v>0.66812829819541197</c:v>
                </c:pt>
                <c:pt idx="166">
                  <c:v>0.66242195470973098</c:v>
                </c:pt>
                <c:pt idx="167">
                  <c:v>0.65358143627058596</c:v>
                </c:pt>
                <c:pt idx="168">
                  <c:v>0.65290699969770205</c:v>
                </c:pt>
                <c:pt idx="169">
                  <c:v>0.65801969235199698</c:v>
                </c:pt>
                <c:pt idx="170">
                  <c:v>0.65501087226212595</c:v>
                </c:pt>
                <c:pt idx="171">
                  <c:v>0.65489832521888103</c:v>
                </c:pt>
                <c:pt idx="172">
                  <c:v>0.65157426524050299</c:v>
                </c:pt>
                <c:pt idx="173">
                  <c:v>0.64670538276994005</c:v>
                </c:pt>
                <c:pt idx="174">
                  <c:v>0.65428191001714298</c:v>
                </c:pt>
                <c:pt idx="175">
                  <c:v>0.63252535934041199</c:v>
                </c:pt>
                <c:pt idx="176">
                  <c:v>0.60801663173915399</c:v>
                </c:pt>
                <c:pt idx="177">
                  <c:v>0.59048858407568805</c:v>
                </c:pt>
                <c:pt idx="178">
                  <c:v>0.59907355255764605</c:v>
                </c:pt>
                <c:pt idx="179">
                  <c:v>0.61747267678229001</c:v>
                </c:pt>
                <c:pt idx="180">
                  <c:v>0.64765944807447795</c:v>
                </c:pt>
                <c:pt idx="181">
                  <c:v>0.63894859478879396</c:v>
                </c:pt>
                <c:pt idx="182">
                  <c:v>0.60577773638155497</c:v>
                </c:pt>
                <c:pt idx="183">
                  <c:v>0.56410881609893004</c:v>
                </c:pt>
                <c:pt idx="184">
                  <c:v>0.55580925935946601</c:v>
                </c:pt>
                <c:pt idx="185">
                  <c:v>0.55358063116835599</c:v>
                </c:pt>
                <c:pt idx="186">
                  <c:v>0.55848459170508702</c:v>
                </c:pt>
                <c:pt idx="187">
                  <c:v>0.56541606467175498</c:v>
                </c:pt>
                <c:pt idx="188">
                  <c:v>0.54684853461816896</c:v>
                </c:pt>
                <c:pt idx="189">
                  <c:v>0.47741885062877898</c:v>
                </c:pt>
                <c:pt idx="190">
                  <c:v>0.469977961692364</c:v>
                </c:pt>
                <c:pt idx="191">
                  <c:v>0.48087824953312103</c:v>
                </c:pt>
                <c:pt idx="192">
                  <c:v>0.48449258806282502</c:v>
                </c:pt>
                <c:pt idx="193">
                  <c:v>0.50303003310553296</c:v>
                </c:pt>
                <c:pt idx="194">
                  <c:v>0.58164592546173099</c:v>
                </c:pt>
                <c:pt idx="195">
                  <c:v>0.61614760258259305</c:v>
                </c:pt>
                <c:pt idx="196">
                  <c:v>0.62703841383775805</c:v>
                </c:pt>
                <c:pt idx="197">
                  <c:v>0.64079330171392301</c:v>
                </c:pt>
                <c:pt idx="198">
                  <c:v>0.653809509660776</c:v>
                </c:pt>
                <c:pt idx="199">
                  <c:v>0.65638980313969697</c:v>
                </c:pt>
                <c:pt idx="200">
                  <c:v>0.67600434183508795</c:v>
                </c:pt>
                <c:pt idx="201">
                  <c:v>0.69256384122539805</c:v>
                </c:pt>
                <c:pt idx="202">
                  <c:v>0.71213063038948399</c:v>
                </c:pt>
                <c:pt idx="203">
                  <c:v>0.72589541792554202</c:v>
                </c:pt>
                <c:pt idx="204">
                  <c:v>0.73090268583794704</c:v>
                </c:pt>
                <c:pt idx="205">
                  <c:v>0.734515908888972</c:v>
                </c:pt>
                <c:pt idx="206">
                  <c:v>0.72795994247991402</c:v>
                </c:pt>
                <c:pt idx="207">
                  <c:v>0.73937768585161701</c:v>
                </c:pt>
                <c:pt idx="208">
                  <c:v>0.76948342157577398</c:v>
                </c:pt>
                <c:pt idx="209">
                  <c:v>0.79276080858030396</c:v>
                </c:pt>
                <c:pt idx="210">
                  <c:v>0.80697228870174798</c:v>
                </c:pt>
                <c:pt idx="211">
                  <c:v>0.83072626246936498</c:v>
                </c:pt>
                <c:pt idx="212">
                  <c:v>0.83836602833534202</c:v>
                </c:pt>
                <c:pt idx="213">
                  <c:v>0.856696884701174</c:v>
                </c:pt>
                <c:pt idx="214">
                  <c:v>0.87545374012688104</c:v>
                </c:pt>
                <c:pt idx="215">
                  <c:v>0.89001715662060998</c:v>
                </c:pt>
                <c:pt idx="216">
                  <c:v>0.89299611129143797</c:v>
                </c:pt>
                <c:pt idx="217">
                  <c:v>0.89734279052183596</c:v>
                </c:pt>
                <c:pt idx="218">
                  <c:v>0.90468959300625096</c:v>
                </c:pt>
                <c:pt idx="219">
                  <c:v>0.91202519566645701</c:v>
                </c:pt>
                <c:pt idx="220">
                  <c:v>0.92060909713258099</c:v>
                </c:pt>
                <c:pt idx="221">
                  <c:v>0.92790609873710606</c:v>
                </c:pt>
                <c:pt idx="222">
                  <c:v>0.93752624948605601</c:v>
                </c:pt>
                <c:pt idx="223">
                  <c:v>0.94321276433982104</c:v>
                </c:pt>
                <c:pt idx="224">
                  <c:v>0.94467935408000303</c:v>
                </c:pt>
                <c:pt idx="225">
                  <c:v>0.94320130754767595</c:v>
                </c:pt>
                <c:pt idx="226">
                  <c:v>0.94003684599945203</c:v>
                </c:pt>
                <c:pt idx="227">
                  <c:v>0.94026459603033297</c:v>
                </c:pt>
                <c:pt idx="228">
                  <c:v>0.943132817366511</c:v>
                </c:pt>
                <c:pt idx="229">
                  <c:v>0.94342222192904801</c:v>
                </c:pt>
                <c:pt idx="230">
                  <c:v>0.94264044402416403</c:v>
                </c:pt>
                <c:pt idx="231">
                  <c:v>0.94379598917075103</c:v>
                </c:pt>
                <c:pt idx="232">
                  <c:v>0.94527047077327198</c:v>
                </c:pt>
                <c:pt idx="233">
                  <c:v>0.94420286680353205</c:v>
                </c:pt>
                <c:pt idx="234">
                  <c:v>0.94294196168426103</c:v>
                </c:pt>
                <c:pt idx="235">
                  <c:v>0.94003291758583096</c:v>
                </c:pt>
                <c:pt idx="236">
                  <c:v>0.93644316877962597</c:v>
                </c:pt>
                <c:pt idx="237">
                  <c:v>0.93566037003913305</c:v>
                </c:pt>
                <c:pt idx="238">
                  <c:v>0.93485875630744197</c:v>
                </c:pt>
                <c:pt idx="239">
                  <c:v>0.93363111017195199</c:v>
                </c:pt>
                <c:pt idx="240">
                  <c:v>0.93248142091908204</c:v>
                </c:pt>
                <c:pt idx="241">
                  <c:v>0.929246961572333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5D-4F63-B7D3-0933B0371F7B}"/>
            </c:ext>
          </c:extLst>
        </c:ser>
        <c:ser>
          <c:idx val="1"/>
          <c:order val="1"/>
          <c:tx>
            <c:strRef>
              <c:f>BACK_TEST!$M$81</c:f>
              <c:strCache>
                <c:ptCount val="1"/>
                <c:pt idx="0">
                  <c:v>CORR_1Y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43817</c:v>
                </c:pt>
                <c:pt idx="1">
                  <c:v>43816</c:v>
                </c:pt>
                <c:pt idx="2">
                  <c:v>43815</c:v>
                </c:pt>
                <c:pt idx="3">
                  <c:v>43812</c:v>
                </c:pt>
                <c:pt idx="4">
                  <c:v>43811</c:v>
                </c:pt>
                <c:pt idx="5">
                  <c:v>43810</c:v>
                </c:pt>
                <c:pt idx="6">
                  <c:v>43809</c:v>
                </c:pt>
                <c:pt idx="7">
                  <c:v>43808</c:v>
                </c:pt>
                <c:pt idx="8">
                  <c:v>43805</c:v>
                </c:pt>
                <c:pt idx="9">
                  <c:v>43804</c:v>
                </c:pt>
                <c:pt idx="10">
                  <c:v>43803</c:v>
                </c:pt>
                <c:pt idx="11">
                  <c:v>43802</c:v>
                </c:pt>
                <c:pt idx="12">
                  <c:v>43801</c:v>
                </c:pt>
                <c:pt idx="13">
                  <c:v>43798</c:v>
                </c:pt>
                <c:pt idx="14">
                  <c:v>43797</c:v>
                </c:pt>
                <c:pt idx="15">
                  <c:v>43796</c:v>
                </c:pt>
                <c:pt idx="16">
                  <c:v>43795</c:v>
                </c:pt>
                <c:pt idx="17">
                  <c:v>43794</c:v>
                </c:pt>
                <c:pt idx="18">
                  <c:v>43791</c:v>
                </c:pt>
                <c:pt idx="19">
                  <c:v>43790</c:v>
                </c:pt>
                <c:pt idx="20">
                  <c:v>43789</c:v>
                </c:pt>
                <c:pt idx="21">
                  <c:v>43788</c:v>
                </c:pt>
                <c:pt idx="22">
                  <c:v>43787</c:v>
                </c:pt>
                <c:pt idx="23">
                  <c:v>43784</c:v>
                </c:pt>
                <c:pt idx="24">
                  <c:v>43783</c:v>
                </c:pt>
                <c:pt idx="25">
                  <c:v>43782</c:v>
                </c:pt>
                <c:pt idx="26">
                  <c:v>43781</c:v>
                </c:pt>
                <c:pt idx="27">
                  <c:v>43780</c:v>
                </c:pt>
                <c:pt idx="28">
                  <c:v>43777</c:v>
                </c:pt>
                <c:pt idx="29">
                  <c:v>43776</c:v>
                </c:pt>
                <c:pt idx="30">
                  <c:v>43775</c:v>
                </c:pt>
                <c:pt idx="31">
                  <c:v>43774</c:v>
                </c:pt>
                <c:pt idx="32">
                  <c:v>43770</c:v>
                </c:pt>
                <c:pt idx="33">
                  <c:v>43769</c:v>
                </c:pt>
                <c:pt idx="34">
                  <c:v>43768</c:v>
                </c:pt>
                <c:pt idx="35">
                  <c:v>43767</c:v>
                </c:pt>
                <c:pt idx="36">
                  <c:v>43766</c:v>
                </c:pt>
                <c:pt idx="37">
                  <c:v>43763</c:v>
                </c:pt>
                <c:pt idx="38">
                  <c:v>43762</c:v>
                </c:pt>
                <c:pt idx="39">
                  <c:v>43761</c:v>
                </c:pt>
                <c:pt idx="40">
                  <c:v>43759</c:v>
                </c:pt>
                <c:pt idx="41">
                  <c:v>43756</c:v>
                </c:pt>
                <c:pt idx="42">
                  <c:v>43755</c:v>
                </c:pt>
                <c:pt idx="43">
                  <c:v>43754</c:v>
                </c:pt>
                <c:pt idx="44">
                  <c:v>43753</c:v>
                </c:pt>
                <c:pt idx="45">
                  <c:v>43749</c:v>
                </c:pt>
                <c:pt idx="46">
                  <c:v>43748</c:v>
                </c:pt>
                <c:pt idx="47">
                  <c:v>43747</c:v>
                </c:pt>
                <c:pt idx="48">
                  <c:v>43746</c:v>
                </c:pt>
                <c:pt idx="49">
                  <c:v>43745</c:v>
                </c:pt>
                <c:pt idx="50">
                  <c:v>43742</c:v>
                </c:pt>
                <c:pt idx="51">
                  <c:v>43741</c:v>
                </c:pt>
                <c:pt idx="52">
                  <c:v>43740</c:v>
                </c:pt>
                <c:pt idx="53">
                  <c:v>43739</c:v>
                </c:pt>
                <c:pt idx="54">
                  <c:v>43738</c:v>
                </c:pt>
                <c:pt idx="55">
                  <c:v>43735</c:v>
                </c:pt>
                <c:pt idx="56">
                  <c:v>43734</c:v>
                </c:pt>
                <c:pt idx="57">
                  <c:v>43733</c:v>
                </c:pt>
                <c:pt idx="58">
                  <c:v>43732</c:v>
                </c:pt>
                <c:pt idx="59">
                  <c:v>43728</c:v>
                </c:pt>
                <c:pt idx="60">
                  <c:v>43727</c:v>
                </c:pt>
                <c:pt idx="61">
                  <c:v>43726</c:v>
                </c:pt>
                <c:pt idx="62">
                  <c:v>43725</c:v>
                </c:pt>
                <c:pt idx="63">
                  <c:v>43721</c:v>
                </c:pt>
                <c:pt idx="64">
                  <c:v>43720</c:v>
                </c:pt>
                <c:pt idx="65">
                  <c:v>43719</c:v>
                </c:pt>
                <c:pt idx="66">
                  <c:v>43718</c:v>
                </c:pt>
                <c:pt idx="67">
                  <c:v>43717</c:v>
                </c:pt>
                <c:pt idx="68">
                  <c:v>43714</c:v>
                </c:pt>
                <c:pt idx="69">
                  <c:v>43713</c:v>
                </c:pt>
                <c:pt idx="70">
                  <c:v>43712</c:v>
                </c:pt>
                <c:pt idx="71">
                  <c:v>43711</c:v>
                </c:pt>
                <c:pt idx="72">
                  <c:v>43710</c:v>
                </c:pt>
                <c:pt idx="73">
                  <c:v>43707</c:v>
                </c:pt>
                <c:pt idx="74">
                  <c:v>43706</c:v>
                </c:pt>
                <c:pt idx="75">
                  <c:v>43705</c:v>
                </c:pt>
                <c:pt idx="76">
                  <c:v>43704</c:v>
                </c:pt>
                <c:pt idx="77">
                  <c:v>43703</c:v>
                </c:pt>
                <c:pt idx="78">
                  <c:v>43700</c:v>
                </c:pt>
                <c:pt idx="79">
                  <c:v>43699</c:v>
                </c:pt>
                <c:pt idx="80">
                  <c:v>43698</c:v>
                </c:pt>
                <c:pt idx="81">
                  <c:v>43697</c:v>
                </c:pt>
                <c:pt idx="82">
                  <c:v>43696</c:v>
                </c:pt>
                <c:pt idx="83">
                  <c:v>43693</c:v>
                </c:pt>
                <c:pt idx="84">
                  <c:v>43692</c:v>
                </c:pt>
                <c:pt idx="85">
                  <c:v>43691</c:v>
                </c:pt>
                <c:pt idx="86">
                  <c:v>43690</c:v>
                </c:pt>
                <c:pt idx="87">
                  <c:v>43686</c:v>
                </c:pt>
                <c:pt idx="88">
                  <c:v>43685</c:v>
                </c:pt>
                <c:pt idx="89">
                  <c:v>43684</c:v>
                </c:pt>
                <c:pt idx="90">
                  <c:v>43683</c:v>
                </c:pt>
                <c:pt idx="91">
                  <c:v>43682</c:v>
                </c:pt>
                <c:pt idx="92">
                  <c:v>43679</c:v>
                </c:pt>
                <c:pt idx="93">
                  <c:v>43678</c:v>
                </c:pt>
                <c:pt idx="94">
                  <c:v>43677</c:v>
                </c:pt>
                <c:pt idx="95">
                  <c:v>43676</c:v>
                </c:pt>
                <c:pt idx="96">
                  <c:v>43675</c:v>
                </c:pt>
                <c:pt idx="97">
                  <c:v>43672</c:v>
                </c:pt>
                <c:pt idx="98">
                  <c:v>43671</c:v>
                </c:pt>
                <c:pt idx="99">
                  <c:v>43670</c:v>
                </c:pt>
                <c:pt idx="100">
                  <c:v>43669</c:v>
                </c:pt>
                <c:pt idx="101">
                  <c:v>43668</c:v>
                </c:pt>
                <c:pt idx="102">
                  <c:v>43665</c:v>
                </c:pt>
                <c:pt idx="103">
                  <c:v>43664</c:v>
                </c:pt>
                <c:pt idx="104">
                  <c:v>43663</c:v>
                </c:pt>
                <c:pt idx="105">
                  <c:v>43662</c:v>
                </c:pt>
                <c:pt idx="106">
                  <c:v>43658</c:v>
                </c:pt>
                <c:pt idx="107">
                  <c:v>43657</c:v>
                </c:pt>
                <c:pt idx="108">
                  <c:v>43656</c:v>
                </c:pt>
                <c:pt idx="109">
                  <c:v>43655</c:v>
                </c:pt>
                <c:pt idx="110">
                  <c:v>43654</c:v>
                </c:pt>
                <c:pt idx="111">
                  <c:v>43651</c:v>
                </c:pt>
                <c:pt idx="112">
                  <c:v>43650</c:v>
                </c:pt>
                <c:pt idx="113">
                  <c:v>43649</c:v>
                </c:pt>
                <c:pt idx="114">
                  <c:v>43648</c:v>
                </c:pt>
                <c:pt idx="115">
                  <c:v>43647</c:v>
                </c:pt>
                <c:pt idx="116">
                  <c:v>43644</c:v>
                </c:pt>
                <c:pt idx="117">
                  <c:v>43643</c:v>
                </c:pt>
                <c:pt idx="118">
                  <c:v>43642</c:v>
                </c:pt>
                <c:pt idx="119">
                  <c:v>43641</c:v>
                </c:pt>
                <c:pt idx="120">
                  <c:v>43640</c:v>
                </c:pt>
                <c:pt idx="121">
                  <c:v>43637</c:v>
                </c:pt>
                <c:pt idx="122">
                  <c:v>43636</c:v>
                </c:pt>
                <c:pt idx="123">
                  <c:v>43635</c:v>
                </c:pt>
                <c:pt idx="124">
                  <c:v>43634</c:v>
                </c:pt>
                <c:pt idx="125">
                  <c:v>43633</c:v>
                </c:pt>
                <c:pt idx="126">
                  <c:v>43630</c:v>
                </c:pt>
                <c:pt idx="127">
                  <c:v>43629</c:v>
                </c:pt>
                <c:pt idx="128">
                  <c:v>43628</c:v>
                </c:pt>
                <c:pt idx="129">
                  <c:v>43627</c:v>
                </c:pt>
                <c:pt idx="130">
                  <c:v>43626</c:v>
                </c:pt>
                <c:pt idx="131">
                  <c:v>43623</c:v>
                </c:pt>
                <c:pt idx="132">
                  <c:v>43622</c:v>
                </c:pt>
                <c:pt idx="133">
                  <c:v>43621</c:v>
                </c:pt>
                <c:pt idx="134">
                  <c:v>43620</c:v>
                </c:pt>
                <c:pt idx="135">
                  <c:v>43619</c:v>
                </c:pt>
                <c:pt idx="136">
                  <c:v>43616</c:v>
                </c:pt>
                <c:pt idx="137">
                  <c:v>43615</c:v>
                </c:pt>
                <c:pt idx="138">
                  <c:v>43614</c:v>
                </c:pt>
                <c:pt idx="139">
                  <c:v>43613</c:v>
                </c:pt>
                <c:pt idx="140">
                  <c:v>43612</c:v>
                </c:pt>
                <c:pt idx="141">
                  <c:v>43609</c:v>
                </c:pt>
                <c:pt idx="142">
                  <c:v>43608</c:v>
                </c:pt>
                <c:pt idx="143">
                  <c:v>43607</c:v>
                </c:pt>
                <c:pt idx="144">
                  <c:v>43606</c:v>
                </c:pt>
                <c:pt idx="145">
                  <c:v>43605</c:v>
                </c:pt>
                <c:pt idx="146">
                  <c:v>43602</c:v>
                </c:pt>
                <c:pt idx="147">
                  <c:v>43601</c:v>
                </c:pt>
                <c:pt idx="148">
                  <c:v>43600</c:v>
                </c:pt>
                <c:pt idx="149">
                  <c:v>43599</c:v>
                </c:pt>
                <c:pt idx="150">
                  <c:v>43598</c:v>
                </c:pt>
                <c:pt idx="151">
                  <c:v>43595</c:v>
                </c:pt>
                <c:pt idx="152">
                  <c:v>43594</c:v>
                </c:pt>
                <c:pt idx="153">
                  <c:v>43593</c:v>
                </c:pt>
                <c:pt idx="154">
                  <c:v>43592</c:v>
                </c:pt>
                <c:pt idx="155">
                  <c:v>43581</c:v>
                </c:pt>
                <c:pt idx="156">
                  <c:v>43580</c:v>
                </c:pt>
                <c:pt idx="157">
                  <c:v>43579</c:v>
                </c:pt>
                <c:pt idx="158">
                  <c:v>43578</c:v>
                </c:pt>
                <c:pt idx="159">
                  <c:v>43577</c:v>
                </c:pt>
                <c:pt idx="160">
                  <c:v>43574</c:v>
                </c:pt>
                <c:pt idx="161">
                  <c:v>43573</c:v>
                </c:pt>
                <c:pt idx="162">
                  <c:v>43572</c:v>
                </c:pt>
                <c:pt idx="163">
                  <c:v>43571</c:v>
                </c:pt>
                <c:pt idx="164">
                  <c:v>43570</c:v>
                </c:pt>
                <c:pt idx="165">
                  <c:v>43567</c:v>
                </c:pt>
                <c:pt idx="166">
                  <c:v>43566</c:v>
                </c:pt>
                <c:pt idx="167">
                  <c:v>43565</c:v>
                </c:pt>
                <c:pt idx="168">
                  <c:v>43564</c:v>
                </c:pt>
                <c:pt idx="169">
                  <c:v>43563</c:v>
                </c:pt>
                <c:pt idx="170">
                  <c:v>43560</c:v>
                </c:pt>
                <c:pt idx="171">
                  <c:v>43559</c:v>
                </c:pt>
                <c:pt idx="172">
                  <c:v>43558</c:v>
                </c:pt>
                <c:pt idx="173">
                  <c:v>43557</c:v>
                </c:pt>
                <c:pt idx="174">
                  <c:v>43556</c:v>
                </c:pt>
                <c:pt idx="175">
                  <c:v>43553</c:v>
                </c:pt>
                <c:pt idx="176">
                  <c:v>43552</c:v>
                </c:pt>
                <c:pt idx="177">
                  <c:v>43551</c:v>
                </c:pt>
                <c:pt idx="178">
                  <c:v>43550</c:v>
                </c:pt>
                <c:pt idx="179">
                  <c:v>43549</c:v>
                </c:pt>
                <c:pt idx="180">
                  <c:v>43546</c:v>
                </c:pt>
                <c:pt idx="181">
                  <c:v>43544</c:v>
                </c:pt>
                <c:pt idx="182">
                  <c:v>43543</c:v>
                </c:pt>
                <c:pt idx="183">
                  <c:v>43542</c:v>
                </c:pt>
                <c:pt idx="184">
                  <c:v>43539</c:v>
                </c:pt>
                <c:pt idx="185">
                  <c:v>43538</c:v>
                </c:pt>
                <c:pt idx="186">
                  <c:v>43537</c:v>
                </c:pt>
                <c:pt idx="187">
                  <c:v>43536</c:v>
                </c:pt>
                <c:pt idx="188">
                  <c:v>43535</c:v>
                </c:pt>
                <c:pt idx="189">
                  <c:v>43532</c:v>
                </c:pt>
                <c:pt idx="190">
                  <c:v>43531</c:v>
                </c:pt>
                <c:pt idx="191">
                  <c:v>43530</c:v>
                </c:pt>
                <c:pt idx="192">
                  <c:v>43529</c:v>
                </c:pt>
                <c:pt idx="193">
                  <c:v>43528</c:v>
                </c:pt>
                <c:pt idx="194">
                  <c:v>43525</c:v>
                </c:pt>
                <c:pt idx="195">
                  <c:v>43524</c:v>
                </c:pt>
                <c:pt idx="196">
                  <c:v>43523</c:v>
                </c:pt>
                <c:pt idx="197">
                  <c:v>43522</c:v>
                </c:pt>
                <c:pt idx="198">
                  <c:v>43521</c:v>
                </c:pt>
                <c:pt idx="199">
                  <c:v>43518</c:v>
                </c:pt>
                <c:pt idx="200">
                  <c:v>43517</c:v>
                </c:pt>
                <c:pt idx="201">
                  <c:v>43516</c:v>
                </c:pt>
                <c:pt idx="202">
                  <c:v>43515</c:v>
                </c:pt>
                <c:pt idx="203">
                  <c:v>43514</c:v>
                </c:pt>
                <c:pt idx="204">
                  <c:v>43511</c:v>
                </c:pt>
                <c:pt idx="205">
                  <c:v>43510</c:v>
                </c:pt>
                <c:pt idx="206">
                  <c:v>43509</c:v>
                </c:pt>
                <c:pt idx="207">
                  <c:v>43508</c:v>
                </c:pt>
                <c:pt idx="208">
                  <c:v>43504</c:v>
                </c:pt>
                <c:pt idx="209">
                  <c:v>43503</c:v>
                </c:pt>
                <c:pt idx="210">
                  <c:v>43502</c:v>
                </c:pt>
                <c:pt idx="211">
                  <c:v>43501</c:v>
                </c:pt>
                <c:pt idx="212">
                  <c:v>43500</c:v>
                </c:pt>
                <c:pt idx="213">
                  <c:v>43497</c:v>
                </c:pt>
                <c:pt idx="214">
                  <c:v>43496</c:v>
                </c:pt>
                <c:pt idx="215">
                  <c:v>43495</c:v>
                </c:pt>
                <c:pt idx="216">
                  <c:v>43494</c:v>
                </c:pt>
                <c:pt idx="217">
                  <c:v>43493</c:v>
                </c:pt>
                <c:pt idx="218">
                  <c:v>43490</c:v>
                </c:pt>
                <c:pt idx="219">
                  <c:v>43489</c:v>
                </c:pt>
                <c:pt idx="220">
                  <c:v>43488</c:v>
                </c:pt>
                <c:pt idx="221">
                  <c:v>43487</c:v>
                </c:pt>
                <c:pt idx="222">
                  <c:v>43486</c:v>
                </c:pt>
                <c:pt idx="223">
                  <c:v>43483</c:v>
                </c:pt>
                <c:pt idx="224">
                  <c:v>43482</c:v>
                </c:pt>
                <c:pt idx="225">
                  <c:v>43481</c:v>
                </c:pt>
                <c:pt idx="226">
                  <c:v>43480</c:v>
                </c:pt>
                <c:pt idx="227">
                  <c:v>43476</c:v>
                </c:pt>
                <c:pt idx="228">
                  <c:v>43475</c:v>
                </c:pt>
                <c:pt idx="229">
                  <c:v>43474</c:v>
                </c:pt>
                <c:pt idx="230">
                  <c:v>43473</c:v>
                </c:pt>
                <c:pt idx="231">
                  <c:v>43472</c:v>
                </c:pt>
                <c:pt idx="232">
                  <c:v>43469</c:v>
                </c:pt>
                <c:pt idx="233">
                  <c:v>43462</c:v>
                </c:pt>
                <c:pt idx="234">
                  <c:v>43461</c:v>
                </c:pt>
                <c:pt idx="235">
                  <c:v>43460</c:v>
                </c:pt>
                <c:pt idx="236">
                  <c:v>43459</c:v>
                </c:pt>
                <c:pt idx="237">
                  <c:v>43455</c:v>
                </c:pt>
                <c:pt idx="238">
                  <c:v>43454</c:v>
                </c:pt>
                <c:pt idx="239">
                  <c:v>43453</c:v>
                </c:pt>
                <c:pt idx="240">
                  <c:v>43452</c:v>
                </c:pt>
                <c:pt idx="241">
                  <c:v>43451</c:v>
                </c:pt>
              </c:numCache>
            </c:numRef>
          </c:cat>
          <c:val>
            <c:numRef>
              <c:f>BACK_TEST!$M$82:$M$700</c:f>
              <c:numCache>
                <c:formatCode>General</c:formatCode>
                <c:ptCount val="619"/>
                <c:pt idx="0">
                  <c:v>0.76584238172959496</c:v>
                </c:pt>
                <c:pt idx="1">
                  <c:v>0.76466881856828905</c:v>
                </c:pt>
                <c:pt idx="2">
                  <c:v>0.76433604866163696</c:v>
                </c:pt>
                <c:pt idx="3">
                  <c:v>0.763840804018032</c:v>
                </c:pt>
                <c:pt idx="4">
                  <c:v>0.76487177987244204</c:v>
                </c:pt>
                <c:pt idx="5">
                  <c:v>0.76446278632990605</c:v>
                </c:pt>
                <c:pt idx="6">
                  <c:v>0.76172820632952498</c:v>
                </c:pt>
                <c:pt idx="7">
                  <c:v>0.76014629409386203</c:v>
                </c:pt>
                <c:pt idx="8">
                  <c:v>0.76082409107200899</c:v>
                </c:pt>
                <c:pt idx="9">
                  <c:v>0.76116847510181895</c:v>
                </c:pt>
                <c:pt idx="10">
                  <c:v>0.76299028262187096</c:v>
                </c:pt>
                <c:pt idx="11">
                  <c:v>0.76501348543041203</c:v>
                </c:pt>
                <c:pt idx="12">
                  <c:v>0.77001965165678199</c:v>
                </c:pt>
                <c:pt idx="13">
                  <c:v>0.77249046464230497</c:v>
                </c:pt>
                <c:pt idx="14">
                  <c:v>0.77528191661054402</c:v>
                </c:pt>
                <c:pt idx="15">
                  <c:v>0.77711618701190099</c:v>
                </c:pt>
                <c:pt idx="16">
                  <c:v>0.77950688085609798</c:v>
                </c:pt>
                <c:pt idx="17">
                  <c:v>0.78229365155064801</c:v>
                </c:pt>
                <c:pt idx="18">
                  <c:v>0.78187492630343003</c:v>
                </c:pt>
                <c:pt idx="19">
                  <c:v>0.78516738256515095</c:v>
                </c:pt>
                <c:pt idx="20">
                  <c:v>0.78754284436159605</c:v>
                </c:pt>
                <c:pt idx="21">
                  <c:v>0.79119064651314797</c:v>
                </c:pt>
                <c:pt idx="22">
                  <c:v>0.79390347750536905</c:v>
                </c:pt>
                <c:pt idx="23">
                  <c:v>0.79597040433609501</c:v>
                </c:pt>
                <c:pt idx="24">
                  <c:v>0.79820626850558096</c:v>
                </c:pt>
                <c:pt idx="25">
                  <c:v>0.797709359911427</c:v>
                </c:pt>
                <c:pt idx="26">
                  <c:v>0.79992969448499096</c:v>
                </c:pt>
                <c:pt idx="27">
                  <c:v>0.80388441618307804</c:v>
                </c:pt>
                <c:pt idx="28">
                  <c:v>0.80717198671101698</c:v>
                </c:pt>
                <c:pt idx="29">
                  <c:v>0.81200946918779804</c:v>
                </c:pt>
                <c:pt idx="30">
                  <c:v>0.81396014166719999</c:v>
                </c:pt>
                <c:pt idx="31">
                  <c:v>0.81845665821142</c:v>
                </c:pt>
                <c:pt idx="32">
                  <c:v>0.82525547097929597</c:v>
                </c:pt>
                <c:pt idx="33">
                  <c:v>0.83028908489803699</c:v>
                </c:pt>
                <c:pt idx="34">
                  <c:v>0.83578521783694204</c:v>
                </c:pt>
                <c:pt idx="35">
                  <c:v>0.84087006725869495</c:v>
                </c:pt>
                <c:pt idx="36">
                  <c:v>0.845119469997057</c:v>
                </c:pt>
                <c:pt idx="37">
                  <c:v>0.84880273481694801</c:v>
                </c:pt>
                <c:pt idx="38">
                  <c:v>0.85226346967279698</c:v>
                </c:pt>
                <c:pt idx="39">
                  <c:v>0.85691828393470504</c:v>
                </c:pt>
                <c:pt idx="40">
                  <c:v>0.86611141580085904</c:v>
                </c:pt>
                <c:pt idx="41">
                  <c:v>0.87194049757750103</c:v>
                </c:pt>
                <c:pt idx="42">
                  <c:v>0.87747513390442</c:v>
                </c:pt>
                <c:pt idx="43">
                  <c:v>0.88282758105085202</c:v>
                </c:pt>
                <c:pt idx="44">
                  <c:v>0.88711262132227497</c:v>
                </c:pt>
                <c:pt idx="45">
                  <c:v>0.89420547744069001</c:v>
                </c:pt>
                <c:pt idx="46">
                  <c:v>0.89805394048449105</c:v>
                </c:pt>
                <c:pt idx="47">
                  <c:v>0.90307232982362595</c:v>
                </c:pt>
                <c:pt idx="48">
                  <c:v>0.90714210079059499</c:v>
                </c:pt>
                <c:pt idx="49">
                  <c:v>0.90773227038035498</c:v>
                </c:pt>
                <c:pt idx="50">
                  <c:v>0.91225054905479797</c:v>
                </c:pt>
                <c:pt idx="51">
                  <c:v>0.91628938243466695</c:v>
                </c:pt>
                <c:pt idx="52">
                  <c:v>0.91930112910443895</c:v>
                </c:pt>
                <c:pt idx="53">
                  <c:v>0.92232948028896999</c:v>
                </c:pt>
                <c:pt idx="54">
                  <c:v>0.92495250914407101</c:v>
                </c:pt>
                <c:pt idx="55">
                  <c:v>0.92696133709210005</c:v>
                </c:pt>
                <c:pt idx="56">
                  <c:v>0.92877155672064904</c:v>
                </c:pt>
                <c:pt idx="57">
                  <c:v>0.93065345146032896</c:v>
                </c:pt>
                <c:pt idx="58">
                  <c:v>0.93255423500972701</c:v>
                </c:pt>
                <c:pt idx="59">
                  <c:v>0.93425223648310396</c:v>
                </c:pt>
                <c:pt idx="60">
                  <c:v>0.93554097412496895</c:v>
                </c:pt>
                <c:pt idx="61">
                  <c:v>0.93663911125888299</c:v>
                </c:pt>
                <c:pt idx="62">
                  <c:v>0.93732822036399099</c:v>
                </c:pt>
                <c:pt idx="63">
                  <c:v>0.93759979108351699</c:v>
                </c:pt>
                <c:pt idx="64">
                  <c:v>0.937859839592734</c:v>
                </c:pt>
                <c:pt idx="65">
                  <c:v>0.93817891241557205</c:v>
                </c:pt>
                <c:pt idx="66">
                  <c:v>0.93839183001007298</c:v>
                </c:pt>
                <c:pt idx="67">
                  <c:v>0.93850269943991405</c:v>
                </c:pt>
                <c:pt idx="68">
                  <c:v>0.93845693345749803</c:v>
                </c:pt>
                <c:pt idx="69">
                  <c:v>0.93838859187414003</c:v>
                </c:pt>
                <c:pt idx="70">
                  <c:v>0.93831901968243703</c:v>
                </c:pt>
                <c:pt idx="71">
                  <c:v>0.93832150670479297</c:v>
                </c:pt>
                <c:pt idx="72">
                  <c:v>0.93830923080170903</c:v>
                </c:pt>
                <c:pt idx="73">
                  <c:v>0.93826245559431898</c:v>
                </c:pt>
                <c:pt idx="74">
                  <c:v>0.93816100553031201</c:v>
                </c:pt>
                <c:pt idx="75">
                  <c:v>0.93810359367183405</c:v>
                </c:pt>
                <c:pt idx="76">
                  <c:v>0.93797089781952703</c:v>
                </c:pt>
                <c:pt idx="77">
                  <c:v>0.93781504126711202</c:v>
                </c:pt>
                <c:pt idx="78">
                  <c:v>0.93763264648480704</c:v>
                </c:pt>
                <c:pt idx="79">
                  <c:v>0.93741709373334803</c:v>
                </c:pt>
                <c:pt idx="80">
                  <c:v>0.93714539680310704</c:v>
                </c:pt>
                <c:pt idx="81">
                  <c:v>0.93684969827345199</c:v>
                </c:pt>
                <c:pt idx="82">
                  <c:v>0.93653810556734396</c:v>
                </c:pt>
                <c:pt idx="83">
                  <c:v>0.93599902387154099</c:v>
                </c:pt>
                <c:pt idx="84">
                  <c:v>0.93537890485003805</c:v>
                </c:pt>
                <c:pt idx="85">
                  <c:v>0.93467523845191103</c:v>
                </c:pt>
                <c:pt idx="86">
                  <c:v>0.93386041997625102</c:v>
                </c:pt>
                <c:pt idx="87">
                  <c:v>0.93368940287279101</c:v>
                </c:pt>
                <c:pt idx="88">
                  <c:v>0.93344769450920195</c:v>
                </c:pt>
                <c:pt idx="89">
                  <c:v>0.93327271465847805</c:v>
                </c:pt>
                <c:pt idx="90">
                  <c:v>0.93289212952221601</c:v>
                </c:pt>
                <c:pt idx="91">
                  <c:v>0.932564601401631</c:v>
                </c:pt>
                <c:pt idx="92">
                  <c:v>0.93244919983020602</c:v>
                </c:pt>
                <c:pt idx="93">
                  <c:v>0.93179023285561602</c:v>
                </c:pt>
                <c:pt idx="94">
                  <c:v>0.93065804614053405</c:v>
                </c:pt>
                <c:pt idx="95">
                  <c:v>0.92967696894423302</c:v>
                </c:pt>
                <c:pt idx="96">
                  <c:v>0.92844688904188599</c:v>
                </c:pt>
                <c:pt idx="97">
                  <c:v>0.92709919060835599</c:v>
                </c:pt>
                <c:pt idx="98">
                  <c:v>0.92586375231816898</c:v>
                </c:pt>
                <c:pt idx="99">
                  <c:v>0.92440750321759002</c:v>
                </c:pt>
                <c:pt idx="100">
                  <c:v>0.92257704284713304</c:v>
                </c:pt>
                <c:pt idx="101">
                  <c:v>0.92144991280949196</c:v>
                </c:pt>
                <c:pt idx="102">
                  <c:v>0.92121780560945099</c:v>
                </c:pt>
                <c:pt idx="103">
                  <c:v>0.92108048098031003</c:v>
                </c:pt>
                <c:pt idx="104">
                  <c:v>0.92100519955150895</c:v>
                </c:pt>
                <c:pt idx="105">
                  <c:v>0.92080932140712002</c:v>
                </c:pt>
                <c:pt idx="106">
                  <c:v>0.92058924778096496</c:v>
                </c:pt>
                <c:pt idx="107">
                  <c:v>0.92035272730892304</c:v>
                </c:pt>
                <c:pt idx="108">
                  <c:v>0.92009815670016404</c:v>
                </c:pt>
                <c:pt idx="109">
                  <c:v>0.91976610927142399</c:v>
                </c:pt>
                <c:pt idx="110">
                  <c:v>0.919389377823978</c:v>
                </c:pt>
                <c:pt idx="111">
                  <c:v>0.91904305558524302</c:v>
                </c:pt>
                <c:pt idx="112">
                  <c:v>0.91861624870414105</c:v>
                </c:pt>
                <c:pt idx="113">
                  <c:v>0.91833697527968905</c:v>
                </c:pt>
                <c:pt idx="114">
                  <c:v>0.91771175902670898</c:v>
                </c:pt>
                <c:pt idx="115">
                  <c:v>0.91722735189361804</c:v>
                </c:pt>
                <c:pt idx="116">
                  <c:v>0.91701625851118296</c:v>
                </c:pt>
                <c:pt idx="117">
                  <c:v>0.91645286135470705</c:v>
                </c:pt>
                <c:pt idx="118">
                  <c:v>0.915627846922759</c:v>
                </c:pt>
                <c:pt idx="119">
                  <c:v>0.91461592378977297</c:v>
                </c:pt>
                <c:pt idx="120">
                  <c:v>0.91385582547342503</c:v>
                </c:pt>
                <c:pt idx="121">
                  <c:v>0.91323646027891703</c:v>
                </c:pt>
                <c:pt idx="122">
                  <c:v>0.91277793516135897</c:v>
                </c:pt>
                <c:pt idx="123">
                  <c:v>0.91219111520445195</c:v>
                </c:pt>
                <c:pt idx="124">
                  <c:v>0.91188303720027697</c:v>
                </c:pt>
                <c:pt idx="125">
                  <c:v>0.91164918860039901</c:v>
                </c:pt>
                <c:pt idx="126">
                  <c:v>0.91144028582532999</c:v>
                </c:pt>
                <c:pt idx="127">
                  <c:v>0.911051422150019</c:v>
                </c:pt>
                <c:pt idx="128">
                  <c:v>0.91062034009299198</c:v>
                </c:pt>
                <c:pt idx="129">
                  <c:v>0.91041405770193795</c:v>
                </c:pt>
                <c:pt idx="130">
                  <c:v>0.91028994378561001</c:v>
                </c:pt>
                <c:pt idx="131">
                  <c:v>0.91049883711736901</c:v>
                </c:pt>
                <c:pt idx="132">
                  <c:v>0.91106235127923496</c:v>
                </c:pt>
                <c:pt idx="133">
                  <c:v>0.91139257715064104</c:v>
                </c:pt>
                <c:pt idx="134">
                  <c:v>0.91136646263951104</c:v>
                </c:pt>
                <c:pt idx="135">
                  <c:v>0.91138115611385195</c:v>
                </c:pt>
                <c:pt idx="136">
                  <c:v>0.91113761306093999</c:v>
                </c:pt>
                <c:pt idx="137">
                  <c:v>0.91089807254670796</c:v>
                </c:pt>
                <c:pt idx="138">
                  <c:v>0.91052995154312499</c:v>
                </c:pt>
                <c:pt idx="139">
                  <c:v>0.91013932087505101</c:v>
                </c:pt>
                <c:pt idx="140">
                  <c:v>0.90921016081764905</c:v>
                </c:pt>
                <c:pt idx="141">
                  <c:v>0.90854653166578803</c:v>
                </c:pt>
                <c:pt idx="142">
                  <c:v>0.90768778843723696</c:v>
                </c:pt>
                <c:pt idx="143">
                  <c:v>0.90664870430153799</c:v>
                </c:pt>
                <c:pt idx="144">
                  <c:v>0.906158464070139</c:v>
                </c:pt>
                <c:pt idx="145">
                  <c:v>0.90439863657342401</c:v>
                </c:pt>
                <c:pt idx="146">
                  <c:v>0.90186292901235898</c:v>
                </c:pt>
                <c:pt idx="147">
                  <c:v>0.899418623008579</c:v>
                </c:pt>
                <c:pt idx="148">
                  <c:v>0.89625616976515998</c:v>
                </c:pt>
                <c:pt idx="149">
                  <c:v>0.89369857574105105</c:v>
                </c:pt>
                <c:pt idx="150">
                  <c:v>0.89170454973735402</c:v>
                </c:pt>
                <c:pt idx="151">
                  <c:v>0.89011412969339099</c:v>
                </c:pt>
                <c:pt idx="152">
                  <c:v>0.88818537492892802</c:v>
                </c:pt>
                <c:pt idx="153">
                  <c:v>0.88638816681060695</c:v>
                </c:pt>
                <c:pt idx="154">
                  <c:v>0.88471712355679699</c:v>
                </c:pt>
                <c:pt idx="155">
                  <c:v>0.87093846157070098</c:v>
                </c:pt>
                <c:pt idx="156">
                  <c:v>0.86627498121698698</c:v>
                </c:pt>
                <c:pt idx="157">
                  <c:v>0.86221958454821002</c:v>
                </c:pt>
                <c:pt idx="158">
                  <c:v>0.85888192681870101</c:v>
                </c:pt>
                <c:pt idx="159">
                  <c:v>0.85489077544006298</c:v>
                </c:pt>
                <c:pt idx="160">
                  <c:v>0.851536289411299</c:v>
                </c:pt>
                <c:pt idx="161">
                  <c:v>0.84838560126695295</c:v>
                </c:pt>
                <c:pt idx="162">
                  <c:v>0.84573442612199301</c:v>
                </c:pt>
                <c:pt idx="163">
                  <c:v>0.84249550647953297</c:v>
                </c:pt>
                <c:pt idx="164">
                  <c:v>0.83968251701742103</c:v>
                </c:pt>
                <c:pt idx="165">
                  <c:v>0.83648125380084204</c:v>
                </c:pt>
                <c:pt idx="166">
                  <c:v>0.83325294764111202</c:v>
                </c:pt>
                <c:pt idx="167">
                  <c:v>0.83014655502986001</c:v>
                </c:pt>
                <c:pt idx="168">
                  <c:v>0.82781767721107302</c:v>
                </c:pt>
                <c:pt idx="169">
                  <c:v>0.82554143669364399</c:v>
                </c:pt>
                <c:pt idx="170">
                  <c:v>0.82317816783166498</c:v>
                </c:pt>
                <c:pt idx="171">
                  <c:v>0.82041271050612197</c:v>
                </c:pt>
                <c:pt idx="172">
                  <c:v>0.81797354457614502</c:v>
                </c:pt>
                <c:pt idx="173">
                  <c:v>0.81541845459796203</c:v>
                </c:pt>
                <c:pt idx="174">
                  <c:v>0.81397723874789096</c:v>
                </c:pt>
                <c:pt idx="175">
                  <c:v>0.81111516377329096</c:v>
                </c:pt>
                <c:pt idx="176">
                  <c:v>0.80828333160834298</c:v>
                </c:pt>
                <c:pt idx="177">
                  <c:v>0.80645947746037205</c:v>
                </c:pt>
                <c:pt idx="178">
                  <c:v>0.80546896677482105</c:v>
                </c:pt>
                <c:pt idx="179">
                  <c:v>0.80376164738473999</c:v>
                </c:pt>
                <c:pt idx="180">
                  <c:v>0.80264119448739402</c:v>
                </c:pt>
                <c:pt idx="181">
                  <c:v>0.80043455400735297</c:v>
                </c:pt>
                <c:pt idx="182">
                  <c:v>0.79695532558541804</c:v>
                </c:pt>
                <c:pt idx="183">
                  <c:v>0.79333105062530695</c:v>
                </c:pt>
                <c:pt idx="184">
                  <c:v>0.790394272337262</c:v>
                </c:pt>
                <c:pt idx="185">
                  <c:v>0.78760052119712098</c:v>
                </c:pt>
                <c:pt idx="186">
                  <c:v>0.78409775136565496</c:v>
                </c:pt>
                <c:pt idx="187">
                  <c:v>0.78117183040977101</c:v>
                </c:pt>
                <c:pt idx="188">
                  <c:v>0.77757943966831</c:v>
                </c:pt>
                <c:pt idx="189">
                  <c:v>0.77344154898691997</c:v>
                </c:pt>
                <c:pt idx="190">
                  <c:v>0.77004305405605</c:v>
                </c:pt>
                <c:pt idx="191">
                  <c:v>0.76689780873737901</c:v>
                </c:pt>
                <c:pt idx="192">
                  <c:v>0.76411959059573598</c:v>
                </c:pt>
                <c:pt idx="193">
                  <c:v>0.76132928780326303</c:v>
                </c:pt>
                <c:pt idx="194">
                  <c:v>0.75914586843100995</c:v>
                </c:pt>
                <c:pt idx="195">
                  <c:v>0.75700013648652298</c:v>
                </c:pt>
                <c:pt idx="196">
                  <c:v>0.75482581648927405</c:v>
                </c:pt>
                <c:pt idx="197">
                  <c:v>0.75259906260894405</c:v>
                </c:pt>
                <c:pt idx="198">
                  <c:v>0.75100507010064999</c:v>
                </c:pt>
                <c:pt idx="199">
                  <c:v>0.74868725043190198</c:v>
                </c:pt>
                <c:pt idx="200">
                  <c:v>0.746220920765021</c:v>
                </c:pt>
                <c:pt idx="201">
                  <c:v>0.74493184216800901</c:v>
                </c:pt>
                <c:pt idx="202">
                  <c:v>0.74116138970533996</c:v>
                </c:pt>
                <c:pt idx="203">
                  <c:v>0.73711097620145405</c:v>
                </c:pt>
                <c:pt idx="204">
                  <c:v>0.73029017571569199</c:v>
                </c:pt>
                <c:pt idx="205">
                  <c:v>0.72220414080182305</c:v>
                </c:pt>
                <c:pt idx="206">
                  <c:v>0.71787100855533204</c:v>
                </c:pt>
                <c:pt idx="207">
                  <c:v>0.71297200993009202</c:v>
                </c:pt>
                <c:pt idx="208">
                  <c:v>0.70707577836934898</c:v>
                </c:pt>
                <c:pt idx="209">
                  <c:v>0.70400442815225905</c:v>
                </c:pt>
                <c:pt idx="210">
                  <c:v>0.70004422522291299</c:v>
                </c:pt>
                <c:pt idx="211">
                  <c:v>0.69964562151215304</c:v>
                </c:pt>
                <c:pt idx="212">
                  <c:v>0.69405626182624303</c:v>
                </c:pt>
                <c:pt idx="213">
                  <c:v>0.69079453607244101</c:v>
                </c:pt>
                <c:pt idx="214">
                  <c:v>0.68892237914921095</c:v>
                </c:pt>
                <c:pt idx="215">
                  <c:v>0.68717796127075104</c:v>
                </c:pt>
                <c:pt idx="216">
                  <c:v>0.68329755108058499</c:v>
                </c:pt>
                <c:pt idx="217">
                  <c:v>0.67922430262987199</c:v>
                </c:pt>
                <c:pt idx="218">
                  <c:v>0.67606870235262995</c:v>
                </c:pt>
                <c:pt idx="219">
                  <c:v>0.67224764134224402</c:v>
                </c:pt>
                <c:pt idx="220">
                  <c:v>0.66703162677046002</c:v>
                </c:pt>
                <c:pt idx="221">
                  <c:v>0.66001724068087697</c:v>
                </c:pt>
                <c:pt idx="222">
                  <c:v>0.65439605248178101</c:v>
                </c:pt>
                <c:pt idx="223">
                  <c:v>0.64925064758904505</c:v>
                </c:pt>
                <c:pt idx="224">
                  <c:v>0.64196396710320303</c:v>
                </c:pt>
                <c:pt idx="225">
                  <c:v>0.63285921100403797</c:v>
                </c:pt>
                <c:pt idx="226">
                  <c:v>0.62568150318386195</c:v>
                </c:pt>
                <c:pt idx="227">
                  <c:v>0.61326060016072703</c:v>
                </c:pt>
                <c:pt idx="228">
                  <c:v>0.60633079592535499</c:v>
                </c:pt>
                <c:pt idx="229">
                  <c:v>0.59977134303388702</c:v>
                </c:pt>
                <c:pt idx="230">
                  <c:v>0.59302117910852103</c:v>
                </c:pt>
                <c:pt idx="231">
                  <c:v>0.59152029571696096</c:v>
                </c:pt>
                <c:pt idx="232">
                  <c:v>0.58190235924033396</c:v>
                </c:pt>
                <c:pt idx="233">
                  <c:v>0.56654430672091804</c:v>
                </c:pt>
                <c:pt idx="234">
                  <c:v>0.55665888060171198</c:v>
                </c:pt>
                <c:pt idx="235">
                  <c:v>0.53967436985428296</c:v>
                </c:pt>
                <c:pt idx="236">
                  <c:v>0.51924987728988203</c:v>
                </c:pt>
                <c:pt idx="237">
                  <c:v>0.49790584849357999</c:v>
                </c:pt>
                <c:pt idx="238">
                  <c:v>0.483197312102572</c:v>
                </c:pt>
                <c:pt idx="239">
                  <c:v>0.46972639951521</c:v>
                </c:pt>
                <c:pt idx="240">
                  <c:v>0.45843480197094699</c:v>
                </c:pt>
                <c:pt idx="241">
                  <c:v>0.447445627990114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5D-4F63-B7D3-0933B0371F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811072"/>
        <c:axId val="137812608"/>
      </c:lineChart>
      <c:dateAx>
        <c:axId val="1378110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812608"/>
        <c:crosses val="autoZero"/>
        <c:auto val="1"/>
        <c:lblOffset val="100"/>
        <c:baseTimeUnit val="days"/>
      </c:dateAx>
      <c:valAx>
        <c:axId val="137812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81107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BACK_TEST!$L$81</c:f>
              <c:strCache>
                <c:ptCount val="1"/>
                <c:pt idx="0">
                  <c:v>COINT_3M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43817</c:v>
                </c:pt>
                <c:pt idx="1">
                  <c:v>43816</c:v>
                </c:pt>
                <c:pt idx="2">
                  <c:v>43815</c:v>
                </c:pt>
                <c:pt idx="3">
                  <c:v>43812</c:v>
                </c:pt>
                <c:pt idx="4">
                  <c:v>43811</c:v>
                </c:pt>
                <c:pt idx="5">
                  <c:v>43810</c:v>
                </c:pt>
                <c:pt idx="6">
                  <c:v>43809</c:v>
                </c:pt>
                <c:pt idx="7">
                  <c:v>43808</c:v>
                </c:pt>
                <c:pt idx="8">
                  <c:v>43805</c:v>
                </c:pt>
                <c:pt idx="9">
                  <c:v>43804</c:v>
                </c:pt>
                <c:pt idx="10">
                  <c:v>43803</c:v>
                </c:pt>
                <c:pt idx="11">
                  <c:v>43802</c:v>
                </c:pt>
                <c:pt idx="12">
                  <c:v>43801</c:v>
                </c:pt>
                <c:pt idx="13">
                  <c:v>43798</c:v>
                </c:pt>
                <c:pt idx="14">
                  <c:v>43797</c:v>
                </c:pt>
                <c:pt idx="15">
                  <c:v>43796</c:v>
                </c:pt>
                <c:pt idx="16">
                  <c:v>43795</c:v>
                </c:pt>
                <c:pt idx="17">
                  <c:v>43794</c:v>
                </c:pt>
                <c:pt idx="18">
                  <c:v>43791</c:v>
                </c:pt>
                <c:pt idx="19">
                  <c:v>43790</c:v>
                </c:pt>
                <c:pt idx="20">
                  <c:v>43789</c:v>
                </c:pt>
                <c:pt idx="21">
                  <c:v>43788</c:v>
                </c:pt>
                <c:pt idx="22">
                  <c:v>43787</c:v>
                </c:pt>
                <c:pt idx="23">
                  <c:v>43784</c:v>
                </c:pt>
                <c:pt idx="24">
                  <c:v>43783</c:v>
                </c:pt>
                <c:pt idx="25">
                  <c:v>43782</c:v>
                </c:pt>
                <c:pt idx="26">
                  <c:v>43781</c:v>
                </c:pt>
                <c:pt idx="27">
                  <c:v>43780</c:v>
                </c:pt>
                <c:pt idx="28">
                  <c:v>43777</c:v>
                </c:pt>
                <c:pt idx="29">
                  <c:v>43776</c:v>
                </c:pt>
                <c:pt idx="30">
                  <c:v>43775</c:v>
                </c:pt>
                <c:pt idx="31">
                  <c:v>43774</c:v>
                </c:pt>
                <c:pt idx="32">
                  <c:v>43770</c:v>
                </c:pt>
                <c:pt idx="33">
                  <c:v>43769</c:v>
                </c:pt>
                <c:pt idx="34">
                  <c:v>43768</c:v>
                </c:pt>
                <c:pt idx="35">
                  <c:v>43767</c:v>
                </c:pt>
                <c:pt idx="36">
                  <c:v>43766</c:v>
                </c:pt>
                <c:pt idx="37">
                  <c:v>43763</c:v>
                </c:pt>
                <c:pt idx="38">
                  <c:v>43762</c:v>
                </c:pt>
                <c:pt idx="39">
                  <c:v>43761</c:v>
                </c:pt>
                <c:pt idx="40">
                  <c:v>43759</c:v>
                </c:pt>
                <c:pt idx="41">
                  <c:v>43756</c:v>
                </c:pt>
                <c:pt idx="42">
                  <c:v>43755</c:v>
                </c:pt>
                <c:pt idx="43">
                  <c:v>43754</c:v>
                </c:pt>
                <c:pt idx="44">
                  <c:v>43753</c:v>
                </c:pt>
                <c:pt idx="45">
                  <c:v>43749</c:v>
                </c:pt>
                <c:pt idx="46">
                  <c:v>43748</c:v>
                </c:pt>
                <c:pt idx="47">
                  <c:v>43747</c:v>
                </c:pt>
                <c:pt idx="48">
                  <c:v>43746</c:v>
                </c:pt>
                <c:pt idx="49">
                  <c:v>43745</c:v>
                </c:pt>
                <c:pt idx="50">
                  <c:v>43742</c:v>
                </c:pt>
                <c:pt idx="51">
                  <c:v>43741</c:v>
                </c:pt>
                <c:pt idx="52">
                  <c:v>43740</c:v>
                </c:pt>
                <c:pt idx="53">
                  <c:v>43739</c:v>
                </c:pt>
                <c:pt idx="54">
                  <c:v>43738</c:v>
                </c:pt>
                <c:pt idx="55">
                  <c:v>43735</c:v>
                </c:pt>
                <c:pt idx="56">
                  <c:v>43734</c:v>
                </c:pt>
                <c:pt idx="57">
                  <c:v>43733</c:v>
                </c:pt>
                <c:pt idx="58">
                  <c:v>43732</c:v>
                </c:pt>
                <c:pt idx="59">
                  <c:v>43728</c:v>
                </c:pt>
                <c:pt idx="60">
                  <c:v>43727</c:v>
                </c:pt>
                <c:pt idx="61">
                  <c:v>43726</c:v>
                </c:pt>
                <c:pt idx="62">
                  <c:v>43725</c:v>
                </c:pt>
                <c:pt idx="63">
                  <c:v>43721</c:v>
                </c:pt>
                <c:pt idx="64">
                  <c:v>43720</c:v>
                </c:pt>
                <c:pt idx="65">
                  <c:v>43719</c:v>
                </c:pt>
                <c:pt idx="66">
                  <c:v>43718</c:v>
                </c:pt>
                <c:pt idx="67">
                  <c:v>43717</c:v>
                </c:pt>
                <c:pt idx="68">
                  <c:v>43714</c:v>
                </c:pt>
                <c:pt idx="69">
                  <c:v>43713</c:v>
                </c:pt>
                <c:pt idx="70">
                  <c:v>43712</c:v>
                </c:pt>
                <c:pt idx="71">
                  <c:v>43711</c:v>
                </c:pt>
                <c:pt idx="72">
                  <c:v>43710</c:v>
                </c:pt>
                <c:pt idx="73">
                  <c:v>43707</c:v>
                </c:pt>
                <c:pt idx="74">
                  <c:v>43706</c:v>
                </c:pt>
                <c:pt idx="75">
                  <c:v>43705</c:v>
                </c:pt>
                <c:pt idx="76">
                  <c:v>43704</c:v>
                </c:pt>
                <c:pt idx="77">
                  <c:v>43703</c:v>
                </c:pt>
                <c:pt idx="78">
                  <c:v>43700</c:v>
                </c:pt>
                <c:pt idx="79">
                  <c:v>43699</c:v>
                </c:pt>
                <c:pt idx="80">
                  <c:v>43698</c:v>
                </c:pt>
                <c:pt idx="81">
                  <c:v>43697</c:v>
                </c:pt>
                <c:pt idx="82">
                  <c:v>43696</c:v>
                </c:pt>
                <c:pt idx="83">
                  <c:v>43693</c:v>
                </c:pt>
                <c:pt idx="84">
                  <c:v>43692</c:v>
                </c:pt>
                <c:pt idx="85">
                  <c:v>43691</c:v>
                </c:pt>
                <c:pt idx="86">
                  <c:v>43690</c:v>
                </c:pt>
                <c:pt idx="87">
                  <c:v>43686</c:v>
                </c:pt>
                <c:pt idx="88">
                  <c:v>43685</c:v>
                </c:pt>
                <c:pt idx="89">
                  <c:v>43684</c:v>
                </c:pt>
                <c:pt idx="90">
                  <c:v>43683</c:v>
                </c:pt>
                <c:pt idx="91">
                  <c:v>43682</c:v>
                </c:pt>
                <c:pt idx="92">
                  <c:v>43679</c:v>
                </c:pt>
                <c:pt idx="93">
                  <c:v>43678</c:v>
                </c:pt>
                <c:pt idx="94">
                  <c:v>43677</c:v>
                </c:pt>
                <c:pt idx="95">
                  <c:v>43676</c:v>
                </c:pt>
                <c:pt idx="96">
                  <c:v>43675</c:v>
                </c:pt>
                <c:pt idx="97">
                  <c:v>43672</c:v>
                </c:pt>
                <c:pt idx="98">
                  <c:v>43671</c:v>
                </c:pt>
                <c:pt idx="99">
                  <c:v>43670</c:v>
                </c:pt>
                <c:pt idx="100">
                  <c:v>43669</c:v>
                </c:pt>
                <c:pt idx="101">
                  <c:v>43668</c:v>
                </c:pt>
                <c:pt idx="102">
                  <c:v>43665</c:v>
                </c:pt>
                <c:pt idx="103">
                  <c:v>43664</c:v>
                </c:pt>
                <c:pt idx="104">
                  <c:v>43663</c:v>
                </c:pt>
                <c:pt idx="105">
                  <c:v>43662</c:v>
                </c:pt>
                <c:pt idx="106">
                  <c:v>43658</c:v>
                </c:pt>
                <c:pt idx="107">
                  <c:v>43657</c:v>
                </c:pt>
                <c:pt idx="108">
                  <c:v>43656</c:v>
                </c:pt>
                <c:pt idx="109">
                  <c:v>43655</c:v>
                </c:pt>
                <c:pt idx="110">
                  <c:v>43654</c:v>
                </c:pt>
                <c:pt idx="111">
                  <c:v>43651</c:v>
                </c:pt>
                <c:pt idx="112">
                  <c:v>43650</c:v>
                </c:pt>
                <c:pt idx="113">
                  <c:v>43649</c:v>
                </c:pt>
                <c:pt idx="114">
                  <c:v>43648</c:v>
                </c:pt>
                <c:pt idx="115">
                  <c:v>43647</c:v>
                </c:pt>
                <c:pt idx="116">
                  <c:v>43644</c:v>
                </c:pt>
                <c:pt idx="117">
                  <c:v>43643</c:v>
                </c:pt>
                <c:pt idx="118">
                  <c:v>43642</c:v>
                </c:pt>
                <c:pt idx="119">
                  <c:v>43641</c:v>
                </c:pt>
                <c:pt idx="120">
                  <c:v>43640</c:v>
                </c:pt>
                <c:pt idx="121">
                  <c:v>43637</c:v>
                </c:pt>
                <c:pt idx="122">
                  <c:v>43636</c:v>
                </c:pt>
                <c:pt idx="123">
                  <c:v>43635</c:v>
                </c:pt>
                <c:pt idx="124">
                  <c:v>43634</c:v>
                </c:pt>
                <c:pt idx="125">
                  <c:v>43633</c:v>
                </c:pt>
                <c:pt idx="126">
                  <c:v>43630</c:v>
                </c:pt>
                <c:pt idx="127">
                  <c:v>43629</c:v>
                </c:pt>
                <c:pt idx="128">
                  <c:v>43628</c:v>
                </c:pt>
                <c:pt idx="129">
                  <c:v>43627</c:v>
                </c:pt>
                <c:pt idx="130">
                  <c:v>43626</c:v>
                </c:pt>
                <c:pt idx="131">
                  <c:v>43623</c:v>
                </c:pt>
                <c:pt idx="132">
                  <c:v>43622</c:v>
                </c:pt>
                <c:pt idx="133">
                  <c:v>43621</c:v>
                </c:pt>
                <c:pt idx="134">
                  <c:v>43620</c:v>
                </c:pt>
                <c:pt idx="135">
                  <c:v>43619</c:v>
                </c:pt>
                <c:pt idx="136">
                  <c:v>43616</c:v>
                </c:pt>
                <c:pt idx="137">
                  <c:v>43615</c:v>
                </c:pt>
                <c:pt idx="138">
                  <c:v>43614</c:v>
                </c:pt>
                <c:pt idx="139">
                  <c:v>43613</c:v>
                </c:pt>
                <c:pt idx="140">
                  <c:v>43612</c:v>
                </c:pt>
                <c:pt idx="141">
                  <c:v>43609</c:v>
                </c:pt>
                <c:pt idx="142">
                  <c:v>43608</c:v>
                </c:pt>
                <c:pt idx="143">
                  <c:v>43607</c:v>
                </c:pt>
                <c:pt idx="144">
                  <c:v>43606</c:v>
                </c:pt>
                <c:pt idx="145">
                  <c:v>43605</c:v>
                </c:pt>
                <c:pt idx="146">
                  <c:v>43602</c:v>
                </c:pt>
                <c:pt idx="147">
                  <c:v>43601</c:v>
                </c:pt>
                <c:pt idx="148">
                  <c:v>43600</c:v>
                </c:pt>
                <c:pt idx="149">
                  <c:v>43599</c:v>
                </c:pt>
                <c:pt idx="150">
                  <c:v>43598</c:v>
                </c:pt>
                <c:pt idx="151">
                  <c:v>43595</c:v>
                </c:pt>
                <c:pt idx="152">
                  <c:v>43594</c:v>
                </c:pt>
                <c:pt idx="153">
                  <c:v>43593</c:v>
                </c:pt>
                <c:pt idx="154">
                  <c:v>43592</c:v>
                </c:pt>
                <c:pt idx="155">
                  <c:v>43581</c:v>
                </c:pt>
                <c:pt idx="156">
                  <c:v>43580</c:v>
                </c:pt>
                <c:pt idx="157">
                  <c:v>43579</c:v>
                </c:pt>
                <c:pt idx="158">
                  <c:v>43578</c:v>
                </c:pt>
                <c:pt idx="159">
                  <c:v>43577</c:v>
                </c:pt>
                <c:pt idx="160">
                  <c:v>43574</c:v>
                </c:pt>
                <c:pt idx="161">
                  <c:v>43573</c:v>
                </c:pt>
                <c:pt idx="162">
                  <c:v>43572</c:v>
                </c:pt>
                <c:pt idx="163">
                  <c:v>43571</c:v>
                </c:pt>
                <c:pt idx="164">
                  <c:v>43570</c:v>
                </c:pt>
                <c:pt idx="165">
                  <c:v>43567</c:v>
                </c:pt>
                <c:pt idx="166">
                  <c:v>43566</c:v>
                </c:pt>
                <c:pt idx="167">
                  <c:v>43565</c:v>
                </c:pt>
                <c:pt idx="168">
                  <c:v>43564</c:v>
                </c:pt>
                <c:pt idx="169">
                  <c:v>43563</c:v>
                </c:pt>
                <c:pt idx="170">
                  <c:v>43560</c:v>
                </c:pt>
                <c:pt idx="171">
                  <c:v>43559</c:v>
                </c:pt>
                <c:pt idx="172">
                  <c:v>43558</c:v>
                </c:pt>
                <c:pt idx="173">
                  <c:v>43557</c:v>
                </c:pt>
                <c:pt idx="174">
                  <c:v>43556</c:v>
                </c:pt>
                <c:pt idx="175">
                  <c:v>43553</c:v>
                </c:pt>
                <c:pt idx="176">
                  <c:v>43552</c:v>
                </c:pt>
                <c:pt idx="177">
                  <c:v>43551</c:v>
                </c:pt>
                <c:pt idx="178">
                  <c:v>43550</c:v>
                </c:pt>
                <c:pt idx="179">
                  <c:v>43549</c:v>
                </c:pt>
                <c:pt idx="180">
                  <c:v>43546</c:v>
                </c:pt>
                <c:pt idx="181">
                  <c:v>43544</c:v>
                </c:pt>
                <c:pt idx="182">
                  <c:v>43543</c:v>
                </c:pt>
                <c:pt idx="183">
                  <c:v>43542</c:v>
                </c:pt>
                <c:pt idx="184">
                  <c:v>43539</c:v>
                </c:pt>
                <c:pt idx="185">
                  <c:v>43538</c:v>
                </c:pt>
                <c:pt idx="186">
                  <c:v>43537</c:v>
                </c:pt>
                <c:pt idx="187">
                  <c:v>43536</c:v>
                </c:pt>
                <c:pt idx="188">
                  <c:v>43535</c:v>
                </c:pt>
                <c:pt idx="189">
                  <c:v>43532</c:v>
                </c:pt>
                <c:pt idx="190">
                  <c:v>43531</c:v>
                </c:pt>
                <c:pt idx="191">
                  <c:v>43530</c:v>
                </c:pt>
                <c:pt idx="192">
                  <c:v>43529</c:v>
                </c:pt>
                <c:pt idx="193">
                  <c:v>43528</c:v>
                </c:pt>
                <c:pt idx="194">
                  <c:v>43525</c:v>
                </c:pt>
                <c:pt idx="195">
                  <c:v>43524</c:v>
                </c:pt>
                <c:pt idx="196">
                  <c:v>43523</c:v>
                </c:pt>
                <c:pt idx="197">
                  <c:v>43522</c:v>
                </c:pt>
                <c:pt idx="198">
                  <c:v>43521</c:v>
                </c:pt>
                <c:pt idx="199">
                  <c:v>43518</c:v>
                </c:pt>
                <c:pt idx="200">
                  <c:v>43517</c:v>
                </c:pt>
                <c:pt idx="201">
                  <c:v>43516</c:v>
                </c:pt>
                <c:pt idx="202">
                  <c:v>43515</c:v>
                </c:pt>
                <c:pt idx="203">
                  <c:v>43514</c:v>
                </c:pt>
                <c:pt idx="204">
                  <c:v>43511</c:v>
                </c:pt>
                <c:pt idx="205">
                  <c:v>43510</c:v>
                </c:pt>
                <c:pt idx="206">
                  <c:v>43509</c:v>
                </c:pt>
                <c:pt idx="207">
                  <c:v>43508</c:v>
                </c:pt>
                <c:pt idx="208">
                  <c:v>43504</c:v>
                </c:pt>
                <c:pt idx="209">
                  <c:v>43503</c:v>
                </c:pt>
                <c:pt idx="210">
                  <c:v>43502</c:v>
                </c:pt>
                <c:pt idx="211">
                  <c:v>43501</c:v>
                </c:pt>
                <c:pt idx="212">
                  <c:v>43500</c:v>
                </c:pt>
                <c:pt idx="213">
                  <c:v>43497</c:v>
                </c:pt>
                <c:pt idx="214">
                  <c:v>43496</c:v>
                </c:pt>
                <c:pt idx="215">
                  <c:v>43495</c:v>
                </c:pt>
                <c:pt idx="216">
                  <c:v>43494</c:v>
                </c:pt>
                <c:pt idx="217">
                  <c:v>43493</c:v>
                </c:pt>
                <c:pt idx="218">
                  <c:v>43490</c:v>
                </c:pt>
                <c:pt idx="219">
                  <c:v>43489</c:v>
                </c:pt>
                <c:pt idx="220">
                  <c:v>43488</c:v>
                </c:pt>
                <c:pt idx="221">
                  <c:v>43487</c:v>
                </c:pt>
                <c:pt idx="222">
                  <c:v>43486</c:v>
                </c:pt>
                <c:pt idx="223">
                  <c:v>43483</c:v>
                </c:pt>
                <c:pt idx="224">
                  <c:v>43482</c:v>
                </c:pt>
                <c:pt idx="225">
                  <c:v>43481</c:v>
                </c:pt>
                <c:pt idx="226">
                  <c:v>43480</c:v>
                </c:pt>
                <c:pt idx="227">
                  <c:v>43476</c:v>
                </c:pt>
                <c:pt idx="228">
                  <c:v>43475</c:v>
                </c:pt>
                <c:pt idx="229">
                  <c:v>43474</c:v>
                </c:pt>
                <c:pt idx="230">
                  <c:v>43473</c:v>
                </c:pt>
                <c:pt idx="231">
                  <c:v>43472</c:v>
                </c:pt>
                <c:pt idx="232">
                  <c:v>43469</c:v>
                </c:pt>
                <c:pt idx="233">
                  <c:v>43462</c:v>
                </c:pt>
                <c:pt idx="234">
                  <c:v>43461</c:v>
                </c:pt>
                <c:pt idx="235">
                  <c:v>43460</c:v>
                </c:pt>
                <c:pt idx="236">
                  <c:v>43459</c:v>
                </c:pt>
                <c:pt idx="237">
                  <c:v>43455</c:v>
                </c:pt>
                <c:pt idx="238">
                  <c:v>43454</c:v>
                </c:pt>
                <c:pt idx="239">
                  <c:v>43453</c:v>
                </c:pt>
                <c:pt idx="240">
                  <c:v>43452</c:v>
                </c:pt>
                <c:pt idx="241">
                  <c:v>43451</c:v>
                </c:pt>
              </c:numCache>
            </c:numRef>
          </c:cat>
          <c:val>
            <c:numRef>
              <c:f>BACK_TEST!$L$82:$L$700</c:f>
              <c:numCache>
                <c:formatCode>General</c:formatCode>
                <c:ptCount val="619"/>
                <c:pt idx="0">
                  <c:v>0.87785529251227901</c:v>
                </c:pt>
                <c:pt idx="1">
                  <c:v>0.87041499991061</c:v>
                </c:pt>
                <c:pt idx="2">
                  <c:v>0.86996156921330703</c:v>
                </c:pt>
                <c:pt idx="3">
                  <c:v>0.86874835270978501</c:v>
                </c:pt>
                <c:pt idx="4">
                  <c:v>0.78413338970160396</c:v>
                </c:pt>
                <c:pt idx="5">
                  <c:v>0.75561899760294504</c:v>
                </c:pt>
                <c:pt idx="6">
                  <c:v>0.73033928970242701</c:v>
                </c:pt>
                <c:pt idx="7">
                  <c:v>0.70304393879735105</c:v>
                </c:pt>
                <c:pt idx="8">
                  <c:v>0.60960178277347499</c:v>
                </c:pt>
                <c:pt idx="9">
                  <c:v>0.660810416548964</c:v>
                </c:pt>
                <c:pt idx="10">
                  <c:v>0.64486150018946797</c:v>
                </c:pt>
                <c:pt idx="11">
                  <c:v>0.35406053312025598</c:v>
                </c:pt>
                <c:pt idx="12">
                  <c:v>0.59012439002674899</c:v>
                </c:pt>
                <c:pt idx="13">
                  <c:v>0.51144375813938903</c:v>
                </c:pt>
                <c:pt idx="14">
                  <c:v>0.42683721276021303</c:v>
                </c:pt>
                <c:pt idx="15">
                  <c:v>0.385056432737165</c:v>
                </c:pt>
                <c:pt idx="16">
                  <c:v>0.237622936024144</c:v>
                </c:pt>
                <c:pt idx="17">
                  <c:v>0.32366769952719798</c:v>
                </c:pt>
                <c:pt idx="18">
                  <c:v>0.41462306501364299</c:v>
                </c:pt>
                <c:pt idx="19">
                  <c:v>0.41688245898196102</c:v>
                </c:pt>
                <c:pt idx="20">
                  <c:v>0.46896418840677401</c:v>
                </c:pt>
                <c:pt idx="21" formatCode="0.00E+00">
                  <c:v>0.23466726365132301</c:v>
                </c:pt>
                <c:pt idx="22" formatCode="0.00E+00">
                  <c:v>0.121687907434645</c:v>
                </c:pt>
                <c:pt idx="23">
                  <c:v>0.12011633944087501</c:v>
                </c:pt>
                <c:pt idx="24">
                  <c:v>0.13144209412390501</c:v>
                </c:pt>
                <c:pt idx="25">
                  <c:v>0.15591730520898001</c:v>
                </c:pt>
                <c:pt idx="26">
                  <c:v>0.133673244198209</c:v>
                </c:pt>
                <c:pt idx="27" formatCode="0.00E+00">
                  <c:v>0.164469128976233</c:v>
                </c:pt>
                <c:pt idx="28">
                  <c:v>0.114296857349167</c:v>
                </c:pt>
                <c:pt idx="29">
                  <c:v>0.121469666829899</c:v>
                </c:pt>
                <c:pt idx="30">
                  <c:v>0.12194269552670201</c:v>
                </c:pt>
                <c:pt idx="31" formatCode="0.00E+00">
                  <c:v>6.3592520482106701E-2</c:v>
                </c:pt>
                <c:pt idx="32">
                  <c:v>0.118846025835927</c:v>
                </c:pt>
                <c:pt idx="33">
                  <c:v>8.5231780262439993E-2</c:v>
                </c:pt>
                <c:pt idx="34">
                  <c:v>8.6584346204695697E-2</c:v>
                </c:pt>
                <c:pt idx="35">
                  <c:v>6.86156434964144E-2</c:v>
                </c:pt>
                <c:pt idx="36">
                  <c:v>6.25507403389957E-2</c:v>
                </c:pt>
                <c:pt idx="37">
                  <c:v>5.2364219635610602E-2</c:v>
                </c:pt>
                <c:pt idx="38">
                  <c:v>5.2957788919120702E-2</c:v>
                </c:pt>
                <c:pt idx="39">
                  <c:v>5.5265030570717903E-2</c:v>
                </c:pt>
                <c:pt idx="40">
                  <c:v>7.2970725052802193E-2</c:v>
                </c:pt>
                <c:pt idx="41">
                  <c:v>7.9131177238118605E-2</c:v>
                </c:pt>
                <c:pt idx="42">
                  <c:v>5.7148652096635298E-2</c:v>
                </c:pt>
                <c:pt idx="43" formatCode="0.00E+00">
                  <c:v>1.6331616693770399E-2</c:v>
                </c:pt>
                <c:pt idx="44">
                  <c:v>1.9236736335709399E-2</c:v>
                </c:pt>
                <c:pt idx="45">
                  <c:v>7.1814483448668399E-3</c:v>
                </c:pt>
                <c:pt idx="46">
                  <c:v>0.41308014759176498</c:v>
                </c:pt>
                <c:pt idx="47">
                  <c:v>0.45356469195593102</c:v>
                </c:pt>
                <c:pt idx="48">
                  <c:v>0.25489696971828302</c:v>
                </c:pt>
                <c:pt idx="49">
                  <c:v>0.19479701723613099</c:v>
                </c:pt>
                <c:pt idx="50">
                  <c:v>0.113348951733685</c:v>
                </c:pt>
                <c:pt idx="51">
                  <c:v>8.0655000541298399E-2</c:v>
                </c:pt>
                <c:pt idx="52">
                  <c:v>0.20230960673242299</c:v>
                </c:pt>
                <c:pt idx="53">
                  <c:v>0.22986954919059799</c:v>
                </c:pt>
                <c:pt idx="54">
                  <c:v>0.26488499244633301</c:v>
                </c:pt>
                <c:pt idx="55">
                  <c:v>0.326062075529929</c:v>
                </c:pt>
                <c:pt idx="56">
                  <c:v>0.113887647088022</c:v>
                </c:pt>
                <c:pt idx="57">
                  <c:v>9.5832962385779097E-2</c:v>
                </c:pt>
                <c:pt idx="58">
                  <c:v>7.4650858501755804E-2</c:v>
                </c:pt>
                <c:pt idx="59">
                  <c:v>7.1429970337120605E-2</c:v>
                </c:pt>
                <c:pt idx="60">
                  <c:v>4.6888653921124103E-2</c:v>
                </c:pt>
                <c:pt idx="61">
                  <c:v>8.6390978102947602E-3</c:v>
                </c:pt>
                <c:pt idx="62">
                  <c:v>0.36674784803842297</c:v>
                </c:pt>
                <c:pt idx="63">
                  <c:v>0.31471398706661202</c:v>
                </c:pt>
                <c:pt idx="64">
                  <c:v>0.14587666408326699</c:v>
                </c:pt>
                <c:pt idx="65">
                  <c:v>6.1878066239275196E-3</c:v>
                </c:pt>
                <c:pt idx="66">
                  <c:v>1.5811547245159902E-2</c:v>
                </c:pt>
                <c:pt idx="67">
                  <c:v>0.15625428295659599</c:v>
                </c:pt>
                <c:pt idx="68">
                  <c:v>0.121377555451931</c:v>
                </c:pt>
                <c:pt idx="69">
                  <c:v>0.25849965104845501</c:v>
                </c:pt>
                <c:pt idx="70">
                  <c:v>0.25064035160054499</c:v>
                </c:pt>
                <c:pt idx="71">
                  <c:v>0.27570123769055699</c:v>
                </c:pt>
                <c:pt idx="72">
                  <c:v>0.44100198402431301</c:v>
                </c:pt>
                <c:pt idx="73">
                  <c:v>0.35519456583876302</c:v>
                </c:pt>
                <c:pt idx="74">
                  <c:v>0.31598667982738998</c:v>
                </c:pt>
                <c:pt idx="75">
                  <c:v>0.43570565909393599</c:v>
                </c:pt>
                <c:pt idx="76">
                  <c:v>0.42140981827614399</c:v>
                </c:pt>
                <c:pt idx="77">
                  <c:v>0.38005384780457202</c:v>
                </c:pt>
                <c:pt idx="78">
                  <c:v>0.58835276651749302</c:v>
                </c:pt>
                <c:pt idx="79">
                  <c:v>0.32066567600564</c:v>
                </c:pt>
                <c:pt idx="80">
                  <c:v>0.203746175054559</c:v>
                </c:pt>
                <c:pt idx="81">
                  <c:v>0.17169831168727201</c:v>
                </c:pt>
                <c:pt idx="82">
                  <c:v>0.23719039460612601</c:v>
                </c:pt>
                <c:pt idx="83">
                  <c:v>0.21500021936182201</c:v>
                </c:pt>
                <c:pt idx="84">
                  <c:v>0.24143367660417001</c:v>
                </c:pt>
                <c:pt idx="85">
                  <c:v>0.32742178089796098</c:v>
                </c:pt>
                <c:pt idx="86">
                  <c:v>0.38670239744641499</c:v>
                </c:pt>
                <c:pt idx="87">
                  <c:v>0.45870032973403302</c:v>
                </c:pt>
                <c:pt idx="88">
                  <c:v>0.46902766657445</c:v>
                </c:pt>
                <c:pt idx="89">
                  <c:v>0.84919867632671997</c:v>
                </c:pt>
                <c:pt idx="90">
                  <c:v>0.95415105381084098</c:v>
                </c:pt>
                <c:pt idx="91">
                  <c:v>0.93840563942555799</c:v>
                </c:pt>
                <c:pt idx="92">
                  <c:v>0.95156583930653504</c:v>
                </c:pt>
                <c:pt idx="93">
                  <c:v>0.95119095377911</c:v>
                </c:pt>
                <c:pt idx="94">
                  <c:v>0.95457664426576405</c:v>
                </c:pt>
                <c:pt idx="95">
                  <c:v>0.95576514299530801</c:v>
                </c:pt>
                <c:pt idx="96">
                  <c:v>0.95697779543981198</c:v>
                </c:pt>
                <c:pt idx="97">
                  <c:v>0.95642634353886702</c:v>
                </c:pt>
                <c:pt idx="98">
                  <c:v>0.99073111114816503</c:v>
                </c:pt>
                <c:pt idx="99">
                  <c:v>0.98777443803141696</c:v>
                </c:pt>
                <c:pt idx="100">
                  <c:v>0.985138632245112</c:v>
                </c:pt>
                <c:pt idx="101">
                  <c:v>0.99317387573504601</c:v>
                </c:pt>
                <c:pt idx="102">
                  <c:v>0.98776229148940298</c:v>
                </c:pt>
                <c:pt idx="103">
                  <c:v>0.97690010596033505</c:v>
                </c:pt>
                <c:pt idx="104">
                  <c:v>0.97075264381923998</c:v>
                </c:pt>
                <c:pt idx="105">
                  <c:v>0.97878873109829001</c:v>
                </c:pt>
                <c:pt idx="106">
                  <c:v>0.98238793771317701</c:v>
                </c:pt>
                <c:pt idx="107">
                  <c:v>0.977647167379326</c:v>
                </c:pt>
                <c:pt idx="108">
                  <c:v>0.97074818814868002</c:v>
                </c:pt>
                <c:pt idx="109">
                  <c:v>0.968024108684999</c:v>
                </c:pt>
                <c:pt idx="110">
                  <c:v>0.97352531577524304</c:v>
                </c:pt>
                <c:pt idx="111">
                  <c:v>0.97855307872612396</c:v>
                </c:pt>
                <c:pt idx="112">
                  <c:v>0.95818044636710298</c:v>
                </c:pt>
                <c:pt idx="113">
                  <c:v>0.95411521976648905</c:v>
                </c:pt>
                <c:pt idx="114">
                  <c:v>0.92656176764438902</c:v>
                </c:pt>
                <c:pt idx="115">
                  <c:v>0.94378316448105204</c:v>
                </c:pt>
                <c:pt idx="116">
                  <c:v>0.95632185945705495</c:v>
                </c:pt>
                <c:pt idx="117">
                  <c:v>0.96351767350218698</c:v>
                </c:pt>
                <c:pt idx="118">
                  <c:v>0.96988518648259403</c:v>
                </c:pt>
                <c:pt idx="119">
                  <c:v>0.97628211509672203</c:v>
                </c:pt>
                <c:pt idx="120">
                  <c:v>0.96322376701465595</c:v>
                </c:pt>
                <c:pt idx="121">
                  <c:v>0.967012003008349</c:v>
                </c:pt>
                <c:pt idx="122">
                  <c:v>0.97263182317517904</c:v>
                </c:pt>
                <c:pt idx="123">
                  <c:v>0.92120609173775603</c:v>
                </c:pt>
                <c:pt idx="124">
                  <c:v>0.91174922898149302</c:v>
                </c:pt>
                <c:pt idx="125">
                  <c:v>0.90634894656430098</c:v>
                </c:pt>
                <c:pt idx="126">
                  <c:v>0.90707447686693199</c:v>
                </c:pt>
                <c:pt idx="127">
                  <c:v>0.92527499573605299</c:v>
                </c:pt>
                <c:pt idx="128">
                  <c:v>0.87841929107146699</c:v>
                </c:pt>
                <c:pt idx="129">
                  <c:v>0.81014512474808498</c:v>
                </c:pt>
                <c:pt idx="130">
                  <c:v>0.68003691856736403</c:v>
                </c:pt>
                <c:pt idx="131">
                  <c:v>0.54620328736712698</c:v>
                </c:pt>
                <c:pt idx="132">
                  <c:v>0.61413659581983204</c:v>
                </c:pt>
                <c:pt idx="133">
                  <c:v>0.70475360837728596</c:v>
                </c:pt>
                <c:pt idx="134">
                  <c:v>0.66498498889151603</c:v>
                </c:pt>
                <c:pt idx="135">
                  <c:v>0.650424259916075</c:v>
                </c:pt>
                <c:pt idx="136">
                  <c:v>0.58498300315252705</c:v>
                </c:pt>
                <c:pt idx="137">
                  <c:v>0.43836931551373998</c:v>
                </c:pt>
                <c:pt idx="138">
                  <c:v>0.36158504527576402</c:v>
                </c:pt>
                <c:pt idx="139">
                  <c:v>0.40968714302467002</c:v>
                </c:pt>
                <c:pt idx="140">
                  <c:v>0.28083111959898499</c:v>
                </c:pt>
                <c:pt idx="141">
                  <c:v>0.27154498665756099</c:v>
                </c:pt>
                <c:pt idx="142">
                  <c:v>0.30246808487918603</c:v>
                </c:pt>
                <c:pt idx="143">
                  <c:v>0.171088949546503</c:v>
                </c:pt>
                <c:pt idx="144">
                  <c:v>0.104852295237208</c:v>
                </c:pt>
                <c:pt idx="145">
                  <c:v>0.19421046150059099</c:v>
                </c:pt>
                <c:pt idx="146">
                  <c:v>0.108833985439593</c:v>
                </c:pt>
                <c:pt idx="147">
                  <c:v>0.124956280309981</c:v>
                </c:pt>
                <c:pt idx="148">
                  <c:v>7.1183782796652703E-2</c:v>
                </c:pt>
                <c:pt idx="149">
                  <c:v>3.1284542352793203E-2</c:v>
                </c:pt>
                <c:pt idx="150">
                  <c:v>8.7957819768025094E-3</c:v>
                </c:pt>
                <c:pt idx="151">
                  <c:v>6.0154080532369598E-4</c:v>
                </c:pt>
                <c:pt idx="152">
                  <c:v>1.6773769332597801E-2</c:v>
                </c:pt>
                <c:pt idx="153">
                  <c:v>5.7779313931868102E-2</c:v>
                </c:pt>
                <c:pt idx="154">
                  <c:v>0.19755175307615699</c:v>
                </c:pt>
                <c:pt idx="155">
                  <c:v>6.6460483434060302E-2</c:v>
                </c:pt>
                <c:pt idx="156">
                  <c:v>0.144425546606995</c:v>
                </c:pt>
                <c:pt idx="157">
                  <c:v>0.11197078804911501</c:v>
                </c:pt>
                <c:pt idx="158">
                  <c:v>0.13307515150931201</c:v>
                </c:pt>
                <c:pt idx="159">
                  <c:v>8.8047412448905099E-2</c:v>
                </c:pt>
                <c:pt idx="160">
                  <c:v>7.91008830071111E-2</c:v>
                </c:pt>
                <c:pt idx="161">
                  <c:v>0.173945338015701</c:v>
                </c:pt>
                <c:pt idx="162">
                  <c:v>6.8295405378551804E-2</c:v>
                </c:pt>
                <c:pt idx="163">
                  <c:v>7.6816149923311802E-2</c:v>
                </c:pt>
                <c:pt idx="164">
                  <c:v>0.101231225176034</c:v>
                </c:pt>
                <c:pt idx="165">
                  <c:v>8.2959882516632499E-2</c:v>
                </c:pt>
                <c:pt idx="166">
                  <c:v>8.4260431443855005E-2</c:v>
                </c:pt>
                <c:pt idx="167">
                  <c:v>8.3195441926295605E-2</c:v>
                </c:pt>
                <c:pt idx="168">
                  <c:v>8.5261598742603306E-2</c:v>
                </c:pt>
                <c:pt idx="169">
                  <c:v>8.8656454292440706E-2</c:v>
                </c:pt>
                <c:pt idx="170">
                  <c:v>9.6390639172713399E-2</c:v>
                </c:pt>
                <c:pt idx="171">
                  <c:v>0.10323765965029701</c:v>
                </c:pt>
                <c:pt idx="172">
                  <c:v>0.159000210518009</c:v>
                </c:pt>
                <c:pt idx="173">
                  <c:v>0.186418154857004</c:v>
                </c:pt>
                <c:pt idx="174">
                  <c:v>0.161930451722338</c:v>
                </c:pt>
                <c:pt idx="175">
                  <c:v>0.16212643110282701</c:v>
                </c:pt>
                <c:pt idx="176">
                  <c:v>0.134999816068191</c:v>
                </c:pt>
                <c:pt idx="177">
                  <c:v>0.18289100485034601</c:v>
                </c:pt>
                <c:pt idx="178">
                  <c:v>7.6176690869849198E-2</c:v>
                </c:pt>
                <c:pt idx="179">
                  <c:v>0.53994858405592805</c:v>
                </c:pt>
                <c:pt idx="180">
                  <c:v>0.63364933364224496</c:v>
                </c:pt>
                <c:pt idx="181">
                  <c:v>0.15494987673464</c:v>
                </c:pt>
                <c:pt idx="182">
                  <c:v>0.40943885423357501</c:v>
                </c:pt>
                <c:pt idx="183">
                  <c:v>0.456014152335388</c:v>
                </c:pt>
                <c:pt idx="184">
                  <c:v>0.32973253793127599</c:v>
                </c:pt>
                <c:pt idx="185">
                  <c:v>0.34441832746460299</c:v>
                </c:pt>
                <c:pt idx="186">
                  <c:v>0.302775491454644</c:v>
                </c:pt>
                <c:pt idx="187">
                  <c:v>0.33350678704078301</c:v>
                </c:pt>
                <c:pt idx="188">
                  <c:v>0.353054217885444</c:v>
                </c:pt>
                <c:pt idx="189">
                  <c:v>0.286398742877853</c:v>
                </c:pt>
                <c:pt idx="190">
                  <c:v>0.30458677007822499</c:v>
                </c:pt>
                <c:pt idx="191">
                  <c:v>0.22118573214185899</c:v>
                </c:pt>
                <c:pt idx="192">
                  <c:v>0.32953660618278902</c:v>
                </c:pt>
                <c:pt idx="193">
                  <c:v>0.25122168558836999</c:v>
                </c:pt>
                <c:pt idx="194">
                  <c:v>0.45392002384079999</c:v>
                </c:pt>
                <c:pt idx="195">
                  <c:v>0.41226035995094801</c:v>
                </c:pt>
                <c:pt idx="196">
                  <c:v>0.412867837112466</c:v>
                </c:pt>
                <c:pt idx="197">
                  <c:v>0.40128884784833102</c:v>
                </c:pt>
                <c:pt idx="198">
                  <c:v>0.37767262783327299</c:v>
                </c:pt>
                <c:pt idx="199">
                  <c:v>0.34521595673185601</c:v>
                </c:pt>
                <c:pt idx="200">
                  <c:v>0.31659683692121698</c:v>
                </c:pt>
                <c:pt idx="201">
                  <c:v>0.39040933096883401</c:v>
                </c:pt>
                <c:pt idx="202">
                  <c:v>0.38216396390041302</c:v>
                </c:pt>
                <c:pt idx="203">
                  <c:v>0.386298844357571</c:v>
                </c:pt>
                <c:pt idx="204">
                  <c:v>0.39360578295510501</c:v>
                </c:pt>
                <c:pt idx="205">
                  <c:v>0.38349022188646797</c:v>
                </c:pt>
                <c:pt idx="206">
                  <c:v>0.39918748746748101</c:v>
                </c:pt>
                <c:pt idx="207">
                  <c:v>0.27876086886190898</c:v>
                </c:pt>
                <c:pt idx="208">
                  <c:v>0.36629522897287897</c:v>
                </c:pt>
                <c:pt idx="209">
                  <c:v>0.24667271429613799</c:v>
                </c:pt>
                <c:pt idx="210">
                  <c:v>0.21471875432609899</c:v>
                </c:pt>
                <c:pt idx="211">
                  <c:v>0.17815256566489299</c:v>
                </c:pt>
                <c:pt idx="212">
                  <c:v>0.19977144919266299</c:v>
                </c:pt>
                <c:pt idx="213">
                  <c:v>5.7503837271873699E-2</c:v>
                </c:pt>
                <c:pt idx="214">
                  <c:v>2.40031031413597E-2</c:v>
                </c:pt>
                <c:pt idx="215" formatCode="0.00E+00">
                  <c:v>0.109843233076191</c:v>
                </c:pt>
                <c:pt idx="216">
                  <c:v>0.145436660630753</c:v>
                </c:pt>
                <c:pt idx="217">
                  <c:v>5.5604527867246803E-2</c:v>
                </c:pt>
                <c:pt idx="218">
                  <c:v>3.3660745634517902E-2</c:v>
                </c:pt>
                <c:pt idx="219">
                  <c:v>2.86626897497495E-2</c:v>
                </c:pt>
                <c:pt idx="220">
                  <c:v>2.54832870850186E-2</c:v>
                </c:pt>
                <c:pt idx="221">
                  <c:v>1.44173012289141E-2</c:v>
                </c:pt>
                <c:pt idx="222">
                  <c:v>1.6515310947426601E-2</c:v>
                </c:pt>
                <c:pt idx="223">
                  <c:v>3.3481280283222302E-2</c:v>
                </c:pt>
                <c:pt idx="224">
                  <c:v>7.3742987692710496E-2</c:v>
                </c:pt>
                <c:pt idx="225">
                  <c:v>0.12498956111319701</c:v>
                </c:pt>
                <c:pt idx="226">
                  <c:v>0.203151821493917</c:v>
                </c:pt>
                <c:pt idx="227">
                  <c:v>0.157630290566835</c:v>
                </c:pt>
                <c:pt idx="228">
                  <c:v>0.11512135122869099</c:v>
                </c:pt>
                <c:pt idx="229">
                  <c:v>0.353967228365414</c:v>
                </c:pt>
                <c:pt idx="230">
                  <c:v>0.40498791239874798</c:v>
                </c:pt>
                <c:pt idx="231">
                  <c:v>0.46190548158043898</c:v>
                </c:pt>
                <c:pt idx="232">
                  <c:v>0.30231335915408297</c:v>
                </c:pt>
                <c:pt idx="233">
                  <c:v>0.418317931501694</c:v>
                </c:pt>
                <c:pt idx="234">
                  <c:v>0.53767549820900196</c:v>
                </c:pt>
                <c:pt idx="235">
                  <c:v>0.380949174282322</c:v>
                </c:pt>
                <c:pt idx="236">
                  <c:v>0.34110383986611598</c:v>
                </c:pt>
                <c:pt idx="237">
                  <c:v>0.33561481510234897</c:v>
                </c:pt>
                <c:pt idx="238">
                  <c:v>0.32399207728261598</c:v>
                </c:pt>
                <c:pt idx="239">
                  <c:v>0.31104980994238002</c:v>
                </c:pt>
                <c:pt idx="240">
                  <c:v>0.34661926109207802</c:v>
                </c:pt>
                <c:pt idx="241">
                  <c:v>0.374583700196017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08-425E-9DDB-C8B817E9D947}"/>
            </c:ext>
          </c:extLst>
        </c:ser>
        <c:ser>
          <c:idx val="1"/>
          <c:order val="1"/>
          <c:tx>
            <c:strRef>
              <c:f>BACK_TEST!$N$81</c:f>
              <c:strCache>
                <c:ptCount val="1"/>
                <c:pt idx="0">
                  <c:v>COINT_1Y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43817</c:v>
                </c:pt>
                <c:pt idx="1">
                  <c:v>43816</c:v>
                </c:pt>
                <c:pt idx="2">
                  <c:v>43815</c:v>
                </c:pt>
                <c:pt idx="3">
                  <c:v>43812</c:v>
                </c:pt>
                <c:pt idx="4">
                  <c:v>43811</c:v>
                </c:pt>
                <c:pt idx="5">
                  <c:v>43810</c:v>
                </c:pt>
                <c:pt idx="6">
                  <c:v>43809</c:v>
                </c:pt>
                <c:pt idx="7">
                  <c:v>43808</c:v>
                </c:pt>
                <c:pt idx="8">
                  <c:v>43805</c:v>
                </c:pt>
                <c:pt idx="9">
                  <c:v>43804</c:v>
                </c:pt>
                <c:pt idx="10">
                  <c:v>43803</c:v>
                </c:pt>
                <c:pt idx="11">
                  <c:v>43802</c:v>
                </c:pt>
                <c:pt idx="12">
                  <c:v>43801</c:v>
                </c:pt>
                <c:pt idx="13">
                  <c:v>43798</c:v>
                </c:pt>
                <c:pt idx="14">
                  <c:v>43797</c:v>
                </c:pt>
                <c:pt idx="15">
                  <c:v>43796</c:v>
                </c:pt>
                <c:pt idx="16">
                  <c:v>43795</c:v>
                </c:pt>
                <c:pt idx="17">
                  <c:v>43794</c:v>
                </c:pt>
                <c:pt idx="18">
                  <c:v>43791</c:v>
                </c:pt>
                <c:pt idx="19">
                  <c:v>43790</c:v>
                </c:pt>
                <c:pt idx="20">
                  <c:v>43789</c:v>
                </c:pt>
                <c:pt idx="21">
                  <c:v>43788</c:v>
                </c:pt>
                <c:pt idx="22">
                  <c:v>43787</c:v>
                </c:pt>
                <c:pt idx="23">
                  <c:v>43784</c:v>
                </c:pt>
                <c:pt idx="24">
                  <c:v>43783</c:v>
                </c:pt>
                <c:pt idx="25">
                  <c:v>43782</c:v>
                </c:pt>
                <c:pt idx="26">
                  <c:v>43781</c:v>
                </c:pt>
                <c:pt idx="27">
                  <c:v>43780</c:v>
                </c:pt>
                <c:pt idx="28">
                  <c:v>43777</c:v>
                </c:pt>
                <c:pt idx="29">
                  <c:v>43776</c:v>
                </c:pt>
                <c:pt idx="30">
                  <c:v>43775</c:v>
                </c:pt>
                <c:pt idx="31">
                  <c:v>43774</c:v>
                </c:pt>
                <c:pt idx="32">
                  <c:v>43770</c:v>
                </c:pt>
                <c:pt idx="33">
                  <c:v>43769</c:v>
                </c:pt>
                <c:pt idx="34">
                  <c:v>43768</c:v>
                </c:pt>
                <c:pt idx="35">
                  <c:v>43767</c:v>
                </c:pt>
                <c:pt idx="36">
                  <c:v>43766</c:v>
                </c:pt>
                <c:pt idx="37">
                  <c:v>43763</c:v>
                </c:pt>
                <c:pt idx="38">
                  <c:v>43762</c:v>
                </c:pt>
                <c:pt idx="39">
                  <c:v>43761</c:v>
                </c:pt>
                <c:pt idx="40">
                  <c:v>43759</c:v>
                </c:pt>
                <c:pt idx="41">
                  <c:v>43756</c:v>
                </c:pt>
                <c:pt idx="42">
                  <c:v>43755</c:v>
                </c:pt>
                <c:pt idx="43">
                  <c:v>43754</c:v>
                </c:pt>
                <c:pt idx="44">
                  <c:v>43753</c:v>
                </c:pt>
                <c:pt idx="45">
                  <c:v>43749</c:v>
                </c:pt>
                <c:pt idx="46">
                  <c:v>43748</c:v>
                </c:pt>
                <c:pt idx="47">
                  <c:v>43747</c:v>
                </c:pt>
                <c:pt idx="48">
                  <c:v>43746</c:v>
                </c:pt>
                <c:pt idx="49">
                  <c:v>43745</c:v>
                </c:pt>
                <c:pt idx="50">
                  <c:v>43742</c:v>
                </c:pt>
                <c:pt idx="51">
                  <c:v>43741</c:v>
                </c:pt>
                <c:pt idx="52">
                  <c:v>43740</c:v>
                </c:pt>
                <c:pt idx="53">
                  <c:v>43739</c:v>
                </c:pt>
                <c:pt idx="54">
                  <c:v>43738</c:v>
                </c:pt>
                <c:pt idx="55">
                  <c:v>43735</c:v>
                </c:pt>
                <c:pt idx="56">
                  <c:v>43734</c:v>
                </c:pt>
                <c:pt idx="57">
                  <c:v>43733</c:v>
                </c:pt>
                <c:pt idx="58">
                  <c:v>43732</c:v>
                </c:pt>
                <c:pt idx="59">
                  <c:v>43728</c:v>
                </c:pt>
                <c:pt idx="60">
                  <c:v>43727</c:v>
                </c:pt>
                <c:pt idx="61">
                  <c:v>43726</c:v>
                </c:pt>
                <c:pt idx="62">
                  <c:v>43725</c:v>
                </c:pt>
                <c:pt idx="63">
                  <c:v>43721</c:v>
                </c:pt>
                <c:pt idx="64">
                  <c:v>43720</c:v>
                </c:pt>
                <c:pt idx="65">
                  <c:v>43719</c:v>
                </c:pt>
                <c:pt idx="66">
                  <c:v>43718</c:v>
                </c:pt>
                <c:pt idx="67">
                  <c:v>43717</c:v>
                </c:pt>
                <c:pt idx="68">
                  <c:v>43714</c:v>
                </c:pt>
                <c:pt idx="69">
                  <c:v>43713</c:v>
                </c:pt>
                <c:pt idx="70">
                  <c:v>43712</c:v>
                </c:pt>
                <c:pt idx="71">
                  <c:v>43711</c:v>
                </c:pt>
                <c:pt idx="72">
                  <c:v>43710</c:v>
                </c:pt>
                <c:pt idx="73">
                  <c:v>43707</c:v>
                </c:pt>
                <c:pt idx="74">
                  <c:v>43706</c:v>
                </c:pt>
                <c:pt idx="75">
                  <c:v>43705</c:v>
                </c:pt>
                <c:pt idx="76">
                  <c:v>43704</c:v>
                </c:pt>
                <c:pt idx="77">
                  <c:v>43703</c:v>
                </c:pt>
                <c:pt idx="78">
                  <c:v>43700</c:v>
                </c:pt>
                <c:pt idx="79">
                  <c:v>43699</c:v>
                </c:pt>
                <c:pt idx="80">
                  <c:v>43698</c:v>
                </c:pt>
                <c:pt idx="81">
                  <c:v>43697</c:v>
                </c:pt>
                <c:pt idx="82">
                  <c:v>43696</c:v>
                </c:pt>
                <c:pt idx="83">
                  <c:v>43693</c:v>
                </c:pt>
                <c:pt idx="84">
                  <c:v>43692</c:v>
                </c:pt>
                <c:pt idx="85">
                  <c:v>43691</c:v>
                </c:pt>
                <c:pt idx="86">
                  <c:v>43690</c:v>
                </c:pt>
                <c:pt idx="87">
                  <c:v>43686</c:v>
                </c:pt>
                <c:pt idx="88">
                  <c:v>43685</c:v>
                </c:pt>
                <c:pt idx="89">
                  <c:v>43684</c:v>
                </c:pt>
                <c:pt idx="90">
                  <c:v>43683</c:v>
                </c:pt>
                <c:pt idx="91">
                  <c:v>43682</c:v>
                </c:pt>
                <c:pt idx="92">
                  <c:v>43679</c:v>
                </c:pt>
                <c:pt idx="93">
                  <c:v>43678</c:v>
                </c:pt>
                <c:pt idx="94">
                  <c:v>43677</c:v>
                </c:pt>
                <c:pt idx="95">
                  <c:v>43676</c:v>
                </c:pt>
                <c:pt idx="96">
                  <c:v>43675</c:v>
                </c:pt>
                <c:pt idx="97">
                  <c:v>43672</c:v>
                </c:pt>
                <c:pt idx="98">
                  <c:v>43671</c:v>
                </c:pt>
                <c:pt idx="99">
                  <c:v>43670</c:v>
                </c:pt>
                <c:pt idx="100">
                  <c:v>43669</c:v>
                </c:pt>
                <c:pt idx="101">
                  <c:v>43668</c:v>
                </c:pt>
                <c:pt idx="102">
                  <c:v>43665</c:v>
                </c:pt>
                <c:pt idx="103">
                  <c:v>43664</c:v>
                </c:pt>
                <c:pt idx="104">
                  <c:v>43663</c:v>
                </c:pt>
                <c:pt idx="105">
                  <c:v>43662</c:v>
                </c:pt>
                <c:pt idx="106">
                  <c:v>43658</c:v>
                </c:pt>
                <c:pt idx="107">
                  <c:v>43657</c:v>
                </c:pt>
                <c:pt idx="108">
                  <c:v>43656</c:v>
                </c:pt>
                <c:pt idx="109">
                  <c:v>43655</c:v>
                </c:pt>
                <c:pt idx="110">
                  <c:v>43654</c:v>
                </c:pt>
                <c:pt idx="111">
                  <c:v>43651</c:v>
                </c:pt>
                <c:pt idx="112">
                  <c:v>43650</c:v>
                </c:pt>
                <c:pt idx="113">
                  <c:v>43649</c:v>
                </c:pt>
                <c:pt idx="114">
                  <c:v>43648</c:v>
                </c:pt>
                <c:pt idx="115">
                  <c:v>43647</c:v>
                </c:pt>
                <c:pt idx="116">
                  <c:v>43644</c:v>
                </c:pt>
                <c:pt idx="117">
                  <c:v>43643</c:v>
                </c:pt>
                <c:pt idx="118">
                  <c:v>43642</c:v>
                </c:pt>
                <c:pt idx="119">
                  <c:v>43641</c:v>
                </c:pt>
                <c:pt idx="120">
                  <c:v>43640</c:v>
                </c:pt>
                <c:pt idx="121">
                  <c:v>43637</c:v>
                </c:pt>
                <c:pt idx="122">
                  <c:v>43636</c:v>
                </c:pt>
                <c:pt idx="123">
                  <c:v>43635</c:v>
                </c:pt>
                <c:pt idx="124">
                  <c:v>43634</c:v>
                </c:pt>
                <c:pt idx="125">
                  <c:v>43633</c:v>
                </c:pt>
                <c:pt idx="126">
                  <c:v>43630</c:v>
                </c:pt>
                <c:pt idx="127">
                  <c:v>43629</c:v>
                </c:pt>
                <c:pt idx="128">
                  <c:v>43628</c:v>
                </c:pt>
                <c:pt idx="129">
                  <c:v>43627</c:v>
                </c:pt>
                <c:pt idx="130">
                  <c:v>43626</c:v>
                </c:pt>
                <c:pt idx="131">
                  <c:v>43623</c:v>
                </c:pt>
                <c:pt idx="132">
                  <c:v>43622</c:v>
                </c:pt>
                <c:pt idx="133">
                  <c:v>43621</c:v>
                </c:pt>
                <c:pt idx="134">
                  <c:v>43620</c:v>
                </c:pt>
                <c:pt idx="135">
                  <c:v>43619</c:v>
                </c:pt>
                <c:pt idx="136">
                  <c:v>43616</c:v>
                </c:pt>
                <c:pt idx="137">
                  <c:v>43615</c:v>
                </c:pt>
                <c:pt idx="138">
                  <c:v>43614</c:v>
                </c:pt>
                <c:pt idx="139">
                  <c:v>43613</c:v>
                </c:pt>
                <c:pt idx="140">
                  <c:v>43612</c:v>
                </c:pt>
                <c:pt idx="141">
                  <c:v>43609</c:v>
                </c:pt>
                <c:pt idx="142">
                  <c:v>43608</c:v>
                </c:pt>
                <c:pt idx="143">
                  <c:v>43607</c:v>
                </c:pt>
                <c:pt idx="144">
                  <c:v>43606</c:v>
                </c:pt>
                <c:pt idx="145">
                  <c:v>43605</c:v>
                </c:pt>
                <c:pt idx="146">
                  <c:v>43602</c:v>
                </c:pt>
                <c:pt idx="147">
                  <c:v>43601</c:v>
                </c:pt>
                <c:pt idx="148">
                  <c:v>43600</c:v>
                </c:pt>
                <c:pt idx="149">
                  <c:v>43599</c:v>
                </c:pt>
                <c:pt idx="150">
                  <c:v>43598</c:v>
                </c:pt>
                <c:pt idx="151">
                  <c:v>43595</c:v>
                </c:pt>
                <c:pt idx="152">
                  <c:v>43594</c:v>
                </c:pt>
                <c:pt idx="153">
                  <c:v>43593</c:v>
                </c:pt>
                <c:pt idx="154">
                  <c:v>43592</c:v>
                </c:pt>
                <c:pt idx="155">
                  <c:v>43581</c:v>
                </c:pt>
                <c:pt idx="156">
                  <c:v>43580</c:v>
                </c:pt>
                <c:pt idx="157">
                  <c:v>43579</c:v>
                </c:pt>
                <c:pt idx="158">
                  <c:v>43578</c:v>
                </c:pt>
                <c:pt idx="159">
                  <c:v>43577</c:v>
                </c:pt>
                <c:pt idx="160">
                  <c:v>43574</c:v>
                </c:pt>
                <c:pt idx="161">
                  <c:v>43573</c:v>
                </c:pt>
                <c:pt idx="162">
                  <c:v>43572</c:v>
                </c:pt>
                <c:pt idx="163">
                  <c:v>43571</c:v>
                </c:pt>
                <c:pt idx="164">
                  <c:v>43570</c:v>
                </c:pt>
                <c:pt idx="165">
                  <c:v>43567</c:v>
                </c:pt>
                <c:pt idx="166">
                  <c:v>43566</c:v>
                </c:pt>
                <c:pt idx="167">
                  <c:v>43565</c:v>
                </c:pt>
                <c:pt idx="168">
                  <c:v>43564</c:v>
                </c:pt>
                <c:pt idx="169">
                  <c:v>43563</c:v>
                </c:pt>
                <c:pt idx="170">
                  <c:v>43560</c:v>
                </c:pt>
                <c:pt idx="171">
                  <c:v>43559</c:v>
                </c:pt>
                <c:pt idx="172">
                  <c:v>43558</c:v>
                </c:pt>
                <c:pt idx="173">
                  <c:v>43557</c:v>
                </c:pt>
                <c:pt idx="174">
                  <c:v>43556</c:v>
                </c:pt>
                <c:pt idx="175">
                  <c:v>43553</c:v>
                </c:pt>
                <c:pt idx="176">
                  <c:v>43552</c:v>
                </c:pt>
                <c:pt idx="177">
                  <c:v>43551</c:v>
                </c:pt>
                <c:pt idx="178">
                  <c:v>43550</c:v>
                </c:pt>
                <c:pt idx="179">
                  <c:v>43549</c:v>
                </c:pt>
                <c:pt idx="180">
                  <c:v>43546</c:v>
                </c:pt>
                <c:pt idx="181">
                  <c:v>43544</c:v>
                </c:pt>
                <c:pt idx="182">
                  <c:v>43543</c:v>
                </c:pt>
                <c:pt idx="183">
                  <c:v>43542</c:v>
                </c:pt>
                <c:pt idx="184">
                  <c:v>43539</c:v>
                </c:pt>
                <c:pt idx="185">
                  <c:v>43538</c:v>
                </c:pt>
                <c:pt idx="186">
                  <c:v>43537</c:v>
                </c:pt>
                <c:pt idx="187">
                  <c:v>43536</c:v>
                </c:pt>
                <c:pt idx="188">
                  <c:v>43535</c:v>
                </c:pt>
                <c:pt idx="189">
                  <c:v>43532</c:v>
                </c:pt>
                <c:pt idx="190">
                  <c:v>43531</c:v>
                </c:pt>
                <c:pt idx="191">
                  <c:v>43530</c:v>
                </c:pt>
                <c:pt idx="192">
                  <c:v>43529</c:v>
                </c:pt>
                <c:pt idx="193">
                  <c:v>43528</c:v>
                </c:pt>
                <c:pt idx="194">
                  <c:v>43525</c:v>
                </c:pt>
                <c:pt idx="195">
                  <c:v>43524</c:v>
                </c:pt>
                <c:pt idx="196">
                  <c:v>43523</c:v>
                </c:pt>
                <c:pt idx="197">
                  <c:v>43522</c:v>
                </c:pt>
                <c:pt idx="198">
                  <c:v>43521</c:v>
                </c:pt>
                <c:pt idx="199">
                  <c:v>43518</c:v>
                </c:pt>
                <c:pt idx="200">
                  <c:v>43517</c:v>
                </c:pt>
                <c:pt idx="201">
                  <c:v>43516</c:v>
                </c:pt>
                <c:pt idx="202">
                  <c:v>43515</c:v>
                </c:pt>
                <c:pt idx="203">
                  <c:v>43514</c:v>
                </c:pt>
                <c:pt idx="204">
                  <c:v>43511</c:v>
                </c:pt>
                <c:pt idx="205">
                  <c:v>43510</c:v>
                </c:pt>
                <c:pt idx="206">
                  <c:v>43509</c:v>
                </c:pt>
                <c:pt idx="207">
                  <c:v>43508</c:v>
                </c:pt>
                <c:pt idx="208">
                  <c:v>43504</c:v>
                </c:pt>
                <c:pt idx="209">
                  <c:v>43503</c:v>
                </c:pt>
                <c:pt idx="210">
                  <c:v>43502</c:v>
                </c:pt>
                <c:pt idx="211">
                  <c:v>43501</c:v>
                </c:pt>
                <c:pt idx="212">
                  <c:v>43500</c:v>
                </c:pt>
                <c:pt idx="213">
                  <c:v>43497</c:v>
                </c:pt>
                <c:pt idx="214">
                  <c:v>43496</c:v>
                </c:pt>
                <c:pt idx="215">
                  <c:v>43495</c:v>
                </c:pt>
                <c:pt idx="216">
                  <c:v>43494</c:v>
                </c:pt>
                <c:pt idx="217">
                  <c:v>43493</c:v>
                </c:pt>
                <c:pt idx="218">
                  <c:v>43490</c:v>
                </c:pt>
                <c:pt idx="219">
                  <c:v>43489</c:v>
                </c:pt>
                <c:pt idx="220">
                  <c:v>43488</c:v>
                </c:pt>
                <c:pt idx="221">
                  <c:v>43487</c:v>
                </c:pt>
                <c:pt idx="222">
                  <c:v>43486</c:v>
                </c:pt>
                <c:pt idx="223">
                  <c:v>43483</c:v>
                </c:pt>
                <c:pt idx="224">
                  <c:v>43482</c:v>
                </c:pt>
                <c:pt idx="225">
                  <c:v>43481</c:v>
                </c:pt>
                <c:pt idx="226">
                  <c:v>43480</c:v>
                </c:pt>
                <c:pt idx="227">
                  <c:v>43476</c:v>
                </c:pt>
                <c:pt idx="228">
                  <c:v>43475</c:v>
                </c:pt>
                <c:pt idx="229">
                  <c:v>43474</c:v>
                </c:pt>
                <c:pt idx="230">
                  <c:v>43473</c:v>
                </c:pt>
                <c:pt idx="231">
                  <c:v>43472</c:v>
                </c:pt>
                <c:pt idx="232">
                  <c:v>43469</c:v>
                </c:pt>
                <c:pt idx="233">
                  <c:v>43462</c:v>
                </c:pt>
                <c:pt idx="234">
                  <c:v>43461</c:v>
                </c:pt>
                <c:pt idx="235">
                  <c:v>43460</c:v>
                </c:pt>
                <c:pt idx="236">
                  <c:v>43459</c:v>
                </c:pt>
                <c:pt idx="237">
                  <c:v>43455</c:v>
                </c:pt>
                <c:pt idx="238">
                  <c:v>43454</c:v>
                </c:pt>
                <c:pt idx="239">
                  <c:v>43453</c:v>
                </c:pt>
                <c:pt idx="240">
                  <c:v>43452</c:v>
                </c:pt>
                <c:pt idx="241">
                  <c:v>43451</c:v>
                </c:pt>
              </c:numCache>
            </c:numRef>
          </c:cat>
          <c:val>
            <c:numRef>
              <c:f>BACK_TEST!$N$82:$N$700</c:f>
              <c:numCache>
                <c:formatCode>General</c:formatCode>
                <c:ptCount val="619"/>
                <c:pt idx="0">
                  <c:v>0.457691437673302</c:v>
                </c:pt>
                <c:pt idx="1">
                  <c:v>0.41625372150496798</c:v>
                </c:pt>
                <c:pt idx="2">
                  <c:v>0.41787564104992803</c:v>
                </c:pt>
                <c:pt idx="3">
                  <c:v>0.40759828879646098</c:v>
                </c:pt>
                <c:pt idx="4">
                  <c:v>0.40500022072442199</c:v>
                </c:pt>
                <c:pt idx="5">
                  <c:v>0.49079249665174601</c:v>
                </c:pt>
                <c:pt idx="6">
                  <c:v>0.54056933045491495</c:v>
                </c:pt>
                <c:pt idx="7">
                  <c:v>0.51010654885593198</c:v>
                </c:pt>
                <c:pt idx="8">
                  <c:v>0.36394770316604602</c:v>
                </c:pt>
                <c:pt idx="9">
                  <c:v>0.380273733387132</c:v>
                </c:pt>
                <c:pt idx="10">
                  <c:v>0.37362932947783001</c:v>
                </c:pt>
                <c:pt idx="11">
                  <c:v>0.50527392223462797</c:v>
                </c:pt>
                <c:pt idx="12">
                  <c:v>0.48157707133989602</c:v>
                </c:pt>
                <c:pt idx="13">
                  <c:v>0.38451030241939899</c:v>
                </c:pt>
                <c:pt idx="14">
                  <c:v>0.37970919135311998</c:v>
                </c:pt>
                <c:pt idx="15">
                  <c:v>0.51048547358254004</c:v>
                </c:pt>
                <c:pt idx="16">
                  <c:v>0.50853754487432801</c:v>
                </c:pt>
                <c:pt idx="17">
                  <c:v>0.48694246609956698</c:v>
                </c:pt>
                <c:pt idx="18" formatCode="0.00E+00">
                  <c:v>0.486607412223025</c:v>
                </c:pt>
                <c:pt idx="19" formatCode="0.00E+00">
                  <c:v>0.48558093047594297</c:v>
                </c:pt>
                <c:pt idx="20" formatCode="0.00E+00">
                  <c:v>0.50152186497815798</c:v>
                </c:pt>
                <c:pt idx="21" formatCode="0.00E+00">
                  <c:v>0.48018197023405401</c:v>
                </c:pt>
                <c:pt idx="22">
                  <c:v>0.51422329780600096</c:v>
                </c:pt>
                <c:pt idx="23">
                  <c:v>0.51441782942236902</c:v>
                </c:pt>
                <c:pt idx="24">
                  <c:v>0.49383441421851099</c:v>
                </c:pt>
                <c:pt idx="25">
                  <c:v>0.49855754227830801</c:v>
                </c:pt>
                <c:pt idx="26">
                  <c:v>0.44501926847277101</c:v>
                </c:pt>
                <c:pt idx="27">
                  <c:v>0.48324662056324102</c:v>
                </c:pt>
                <c:pt idx="28">
                  <c:v>0.47826371394349998</c:v>
                </c:pt>
                <c:pt idx="29">
                  <c:v>0.46818322138212198</c:v>
                </c:pt>
                <c:pt idx="30">
                  <c:v>0.51730516133600302</c:v>
                </c:pt>
                <c:pt idx="31">
                  <c:v>0.47122656237902399</c:v>
                </c:pt>
                <c:pt idx="32">
                  <c:v>0.257706889128334</c:v>
                </c:pt>
                <c:pt idx="33">
                  <c:v>0.23608567925447899</c:v>
                </c:pt>
                <c:pt idx="34">
                  <c:v>0.41905872464841398</c:v>
                </c:pt>
                <c:pt idx="35">
                  <c:v>0.42439015284707698</c:v>
                </c:pt>
                <c:pt idx="36">
                  <c:v>0.40391515098069303</c:v>
                </c:pt>
                <c:pt idx="37">
                  <c:v>0.186586680497378</c:v>
                </c:pt>
                <c:pt idx="38">
                  <c:v>0.18138319375334699</c:v>
                </c:pt>
                <c:pt idx="39">
                  <c:v>0.18627356197713099</c:v>
                </c:pt>
                <c:pt idx="40">
                  <c:v>0.32001535663558101</c:v>
                </c:pt>
                <c:pt idx="41">
                  <c:v>0.30872795184282398</c:v>
                </c:pt>
                <c:pt idx="42">
                  <c:v>0.31930175253885801</c:v>
                </c:pt>
                <c:pt idx="43">
                  <c:v>0.36406882200392499</c:v>
                </c:pt>
                <c:pt idx="44">
                  <c:v>0.40554466479787599</c:v>
                </c:pt>
                <c:pt idx="45">
                  <c:v>0.40722957644131103</c:v>
                </c:pt>
                <c:pt idx="46">
                  <c:v>0.40855234271048602</c:v>
                </c:pt>
                <c:pt idx="47">
                  <c:v>0.24884310325672601</c:v>
                </c:pt>
                <c:pt idx="48">
                  <c:v>0.22084149374088899</c:v>
                </c:pt>
                <c:pt idx="49">
                  <c:v>0.21483683365693801</c:v>
                </c:pt>
                <c:pt idx="50">
                  <c:v>0.14041113341682601</c:v>
                </c:pt>
                <c:pt idx="51">
                  <c:v>0.185651184769763</c:v>
                </c:pt>
                <c:pt idx="52">
                  <c:v>0.25132382843643303</c:v>
                </c:pt>
                <c:pt idx="53">
                  <c:v>0.27450476999527801</c:v>
                </c:pt>
                <c:pt idx="54">
                  <c:v>0.23312556854165001</c:v>
                </c:pt>
                <c:pt idx="55">
                  <c:v>0.30123751841961999</c:v>
                </c:pt>
                <c:pt idx="56">
                  <c:v>0.45487007774365501</c:v>
                </c:pt>
                <c:pt idx="57">
                  <c:v>0.18708115129072</c:v>
                </c:pt>
                <c:pt idx="58">
                  <c:v>0.18998896994167599</c:v>
                </c:pt>
                <c:pt idx="59">
                  <c:v>0.18078712838608199</c:v>
                </c:pt>
                <c:pt idx="60">
                  <c:v>0.18454666364132399</c:v>
                </c:pt>
                <c:pt idx="61">
                  <c:v>0.198152325305187</c:v>
                </c:pt>
                <c:pt idx="62">
                  <c:v>0.21966696538351699</c:v>
                </c:pt>
                <c:pt idx="63">
                  <c:v>0.54580236522425596</c:v>
                </c:pt>
                <c:pt idx="64">
                  <c:v>0.221813475644247</c:v>
                </c:pt>
                <c:pt idx="65">
                  <c:v>0.45291560673380199</c:v>
                </c:pt>
                <c:pt idx="66">
                  <c:v>0.46130100977761102</c:v>
                </c:pt>
                <c:pt idx="67">
                  <c:v>0.37301696398747702</c:v>
                </c:pt>
                <c:pt idx="68">
                  <c:v>0.194844637696416</c:v>
                </c:pt>
                <c:pt idx="69">
                  <c:v>0.18043559661241701</c:v>
                </c:pt>
                <c:pt idx="70">
                  <c:v>0.172907029167812</c:v>
                </c:pt>
                <c:pt idx="71">
                  <c:v>0.168210159860994</c:v>
                </c:pt>
                <c:pt idx="72">
                  <c:v>0.17755242979980501</c:v>
                </c:pt>
                <c:pt idx="73">
                  <c:v>0.17278126531671401</c:v>
                </c:pt>
                <c:pt idx="74">
                  <c:v>0.16962581610946001</c:v>
                </c:pt>
                <c:pt idx="75">
                  <c:v>0.171811769777235</c:v>
                </c:pt>
                <c:pt idx="76">
                  <c:v>0.17443205131651701</c:v>
                </c:pt>
                <c:pt idx="77">
                  <c:v>0.17096196671602601</c:v>
                </c:pt>
                <c:pt idx="78">
                  <c:v>0.17974715308790001</c:v>
                </c:pt>
                <c:pt idx="79">
                  <c:v>0.17785762392415799</c:v>
                </c:pt>
                <c:pt idx="80">
                  <c:v>0.18147921000964401</c:v>
                </c:pt>
                <c:pt idx="81">
                  <c:v>0.169135152376297</c:v>
                </c:pt>
                <c:pt idx="82">
                  <c:v>0.17259318670110599</c:v>
                </c:pt>
                <c:pt idx="83">
                  <c:v>0.179914184150679</c:v>
                </c:pt>
                <c:pt idx="84">
                  <c:v>0.17016759271714599</c:v>
                </c:pt>
                <c:pt idx="85">
                  <c:v>0.18054072575505301</c:v>
                </c:pt>
                <c:pt idx="86">
                  <c:v>0.173204827382515</c:v>
                </c:pt>
                <c:pt idx="87">
                  <c:v>0.13151931010585799</c:v>
                </c:pt>
                <c:pt idx="88">
                  <c:v>0.12664762958113601</c:v>
                </c:pt>
                <c:pt idx="89">
                  <c:v>0.14615494730992001</c:v>
                </c:pt>
                <c:pt idx="90">
                  <c:v>0.13768367278638699</c:v>
                </c:pt>
                <c:pt idx="91">
                  <c:v>0.127773268949748</c:v>
                </c:pt>
                <c:pt idx="92">
                  <c:v>0.13933002824461399</c:v>
                </c:pt>
                <c:pt idx="93">
                  <c:v>0.17298955631933799</c:v>
                </c:pt>
                <c:pt idx="94">
                  <c:v>0.24580135707891601</c:v>
                </c:pt>
                <c:pt idx="95">
                  <c:v>0.212493726371038</c:v>
                </c:pt>
                <c:pt idx="96">
                  <c:v>0.23565179191732899</c:v>
                </c:pt>
                <c:pt idx="97">
                  <c:v>0.27370682286054099</c:v>
                </c:pt>
                <c:pt idx="98">
                  <c:v>0.26283902860814101</c:v>
                </c:pt>
                <c:pt idx="99">
                  <c:v>0.28486362324869302</c:v>
                </c:pt>
                <c:pt idx="100">
                  <c:v>0.32276252693829199</c:v>
                </c:pt>
                <c:pt idx="101">
                  <c:v>0.23558886950048399</c:v>
                </c:pt>
                <c:pt idx="102">
                  <c:v>0.129090233071226</c:v>
                </c:pt>
                <c:pt idx="103">
                  <c:v>0.13447920374528499</c:v>
                </c:pt>
                <c:pt idx="104">
                  <c:v>0.13784350342087801</c:v>
                </c:pt>
                <c:pt idx="105">
                  <c:v>0.14456265248602801</c:v>
                </c:pt>
                <c:pt idx="106">
                  <c:v>0.135780463728433</c:v>
                </c:pt>
                <c:pt idx="107">
                  <c:v>0.144279606401674</c:v>
                </c:pt>
                <c:pt idx="108">
                  <c:v>0.14934755969501101</c:v>
                </c:pt>
                <c:pt idx="109">
                  <c:v>0.15395171485450501</c:v>
                </c:pt>
                <c:pt idx="110">
                  <c:v>0.155322495826822</c:v>
                </c:pt>
                <c:pt idx="111">
                  <c:v>0.14856413971718899</c:v>
                </c:pt>
                <c:pt idx="112">
                  <c:v>0.14879824821009899</c:v>
                </c:pt>
                <c:pt idx="113">
                  <c:v>0.15160066512974699</c:v>
                </c:pt>
                <c:pt idx="114">
                  <c:v>0.17012538014646</c:v>
                </c:pt>
                <c:pt idx="115">
                  <c:v>0.132464776724599</c:v>
                </c:pt>
                <c:pt idx="116">
                  <c:v>0.13833753099336801</c:v>
                </c:pt>
                <c:pt idx="117">
                  <c:v>0.15918667525579</c:v>
                </c:pt>
                <c:pt idx="118">
                  <c:v>0.172772919782722</c:v>
                </c:pt>
                <c:pt idx="119">
                  <c:v>0.18692723133463199</c:v>
                </c:pt>
                <c:pt idx="120">
                  <c:v>0.16806810535234901</c:v>
                </c:pt>
                <c:pt idx="121">
                  <c:v>0.14043403555505901</c:v>
                </c:pt>
                <c:pt idx="122">
                  <c:v>0.15772713867535201</c:v>
                </c:pt>
                <c:pt idx="123">
                  <c:v>0.12007406788661</c:v>
                </c:pt>
                <c:pt idx="124">
                  <c:v>0.13111281206591099</c:v>
                </c:pt>
                <c:pt idx="125">
                  <c:v>0.122745145231669</c:v>
                </c:pt>
                <c:pt idx="126">
                  <c:v>0.12340046755593399</c:v>
                </c:pt>
                <c:pt idx="127">
                  <c:v>0.149810963219734</c:v>
                </c:pt>
                <c:pt idx="128">
                  <c:v>0.12297995848700601</c:v>
                </c:pt>
                <c:pt idx="129">
                  <c:v>0.102618733462572</c:v>
                </c:pt>
                <c:pt idx="130">
                  <c:v>8.0328908720484704E-2</c:v>
                </c:pt>
                <c:pt idx="131">
                  <c:v>6.4668435313701894E-2</c:v>
                </c:pt>
                <c:pt idx="132">
                  <c:v>6.08606661569829E-2</c:v>
                </c:pt>
                <c:pt idx="133">
                  <c:v>5.9647332200367602E-2</c:v>
                </c:pt>
                <c:pt idx="134">
                  <c:v>4.8777719018125797E-2</c:v>
                </c:pt>
                <c:pt idx="135">
                  <c:v>5.3396853780166398E-2</c:v>
                </c:pt>
                <c:pt idx="136">
                  <c:v>5.7343587919750402E-2</c:v>
                </c:pt>
                <c:pt idx="137">
                  <c:v>4.5173327139136799E-2</c:v>
                </c:pt>
                <c:pt idx="138">
                  <c:v>5.0843937296416203E-2</c:v>
                </c:pt>
                <c:pt idx="139">
                  <c:v>6.0124848249350098E-2</c:v>
                </c:pt>
                <c:pt idx="140">
                  <c:v>6.1125468188491898E-2</c:v>
                </c:pt>
                <c:pt idx="141">
                  <c:v>5.9969421094917097E-2</c:v>
                </c:pt>
                <c:pt idx="142">
                  <c:v>6.8319049529404902E-2</c:v>
                </c:pt>
                <c:pt idx="143">
                  <c:v>5.8224692897840997E-2</c:v>
                </c:pt>
                <c:pt idx="144">
                  <c:v>4.6505584629190001E-2</c:v>
                </c:pt>
                <c:pt idx="145">
                  <c:v>9.7275346302566401E-2</c:v>
                </c:pt>
                <c:pt idx="146">
                  <c:v>0.11383598967627</c:v>
                </c:pt>
                <c:pt idx="147">
                  <c:v>0.11574354463021599</c:v>
                </c:pt>
                <c:pt idx="148">
                  <c:v>0.13922441004198899</c:v>
                </c:pt>
                <c:pt idx="149">
                  <c:v>0.10628112822421</c:v>
                </c:pt>
                <c:pt idx="150">
                  <c:v>8.4418973875141398E-2</c:v>
                </c:pt>
                <c:pt idx="151">
                  <c:v>7.2384150452451501E-2</c:v>
                </c:pt>
                <c:pt idx="152">
                  <c:v>0.111316925708665</c:v>
                </c:pt>
                <c:pt idx="153">
                  <c:v>0.114109406204101</c:v>
                </c:pt>
                <c:pt idx="154">
                  <c:v>0.116555399946546</c:v>
                </c:pt>
                <c:pt idx="155">
                  <c:v>0.30703822756139298</c:v>
                </c:pt>
                <c:pt idx="156">
                  <c:v>0.371945266287174</c:v>
                </c:pt>
                <c:pt idx="157">
                  <c:v>0.298626933688736</c:v>
                </c:pt>
                <c:pt idx="158">
                  <c:v>0.34304395815054201</c:v>
                </c:pt>
                <c:pt idx="159">
                  <c:v>0.42654866142112102</c:v>
                </c:pt>
                <c:pt idx="160">
                  <c:v>0.36476757467634002</c:v>
                </c:pt>
                <c:pt idx="161">
                  <c:v>0.35197077613179301</c:v>
                </c:pt>
                <c:pt idx="162">
                  <c:v>0.36013034704881203</c:v>
                </c:pt>
                <c:pt idx="163">
                  <c:v>0.39284188588206997</c:v>
                </c:pt>
                <c:pt idx="164">
                  <c:v>0.40960536578012802</c:v>
                </c:pt>
                <c:pt idx="165">
                  <c:v>0.420224641529378</c:v>
                </c:pt>
                <c:pt idx="166">
                  <c:v>0.42232299334030299</c:v>
                </c:pt>
                <c:pt idx="167">
                  <c:v>0.412392432018925</c:v>
                </c:pt>
                <c:pt idx="168">
                  <c:v>0.38722785990602399</c:v>
                </c:pt>
                <c:pt idx="169">
                  <c:v>0.46960888638595899</c:v>
                </c:pt>
                <c:pt idx="170">
                  <c:v>0.47418319160788402</c:v>
                </c:pt>
                <c:pt idx="171">
                  <c:v>0.50830939267901099</c:v>
                </c:pt>
                <c:pt idx="172">
                  <c:v>0.49294134878010798</c:v>
                </c:pt>
                <c:pt idx="173">
                  <c:v>0.45646672236306801</c:v>
                </c:pt>
                <c:pt idx="174">
                  <c:v>0.49047426641550101</c:v>
                </c:pt>
                <c:pt idx="175">
                  <c:v>0.47589497273272002</c:v>
                </c:pt>
                <c:pt idx="176">
                  <c:v>0.47160252088785298</c:v>
                </c:pt>
                <c:pt idx="177">
                  <c:v>0.44190857102117198</c:v>
                </c:pt>
                <c:pt idx="178">
                  <c:v>0.48071085274334602</c:v>
                </c:pt>
                <c:pt idx="179">
                  <c:v>0.49621644818389998</c:v>
                </c:pt>
                <c:pt idx="180">
                  <c:v>0.57561140879320605</c:v>
                </c:pt>
                <c:pt idx="181">
                  <c:v>0.54294559150036104</c:v>
                </c:pt>
                <c:pt idx="182">
                  <c:v>0.60035691736431995</c:v>
                </c:pt>
                <c:pt idx="183">
                  <c:v>0.61792305273340598</c:v>
                </c:pt>
                <c:pt idx="184">
                  <c:v>0.56519323888634199</c:v>
                </c:pt>
                <c:pt idx="185">
                  <c:v>0.56844858561620604</c:v>
                </c:pt>
                <c:pt idx="186">
                  <c:v>0.59837855880771795</c:v>
                </c:pt>
                <c:pt idx="187">
                  <c:v>0.58053717571917596</c:v>
                </c:pt>
                <c:pt idx="188">
                  <c:v>0.60039699148667502</c:v>
                </c:pt>
                <c:pt idx="189">
                  <c:v>0.65897433867205801</c:v>
                </c:pt>
                <c:pt idx="190">
                  <c:v>0.66054117599748896</c:v>
                </c:pt>
                <c:pt idx="191">
                  <c:v>0.64509734147234299</c:v>
                </c:pt>
                <c:pt idx="192">
                  <c:v>0.636907814015228</c:v>
                </c:pt>
                <c:pt idx="193">
                  <c:v>0.65248237604799497</c:v>
                </c:pt>
                <c:pt idx="194">
                  <c:v>0.58641812922809999</c:v>
                </c:pt>
                <c:pt idx="195">
                  <c:v>0.56982717016085205</c:v>
                </c:pt>
                <c:pt idx="196">
                  <c:v>0.57009816360626098</c:v>
                </c:pt>
                <c:pt idx="197">
                  <c:v>0.56114352980256499</c:v>
                </c:pt>
                <c:pt idx="198">
                  <c:v>0.50471196223286297</c:v>
                </c:pt>
                <c:pt idx="199">
                  <c:v>0.55300706708406999</c:v>
                </c:pt>
                <c:pt idx="200">
                  <c:v>0.91182856617777497</c:v>
                </c:pt>
                <c:pt idx="201">
                  <c:v>0.88378063583015898</c:v>
                </c:pt>
                <c:pt idx="202">
                  <c:v>0.89913992396362796</c:v>
                </c:pt>
                <c:pt idx="203">
                  <c:v>0.90949177877865806</c:v>
                </c:pt>
                <c:pt idx="204">
                  <c:v>0.82283935814359099</c:v>
                </c:pt>
                <c:pt idx="205">
                  <c:v>0.85644750016763604</c:v>
                </c:pt>
                <c:pt idx="206">
                  <c:v>0.74262853123831496</c:v>
                </c:pt>
                <c:pt idx="207">
                  <c:v>0.72981198128802405</c:v>
                </c:pt>
                <c:pt idx="208">
                  <c:v>0.68208050956527999</c:v>
                </c:pt>
                <c:pt idx="209">
                  <c:v>0.69634972485413105</c:v>
                </c:pt>
                <c:pt idx="210">
                  <c:v>0.78422591733041003</c:v>
                </c:pt>
                <c:pt idx="211">
                  <c:v>0.61123335662662603</c:v>
                </c:pt>
                <c:pt idx="212">
                  <c:v>0.82773894037514495</c:v>
                </c:pt>
                <c:pt idx="213">
                  <c:v>0.76531096943273402</c:v>
                </c:pt>
                <c:pt idx="214">
                  <c:v>0.79926136441252205</c:v>
                </c:pt>
                <c:pt idx="215">
                  <c:v>0.83061726670951996</c:v>
                </c:pt>
                <c:pt idx="216">
                  <c:v>0.81007430749996001</c:v>
                </c:pt>
                <c:pt idx="217">
                  <c:v>0.79286830610065995</c:v>
                </c:pt>
                <c:pt idx="218">
                  <c:v>0.79432674798957903</c:v>
                </c:pt>
                <c:pt idx="219">
                  <c:v>0.82723857838778603</c:v>
                </c:pt>
                <c:pt idx="220">
                  <c:v>0.84789733401822098</c:v>
                </c:pt>
                <c:pt idx="221">
                  <c:v>0.88762209684525695</c:v>
                </c:pt>
                <c:pt idx="222">
                  <c:v>0.89346592787110002</c:v>
                </c:pt>
                <c:pt idx="223">
                  <c:v>0.881311755496334</c:v>
                </c:pt>
                <c:pt idx="224">
                  <c:v>0.89207811131273895</c:v>
                </c:pt>
                <c:pt idx="225">
                  <c:v>0.90389693046540798</c:v>
                </c:pt>
                <c:pt idx="226">
                  <c:v>0.88120582917935497</c:v>
                </c:pt>
                <c:pt idx="227">
                  <c:v>0.866678198500758</c:v>
                </c:pt>
                <c:pt idx="228">
                  <c:v>0.87931379919665698</c:v>
                </c:pt>
                <c:pt idx="229">
                  <c:v>0.87829746264379305</c:v>
                </c:pt>
                <c:pt idx="230">
                  <c:v>0.88196776916851305</c:v>
                </c:pt>
                <c:pt idx="231">
                  <c:v>0.88695088903140995</c:v>
                </c:pt>
                <c:pt idx="232">
                  <c:v>0.88085876403831498</c:v>
                </c:pt>
                <c:pt idx="233">
                  <c:v>0.89928052672464798</c:v>
                </c:pt>
                <c:pt idx="234">
                  <c:v>0.89967878548414504</c:v>
                </c:pt>
                <c:pt idx="235">
                  <c:v>0.92165629887327205</c:v>
                </c:pt>
                <c:pt idx="236">
                  <c:v>0.94130107965625798</c:v>
                </c:pt>
                <c:pt idx="237">
                  <c:v>0.93525992880899</c:v>
                </c:pt>
                <c:pt idx="238">
                  <c:v>0.954273989523447</c:v>
                </c:pt>
                <c:pt idx="239">
                  <c:v>0.95748582054864295</c:v>
                </c:pt>
                <c:pt idx="240">
                  <c:v>0.96055583399965405</c:v>
                </c:pt>
                <c:pt idx="241">
                  <c:v>0.96479195621210301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08-425E-9DDB-C8B817E9D9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837184"/>
        <c:axId val="137867648"/>
      </c:lineChart>
      <c:dateAx>
        <c:axId val="1378371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867648"/>
        <c:crosses val="autoZero"/>
        <c:auto val="1"/>
        <c:lblOffset val="100"/>
        <c:baseTimeUnit val="days"/>
      </c:dateAx>
      <c:valAx>
        <c:axId val="1378676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83718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868241892809431E-2"/>
          <c:y val="8.1284535694720383E-2"/>
          <c:w val="0.90558616623760591"/>
          <c:h val="0.81342996711994453"/>
        </c:manualLayout>
      </c:layout>
      <c:lineChart>
        <c:grouping val="standard"/>
        <c:varyColors val="0"/>
        <c:ser>
          <c:idx val="0"/>
          <c:order val="0"/>
          <c:tx>
            <c:strRef>
              <c:f>Graph!$F$41</c:f>
              <c:strCache>
                <c:ptCount val="1"/>
                <c:pt idx="0">
                  <c:v>saya_divide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43819</c:v>
                </c:pt>
                <c:pt idx="1">
                  <c:v>43818</c:v>
                </c:pt>
                <c:pt idx="2">
                  <c:v>43817</c:v>
                </c:pt>
                <c:pt idx="3">
                  <c:v>43816</c:v>
                </c:pt>
                <c:pt idx="4">
                  <c:v>43815</c:v>
                </c:pt>
                <c:pt idx="5">
                  <c:v>43812</c:v>
                </c:pt>
                <c:pt idx="6">
                  <c:v>43811</c:v>
                </c:pt>
                <c:pt idx="7">
                  <c:v>43810</c:v>
                </c:pt>
                <c:pt idx="8">
                  <c:v>43809</c:v>
                </c:pt>
                <c:pt idx="9">
                  <c:v>43808</c:v>
                </c:pt>
                <c:pt idx="10">
                  <c:v>43805</c:v>
                </c:pt>
                <c:pt idx="11">
                  <c:v>43804</c:v>
                </c:pt>
                <c:pt idx="12">
                  <c:v>43803</c:v>
                </c:pt>
                <c:pt idx="13">
                  <c:v>43802</c:v>
                </c:pt>
                <c:pt idx="14">
                  <c:v>43801</c:v>
                </c:pt>
                <c:pt idx="15">
                  <c:v>43798</c:v>
                </c:pt>
                <c:pt idx="16">
                  <c:v>43797</c:v>
                </c:pt>
                <c:pt idx="17">
                  <c:v>43796</c:v>
                </c:pt>
                <c:pt idx="18">
                  <c:v>43795</c:v>
                </c:pt>
                <c:pt idx="19">
                  <c:v>43794</c:v>
                </c:pt>
                <c:pt idx="20">
                  <c:v>43791</c:v>
                </c:pt>
                <c:pt idx="21">
                  <c:v>43790</c:v>
                </c:pt>
                <c:pt idx="22">
                  <c:v>43789</c:v>
                </c:pt>
                <c:pt idx="23">
                  <c:v>43788</c:v>
                </c:pt>
                <c:pt idx="24">
                  <c:v>43787</c:v>
                </c:pt>
                <c:pt idx="25">
                  <c:v>43784</c:v>
                </c:pt>
                <c:pt idx="26">
                  <c:v>43783</c:v>
                </c:pt>
                <c:pt idx="27">
                  <c:v>43782</c:v>
                </c:pt>
                <c:pt idx="28">
                  <c:v>43781</c:v>
                </c:pt>
                <c:pt idx="29">
                  <c:v>43780</c:v>
                </c:pt>
                <c:pt idx="30">
                  <c:v>43777</c:v>
                </c:pt>
                <c:pt idx="31">
                  <c:v>43776</c:v>
                </c:pt>
                <c:pt idx="32">
                  <c:v>43775</c:v>
                </c:pt>
                <c:pt idx="33">
                  <c:v>43774</c:v>
                </c:pt>
                <c:pt idx="34">
                  <c:v>43770</c:v>
                </c:pt>
                <c:pt idx="35">
                  <c:v>43769</c:v>
                </c:pt>
                <c:pt idx="36">
                  <c:v>43768</c:v>
                </c:pt>
                <c:pt idx="37">
                  <c:v>43767</c:v>
                </c:pt>
                <c:pt idx="38">
                  <c:v>43766</c:v>
                </c:pt>
                <c:pt idx="39">
                  <c:v>43763</c:v>
                </c:pt>
                <c:pt idx="40">
                  <c:v>43762</c:v>
                </c:pt>
                <c:pt idx="41">
                  <c:v>43761</c:v>
                </c:pt>
                <c:pt idx="42">
                  <c:v>43759</c:v>
                </c:pt>
                <c:pt idx="43">
                  <c:v>43756</c:v>
                </c:pt>
                <c:pt idx="44">
                  <c:v>43755</c:v>
                </c:pt>
                <c:pt idx="45">
                  <c:v>43754</c:v>
                </c:pt>
                <c:pt idx="46">
                  <c:v>43753</c:v>
                </c:pt>
                <c:pt idx="47">
                  <c:v>43749</c:v>
                </c:pt>
                <c:pt idx="48">
                  <c:v>43748</c:v>
                </c:pt>
                <c:pt idx="49">
                  <c:v>43747</c:v>
                </c:pt>
                <c:pt idx="50">
                  <c:v>43746</c:v>
                </c:pt>
                <c:pt idx="51">
                  <c:v>43745</c:v>
                </c:pt>
                <c:pt idx="52">
                  <c:v>43742</c:v>
                </c:pt>
                <c:pt idx="53">
                  <c:v>43741</c:v>
                </c:pt>
                <c:pt idx="54">
                  <c:v>43740</c:v>
                </c:pt>
                <c:pt idx="55">
                  <c:v>43739</c:v>
                </c:pt>
                <c:pt idx="56">
                  <c:v>43738</c:v>
                </c:pt>
                <c:pt idx="57">
                  <c:v>43735</c:v>
                </c:pt>
                <c:pt idx="58">
                  <c:v>43734</c:v>
                </c:pt>
                <c:pt idx="59">
                  <c:v>43733</c:v>
                </c:pt>
                <c:pt idx="60">
                  <c:v>43732</c:v>
                </c:pt>
                <c:pt idx="61">
                  <c:v>43728</c:v>
                </c:pt>
                <c:pt idx="62">
                  <c:v>43727</c:v>
                </c:pt>
                <c:pt idx="63">
                  <c:v>43726</c:v>
                </c:pt>
                <c:pt idx="64">
                  <c:v>43725</c:v>
                </c:pt>
                <c:pt idx="65">
                  <c:v>43721</c:v>
                </c:pt>
                <c:pt idx="66">
                  <c:v>43720</c:v>
                </c:pt>
                <c:pt idx="67">
                  <c:v>43719</c:v>
                </c:pt>
                <c:pt idx="68">
                  <c:v>43718</c:v>
                </c:pt>
                <c:pt idx="69">
                  <c:v>43717</c:v>
                </c:pt>
                <c:pt idx="70">
                  <c:v>43714</c:v>
                </c:pt>
                <c:pt idx="71">
                  <c:v>43713</c:v>
                </c:pt>
                <c:pt idx="72">
                  <c:v>43712</c:v>
                </c:pt>
                <c:pt idx="73">
                  <c:v>43711</c:v>
                </c:pt>
                <c:pt idx="74">
                  <c:v>43710</c:v>
                </c:pt>
                <c:pt idx="75">
                  <c:v>43707</c:v>
                </c:pt>
                <c:pt idx="76">
                  <c:v>43706</c:v>
                </c:pt>
                <c:pt idx="77">
                  <c:v>43705</c:v>
                </c:pt>
                <c:pt idx="78">
                  <c:v>43704</c:v>
                </c:pt>
                <c:pt idx="79">
                  <c:v>43703</c:v>
                </c:pt>
                <c:pt idx="80">
                  <c:v>43700</c:v>
                </c:pt>
                <c:pt idx="81">
                  <c:v>43699</c:v>
                </c:pt>
                <c:pt idx="82">
                  <c:v>43698</c:v>
                </c:pt>
                <c:pt idx="83">
                  <c:v>43697</c:v>
                </c:pt>
                <c:pt idx="84">
                  <c:v>43696</c:v>
                </c:pt>
                <c:pt idx="85">
                  <c:v>43693</c:v>
                </c:pt>
                <c:pt idx="86">
                  <c:v>43692</c:v>
                </c:pt>
                <c:pt idx="87">
                  <c:v>43691</c:v>
                </c:pt>
                <c:pt idx="88">
                  <c:v>43690</c:v>
                </c:pt>
                <c:pt idx="89">
                  <c:v>43686</c:v>
                </c:pt>
                <c:pt idx="90">
                  <c:v>43685</c:v>
                </c:pt>
                <c:pt idx="91">
                  <c:v>43684</c:v>
                </c:pt>
                <c:pt idx="92">
                  <c:v>43683</c:v>
                </c:pt>
                <c:pt idx="93">
                  <c:v>43682</c:v>
                </c:pt>
                <c:pt idx="94">
                  <c:v>43679</c:v>
                </c:pt>
                <c:pt idx="95">
                  <c:v>43678</c:v>
                </c:pt>
                <c:pt idx="96">
                  <c:v>43677</c:v>
                </c:pt>
                <c:pt idx="97">
                  <c:v>43676</c:v>
                </c:pt>
                <c:pt idx="98">
                  <c:v>43675</c:v>
                </c:pt>
                <c:pt idx="99">
                  <c:v>43672</c:v>
                </c:pt>
                <c:pt idx="100">
                  <c:v>43671</c:v>
                </c:pt>
                <c:pt idx="101">
                  <c:v>43670</c:v>
                </c:pt>
                <c:pt idx="102">
                  <c:v>43669</c:v>
                </c:pt>
                <c:pt idx="103">
                  <c:v>43668</c:v>
                </c:pt>
                <c:pt idx="104">
                  <c:v>43665</c:v>
                </c:pt>
                <c:pt idx="105">
                  <c:v>43664</c:v>
                </c:pt>
                <c:pt idx="106">
                  <c:v>43663</c:v>
                </c:pt>
                <c:pt idx="107">
                  <c:v>43662</c:v>
                </c:pt>
                <c:pt idx="108">
                  <c:v>43658</c:v>
                </c:pt>
                <c:pt idx="109">
                  <c:v>43657</c:v>
                </c:pt>
                <c:pt idx="110">
                  <c:v>43656</c:v>
                </c:pt>
                <c:pt idx="111">
                  <c:v>43655</c:v>
                </c:pt>
                <c:pt idx="112">
                  <c:v>43654</c:v>
                </c:pt>
                <c:pt idx="113">
                  <c:v>43651</c:v>
                </c:pt>
                <c:pt idx="114">
                  <c:v>43650</c:v>
                </c:pt>
                <c:pt idx="115">
                  <c:v>43649</c:v>
                </c:pt>
                <c:pt idx="116">
                  <c:v>43648</c:v>
                </c:pt>
                <c:pt idx="117">
                  <c:v>43647</c:v>
                </c:pt>
                <c:pt idx="118">
                  <c:v>43644</c:v>
                </c:pt>
                <c:pt idx="119">
                  <c:v>43643</c:v>
                </c:pt>
                <c:pt idx="120">
                  <c:v>43642</c:v>
                </c:pt>
                <c:pt idx="121">
                  <c:v>43641</c:v>
                </c:pt>
                <c:pt idx="122">
                  <c:v>43640</c:v>
                </c:pt>
                <c:pt idx="123">
                  <c:v>43637</c:v>
                </c:pt>
                <c:pt idx="124">
                  <c:v>43636</c:v>
                </c:pt>
                <c:pt idx="125">
                  <c:v>43635</c:v>
                </c:pt>
                <c:pt idx="126">
                  <c:v>43634</c:v>
                </c:pt>
                <c:pt idx="127">
                  <c:v>43633</c:v>
                </c:pt>
                <c:pt idx="128">
                  <c:v>43630</c:v>
                </c:pt>
                <c:pt idx="129">
                  <c:v>43629</c:v>
                </c:pt>
                <c:pt idx="130">
                  <c:v>43628</c:v>
                </c:pt>
                <c:pt idx="131">
                  <c:v>43627</c:v>
                </c:pt>
                <c:pt idx="132">
                  <c:v>43626</c:v>
                </c:pt>
                <c:pt idx="133">
                  <c:v>43623</c:v>
                </c:pt>
                <c:pt idx="134">
                  <c:v>43622</c:v>
                </c:pt>
                <c:pt idx="135">
                  <c:v>43621</c:v>
                </c:pt>
                <c:pt idx="136">
                  <c:v>43620</c:v>
                </c:pt>
                <c:pt idx="137">
                  <c:v>43619</c:v>
                </c:pt>
                <c:pt idx="138">
                  <c:v>43616</c:v>
                </c:pt>
                <c:pt idx="139">
                  <c:v>43615</c:v>
                </c:pt>
                <c:pt idx="140">
                  <c:v>43614</c:v>
                </c:pt>
                <c:pt idx="141">
                  <c:v>43613</c:v>
                </c:pt>
                <c:pt idx="142">
                  <c:v>43612</c:v>
                </c:pt>
                <c:pt idx="143">
                  <c:v>43609</c:v>
                </c:pt>
                <c:pt idx="144">
                  <c:v>43608</c:v>
                </c:pt>
                <c:pt idx="145">
                  <c:v>43607</c:v>
                </c:pt>
                <c:pt idx="146">
                  <c:v>43606</c:v>
                </c:pt>
                <c:pt idx="147">
                  <c:v>43605</c:v>
                </c:pt>
                <c:pt idx="148">
                  <c:v>43602</c:v>
                </c:pt>
                <c:pt idx="149">
                  <c:v>43601</c:v>
                </c:pt>
                <c:pt idx="150">
                  <c:v>43600</c:v>
                </c:pt>
                <c:pt idx="151">
                  <c:v>43599</c:v>
                </c:pt>
                <c:pt idx="152">
                  <c:v>43598</c:v>
                </c:pt>
                <c:pt idx="153">
                  <c:v>43595</c:v>
                </c:pt>
                <c:pt idx="154">
                  <c:v>43594</c:v>
                </c:pt>
                <c:pt idx="155">
                  <c:v>43593</c:v>
                </c:pt>
                <c:pt idx="156">
                  <c:v>43592</c:v>
                </c:pt>
                <c:pt idx="157">
                  <c:v>43581</c:v>
                </c:pt>
                <c:pt idx="158">
                  <c:v>43580</c:v>
                </c:pt>
                <c:pt idx="159">
                  <c:v>43579</c:v>
                </c:pt>
                <c:pt idx="160">
                  <c:v>43578</c:v>
                </c:pt>
                <c:pt idx="161">
                  <c:v>43577</c:v>
                </c:pt>
                <c:pt idx="162">
                  <c:v>43574</c:v>
                </c:pt>
                <c:pt idx="163">
                  <c:v>43573</c:v>
                </c:pt>
                <c:pt idx="164">
                  <c:v>43572</c:v>
                </c:pt>
                <c:pt idx="165">
                  <c:v>43571</c:v>
                </c:pt>
                <c:pt idx="166">
                  <c:v>43570</c:v>
                </c:pt>
                <c:pt idx="167">
                  <c:v>43567</c:v>
                </c:pt>
                <c:pt idx="168">
                  <c:v>43566</c:v>
                </c:pt>
                <c:pt idx="169">
                  <c:v>43565</c:v>
                </c:pt>
                <c:pt idx="170">
                  <c:v>43564</c:v>
                </c:pt>
                <c:pt idx="171">
                  <c:v>43563</c:v>
                </c:pt>
                <c:pt idx="172">
                  <c:v>43560</c:v>
                </c:pt>
                <c:pt idx="173">
                  <c:v>43559</c:v>
                </c:pt>
                <c:pt idx="174">
                  <c:v>43558</c:v>
                </c:pt>
                <c:pt idx="175">
                  <c:v>43557</c:v>
                </c:pt>
                <c:pt idx="176">
                  <c:v>43556</c:v>
                </c:pt>
                <c:pt idx="177">
                  <c:v>43553</c:v>
                </c:pt>
                <c:pt idx="178">
                  <c:v>43552</c:v>
                </c:pt>
                <c:pt idx="179">
                  <c:v>43551</c:v>
                </c:pt>
                <c:pt idx="180">
                  <c:v>43550</c:v>
                </c:pt>
                <c:pt idx="181">
                  <c:v>43549</c:v>
                </c:pt>
                <c:pt idx="182">
                  <c:v>43546</c:v>
                </c:pt>
                <c:pt idx="183">
                  <c:v>43544</c:v>
                </c:pt>
                <c:pt idx="184">
                  <c:v>43543</c:v>
                </c:pt>
                <c:pt idx="185">
                  <c:v>43542</c:v>
                </c:pt>
                <c:pt idx="186">
                  <c:v>43539</c:v>
                </c:pt>
                <c:pt idx="187">
                  <c:v>43538</c:v>
                </c:pt>
                <c:pt idx="188">
                  <c:v>43537</c:v>
                </c:pt>
                <c:pt idx="189">
                  <c:v>43536</c:v>
                </c:pt>
                <c:pt idx="190">
                  <c:v>43535</c:v>
                </c:pt>
                <c:pt idx="191">
                  <c:v>43532</c:v>
                </c:pt>
                <c:pt idx="192">
                  <c:v>43531</c:v>
                </c:pt>
                <c:pt idx="193">
                  <c:v>43530</c:v>
                </c:pt>
                <c:pt idx="194">
                  <c:v>43529</c:v>
                </c:pt>
                <c:pt idx="195">
                  <c:v>43528</c:v>
                </c:pt>
                <c:pt idx="196">
                  <c:v>43525</c:v>
                </c:pt>
                <c:pt idx="197">
                  <c:v>43524</c:v>
                </c:pt>
                <c:pt idx="198">
                  <c:v>43523</c:v>
                </c:pt>
                <c:pt idx="199">
                  <c:v>43522</c:v>
                </c:pt>
                <c:pt idx="200">
                  <c:v>43521</c:v>
                </c:pt>
                <c:pt idx="201">
                  <c:v>43518</c:v>
                </c:pt>
                <c:pt idx="202">
                  <c:v>43517</c:v>
                </c:pt>
                <c:pt idx="203">
                  <c:v>43516</c:v>
                </c:pt>
                <c:pt idx="204">
                  <c:v>43515</c:v>
                </c:pt>
                <c:pt idx="205">
                  <c:v>43514</c:v>
                </c:pt>
                <c:pt idx="206">
                  <c:v>43511</c:v>
                </c:pt>
                <c:pt idx="207">
                  <c:v>43510</c:v>
                </c:pt>
                <c:pt idx="208">
                  <c:v>43509</c:v>
                </c:pt>
                <c:pt idx="209">
                  <c:v>43508</c:v>
                </c:pt>
                <c:pt idx="210">
                  <c:v>43504</c:v>
                </c:pt>
                <c:pt idx="211">
                  <c:v>43503</c:v>
                </c:pt>
                <c:pt idx="212">
                  <c:v>43502</c:v>
                </c:pt>
                <c:pt idx="213">
                  <c:v>43501</c:v>
                </c:pt>
                <c:pt idx="214">
                  <c:v>43500</c:v>
                </c:pt>
                <c:pt idx="215">
                  <c:v>43497</c:v>
                </c:pt>
                <c:pt idx="216">
                  <c:v>43496</c:v>
                </c:pt>
                <c:pt idx="217">
                  <c:v>43495</c:v>
                </c:pt>
                <c:pt idx="218">
                  <c:v>43494</c:v>
                </c:pt>
                <c:pt idx="219">
                  <c:v>43493</c:v>
                </c:pt>
                <c:pt idx="220">
                  <c:v>43490</c:v>
                </c:pt>
                <c:pt idx="221">
                  <c:v>43489</c:v>
                </c:pt>
                <c:pt idx="222">
                  <c:v>43488</c:v>
                </c:pt>
                <c:pt idx="223">
                  <c:v>43487</c:v>
                </c:pt>
                <c:pt idx="224">
                  <c:v>43486</c:v>
                </c:pt>
                <c:pt idx="225">
                  <c:v>43483</c:v>
                </c:pt>
                <c:pt idx="226">
                  <c:v>43482</c:v>
                </c:pt>
                <c:pt idx="227">
                  <c:v>43481</c:v>
                </c:pt>
                <c:pt idx="228">
                  <c:v>43480</c:v>
                </c:pt>
                <c:pt idx="229">
                  <c:v>43476</c:v>
                </c:pt>
                <c:pt idx="230">
                  <c:v>43475</c:v>
                </c:pt>
                <c:pt idx="231">
                  <c:v>43474</c:v>
                </c:pt>
                <c:pt idx="232">
                  <c:v>43473</c:v>
                </c:pt>
                <c:pt idx="233">
                  <c:v>43472</c:v>
                </c:pt>
                <c:pt idx="234">
                  <c:v>43469</c:v>
                </c:pt>
                <c:pt idx="235">
                  <c:v>43462</c:v>
                </c:pt>
                <c:pt idx="236">
                  <c:v>43461</c:v>
                </c:pt>
                <c:pt idx="237">
                  <c:v>43460</c:v>
                </c:pt>
                <c:pt idx="238">
                  <c:v>43459</c:v>
                </c:pt>
                <c:pt idx="239">
                  <c:v>43455</c:v>
                </c:pt>
                <c:pt idx="240">
                  <c:v>43454</c:v>
                </c:pt>
              </c:numCache>
            </c:numRef>
          </c:cat>
          <c:val>
            <c:numRef>
              <c:f>Graph!$F$42:$F$703</c:f>
              <c:numCache>
                <c:formatCode>General</c:formatCode>
                <c:ptCount val="662"/>
                <c:pt idx="0">
                  <c:v>0.70935101186322402</c:v>
                </c:pt>
                <c:pt idx="1">
                  <c:v>0.71833449965010499</c:v>
                </c:pt>
                <c:pt idx="2">
                  <c:v>0.72015449438202195</c:v>
                </c:pt>
                <c:pt idx="3">
                  <c:v>0.74114730878186896</c:v>
                </c:pt>
                <c:pt idx="4">
                  <c:v>0.75436681222707402</c:v>
                </c:pt>
                <c:pt idx="5">
                  <c:v>0.77057538237436196</c:v>
                </c:pt>
                <c:pt idx="6">
                  <c:v>0.77640449438202197</c:v>
                </c:pt>
                <c:pt idx="7">
                  <c:v>0.78672106824925803</c:v>
                </c:pt>
                <c:pt idx="8">
                  <c:v>0.77643171806167399</c:v>
                </c:pt>
                <c:pt idx="9">
                  <c:v>0.76965065502183405</c:v>
                </c:pt>
                <c:pt idx="10">
                  <c:v>0.76010286554004403</c:v>
                </c:pt>
                <c:pt idx="11">
                  <c:v>0.77773641102010405</c:v>
                </c:pt>
                <c:pt idx="12">
                  <c:v>0.78969465648854897</c:v>
                </c:pt>
                <c:pt idx="13">
                  <c:v>0.79070660522273395</c:v>
                </c:pt>
                <c:pt idx="14">
                  <c:v>0.79691119691119605</c:v>
                </c:pt>
                <c:pt idx="15">
                  <c:v>0.80124223602484401</c:v>
                </c:pt>
                <c:pt idx="16">
                  <c:v>0.78889757623142998</c:v>
                </c:pt>
                <c:pt idx="17">
                  <c:v>0.77025117739403404</c:v>
                </c:pt>
                <c:pt idx="18">
                  <c:v>0.78417266187050305</c:v>
                </c:pt>
                <c:pt idx="19">
                  <c:v>0.76256895193065399</c:v>
                </c:pt>
                <c:pt idx="20">
                  <c:v>0.79232000000000002</c:v>
                </c:pt>
                <c:pt idx="21">
                  <c:v>0.80852775543041</c:v>
                </c:pt>
                <c:pt idx="22">
                  <c:v>0.79146919431279605</c:v>
                </c:pt>
                <c:pt idx="23">
                  <c:v>0.75928733889309996</c:v>
                </c:pt>
                <c:pt idx="24">
                  <c:v>0.75030303030303003</c:v>
                </c:pt>
                <c:pt idx="25">
                  <c:v>0.74388971684053595</c:v>
                </c:pt>
                <c:pt idx="26">
                  <c:v>0.75675265553869497</c:v>
                </c:pt>
                <c:pt idx="27">
                  <c:v>0.76256564141035199</c:v>
                </c:pt>
                <c:pt idx="28">
                  <c:v>0.75184094256259204</c:v>
                </c:pt>
                <c:pt idx="29">
                  <c:v>0.759493670886076</c:v>
                </c:pt>
                <c:pt idx="30">
                  <c:v>0.76899924755455196</c:v>
                </c:pt>
                <c:pt idx="31">
                  <c:v>0.787201233616037</c:v>
                </c:pt>
                <c:pt idx="32">
                  <c:v>0.78076923076922999</c:v>
                </c:pt>
                <c:pt idx="33">
                  <c:v>0.80889423076922995</c:v>
                </c:pt>
                <c:pt idx="34">
                  <c:v>0.81597337770382605</c:v>
                </c:pt>
                <c:pt idx="35">
                  <c:v>0.75155737704918002</c:v>
                </c:pt>
                <c:pt idx="36">
                  <c:v>0.746399345335515</c:v>
                </c:pt>
                <c:pt idx="37">
                  <c:v>0.72915011914217598</c:v>
                </c:pt>
                <c:pt idx="38">
                  <c:v>0.74631751227495902</c:v>
                </c:pt>
                <c:pt idx="39">
                  <c:v>0.74843234323432295</c:v>
                </c:pt>
                <c:pt idx="40">
                  <c:v>0.74333605887162701</c:v>
                </c:pt>
                <c:pt idx="41">
                  <c:v>0.73834832379394899</c:v>
                </c:pt>
                <c:pt idx="42">
                  <c:v>0.75430016863406402</c:v>
                </c:pt>
                <c:pt idx="43">
                  <c:v>0.746386554621848</c:v>
                </c:pt>
                <c:pt idx="44">
                  <c:v>0.76346801346801296</c:v>
                </c:pt>
                <c:pt idx="45">
                  <c:v>0.75087136929460496</c:v>
                </c:pt>
                <c:pt idx="46">
                  <c:v>0.74991638795986604</c:v>
                </c:pt>
                <c:pt idx="47">
                  <c:v>0.75356223175965598</c:v>
                </c:pt>
                <c:pt idx="48">
                  <c:v>0.762477876106194</c:v>
                </c:pt>
                <c:pt idx="49">
                  <c:v>0.76054243219597495</c:v>
                </c:pt>
                <c:pt idx="50">
                  <c:v>0.75249569707400998</c:v>
                </c:pt>
                <c:pt idx="51">
                  <c:v>0.76480349344978105</c:v>
                </c:pt>
                <c:pt idx="52">
                  <c:v>0.77850220264317105</c:v>
                </c:pt>
                <c:pt idx="53">
                  <c:v>0.76423611111111101</c:v>
                </c:pt>
                <c:pt idx="54">
                  <c:v>0.76415254237288099</c:v>
                </c:pt>
                <c:pt idx="55">
                  <c:v>0.76153846153846105</c:v>
                </c:pt>
                <c:pt idx="56">
                  <c:v>0.76471615720524</c:v>
                </c:pt>
                <c:pt idx="57">
                  <c:v>0.76472103004291803</c:v>
                </c:pt>
                <c:pt idx="58">
                  <c:v>0.77151411462788699</c:v>
                </c:pt>
                <c:pt idx="59">
                  <c:v>0.76743787489288695</c:v>
                </c:pt>
                <c:pt idx="60">
                  <c:v>0.75726495726495702</c:v>
                </c:pt>
                <c:pt idx="61">
                  <c:v>0.78003487358325996</c:v>
                </c:pt>
                <c:pt idx="62">
                  <c:v>0.77415437987857705</c:v>
                </c:pt>
                <c:pt idx="63">
                  <c:v>0.779913419913419</c:v>
                </c:pt>
                <c:pt idx="64">
                  <c:v>0.763336155800169</c:v>
                </c:pt>
                <c:pt idx="65">
                  <c:v>0.76333052985702199</c:v>
                </c:pt>
                <c:pt idx="66">
                  <c:v>0.76272189349112396</c:v>
                </c:pt>
                <c:pt idx="67">
                  <c:v>0.76020236087689697</c:v>
                </c:pt>
                <c:pt idx="68">
                  <c:v>0.78626226583407599</c:v>
                </c:pt>
                <c:pt idx="69">
                  <c:v>0.78616236162361597</c:v>
                </c:pt>
                <c:pt idx="70">
                  <c:v>0.79245107176141605</c:v>
                </c:pt>
                <c:pt idx="71">
                  <c:v>0.78110383536014905</c:v>
                </c:pt>
                <c:pt idx="72">
                  <c:v>0.78729547641963404</c:v>
                </c:pt>
                <c:pt idx="73">
                  <c:v>0.77954329210275897</c:v>
                </c:pt>
                <c:pt idx="74">
                  <c:v>0.77755491881566297</c:v>
                </c:pt>
                <c:pt idx="75">
                  <c:v>0.79236714975845401</c:v>
                </c:pt>
                <c:pt idx="76">
                  <c:v>0.79783889980353595</c:v>
                </c:pt>
                <c:pt idx="77">
                  <c:v>0.80652173913043401</c:v>
                </c:pt>
                <c:pt idx="78">
                  <c:v>0.80178394449950396</c:v>
                </c:pt>
                <c:pt idx="79">
                  <c:v>0.79812067260138397</c:v>
                </c:pt>
                <c:pt idx="80">
                  <c:v>0.79728419010669205</c:v>
                </c:pt>
                <c:pt idx="81">
                  <c:v>0.80441176470588205</c:v>
                </c:pt>
                <c:pt idx="82">
                  <c:v>0.81809145129224603</c:v>
                </c:pt>
                <c:pt idx="83">
                  <c:v>0.810406342913776</c:v>
                </c:pt>
                <c:pt idx="84">
                  <c:v>0.80129096325719895</c:v>
                </c:pt>
                <c:pt idx="85">
                  <c:v>0.81643002028397504</c:v>
                </c:pt>
                <c:pt idx="86">
                  <c:v>0.80827447023208798</c:v>
                </c:pt>
                <c:pt idx="87">
                  <c:v>0.82210000000000005</c:v>
                </c:pt>
                <c:pt idx="88">
                  <c:v>0.82912032355915</c:v>
                </c:pt>
                <c:pt idx="89">
                  <c:v>0.78671065032987697</c:v>
                </c:pt>
                <c:pt idx="90">
                  <c:v>0.76771507863089705</c:v>
                </c:pt>
                <c:pt idx="91">
                  <c:v>0.75809090909090904</c:v>
                </c:pt>
                <c:pt idx="92">
                  <c:v>0.74044642857142795</c:v>
                </c:pt>
                <c:pt idx="93">
                  <c:v>0.74836427939876204</c:v>
                </c:pt>
                <c:pt idx="94">
                  <c:v>0.75385934819897005</c:v>
                </c:pt>
                <c:pt idx="95">
                  <c:v>0.73996750609260697</c:v>
                </c:pt>
                <c:pt idx="96">
                  <c:v>0.75424143556280498</c:v>
                </c:pt>
                <c:pt idx="97">
                  <c:v>0.76421487603305704</c:v>
                </c:pt>
                <c:pt idx="98">
                  <c:v>0.75577722360764699</c:v>
                </c:pt>
                <c:pt idx="99">
                  <c:v>0.74084621643612603</c:v>
                </c:pt>
                <c:pt idx="100">
                  <c:v>0.74758789860997499</c:v>
                </c:pt>
                <c:pt idx="101">
                  <c:v>0.75776859504132199</c:v>
                </c:pt>
                <c:pt idx="102">
                  <c:v>0.76099173553719002</c:v>
                </c:pt>
                <c:pt idx="103">
                  <c:v>0.76290456431535203</c:v>
                </c:pt>
                <c:pt idx="104">
                  <c:v>0.76356073211314401</c:v>
                </c:pt>
                <c:pt idx="105">
                  <c:v>0.74603174603174605</c:v>
                </c:pt>
                <c:pt idx="106">
                  <c:v>0.76541978387364895</c:v>
                </c:pt>
                <c:pt idx="107">
                  <c:v>0.77121338912133897</c:v>
                </c:pt>
                <c:pt idx="108">
                  <c:v>0.78077246011754797</c:v>
                </c:pt>
                <c:pt idx="109">
                  <c:v>0.77212020033388895</c:v>
                </c:pt>
                <c:pt idx="110">
                  <c:v>0.77485380116959002</c:v>
                </c:pt>
                <c:pt idx="111">
                  <c:v>0.77863674147963402</c:v>
                </c:pt>
                <c:pt idx="112">
                  <c:v>0.78192371475953504</c:v>
                </c:pt>
                <c:pt idx="113">
                  <c:v>0.78600000000000003</c:v>
                </c:pt>
                <c:pt idx="114">
                  <c:v>0.78917568692756002</c:v>
                </c:pt>
                <c:pt idx="115">
                  <c:v>0.77445742904841397</c:v>
                </c:pt>
                <c:pt idx="116">
                  <c:v>0.76999168744804602</c:v>
                </c:pt>
                <c:pt idx="117">
                  <c:v>0.768136439267886</c:v>
                </c:pt>
                <c:pt idx="118">
                  <c:v>0.76717948717948703</c:v>
                </c:pt>
                <c:pt idx="119">
                  <c:v>0.75738396624472504</c:v>
                </c:pt>
                <c:pt idx="120">
                  <c:v>0.77695690413368501</c:v>
                </c:pt>
                <c:pt idx="121">
                  <c:v>0.77486865148861594</c:v>
                </c:pt>
                <c:pt idx="122">
                  <c:v>0.77961165048543601</c:v>
                </c:pt>
                <c:pt idx="123">
                  <c:v>0.78337754199823095</c:v>
                </c:pt>
                <c:pt idx="124">
                  <c:v>0.77089160839160797</c:v>
                </c:pt>
                <c:pt idx="125">
                  <c:v>0.76938596491227995</c:v>
                </c:pt>
                <c:pt idx="126">
                  <c:v>0.76527159394479005</c:v>
                </c:pt>
                <c:pt idx="127">
                  <c:v>0.75492957746478795</c:v>
                </c:pt>
                <c:pt idx="128">
                  <c:v>0.75716814159292001</c:v>
                </c:pt>
                <c:pt idx="129">
                  <c:v>0.76076512455515999</c:v>
                </c:pt>
                <c:pt idx="130">
                  <c:v>0.76920353982300804</c:v>
                </c:pt>
                <c:pt idx="131">
                  <c:v>0.76906854130052704</c:v>
                </c:pt>
                <c:pt idx="132">
                  <c:v>0.78405017921146902</c:v>
                </c:pt>
                <c:pt idx="133">
                  <c:v>0.77633928571428501</c:v>
                </c:pt>
                <c:pt idx="134">
                  <c:v>0.77829596412556001</c:v>
                </c:pt>
                <c:pt idx="135">
                  <c:v>0.77763975155279497</c:v>
                </c:pt>
                <c:pt idx="136">
                  <c:v>0.78809523809523796</c:v>
                </c:pt>
                <c:pt idx="137">
                  <c:v>0.76702412868632697</c:v>
                </c:pt>
                <c:pt idx="138">
                  <c:v>0.76126760563380202</c:v>
                </c:pt>
                <c:pt idx="139">
                  <c:v>0.76855670103092699</c:v>
                </c:pt>
                <c:pt idx="140">
                  <c:v>0.77304347826086905</c:v>
                </c:pt>
                <c:pt idx="141">
                  <c:v>0.76923736075407001</c:v>
                </c:pt>
                <c:pt idx="142">
                  <c:v>0.76298533218291598</c:v>
                </c:pt>
                <c:pt idx="143">
                  <c:v>0.77025371828521405</c:v>
                </c:pt>
                <c:pt idx="144">
                  <c:v>0.77027491408934701</c:v>
                </c:pt>
                <c:pt idx="145">
                  <c:v>0.78050043140638403</c:v>
                </c:pt>
                <c:pt idx="146">
                  <c:v>0.78429184549356201</c:v>
                </c:pt>
                <c:pt idx="147">
                  <c:v>0.78509532062391596</c:v>
                </c:pt>
                <c:pt idx="148">
                  <c:v>0.79111697449428298</c:v>
                </c:pt>
                <c:pt idx="149">
                  <c:v>0.81858325666973297</c:v>
                </c:pt>
                <c:pt idx="150">
                  <c:v>0.76116751269035499</c:v>
                </c:pt>
                <c:pt idx="151">
                  <c:v>0.76347975882859598</c:v>
                </c:pt>
                <c:pt idx="152">
                  <c:v>0.76435304198800302</c:v>
                </c:pt>
                <c:pt idx="153">
                  <c:v>0.78264957264957202</c:v>
                </c:pt>
                <c:pt idx="154">
                  <c:v>0.82164429530201299</c:v>
                </c:pt>
                <c:pt idx="155">
                  <c:v>0.82533670033670004</c:v>
                </c:pt>
                <c:pt idx="156">
                  <c:v>0.83737458193979897</c:v>
                </c:pt>
                <c:pt idx="157">
                  <c:v>0.85296574770258904</c:v>
                </c:pt>
                <c:pt idx="158">
                  <c:v>0.840311986863711</c:v>
                </c:pt>
                <c:pt idx="159">
                  <c:v>0.84708333333333297</c:v>
                </c:pt>
                <c:pt idx="160">
                  <c:v>0.83346938775510204</c:v>
                </c:pt>
                <c:pt idx="161">
                  <c:v>0.84900990099009899</c:v>
                </c:pt>
                <c:pt idx="162">
                  <c:v>0.83957654723126995</c:v>
                </c:pt>
                <c:pt idx="163">
                  <c:v>0.82033762057877802</c:v>
                </c:pt>
                <c:pt idx="164">
                  <c:v>0.82185748598879105</c:v>
                </c:pt>
                <c:pt idx="165">
                  <c:v>0.83823529411764697</c:v>
                </c:pt>
                <c:pt idx="166">
                  <c:v>0.82765612327656102</c:v>
                </c:pt>
                <c:pt idx="167">
                  <c:v>0.85365853658536495</c:v>
                </c:pt>
                <c:pt idx="168">
                  <c:v>0.84283276450511901</c:v>
                </c:pt>
                <c:pt idx="169">
                  <c:v>0.82182572614107796</c:v>
                </c:pt>
                <c:pt idx="170">
                  <c:v>0.82233250620347398</c:v>
                </c:pt>
                <c:pt idx="171">
                  <c:v>0.82174643157010896</c:v>
                </c:pt>
                <c:pt idx="172">
                  <c:v>0.81857968620974397</c:v>
                </c:pt>
                <c:pt idx="173">
                  <c:v>0.83082770270270201</c:v>
                </c:pt>
                <c:pt idx="174">
                  <c:v>0.82556203164029895</c:v>
                </c:pt>
                <c:pt idx="175">
                  <c:v>0.82299999999999995</c:v>
                </c:pt>
                <c:pt idx="176">
                  <c:v>0.82812234494477399</c:v>
                </c:pt>
                <c:pt idx="177">
                  <c:v>0.81975945017182095</c:v>
                </c:pt>
                <c:pt idx="178">
                  <c:v>0.81626506024096301</c:v>
                </c:pt>
                <c:pt idx="179">
                  <c:v>0.82555555555555504</c:v>
                </c:pt>
                <c:pt idx="180">
                  <c:v>0.83927958833619198</c:v>
                </c:pt>
                <c:pt idx="181">
                  <c:v>0.82464912280701697</c:v>
                </c:pt>
                <c:pt idx="182">
                  <c:v>0.81818958155422705</c:v>
                </c:pt>
                <c:pt idx="183">
                  <c:v>0.80371935756551105</c:v>
                </c:pt>
                <c:pt idx="184">
                  <c:v>0.81775700934579398</c:v>
                </c:pt>
                <c:pt idx="185">
                  <c:v>0.82247667514843004</c:v>
                </c:pt>
                <c:pt idx="186">
                  <c:v>0.82063086104006799</c:v>
                </c:pt>
                <c:pt idx="187">
                  <c:v>0.80476190476190401</c:v>
                </c:pt>
                <c:pt idx="188">
                  <c:v>0.81313383208644996</c:v>
                </c:pt>
                <c:pt idx="189">
                  <c:v>0.79219123505976097</c:v>
                </c:pt>
                <c:pt idx="190">
                  <c:v>0.78896999188969896</c:v>
                </c:pt>
                <c:pt idx="191">
                  <c:v>0.79352226720647701</c:v>
                </c:pt>
                <c:pt idx="192">
                  <c:v>0.759692307692307</c:v>
                </c:pt>
                <c:pt idx="193">
                  <c:v>0.75691847419596103</c:v>
                </c:pt>
                <c:pt idx="194">
                  <c:v>0.76384730538922097</c:v>
                </c:pt>
                <c:pt idx="195">
                  <c:v>0.74616508400292103</c:v>
                </c:pt>
                <c:pt idx="196">
                  <c:v>0.75856929955290597</c:v>
                </c:pt>
                <c:pt idx="197">
                  <c:v>0.76664173522812196</c:v>
                </c:pt>
                <c:pt idx="198">
                  <c:v>0.77074074074073995</c:v>
                </c:pt>
                <c:pt idx="199">
                  <c:v>0.76418570375828998</c:v>
                </c:pt>
                <c:pt idx="200">
                  <c:v>0.75682471264367801</c:v>
                </c:pt>
                <c:pt idx="201">
                  <c:v>0.76688693098384697</c:v>
                </c:pt>
                <c:pt idx="202">
                  <c:v>0.75835755813953398</c:v>
                </c:pt>
                <c:pt idx="203">
                  <c:v>0.75890909090908998</c:v>
                </c:pt>
                <c:pt idx="204">
                  <c:v>0.75602629656683695</c:v>
                </c:pt>
                <c:pt idx="205">
                  <c:v>0.75562001450326299</c:v>
                </c:pt>
                <c:pt idx="206">
                  <c:v>0.76492537313432796</c:v>
                </c:pt>
                <c:pt idx="207">
                  <c:v>0.750899928005759</c:v>
                </c:pt>
                <c:pt idx="208">
                  <c:v>0.75757575757575701</c:v>
                </c:pt>
                <c:pt idx="209">
                  <c:v>0.746931407942238</c:v>
                </c:pt>
                <c:pt idx="210">
                  <c:v>0.76643730886850103</c:v>
                </c:pt>
                <c:pt idx="211">
                  <c:v>0.76237989652623706</c:v>
                </c:pt>
                <c:pt idx="212">
                  <c:v>0.77438136826783099</c:v>
                </c:pt>
                <c:pt idx="213">
                  <c:v>0.74891461649782898</c:v>
                </c:pt>
                <c:pt idx="214">
                  <c:v>0.76496034607065599</c:v>
                </c:pt>
                <c:pt idx="215">
                  <c:v>0.78507462686567098</c:v>
                </c:pt>
                <c:pt idx="216">
                  <c:v>0.78841870824053395</c:v>
                </c:pt>
                <c:pt idx="217">
                  <c:v>0.78587443946188296</c:v>
                </c:pt>
                <c:pt idx="218">
                  <c:v>0.77910447761194002</c:v>
                </c:pt>
                <c:pt idx="219">
                  <c:v>0.78219278881530496</c:v>
                </c:pt>
                <c:pt idx="220">
                  <c:v>0.78383321141185003</c:v>
                </c:pt>
                <c:pt idx="221">
                  <c:v>0.78161764705882297</c:v>
                </c:pt>
                <c:pt idx="222">
                  <c:v>0.78122690317812205</c:v>
                </c:pt>
                <c:pt idx="223">
                  <c:v>0.78502949852507298</c:v>
                </c:pt>
                <c:pt idx="224">
                  <c:v>0.77995720399429302</c:v>
                </c:pt>
                <c:pt idx="225">
                  <c:v>0.76481213872832299</c:v>
                </c:pt>
                <c:pt idx="226">
                  <c:v>0.76221735959153902</c:v>
                </c:pt>
                <c:pt idx="227">
                  <c:v>0.76988217967599404</c:v>
                </c:pt>
                <c:pt idx="228">
                  <c:v>0.76206140350877105</c:v>
                </c:pt>
                <c:pt idx="229">
                  <c:v>0.79508196721311397</c:v>
                </c:pt>
                <c:pt idx="230">
                  <c:v>0.78099173553719003</c:v>
                </c:pt>
                <c:pt idx="231">
                  <c:v>0.78335832083958001</c:v>
                </c:pt>
                <c:pt idx="232">
                  <c:v>0.76704545454545403</c:v>
                </c:pt>
                <c:pt idx="233">
                  <c:v>0.77112135176651297</c:v>
                </c:pt>
                <c:pt idx="234">
                  <c:v>0.76672012830793901</c:v>
                </c:pt>
                <c:pt idx="235">
                  <c:v>0.77451133698201702</c:v>
                </c:pt>
                <c:pt idx="236">
                  <c:v>0.77152886115444597</c:v>
                </c:pt>
                <c:pt idx="237">
                  <c:v>0.76012965964343504</c:v>
                </c:pt>
                <c:pt idx="238">
                  <c:v>0.73599999999999999</c:v>
                </c:pt>
                <c:pt idx="239">
                  <c:v>0.73580060422960702</c:v>
                </c:pt>
                <c:pt idx="240">
                  <c:v>0.73051711580480605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A4-47F8-BD66-5FADF1C286CF}"/>
            </c:ext>
          </c:extLst>
        </c:ser>
        <c:ser>
          <c:idx val="1"/>
          <c:order val="1"/>
          <c:tx>
            <c:strRef>
              <c:f>Graph!$N$41</c:f>
              <c:strCache>
                <c:ptCount val="1"/>
                <c:pt idx="0">
                  <c:v>+2-Sigama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43819</c:v>
                </c:pt>
                <c:pt idx="1">
                  <c:v>43818</c:v>
                </c:pt>
                <c:pt idx="2">
                  <c:v>43817</c:v>
                </c:pt>
                <c:pt idx="3">
                  <c:v>43816</c:v>
                </c:pt>
                <c:pt idx="4">
                  <c:v>43815</c:v>
                </c:pt>
                <c:pt idx="5">
                  <c:v>43812</c:v>
                </c:pt>
                <c:pt idx="6">
                  <c:v>43811</c:v>
                </c:pt>
                <c:pt idx="7">
                  <c:v>43810</c:v>
                </c:pt>
                <c:pt idx="8">
                  <c:v>43809</c:v>
                </c:pt>
                <c:pt idx="9">
                  <c:v>43808</c:v>
                </c:pt>
                <c:pt idx="10">
                  <c:v>43805</c:v>
                </c:pt>
                <c:pt idx="11">
                  <c:v>43804</c:v>
                </c:pt>
                <c:pt idx="12">
                  <c:v>43803</c:v>
                </c:pt>
                <c:pt idx="13">
                  <c:v>43802</c:v>
                </c:pt>
                <c:pt idx="14">
                  <c:v>43801</c:v>
                </c:pt>
                <c:pt idx="15">
                  <c:v>43798</c:v>
                </c:pt>
                <c:pt idx="16">
                  <c:v>43797</c:v>
                </c:pt>
                <c:pt idx="17">
                  <c:v>43796</c:v>
                </c:pt>
                <c:pt idx="18">
                  <c:v>43795</c:v>
                </c:pt>
                <c:pt idx="19">
                  <c:v>43794</c:v>
                </c:pt>
                <c:pt idx="20">
                  <c:v>43791</c:v>
                </c:pt>
                <c:pt idx="21">
                  <c:v>43790</c:v>
                </c:pt>
                <c:pt idx="22">
                  <c:v>43789</c:v>
                </c:pt>
                <c:pt idx="23">
                  <c:v>43788</c:v>
                </c:pt>
                <c:pt idx="24">
                  <c:v>43787</c:v>
                </c:pt>
                <c:pt idx="25">
                  <c:v>43784</c:v>
                </c:pt>
                <c:pt idx="26">
                  <c:v>43783</c:v>
                </c:pt>
                <c:pt idx="27">
                  <c:v>43782</c:v>
                </c:pt>
                <c:pt idx="28">
                  <c:v>43781</c:v>
                </c:pt>
                <c:pt idx="29">
                  <c:v>43780</c:v>
                </c:pt>
                <c:pt idx="30">
                  <c:v>43777</c:v>
                </c:pt>
                <c:pt idx="31">
                  <c:v>43776</c:v>
                </c:pt>
                <c:pt idx="32">
                  <c:v>43775</c:v>
                </c:pt>
                <c:pt idx="33">
                  <c:v>43774</c:v>
                </c:pt>
                <c:pt idx="34">
                  <c:v>43770</c:v>
                </c:pt>
                <c:pt idx="35">
                  <c:v>43769</c:v>
                </c:pt>
                <c:pt idx="36">
                  <c:v>43768</c:v>
                </c:pt>
                <c:pt idx="37">
                  <c:v>43767</c:v>
                </c:pt>
                <c:pt idx="38">
                  <c:v>43766</c:v>
                </c:pt>
                <c:pt idx="39">
                  <c:v>43763</c:v>
                </c:pt>
                <c:pt idx="40">
                  <c:v>43762</c:v>
                </c:pt>
                <c:pt idx="41">
                  <c:v>43761</c:v>
                </c:pt>
                <c:pt idx="42">
                  <c:v>43759</c:v>
                </c:pt>
                <c:pt idx="43">
                  <c:v>43756</c:v>
                </c:pt>
                <c:pt idx="44">
                  <c:v>43755</c:v>
                </c:pt>
                <c:pt idx="45">
                  <c:v>43754</c:v>
                </c:pt>
                <c:pt idx="46">
                  <c:v>43753</c:v>
                </c:pt>
                <c:pt idx="47">
                  <c:v>43749</c:v>
                </c:pt>
                <c:pt idx="48">
                  <c:v>43748</c:v>
                </c:pt>
                <c:pt idx="49">
                  <c:v>43747</c:v>
                </c:pt>
                <c:pt idx="50">
                  <c:v>43746</c:v>
                </c:pt>
                <c:pt idx="51">
                  <c:v>43745</c:v>
                </c:pt>
                <c:pt idx="52">
                  <c:v>43742</c:v>
                </c:pt>
                <c:pt idx="53">
                  <c:v>43741</c:v>
                </c:pt>
                <c:pt idx="54">
                  <c:v>43740</c:v>
                </c:pt>
                <c:pt idx="55">
                  <c:v>43739</c:v>
                </c:pt>
                <c:pt idx="56">
                  <c:v>43738</c:v>
                </c:pt>
                <c:pt idx="57">
                  <c:v>43735</c:v>
                </c:pt>
                <c:pt idx="58">
                  <c:v>43734</c:v>
                </c:pt>
                <c:pt idx="59">
                  <c:v>43733</c:v>
                </c:pt>
                <c:pt idx="60">
                  <c:v>43732</c:v>
                </c:pt>
                <c:pt idx="61">
                  <c:v>43728</c:v>
                </c:pt>
                <c:pt idx="62">
                  <c:v>43727</c:v>
                </c:pt>
                <c:pt idx="63">
                  <c:v>43726</c:v>
                </c:pt>
                <c:pt idx="64">
                  <c:v>43725</c:v>
                </c:pt>
                <c:pt idx="65">
                  <c:v>43721</c:v>
                </c:pt>
                <c:pt idx="66">
                  <c:v>43720</c:v>
                </c:pt>
                <c:pt idx="67">
                  <c:v>43719</c:v>
                </c:pt>
                <c:pt idx="68">
                  <c:v>43718</c:v>
                </c:pt>
                <c:pt idx="69">
                  <c:v>43717</c:v>
                </c:pt>
                <c:pt idx="70">
                  <c:v>43714</c:v>
                </c:pt>
                <c:pt idx="71">
                  <c:v>43713</c:v>
                </c:pt>
                <c:pt idx="72">
                  <c:v>43712</c:v>
                </c:pt>
                <c:pt idx="73">
                  <c:v>43711</c:v>
                </c:pt>
                <c:pt idx="74">
                  <c:v>43710</c:v>
                </c:pt>
                <c:pt idx="75">
                  <c:v>43707</c:v>
                </c:pt>
                <c:pt idx="76">
                  <c:v>43706</c:v>
                </c:pt>
                <c:pt idx="77">
                  <c:v>43705</c:v>
                </c:pt>
                <c:pt idx="78">
                  <c:v>43704</c:v>
                </c:pt>
                <c:pt idx="79">
                  <c:v>43703</c:v>
                </c:pt>
                <c:pt idx="80">
                  <c:v>43700</c:v>
                </c:pt>
                <c:pt idx="81">
                  <c:v>43699</c:v>
                </c:pt>
                <c:pt idx="82">
                  <c:v>43698</c:v>
                </c:pt>
                <c:pt idx="83">
                  <c:v>43697</c:v>
                </c:pt>
                <c:pt idx="84">
                  <c:v>43696</c:v>
                </c:pt>
                <c:pt idx="85">
                  <c:v>43693</c:v>
                </c:pt>
                <c:pt idx="86">
                  <c:v>43692</c:v>
                </c:pt>
                <c:pt idx="87">
                  <c:v>43691</c:v>
                </c:pt>
                <c:pt idx="88">
                  <c:v>43690</c:v>
                </c:pt>
                <c:pt idx="89">
                  <c:v>43686</c:v>
                </c:pt>
                <c:pt idx="90">
                  <c:v>43685</c:v>
                </c:pt>
                <c:pt idx="91">
                  <c:v>43684</c:v>
                </c:pt>
                <c:pt idx="92">
                  <c:v>43683</c:v>
                </c:pt>
                <c:pt idx="93">
                  <c:v>43682</c:v>
                </c:pt>
                <c:pt idx="94">
                  <c:v>43679</c:v>
                </c:pt>
                <c:pt idx="95">
                  <c:v>43678</c:v>
                </c:pt>
                <c:pt idx="96">
                  <c:v>43677</c:v>
                </c:pt>
                <c:pt idx="97">
                  <c:v>43676</c:v>
                </c:pt>
                <c:pt idx="98">
                  <c:v>43675</c:v>
                </c:pt>
                <c:pt idx="99">
                  <c:v>43672</c:v>
                </c:pt>
                <c:pt idx="100">
                  <c:v>43671</c:v>
                </c:pt>
                <c:pt idx="101">
                  <c:v>43670</c:v>
                </c:pt>
                <c:pt idx="102">
                  <c:v>43669</c:v>
                </c:pt>
                <c:pt idx="103">
                  <c:v>43668</c:v>
                </c:pt>
                <c:pt idx="104">
                  <c:v>43665</c:v>
                </c:pt>
                <c:pt idx="105">
                  <c:v>43664</c:v>
                </c:pt>
                <c:pt idx="106">
                  <c:v>43663</c:v>
                </c:pt>
                <c:pt idx="107">
                  <c:v>43662</c:v>
                </c:pt>
                <c:pt idx="108">
                  <c:v>43658</c:v>
                </c:pt>
                <c:pt idx="109">
                  <c:v>43657</c:v>
                </c:pt>
                <c:pt idx="110">
                  <c:v>43656</c:v>
                </c:pt>
                <c:pt idx="111">
                  <c:v>43655</c:v>
                </c:pt>
                <c:pt idx="112">
                  <c:v>43654</c:v>
                </c:pt>
                <c:pt idx="113">
                  <c:v>43651</c:v>
                </c:pt>
                <c:pt idx="114">
                  <c:v>43650</c:v>
                </c:pt>
                <c:pt idx="115">
                  <c:v>43649</c:v>
                </c:pt>
                <c:pt idx="116">
                  <c:v>43648</c:v>
                </c:pt>
                <c:pt idx="117">
                  <c:v>43647</c:v>
                </c:pt>
                <c:pt idx="118">
                  <c:v>43644</c:v>
                </c:pt>
                <c:pt idx="119">
                  <c:v>43643</c:v>
                </c:pt>
                <c:pt idx="120">
                  <c:v>43642</c:v>
                </c:pt>
                <c:pt idx="121">
                  <c:v>43641</c:v>
                </c:pt>
                <c:pt idx="122">
                  <c:v>43640</c:v>
                </c:pt>
                <c:pt idx="123">
                  <c:v>43637</c:v>
                </c:pt>
                <c:pt idx="124">
                  <c:v>43636</c:v>
                </c:pt>
                <c:pt idx="125">
                  <c:v>43635</c:v>
                </c:pt>
                <c:pt idx="126">
                  <c:v>43634</c:v>
                </c:pt>
                <c:pt idx="127">
                  <c:v>43633</c:v>
                </c:pt>
                <c:pt idx="128">
                  <c:v>43630</c:v>
                </c:pt>
                <c:pt idx="129">
                  <c:v>43629</c:v>
                </c:pt>
                <c:pt idx="130">
                  <c:v>43628</c:v>
                </c:pt>
                <c:pt idx="131">
                  <c:v>43627</c:v>
                </c:pt>
                <c:pt idx="132">
                  <c:v>43626</c:v>
                </c:pt>
                <c:pt idx="133">
                  <c:v>43623</c:v>
                </c:pt>
                <c:pt idx="134">
                  <c:v>43622</c:v>
                </c:pt>
                <c:pt idx="135">
                  <c:v>43621</c:v>
                </c:pt>
                <c:pt idx="136">
                  <c:v>43620</c:v>
                </c:pt>
                <c:pt idx="137">
                  <c:v>43619</c:v>
                </c:pt>
                <c:pt idx="138">
                  <c:v>43616</c:v>
                </c:pt>
                <c:pt idx="139">
                  <c:v>43615</c:v>
                </c:pt>
                <c:pt idx="140">
                  <c:v>43614</c:v>
                </c:pt>
                <c:pt idx="141">
                  <c:v>43613</c:v>
                </c:pt>
                <c:pt idx="142">
                  <c:v>43612</c:v>
                </c:pt>
                <c:pt idx="143">
                  <c:v>43609</c:v>
                </c:pt>
                <c:pt idx="144">
                  <c:v>43608</c:v>
                </c:pt>
                <c:pt idx="145">
                  <c:v>43607</c:v>
                </c:pt>
                <c:pt idx="146">
                  <c:v>43606</c:v>
                </c:pt>
                <c:pt idx="147">
                  <c:v>43605</c:v>
                </c:pt>
                <c:pt idx="148">
                  <c:v>43602</c:v>
                </c:pt>
                <c:pt idx="149">
                  <c:v>43601</c:v>
                </c:pt>
                <c:pt idx="150">
                  <c:v>43600</c:v>
                </c:pt>
                <c:pt idx="151">
                  <c:v>43599</c:v>
                </c:pt>
                <c:pt idx="152">
                  <c:v>43598</c:v>
                </c:pt>
                <c:pt idx="153">
                  <c:v>43595</c:v>
                </c:pt>
                <c:pt idx="154">
                  <c:v>43594</c:v>
                </c:pt>
                <c:pt idx="155">
                  <c:v>43593</c:v>
                </c:pt>
                <c:pt idx="156">
                  <c:v>43592</c:v>
                </c:pt>
                <c:pt idx="157">
                  <c:v>43581</c:v>
                </c:pt>
                <c:pt idx="158">
                  <c:v>43580</c:v>
                </c:pt>
                <c:pt idx="159">
                  <c:v>43579</c:v>
                </c:pt>
                <c:pt idx="160">
                  <c:v>43578</c:v>
                </c:pt>
                <c:pt idx="161">
                  <c:v>43577</c:v>
                </c:pt>
                <c:pt idx="162">
                  <c:v>43574</c:v>
                </c:pt>
                <c:pt idx="163">
                  <c:v>43573</c:v>
                </c:pt>
                <c:pt idx="164">
                  <c:v>43572</c:v>
                </c:pt>
                <c:pt idx="165">
                  <c:v>43571</c:v>
                </c:pt>
                <c:pt idx="166">
                  <c:v>43570</c:v>
                </c:pt>
                <c:pt idx="167">
                  <c:v>43567</c:v>
                </c:pt>
                <c:pt idx="168">
                  <c:v>43566</c:v>
                </c:pt>
                <c:pt idx="169">
                  <c:v>43565</c:v>
                </c:pt>
                <c:pt idx="170">
                  <c:v>43564</c:v>
                </c:pt>
                <c:pt idx="171">
                  <c:v>43563</c:v>
                </c:pt>
                <c:pt idx="172">
                  <c:v>43560</c:v>
                </c:pt>
                <c:pt idx="173">
                  <c:v>43559</c:v>
                </c:pt>
                <c:pt idx="174">
                  <c:v>43558</c:v>
                </c:pt>
                <c:pt idx="175">
                  <c:v>43557</c:v>
                </c:pt>
                <c:pt idx="176">
                  <c:v>43556</c:v>
                </c:pt>
                <c:pt idx="177">
                  <c:v>43553</c:v>
                </c:pt>
                <c:pt idx="178">
                  <c:v>43552</c:v>
                </c:pt>
                <c:pt idx="179">
                  <c:v>43551</c:v>
                </c:pt>
                <c:pt idx="180">
                  <c:v>43550</c:v>
                </c:pt>
                <c:pt idx="181">
                  <c:v>43549</c:v>
                </c:pt>
                <c:pt idx="182">
                  <c:v>43546</c:v>
                </c:pt>
                <c:pt idx="183">
                  <c:v>43544</c:v>
                </c:pt>
                <c:pt idx="184">
                  <c:v>43543</c:v>
                </c:pt>
                <c:pt idx="185">
                  <c:v>43542</c:v>
                </c:pt>
                <c:pt idx="186">
                  <c:v>43539</c:v>
                </c:pt>
                <c:pt idx="187">
                  <c:v>43538</c:v>
                </c:pt>
                <c:pt idx="188">
                  <c:v>43537</c:v>
                </c:pt>
                <c:pt idx="189">
                  <c:v>43536</c:v>
                </c:pt>
                <c:pt idx="190">
                  <c:v>43535</c:v>
                </c:pt>
                <c:pt idx="191">
                  <c:v>43532</c:v>
                </c:pt>
                <c:pt idx="192">
                  <c:v>43531</c:v>
                </c:pt>
                <c:pt idx="193">
                  <c:v>43530</c:v>
                </c:pt>
                <c:pt idx="194">
                  <c:v>43529</c:v>
                </c:pt>
                <c:pt idx="195">
                  <c:v>43528</c:v>
                </c:pt>
                <c:pt idx="196">
                  <c:v>43525</c:v>
                </c:pt>
                <c:pt idx="197">
                  <c:v>43524</c:v>
                </c:pt>
                <c:pt idx="198">
                  <c:v>43523</c:v>
                </c:pt>
                <c:pt idx="199">
                  <c:v>43522</c:v>
                </c:pt>
                <c:pt idx="200">
                  <c:v>43521</c:v>
                </c:pt>
                <c:pt idx="201">
                  <c:v>43518</c:v>
                </c:pt>
                <c:pt idx="202">
                  <c:v>43517</c:v>
                </c:pt>
                <c:pt idx="203">
                  <c:v>43516</c:v>
                </c:pt>
                <c:pt idx="204">
                  <c:v>43515</c:v>
                </c:pt>
                <c:pt idx="205">
                  <c:v>43514</c:v>
                </c:pt>
                <c:pt idx="206">
                  <c:v>43511</c:v>
                </c:pt>
                <c:pt idx="207">
                  <c:v>43510</c:v>
                </c:pt>
                <c:pt idx="208">
                  <c:v>43509</c:v>
                </c:pt>
                <c:pt idx="209">
                  <c:v>43508</c:v>
                </c:pt>
                <c:pt idx="210">
                  <c:v>43504</c:v>
                </c:pt>
                <c:pt idx="211">
                  <c:v>43503</c:v>
                </c:pt>
                <c:pt idx="212">
                  <c:v>43502</c:v>
                </c:pt>
                <c:pt idx="213">
                  <c:v>43501</c:v>
                </c:pt>
                <c:pt idx="214">
                  <c:v>43500</c:v>
                </c:pt>
                <c:pt idx="215">
                  <c:v>43497</c:v>
                </c:pt>
                <c:pt idx="216">
                  <c:v>43496</c:v>
                </c:pt>
                <c:pt idx="217">
                  <c:v>43495</c:v>
                </c:pt>
                <c:pt idx="218">
                  <c:v>43494</c:v>
                </c:pt>
                <c:pt idx="219">
                  <c:v>43493</c:v>
                </c:pt>
                <c:pt idx="220">
                  <c:v>43490</c:v>
                </c:pt>
                <c:pt idx="221">
                  <c:v>43489</c:v>
                </c:pt>
                <c:pt idx="222">
                  <c:v>43488</c:v>
                </c:pt>
                <c:pt idx="223">
                  <c:v>43487</c:v>
                </c:pt>
                <c:pt idx="224">
                  <c:v>43486</c:v>
                </c:pt>
                <c:pt idx="225">
                  <c:v>43483</c:v>
                </c:pt>
                <c:pt idx="226">
                  <c:v>43482</c:v>
                </c:pt>
                <c:pt idx="227">
                  <c:v>43481</c:v>
                </c:pt>
                <c:pt idx="228">
                  <c:v>43480</c:v>
                </c:pt>
                <c:pt idx="229">
                  <c:v>43476</c:v>
                </c:pt>
                <c:pt idx="230">
                  <c:v>43475</c:v>
                </c:pt>
                <c:pt idx="231">
                  <c:v>43474</c:v>
                </c:pt>
                <c:pt idx="232">
                  <c:v>43473</c:v>
                </c:pt>
                <c:pt idx="233">
                  <c:v>43472</c:v>
                </c:pt>
                <c:pt idx="234">
                  <c:v>43469</c:v>
                </c:pt>
                <c:pt idx="235">
                  <c:v>43462</c:v>
                </c:pt>
                <c:pt idx="236">
                  <c:v>43461</c:v>
                </c:pt>
                <c:pt idx="237">
                  <c:v>43460</c:v>
                </c:pt>
                <c:pt idx="238">
                  <c:v>43459</c:v>
                </c:pt>
                <c:pt idx="239">
                  <c:v>43455</c:v>
                </c:pt>
                <c:pt idx="240">
                  <c:v>43454</c:v>
                </c:pt>
              </c:numCache>
            </c:numRef>
          </c:cat>
          <c:val>
            <c:numRef>
              <c:f>Graph!$N$42:$N$703</c:f>
              <c:numCache>
                <c:formatCode>General</c:formatCode>
                <c:ptCount val="662"/>
                <c:pt idx="0">
                  <c:v>0.80772631133598716</c:v>
                </c:pt>
                <c:pt idx="1">
                  <c:v>0.80699906876709349</c:v>
                </c:pt>
                <c:pt idx="2">
                  <c:v>0.80691186755126576</c:v>
                </c:pt>
                <c:pt idx="3">
                  <c:v>0.80729446329551857</c:v>
                </c:pt>
                <c:pt idx="4">
                  <c:v>0.80818011001165624</c:v>
                </c:pt>
                <c:pt idx="5">
                  <c:v>0.80907391260089323</c:v>
                </c:pt>
                <c:pt idx="6">
                  <c:v>0.80988997946348573</c:v>
                </c:pt>
                <c:pt idx="7">
                  <c:v>0.81097662236751955</c:v>
                </c:pt>
                <c:pt idx="8">
                  <c:v>0.81266730310789226</c:v>
                </c:pt>
                <c:pt idx="9">
                  <c:v>0.81403848719837102</c:v>
                </c:pt>
                <c:pt idx="10">
                  <c:v>0.814956615059233</c:v>
                </c:pt>
                <c:pt idx="11">
                  <c:v>0.81673351057684185</c:v>
                </c:pt>
                <c:pt idx="12">
                  <c:v>0.81784411687763581</c:v>
                </c:pt>
                <c:pt idx="13">
                  <c:v>0.81949935362892123</c:v>
                </c:pt>
                <c:pt idx="14">
                  <c:v>0.82157764029576819</c:v>
                </c:pt>
                <c:pt idx="15">
                  <c:v>0.82124931342489438</c:v>
                </c:pt>
                <c:pt idx="16">
                  <c:v>0.82044294989791378</c:v>
                </c:pt>
                <c:pt idx="17">
                  <c:v>0.82008323821031048</c:v>
                </c:pt>
                <c:pt idx="18">
                  <c:v>0.82035169295101884</c:v>
                </c:pt>
                <c:pt idx="19">
                  <c:v>0.82019632407388265</c:v>
                </c:pt>
                <c:pt idx="20">
                  <c:v>0.82023570721590155</c:v>
                </c:pt>
                <c:pt idx="21">
                  <c:v>0.81996860190138487</c:v>
                </c:pt>
                <c:pt idx="22">
                  <c:v>0.81870295471121846</c:v>
                </c:pt>
                <c:pt idx="23">
                  <c:v>0.8181595145275522</c:v>
                </c:pt>
                <c:pt idx="24">
                  <c:v>0.81817084188207212</c:v>
                </c:pt>
                <c:pt idx="25">
                  <c:v>0.81832971359808693</c:v>
                </c:pt>
                <c:pt idx="26">
                  <c:v>0.81826865309322994</c:v>
                </c:pt>
                <c:pt idx="27">
                  <c:v>0.81826523740130019</c:v>
                </c:pt>
                <c:pt idx="28">
                  <c:v>0.81826235941022896</c:v>
                </c:pt>
                <c:pt idx="29">
                  <c:v>0.81822550257292115</c:v>
                </c:pt>
                <c:pt idx="30">
                  <c:v>0.81823078868131704</c:v>
                </c:pt>
                <c:pt idx="31">
                  <c:v>0.8183024779974708</c:v>
                </c:pt>
                <c:pt idx="32">
                  <c:v>0.8178930533283052</c:v>
                </c:pt>
                <c:pt idx="33">
                  <c:v>0.81771454662393561</c:v>
                </c:pt>
                <c:pt idx="34">
                  <c:v>0.816566143789902</c:v>
                </c:pt>
                <c:pt idx="35">
                  <c:v>0.81476460557148378</c:v>
                </c:pt>
                <c:pt idx="36">
                  <c:v>0.81487189321800946</c:v>
                </c:pt>
                <c:pt idx="37">
                  <c:v>0.81497742495301029</c:v>
                </c:pt>
                <c:pt idx="38">
                  <c:v>0.81465257196822882</c:v>
                </c:pt>
                <c:pt idx="39">
                  <c:v>0.81489165864069357</c:v>
                </c:pt>
                <c:pt idx="40">
                  <c:v>0.81524325045753043</c:v>
                </c:pt>
                <c:pt idx="41">
                  <c:v>0.8151014086259496</c:v>
                </c:pt>
                <c:pt idx="42">
                  <c:v>0.81473863922326883</c:v>
                </c:pt>
                <c:pt idx="43">
                  <c:v>0.81469729287873793</c:v>
                </c:pt>
                <c:pt idx="44">
                  <c:v>0.81450485016862018</c:v>
                </c:pt>
                <c:pt idx="45">
                  <c:v>0.81453332453090732</c:v>
                </c:pt>
                <c:pt idx="46">
                  <c:v>0.81452558347978665</c:v>
                </c:pt>
                <c:pt idx="47">
                  <c:v>0.81445288954359618</c:v>
                </c:pt>
                <c:pt idx="48">
                  <c:v>0.81450855401393596</c:v>
                </c:pt>
                <c:pt idx="49">
                  <c:v>0.81472266096519319</c:v>
                </c:pt>
                <c:pt idx="50">
                  <c:v>0.81472441798011042</c:v>
                </c:pt>
                <c:pt idx="51">
                  <c:v>0.81461162201506876</c:v>
                </c:pt>
                <c:pt idx="52">
                  <c:v>0.81461100964748323</c:v>
                </c:pt>
                <c:pt idx="53">
                  <c:v>0.81458160211396835</c:v>
                </c:pt>
                <c:pt idx="54">
                  <c:v>0.81462811937152257</c:v>
                </c:pt>
                <c:pt idx="55">
                  <c:v>0.81464185633777786</c:v>
                </c:pt>
                <c:pt idx="56">
                  <c:v>0.81464067373892302</c:v>
                </c:pt>
                <c:pt idx="57">
                  <c:v>0.81464841120831377</c:v>
                </c:pt>
                <c:pt idx="58">
                  <c:v>0.81487541124090224</c:v>
                </c:pt>
                <c:pt idx="59">
                  <c:v>0.81492800235780527</c:v>
                </c:pt>
                <c:pt idx="60">
                  <c:v>0.815029110849813</c:v>
                </c:pt>
                <c:pt idx="61">
                  <c:v>0.81506194398574006</c:v>
                </c:pt>
                <c:pt idx="62">
                  <c:v>0.81525604753387904</c:v>
                </c:pt>
                <c:pt idx="63">
                  <c:v>0.81521589961001073</c:v>
                </c:pt>
                <c:pt idx="64">
                  <c:v>0.81510615435001699</c:v>
                </c:pt>
                <c:pt idx="65">
                  <c:v>0.81510451766634906</c:v>
                </c:pt>
                <c:pt idx="66">
                  <c:v>0.81512957266859876</c:v>
                </c:pt>
                <c:pt idx="67">
                  <c:v>0.8151255496692138</c:v>
                </c:pt>
                <c:pt idx="68">
                  <c:v>0.81510678040269302</c:v>
                </c:pt>
                <c:pt idx="69">
                  <c:v>0.81484685116175748</c:v>
                </c:pt>
                <c:pt idx="70">
                  <c:v>0.81458504507263885</c:v>
                </c:pt>
                <c:pt idx="71">
                  <c:v>0.81424885291324645</c:v>
                </c:pt>
                <c:pt idx="72">
                  <c:v>0.81432224183697</c:v>
                </c:pt>
                <c:pt idx="73">
                  <c:v>0.81426098037796146</c:v>
                </c:pt>
                <c:pt idx="74">
                  <c:v>0.81456816335867921</c:v>
                </c:pt>
                <c:pt idx="75">
                  <c:v>0.81633662140429197</c:v>
                </c:pt>
                <c:pt idx="76">
                  <c:v>0.81589584612178778</c:v>
                </c:pt>
                <c:pt idx="77">
                  <c:v>0.81521111878256458</c:v>
                </c:pt>
                <c:pt idx="78">
                  <c:v>0.81406614637853181</c:v>
                </c:pt>
                <c:pt idx="79">
                  <c:v>0.8133544724134224</c:v>
                </c:pt>
                <c:pt idx="80">
                  <c:v>0.81478872966337523</c:v>
                </c:pt>
                <c:pt idx="81">
                  <c:v>0.8164986384189995</c:v>
                </c:pt>
                <c:pt idx="82">
                  <c:v>0.81883106929837735</c:v>
                </c:pt>
                <c:pt idx="83">
                  <c:v>0.82179536129831399</c:v>
                </c:pt>
                <c:pt idx="84">
                  <c:v>0.82387589967157271</c:v>
                </c:pt>
                <c:pt idx="85">
                  <c:v>0.8268689008217216</c:v>
                </c:pt>
                <c:pt idx="86">
                  <c:v>0.8279600697799433</c:v>
                </c:pt>
                <c:pt idx="87">
                  <c:v>0.83064785570574418</c:v>
                </c:pt>
                <c:pt idx="88">
                  <c:v>0.83180612906775553</c:v>
                </c:pt>
                <c:pt idx="89">
                  <c:v>0.83128049224975142</c:v>
                </c:pt>
                <c:pt idx="90">
                  <c:v>0.83265468183343805</c:v>
                </c:pt>
                <c:pt idx="91">
                  <c:v>0.83523168261106817</c:v>
                </c:pt>
                <c:pt idx="92">
                  <c:v>0.83700778457741132</c:v>
                </c:pt>
                <c:pt idx="93">
                  <c:v>0.84017982564655003</c:v>
                </c:pt>
                <c:pt idx="94">
                  <c:v>0.84255035000317635</c:v>
                </c:pt>
                <c:pt idx="95">
                  <c:v>0.84370723700997319</c:v>
                </c:pt>
                <c:pt idx="96">
                  <c:v>0.84454006598091058</c:v>
                </c:pt>
                <c:pt idx="97">
                  <c:v>0.84557712600396739</c:v>
                </c:pt>
                <c:pt idx="98">
                  <c:v>0.84653820768372068</c:v>
                </c:pt>
                <c:pt idx="99">
                  <c:v>0.84793300639832681</c:v>
                </c:pt>
                <c:pt idx="100">
                  <c:v>0.84866430181861063</c:v>
                </c:pt>
                <c:pt idx="101">
                  <c:v>0.84938236974244552</c:v>
                </c:pt>
                <c:pt idx="102">
                  <c:v>0.85047383499944618</c:v>
                </c:pt>
                <c:pt idx="103">
                  <c:v>0.85120461325161501</c:v>
                </c:pt>
                <c:pt idx="104">
                  <c:v>0.85179434983410407</c:v>
                </c:pt>
                <c:pt idx="105">
                  <c:v>0.85271365859312009</c:v>
                </c:pt>
                <c:pt idx="106">
                  <c:v>0.85385030133056783</c:v>
                </c:pt>
                <c:pt idx="107">
                  <c:v>0.85464478296255653</c:v>
                </c:pt>
                <c:pt idx="108">
                  <c:v>0.85523091296134779</c:v>
                </c:pt>
                <c:pt idx="109">
                  <c:v>0.85545682982025917</c:v>
                </c:pt>
                <c:pt idx="110">
                  <c:v>0.85599792119927942</c:v>
                </c:pt>
                <c:pt idx="111">
                  <c:v>0.85669588455103718</c:v>
                </c:pt>
                <c:pt idx="112">
                  <c:v>0.85732532718398624</c:v>
                </c:pt>
                <c:pt idx="113">
                  <c:v>0.85752932368880641</c:v>
                </c:pt>
                <c:pt idx="114">
                  <c:v>0.8579157111447766</c:v>
                </c:pt>
                <c:pt idx="115">
                  <c:v>0.85793395731269739</c:v>
                </c:pt>
                <c:pt idx="116">
                  <c:v>0.85790242212441514</c:v>
                </c:pt>
                <c:pt idx="117">
                  <c:v>0.85784494526745547</c:v>
                </c:pt>
                <c:pt idx="118">
                  <c:v>0.85800336840602143</c:v>
                </c:pt>
                <c:pt idx="119">
                  <c:v>0.85821030908613283</c:v>
                </c:pt>
                <c:pt idx="120">
                  <c:v>0.85807195877368936</c:v>
                </c:pt>
                <c:pt idx="121">
                  <c:v>0.85869321990081215</c:v>
                </c:pt>
                <c:pt idx="122">
                  <c:v>0.85893630463041526</c:v>
                </c:pt>
                <c:pt idx="123">
                  <c:v>0.85905207855569821</c:v>
                </c:pt>
                <c:pt idx="124">
                  <c:v>0.85911821896671459</c:v>
                </c:pt>
                <c:pt idx="125">
                  <c:v>0.85920791295268895</c:v>
                </c:pt>
                <c:pt idx="126">
                  <c:v>0.85942141570038522</c:v>
                </c:pt>
                <c:pt idx="127">
                  <c:v>0.85939836218180754</c:v>
                </c:pt>
                <c:pt idx="128">
                  <c:v>0.85932112122931981</c:v>
                </c:pt>
                <c:pt idx="129">
                  <c:v>0.85928385999857582</c:v>
                </c:pt>
                <c:pt idx="130">
                  <c:v>0.85938359412684928</c:v>
                </c:pt>
                <c:pt idx="131">
                  <c:v>0.85961866514888063</c:v>
                </c:pt>
                <c:pt idx="132">
                  <c:v>0.85967304371482878</c:v>
                </c:pt>
                <c:pt idx="133">
                  <c:v>0.86008080657381747</c:v>
                </c:pt>
                <c:pt idx="134">
                  <c:v>0.86030926130442442</c:v>
                </c:pt>
                <c:pt idx="135">
                  <c:v>0.86078770779581837</c:v>
                </c:pt>
                <c:pt idx="136">
                  <c:v>0.86086561443676879</c:v>
                </c:pt>
                <c:pt idx="137">
                  <c:v>0.86096865698573599</c:v>
                </c:pt>
                <c:pt idx="138">
                  <c:v>0.86091274612174939</c:v>
                </c:pt>
                <c:pt idx="139">
                  <c:v>0.86116415815981595</c:v>
                </c:pt>
                <c:pt idx="140">
                  <c:v>0.86120224196219175</c:v>
                </c:pt>
                <c:pt idx="141">
                  <c:v>0.86119526123996015</c:v>
                </c:pt>
                <c:pt idx="142">
                  <c:v>0.86117630421540381</c:v>
                </c:pt>
                <c:pt idx="143">
                  <c:v>0.86106348131251687</c:v>
                </c:pt>
                <c:pt idx="144">
                  <c:v>0.86101940186734383</c:v>
                </c:pt>
                <c:pt idx="145">
                  <c:v>0.86097346584782253</c:v>
                </c:pt>
                <c:pt idx="146">
                  <c:v>0.86097671012195043</c:v>
                </c:pt>
                <c:pt idx="147">
                  <c:v>0.86097236273024658</c:v>
                </c:pt>
                <c:pt idx="148">
                  <c:v>0.860965241425515</c:v>
                </c:pt>
                <c:pt idx="149">
                  <c:v>0.86092875402138325</c:v>
                </c:pt>
                <c:pt idx="150">
                  <c:v>0.86032753633122883</c:v>
                </c:pt>
                <c:pt idx="151">
                  <c:v>0.86027469877030016</c:v>
                </c:pt>
                <c:pt idx="152">
                  <c:v>0.86029318398623622</c:v>
                </c:pt>
                <c:pt idx="153">
                  <c:v>0.86023168193129085</c:v>
                </c:pt>
                <c:pt idx="154">
                  <c:v>0.86036801559174925</c:v>
                </c:pt>
                <c:pt idx="155">
                  <c:v>0.85974018812042696</c:v>
                </c:pt>
                <c:pt idx="156">
                  <c:v>0.8588652859263074</c:v>
                </c:pt>
                <c:pt idx="157">
                  <c:v>0.8574392115034124</c:v>
                </c:pt>
                <c:pt idx="158">
                  <c:v>0.85511180436801404</c:v>
                </c:pt>
                <c:pt idx="159">
                  <c:v>0.85341813124523835</c:v>
                </c:pt>
                <c:pt idx="160">
                  <c:v>0.85128267911900979</c:v>
                </c:pt>
                <c:pt idx="161">
                  <c:v>0.84980917592679739</c:v>
                </c:pt>
                <c:pt idx="162">
                  <c:v>0.84734882766265307</c:v>
                </c:pt>
                <c:pt idx="163">
                  <c:v>0.84548923637097184</c:v>
                </c:pt>
                <c:pt idx="164">
                  <c:v>0.84512882436824255</c:v>
                </c:pt>
                <c:pt idx="165">
                  <c:v>0.84460979544903936</c:v>
                </c:pt>
                <c:pt idx="166">
                  <c:v>0.84328303421320439</c:v>
                </c:pt>
                <c:pt idx="167">
                  <c:v>0.84208108292252337</c:v>
                </c:pt>
                <c:pt idx="168">
                  <c:v>0.83885052129312421</c:v>
                </c:pt>
                <c:pt idx="169">
                  <c:v>0.83633019749286841</c:v>
                </c:pt>
                <c:pt idx="170">
                  <c:v>0.83493990012300134</c:v>
                </c:pt>
                <c:pt idx="171">
                  <c:v>0.83362149981092504</c:v>
                </c:pt>
                <c:pt idx="172">
                  <c:v>0.83246421560791484</c:v>
                </c:pt>
                <c:pt idx="173">
                  <c:v>0.83177587978204948</c:v>
                </c:pt>
                <c:pt idx="174">
                  <c:v>0.83009816218162635</c:v>
                </c:pt>
                <c:pt idx="175">
                  <c:v>0.82862346046024526</c:v>
                </c:pt>
                <c:pt idx="176">
                  <c:v>0.82703973068087544</c:v>
                </c:pt>
                <c:pt idx="177">
                  <c:v>0.82486668955941322</c:v>
                </c:pt>
                <c:pt idx="178">
                  <c:v>0.82342149082075322</c:v>
                </c:pt>
                <c:pt idx="179">
                  <c:v>0.82244225727135167</c:v>
                </c:pt>
                <c:pt idx="180">
                  <c:v>0.82049170007659344</c:v>
                </c:pt>
                <c:pt idx="181">
                  <c:v>0.81750536018758302</c:v>
                </c:pt>
                <c:pt idx="182">
                  <c:v>0.81624756888965577</c:v>
                </c:pt>
                <c:pt idx="183">
                  <c:v>0.8158806907758327</c:v>
                </c:pt>
                <c:pt idx="184">
                  <c:v>0.81641440031486734</c:v>
                </c:pt>
                <c:pt idx="185">
                  <c:v>0.81609601306854829</c:v>
                </c:pt>
                <c:pt idx="186">
                  <c:v>0.8154977388318746</c:v>
                </c:pt>
                <c:pt idx="187">
                  <c:v>0.81536042476970128</c:v>
                </c:pt>
                <c:pt idx="188">
                  <c:v>0.8159747441348022</c:v>
                </c:pt>
                <c:pt idx="189">
                  <c:v>0.81748427127609613</c:v>
                </c:pt>
                <c:pt idx="190">
                  <c:v>0.81965723020318815</c:v>
                </c:pt>
                <c:pt idx="191">
                  <c:v>0.82260756493149978</c:v>
                </c:pt>
                <c:pt idx="192">
                  <c:v>0.82457779444050938</c:v>
                </c:pt>
                <c:pt idx="193">
                  <c:v>0.82751891875567662</c:v>
                </c:pt>
                <c:pt idx="194">
                  <c:v>0.82973024648249827</c:v>
                </c:pt>
                <c:pt idx="195">
                  <c:v>0.83151053763502625</c:v>
                </c:pt>
                <c:pt idx="196">
                  <c:v>0.83283648290201995</c:v>
                </c:pt>
                <c:pt idx="197">
                  <c:v>0.83444484873144842</c:v>
                </c:pt>
                <c:pt idx="198">
                  <c:v>0.83516688177670284</c:v>
                </c:pt>
                <c:pt idx="199">
                  <c:v>0.83563744810082774</c:v>
                </c:pt>
                <c:pt idx="200">
                  <c:v>0.83583000466059665</c:v>
                </c:pt>
                <c:pt idx="201">
                  <c:v>0.83517361941420465</c:v>
                </c:pt>
                <c:pt idx="202">
                  <c:v>0.83416600161001475</c:v>
                </c:pt>
                <c:pt idx="203">
                  <c:v>0.83335439103120457</c:v>
                </c:pt>
                <c:pt idx="204">
                  <c:v>0.83251551209597374</c:v>
                </c:pt>
                <c:pt idx="205">
                  <c:v>0.83173315761717015</c:v>
                </c:pt>
                <c:pt idx="206">
                  <c:v>0.83130348917018659</c:v>
                </c:pt>
                <c:pt idx="207">
                  <c:v>0.83093570221171098</c:v>
                </c:pt>
                <c:pt idx="208">
                  <c:v>0.83098352038487588</c:v>
                </c:pt>
                <c:pt idx="209">
                  <c:v>0.83069357212385975</c:v>
                </c:pt>
                <c:pt idx="210">
                  <c:v>0.83043430783243555</c:v>
                </c:pt>
                <c:pt idx="211">
                  <c:v>0.82930571680740039</c:v>
                </c:pt>
                <c:pt idx="212">
                  <c:v>0.82833451685205095</c:v>
                </c:pt>
                <c:pt idx="213">
                  <c:v>0.82677233043732201</c:v>
                </c:pt>
                <c:pt idx="214">
                  <c:v>0.82591337058566594</c:v>
                </c:pt>
                <c:pt idx="215">
                  <c:v>0.82460075253114373</c:v>
                </c:pt>
                <c:pt idx="216">
                  <c:v>0.82224369162679745</c:v>
                </c:pt>
                <c:pt idx="217">
                  <c:v>0.81948465556350314</c:v>
                </c:pt>
                <c:pt idx="218">
                  <c:v>0.81677072229221959</c:v>
                </c:pt>
                <c:pt idx="219">
                  <c:v>0.8143219548003231</c:v>
                </c:pt>
                <c:pt idx="220">
                  <c:v>0.81189566092628818</c:v>
                </c:pt>
                <c:pt idx="221">
                  <c:v>0.80936821234760159</c:v>
                </c:pt>
                <c:pt idx="222">
                  <c:v>0.80667744308866773</c:v>
                </c:pt>
                <c:pt idx="223">
                  <c:v>0.8040403310642944</c:v>
                </c:pt>
                <c:pt idx="224">
                  <c:v>0.80143350259689639</c:v>
                </c:pt>
                <c:pt idx="225">
                  <c:v>0.79899430428440021</c:v>
                </c:pt>
                <c:pt idx="226">
                  <c:v>0.79746447725698555</c:v>
                </c:pt>
                <c:pt idx="227">
                  <c:v>0.79635508874762639</c:v>
                </c:pt>
                <c:pt idx="228">
                  <c:v>0.79519515290280796</c:v>
                </c:pt>
                <c:pt idx="229">
                  <c:v>0.79482380779558892</c:v>
                </c:pt>
                <c:pt idx="230">
                  <c:v>0.79313444131289101</c:v>
                </c:pt>
                <c:pt idx="231">
                  <c:v>0.7929172261434988</c:v>
                </c:pt>
                <c:pt idx="232">
                  <c:v>0.79226570609566349</c:v>
                </c:pt>
                <c:pt idx="233">
                  <c:v>0.79259302712669055</c:v>
                </c:pt>
                <c:pt idx="234">
                  <c:v>0.79288642035851586</c:v>
                </c:pt>
                <c:pt idx="235">
                  <c:v>0.79285219997741985</c:v>
                </c:pt>
                <c:pt idx="236">
                  <c:v>0.79372730138324077</c:v>
                </c:pt>
                <c:pt idx="237">
                  <c:v>0.79541450815379344</c:v>
                </c:pt>
                <c:pt idx="238">
                  <c:v>0.79767892782267613</c:v>
                </c:pt>
                <c:pt idx="239">
                  <c:v>0.80026869292144609</c:v>
                </c:pt>
                <c:pt idx="240">
                  <c:v>0.80331504084029737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A4-47F8-BD66-5FADF1C286CF}"/>
            </c:ext>
          </c:extLst>
        </c:ser>
        <c:ser>
          <c:idx val="2"/>
          <c:order val="2"/>
          <c:tx>
            <c:strRef>
              <c:f>Graph!$O$41</c:f>
              <c:strCache>
                <c:ptCount val="1"/>
                <c:pt idx="0">
                  <c:v>-2-Sigama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43819</c:v>
                </c:pt>
                <c:pt idx="1">
                  <c:v>43818</c:v>
                </c:pt>
                <c:pt idx="2">
                  <c:v>43817</c:v>
                </c:pt>
                <c:pt idx="3">
                  <c:v>43816</c:v>
                </c:pt>
                <c:pt idx="4">
                  <c:v>43815</c:v>
                </c:pt>
                <c:pt idx="5">
                  <c:v>43812</c:v>
                </c:pt>
                <c:pt idx="6">
                  <c:v>43811</c:v>
                </c:pt>
                <c:pt idx="7">
                  <c:v>43810</c:v>
                </c:pt>
                <c:pt idx="8">
                  <c:v>43809</c:v>
                </c:pt>
                <c:pt idx="9">
                  <c:v>43808</c:v>
                </c:pt>
                <c:pt idx="10">
                  <c:v>43805</c:v>
                </c:pt>
                <c:pt idx="11">
                  <c:v>43804</c:v>
                </c:pt>
                <c:pt idx="12">
                  <c:v>43803</c:v>
                </c:pt>
                <c:pt idx="13">
                  <c:v>43802</c:v>
                </c:pt>
                <c:pt idx="14">
                  <c:v>43801</c:v>
                </c:pt>
                <c:pt idx="15">
                  <c:v>43798</c:v>
                </c:pt>
                <c:pt idx="16">
                  <c:v>43797</c:v>
                </c:pt>
                <c:pt idx="17">
                  <c:v>43796</c:v>
                </c:pt>
                <c:pt idx="18">
                  <c:v>43795</c:v>
                </c:pt>
                <c:pt idx="19">
                  <c:v>43794</c:v>
                </c:pt>
                <c:pt idx="20">
                  <c:v>43791</c:v>
                </c:pt>
                <c:pt idx="21">
                  <c:v>43790</c:v>
                </c:pt>
                <c:pt idx="22">
                  <c:v>43789</c:v>
                </c:pt>
                <c:pt idx="23">
                  <c:v>43788</c:v>
                </c:pt>
                <c:pt idx="24">
                  <c:v>43787</c:v>
                </c:pt>
                <c:pt idx="25">
                  <c:v>43784</c:v>
                </c:pt>
                <c:pt idx="26">
                  <c:v>43783</c:v>
                </c:pt>
                <c:pt idx="27">
                  <c:v>43782</c:v>
                </c:pt>
                <c:pt idx="28">
                  <c:v>43781</c:v>
                </c:pt>
                <c:pt idx="29">
                  <c:v>43780</c:v>
                </c:pt>
                <c:pt idx="30">
                  <c:v>43777</c:v>
                </c:pt>
                <c:pt idx="31">
                  <c:v>43776</c:v>
                </c:pt>
                <c:pt idx="32">
                  <c:v>43775</c:v>
                </c:pt>
                <c:pt idx="33">
                  <c:v>43774</c:v>
                </c:pt>
                <c:pt idx="34">
                  <c:v>43770</c:v>
                </c:pt>
                <c:pt idx="35">
                  <c:v>43769</c:v>
                </c:pt>
                <c:pt idx="36">
                  <c:v>43768</c:v>
                </c:pt>
                <c:pt idx="37">
                  <c:v>43767</c:v>
                </c:pt>
                <c:pt idx="38">
                  <c:v>43766</c:v>
                </c:pt>
                <c:pt idx="39">
                  <c:v>43763</c:v>
                </c:pt>
                <c:pt idx="40">
                  <c:v>43762</c:v>
                </c:pt>
                <c:pt idx="41">
                  <c:v>43761</c:v>
                </c:pt>
                <c:pt idx="42">
                  <c:v>43759</c:v>
                </c:pt>
                <c:pt idx="43">
                  <c:v>43756</c:v>
                </c:pt>
                <c:pt idx="44">
                  <c:v>43755</c:v>
                </c:pt>
                <c:pt idx="45">
                  <c:v>43754</c:v>
                </c:pt>
                <c:pt idx="46">
                  <c:v>43753</c:v>
                </c:pt>
                <c:pt idx="47">
                  <c:v>43749</c:v>
                </c:pt>
                <c:pt idx="48">
                  <c:v>43748</c:v>
                </c:pt>
                <c:pt idx="49">
                  <c:v>43747</c:v>
                </c:pt>
                <c:pt idx="50">
                  <c:v>43746</c:v>
                </c:pt>
                <c:pt idx="51">
                  <c:v>43745</c:v>
                </c:pt>
                <c:pt idx="52">
                  <c:v>43742</c:v>
                </c:pt>
                <c:pt idx="53">
                  <c:v>43741</c:v>
                </c:pt>
                <c:pt idx="54">
                  <c:v>43740</c:v>
                </c:pt>
                <c:pt idx="55">
                  <c:v>43739</c:v>
                </c:pt>
                <c:pt idx="56">
                  <c:v>43738</c:v>
                </c:pt>
                <c:pt idx="57">
                  <c:v>43735</c:v>
                </c:pt>
                <c:pt idx="58">
                  <c:v>43734</c:v>
                </c:pt>
                <c:pt idx="59">
                  <c:v>43733</c:v>
                </c:pt>
                <c:pt idx="60">
                  <c:v>43732</c:v>
                </c:pt>
                <c:pt idx="61">
                  <c:v>43728</c:v>
                </c:pt>
                <c:pt idx="62">
                  <c:v>43727</c:v>
                </c:pt>
                <c:pt idx="63">
                  <c:v>43726</c:v>
                </c:pt>
                <c:pt idx="64">
                  <c:v>43725</c:v>
                </c:pt>
                <c:pt idx="65">
                  <c:v>43721</c:v>
                </c:pt>
                <c:pt idx="66">
                  <c:v>43720</c:v>
                </c:pt>
                <c:pt idx="67">
                  <c:v>43719</c:v>
                </c:pt>
                <c:pt idx="68">
                  <c:v>43718</c:v>
                </c:pt>
                <c:pt idx="69">
                  <c:v>43717</c:v>
                </c:pt>
                <c:pt idx="70">
                  <c:v>43714</c:v>
                </c:pt>
                <c:pt idx="71">
                  <c:v>43713</c:v>
                </c:pt>
                <c:pt idx="72">
                  <c:v>43712</c:v>
                </c:pt>
                <c:pt idx="73">
                  <c:v>43711</c:v>
                </c:pt>
                <c:pt idx="74">
                  <c:v>43710</c:v>
                </c:pt>
                <c:pt idx="75">
                  <c:v>43707</c:v>
                </c:pt>
                <c:pt idx="76">
                  <c:v>43706</c:v>
                </c:pt>
                <c:pt idx="77">
                  <c:v>43705</c:v>
                </c:pt>
                <c:pt idx="78">
                  <c:v>43704</c:v>
                </c:pt>
                <c:pt idx="79">
                  <c:v>43703</c:v>
                </c:pt>
                <c:pt idx="80">
                  <c:v>43700</c:v>
                </c:pt>
                <c:pt idx="81">
                  <c:v>43699</c:v>
                </c:pt>
                <c:pt idx="82">
                  <c:v>43698</c:v>
                </c:pt>
                <c:pt idx="83">
                  <c:v>43697</c:v>
                </c:pt>
                <c:pt idx="84">
                  <c:v>43696</c:v>
                </c:pt>
                <c:pt idx="85">
                  <c:v>43693</c:v>
                </c:pt>
                <c:pt idx="86">
                  <c:v>43692</c:v>
                </c:pt>
                <c:pt idx="87">
                  <c:v>43691</c:v>
                </c:pt>
                <c:pt idx="88">
                  <c:v>43690</c:v>
                </c:pt>
                <c:pt idx="89">
                  <c:v>43686</c:v>
                </c:pt>
                <c:pt idx="90">
                  <c:v>43685</c:v>
                </c:pt>
                <c:pt idx="91">
                  <c:v>43684</c:v>
                </c:pt>
                <c:pt idx="92">
                  <c:v>43683</c:v>
                </c:pt>
                <c:pt idx="93">
                  <c:v>43682</c:v>
                </c:pt>
                <c:pt idx="94">
                  <c:v>43679</c:v>
                </c:pt>
                <c:pt idx="95">
                  <c:v>43678</c:v>
                </c:pt>
                <c:pt idx="96">
                  <c:v>43677</c:v>
                </c:pt>
                <c:pt idx="97">
                  <c:v>43676</c:v>
                </c:pt>
                <c:pt idx="98">
                  <c:v>43675</c:v>
                </c:pt>
                <c:pt idx="99">
                  <c:v>43672</c:v>
                </c:pt>
                <c:pt idx="100">
                  <c:v>43671</c:v>
                </c:pt>
                <c:pt idx="101">
                  <c:v>43670</c:v>
                </c:pt>
                <c:pt idx="102">
                  <c:v>43669</c:v>
                </c:pt>
                <c:pt idx="103">
                  <c:v>43668</c:v>
                </c:pt>
                <c:pt idx="104">
                  <c:v>43665</c:v>
                </c:pt>
                <c:pt idx="105">
                  <c:v>43664</c:v>
                </c:pt>
                <c:pt idx="106">
                  <c:v>43663</c:v>
                </c:pt>
                <c:pt idx="107">
                  <c:v>43662</c:v>
                </c:pt>
                <c:pt idx="108">
                  <c:v>43658</c:v>
                </c:pt>
                <c:pt idx="109">
                  <c:v>43657</c:v>
                </c:pt>
                <c:pt idx="110">
                  <c:v>43656</c:v>
                </c:pt>
                <c:pt idx="111">
                  <c:v>43655</c:v>
                </c:pt>
                <c:pt idx="112">
                  <c:v>43654</c:v>
                </c:pt>
                <c:pt idx="113">
                  <c:v>43651</c:v>
                </c:pt>
                <c:pt idx="114">
                  <c:v>43650</c:v>
                </c:pt>
                <c:pt idx="115">
                  <c:v>43649</c:v>
                </c:pt>
                <c:pt idx="116">
                  <c:v>43648</c:v>
                </c:pt>
                <c:pt idx="117">
                  <c:v>43647</c:v>
                </c:pt>
                <c:pt idx="118">
                  <c:v>43644</c:v>
                </c:pt>
                <c:pt idx="119">
                  <c:v>43643</c:v>
                </c:pt>
                <c:pt idx="120">
                  <c:v>43642</c:v>
                </c:pt>
                <c:pt idx="121">
                  <c:v>43641</c:v>
                </c:pt>
                <c:pt idx="122">
                  <c:v>43640</c:v>
                </c:pt>
                <c:pt idx="123">
                  <c:v>43637</c:v>
                </c:pt>
                <c:pt idx="124">
                  <c:v>43636</c:v>
                </c:pt>
                <c:pt idx="125">
                  <c:v>43635</c:v>
                </c:pt>
                <c:pt idx="126">
                  <c:v>43634</c:v>
                </c:pt>
                <c:pt idx="127">
                  <c:v>43633</c:v>
                </c:pt>
                <c:pt idx="128">
                  <c:v>43630</c:v>
                </c:pt>
                <c:pt idx="129">
                  <c:v>43629</c:v>
                </c:pt>
                <c:pt idx="130">
                  <c:v>43628</c:v>
                </c:pt>
                <c:pt idx="131">
                  <c:v>43627</c:v>
                </c:pt>
                <c:pt idx="132">
                  <c:v>43626</c:v>
                </c:pt>
                <c:pt idx="133">
                  <c:v>43623</c:v>
                </c:pt>
                <c:pt idx="134">
                  <c:v>43622</c:v>
                </c:pt>
                <c:pt idx="135">
                  <c:v>43621</c:v>
                </c:pt>
                <c:pt idx="136">
                  <c:v>43620</c:v>
                </c:pt>
                <c:pt idx="137">
                  <c:v>43619</c:v>
                </c:pt>
                <c:pt idx="138">
                  <c:v>43616</c:v>
                </c:pt>
                <c:pt idx="139">
                  <c:v>43615</c:v>
                </c:pt>
                <c:pt idx="140">
                  <c:v>43614</c:v>
                </c:pt>
                <c:pt idx="141">
                  <c:v>43613</c:v>
                </c:pt>
                <c:pt idx="142">
                  <c:v>43612</c:v>
                </c:pt>
                <c:pt idx="143">
                  <c:v>43609</c:v>
                </c:pt>
                <c:pt idx="144">
                  <c:v>43608</c:v>
                </c:pt>
                <c:pt idx="145">
                  <c:v>43607</c:v>
                </c:pt>
                <c:pt idx="146">
                  <c:v>43606</c:v>
                </c:pt>
                <c:pt idx="147">
                  <c:v>43605</c:v>
                </c:pt>
                <c:pt idx="148">
                  <c:v>43602</c:v>
                </c:pt>
                <c:pt idx="149">
                  <c:v>43601</c:v>
                </c:pt>
                <c:pt idx="150">
                  <c:v>43600</c:v>
                </c:pt>
                <c:pt idx="151">
                  <c:v>43599</c:v>
                </c:pt>
                <c:pt idx="152">
                  <c:v>43598</c:v>
                </c:pt>
                <c:pt idx="153">
                  <c:v>43595</c:v>
                </c:pt>
                <c:pt idx="154">
                  <c:v>43594</c:v>
                </c:pt>
                <c:pt idx="155">
                  <c:v>43593</c:v>
                </c:pt>
                <c:pt idx="156">
                  <c:v>43592</c:v>
                </c:pt>
                <c:pt idx="157">
                  <c:v>43581</c:v>
                </c:pt>
                <c:pt idx="158">
                  <c:v>43580</c:v>
                </c:pt>
                <c:pt idx="159">
                  <c:v>43579</c:v>
                </c:pt>
                <c:pt idx="160">
                  <c:v>43578</c:v>
                </c:pt>
                <c:pt idx="161">
                  <c:v>43577</c:v>
                </c:pt>
                <c:pt idx="162">
                  <c:v>43574</c:v>
                </c:pt>
                <c:pt idx="163">
                  <c:v>43573</c:v>
                </c:pt>
                <c:pt idx="164">
                  <c:v>43572</c:v>
                </c:pt>
                <c:pt idx="165">
                  <c:v>43571</c:v>
                </c:pt>
                <c:pt idx="166">
                  <c:v>43570</c:v>
                </c:pt>
                <c:pt idx="167">
                  <c:v>43567</c:v>
                </c:pt>
                <c:pt idx="168">
                  <c:v>43566</c:v>
                </c:pt>
                <c:pt idx="169">
                  <c:v>43565</c:v>
                </c:pt>
                <c:pt idx="170">
                  <c:v>43564</c:v>
                </c:pt>
                <c:pt idx="171">
                  <c:v>43563</c:v>
                </c:pt>
                <c:pt idx="172">
                  <c:v>43560</c:v>
                </c:pt>
                <c:pt idx="173">
                  <c:v>43559</c:v>
                </c:pt>
                <c:pt idx="174">
                  <c:v>43558</c:v>
                </c:pt>
                <c:pt idx="175">
                  <c:v>43557</c:v>
                </c:pt>
                <c:pt idx="176">
                  <c:v>43556</c:v>
                </c:pt>
                <c:pt idx="177">
                  <c:v>43553</c:v>
                </c:pt>
                <c:pt idx="178">
                  <c:v>43552</c:v>
                </c:pt>
                <c:pt idx="179">
                  <c:v>43551</c:v>
                </c:pt>
                <c:pt idx="180">
                  <c:v>43550</c:v>
                </c:pt>
                <c:pt idx="181">
                  <c:v>43549</c:v>
                </c:pt>
                <c:pt idx="182">
                  <c:v>43546</c:v>
                </c:pt>
                <c:pt idx="183">
                  <c:v>43544</c:v>
                </c:pt>
                <c:pt idx="184">
                  <c:v>43543</c:v>
                </c:pt>
                <c:pt idx="185">
                  <c:v>43542</c:v>
                </c:pt>
                <c:pt idx="186">
                  <c:v>43539</c:v>
                </c:pt>
                <c:pt idx="187">
                  <c:v>43538</c:v>
                </c:pt>
                <c:pt idx="188">
                  <c:v>43537</c:v>
                </c:pt>
                <c:pt idx="189">
                  <c:v>43536</c:v>
                </c:pt>
                <c:pt idx="190">
                  <c:v>43535</c:v>
                </c:pt>
                <c:pt idx="191">
                  <c:v>43532</c:v>
                </c:pt>
                <c:pt idx="192">
                  <c:v>43531</c:v>
                </c:pt>
                <c:pt idx="193">
                  <c:v>43530</c:v>
                </c:pt>
                <c:pt idx="194">
                  <c:v>43529</c:v>
                </c:pt>
                <c:pt idx="195">
                  <c:v>43528</c:v>
                </c:pt>
                <c:pt idx="196">
                  <c:v>43525</c:v>
                </c:pt>
                <c:pt idx="197">
                  <c:v>43524</c:v>
                </c:pt>
                <c:pt idx="198">
                  <c:v>43523</c:v>
                </c:pt>
                <c:pt idx="199">
                  <c:v>43522</c:v>
                </c:pt>
                <c:pt idx="200">
                  <c:v>43521</c:v>
                </c:pt>
                <c:pt idx="201">
                  <c:v>43518</c:v>
                </c:pt>
                <c:pt idx="202">
                  <c:v>43517</c:v>
                </c:pt>
                <c:pt idx="203">
                  <c:v>43516</c:v>
                </c:pt>
                <c:pt idx="204">
                  <c:v>43515</c:v>
                </c:pt>
                <c:pt idx="205">
                  <c:v>43514</c:v>
                </c:pt>
                <c:pt idx="206">
                  <c:v>43511</c:v>
                </c:pt>
                <c:pt idx="207">
                  <c:v>43510</c:v>
                </c:pt>
                <c:pt idx="208">
                  <c:v>43509</c:v>
                </c:pt>
                <c:pt idx="209">
                  <c:v>43508</c:v>
                </c:pt>
                <c:pt idx="210">
                  <c:v>43504</c:v>
                </c:pt>
                <c:pt idx="211">
                  <c:v>43503</c:v>
                </c:pt>
                <c:pt idx="212">
                  <c:v>43502</c:v>
                </c:pt>
                <c:pt idx="213">
                  <c:v>43501</c:v>
                </c:pt>
                <c:pt idx="214">
                  <c:v>43500</c:v>
                </c:pt>
                <c:pt idx="215">
                  <c:v>43497</c:v>
                </c:pt>
                <c:pt idx="216">
                  <c:v>43496</c:v>
                </c:pt>
                <c:pt idx="217">
                  <c:v>43495</c:v>
                </c:pt>
                <c:pt idx="218">
                  <c:v>43494</c:v>
                </c:pt>
                <c:pt idx="219">
                  <c:v>43493</c:v>
                </c:pt>
                <c:pt idx="220">
                  <c:v>43490</c:v>
                </c:pt>
                <c:pt idx="221">
                  <c:v>43489</c:v>
                </c:pt>
                <c:pt idx="222">
                  <c:v>43488</c:v>
                </c:pt>
                <c:pt idx="223">
                  <c:v>43487</c:v>
                </c:pt>
                <c:pt idx="224">
                  <c:v>43486</c:v>
                </c:pt>
                <c:pt idx="225">
                  <c:v>43483</c:v>
                </c:pt>
                <c:pt idx="226">
                  <c:v>43482</c:v>
                </c:pt>
                <c:pt idx="227">
                  <c:v>43481</c:v>
                </c:pt>
                <c:pt idx="228">
                  <c:v>43480</c:v>
                </c:pt>
                <c:pt idx="229">
                  <c:v>43476</c:v>
                </c:pt>
                <c:pt idx="230">
                  <c:v>43475</c:v>
                </c:pt>
                <c:pt idx="231">
                  <c:v>43474</c:v>
                </c:pt>
                <c:pt idx="232">
                  <c:v>43473</c:v>
                </c:pt>
                <c:pt idx="233">
                  <c:v>43472</c:v>
                </c:pt>
                <c:pt idx="234">
                  <c:v>43469</c:v>
                </c:pt>
                <c:pt idx="235">
                  <c:v>43462</c:v>
                </c:pt>
                <c:pt idx="236">
                  <c:v>43461</c:v>
                </c:pt>
                <c:pt idx="237">
                  <c:v>43460</c:v>
                </c:pt>
                <c:pt idx="238">
                  <c:v>43459</c:v>
                </c:pt>
                <c:pt idx="239">
                  <c:v>43455</c:v>
                </c:pt>
                <c:pt idx="240">
                  <c:v>43454</c:v>
                </c:pt>
              </c:numCache>
            </c:numRef>
          </c:cat>
          <c:val>
            <c:numRef>
              <c:f>Graph!$O$42:$O$703</c:f>
              <c:numCache>
                <c:formatCode>General</c:formatCode>
                <c:ptCount val="662"/>
                <c:pt idx="0">
                  <c:v>0.72598634577070675</c:v>
                </c:pt>
                <c:pt idx="1">
                  <c:v>0.72892735201680658</c:v>
                </c:pt>
                <c:pt idx="2">
                  <c:v>0.73113467057005821</c:v>
                </c:pt>
                <c:pt idx="3">
                  <c:v>0.73305520135243141</c:v>
                </c:pt>
                <c:pt idx="4">
                  <c:v>0.73378653158876384</c:v>
                </c:pt>
                <c:pt idx="5">
                  <c:v>0.73405949860950881</c:v>
                </c:pt>
                <c:pt idx="6">
                  <c:v>0.73395566661977818</c:v>
                </c:pt>
                <c:pt idx="7">
                  <c:v>0.7336158842577124</c:v>
                </c:pt>
                <c:pt idx="8">
                  <c:v>0.73276174706515385</c:v>
                </c:pt>
                <c:pt idx="9">
                  <c:v>0.73229655297073104</c:v>
                </c:pt>
                <c:pt idx="10">
                  <c:v>0.73222216666281292</c:v>
                </c:pt>
                <c:pt idx="11">
                  <c:v>0.73194732860504219</c:v>
                </c:pt>
                <c:pt idx="12">
                  <c:v>0.7316510705499002</c:v>
                </c:pt>
                <c:pt idx="13">
                  <c:v>0.73085997629225474</c:v>
                </c:pt>
                <c:pt idx="14">
                  <c:v>0.72980605544771171</c:v>
                </c:pt>
                <c:pt idx="15">
                  <c:v>0.72986236774308355</c:v>
                </c:pt>
                <c:pt idx="16">
                  <c:v>0.72977467373955829</c:v>
                </c:pt>
                <c:pt idx="17">
                  <c:v>0.72931287430341563</c:v>
                </c:pt>
                <c:pt idx="18">
                  <c:v>0.72824962626077117</c:v>
                </c:pt>
                <c:pt idx="19">
                  <c:v>0.72745010493865936</c:v>
                </c:pt>
                <c:pt idx="20">
                  <c:v>0.72717846569713041</c:v>
                </c:pt>
                <c:pt idx="21">
                  <c:v>0.72604950450744921</c:v>
                </c:pt>
                <c:pt idx="22">
                  <c:v>0.72586751650114556</c:v>
                </c:pt>
                <c:pt idx="23">
                  <c:v>0.7256841748640197</c:v>
                </c:pt>
                <c:pt idx="24">
                  <c:v>0.72557924443521982</c:v>
                </c:pt>
                <c:pt idx="25">
                  <c:v>0.72516819101608898</c:v>
                </c:pt>
                <c:pt idx="26">
                  <c:v>0.72532786970146401</c:v>
                </c:pt>
                <c:pt idx="27">
                  <c:v>0.72535837711346374</c:v>
                </c:pt>
                <c:pt idx="28">
                  <c:v>0.72531928428125103</c:v>
                </c:pt>
                <c:pt idx="29">
                  <c:v>0.72565117103196475</c:v>
                </c:pt>
                <c:pt idx="30">
                  <c:v>0.72575433988962501</c:v>
                </c:pt>
                <c:pt idx="31">
                  <c:v>0.72507018386619526</c:v>
                </c:pt>
                <c:pt idx="32">
                  <c:v>0.72489876987556479</c:v>
                </c:pt>
                <c:pt idx="33">
                  <c:v>0.72482245413599034</c:v>
                </c:pt>
                <c:pt idx="34">
                  <c:v>0.72522094308597806</c:v>
                </c:pt>
                <c:pt idx="35">
                  <c:v>0.72585306324119825</c:v>
                </c:pt>
                <c:pt idx="36">
                  <c:v>0.72636701357121658</c:v>
                </c:pt>
                <c:pt idx="37">
                  <c:v>0.72712114573339182</c:v>
                </c:pt>
                <c:pt idx="38">
                  <c:v>0.72885329460130321</c:v>
                </c:pt>
                <c:pt idx="39">
                  <c:v>0.72967240760150642</c:v>
                </c:pt>
                <c:pt idx="40">
                  <c:v>0.73040730494982364</c:v>
                </c:pt>
                <c:pt idx="41">
                  <c:v>0.73137904998611836</c:v>
                </c:pt>
                <c:pt idx="42">
                  <c:v>0.73258564241957524</c:v>
                </c:pt>
                <c:pt idx="43">
                  <c:v>0.73299595598100797</c:v>
                </c:pt>
                <c:pt idx="44">
                  <c:v>0.73374287689266182</c:v>
                </c:pt>
                <c:pt idx="45">
                  <c:v>0.73355216127108858</c:v>
                </c:pt>
                <c:pt idx="46">
                  <c:v>0.73425551658458343</c:v>
                </c:pt>
                <c:pt idx="47">
                  <c:v>0.73499360421487381</c:v>
                </c:pt>
                <c:pt idx="48">
                  <c:v>0.73563259091055599</c:v>
                </c:pt>
                <c:pt idx="49">
                  <c:v>0.73597580838308474</c:v>
                </c:pt>
                <c:pt idx="50">
                  <c:v>0.73625002940005169</c:v>
                </c:pt>
                <c:pt idx="51">
                  <c:v>0.73681323250744724</c:v>
                </c:pt>
                <c:pt idx="52">
                  <c:v>0.73682632755490074</c:v>
                </c:pt>
                <c:pt idx="53">
                  <c:v>0.73622713175032362</c:v>
                </c:pt>
                <c:pt idx="54">
                  <c:v>0.73599213530561935</c:v>
                </c:pt>
                <c:pt idx="55">
                  <c:v>0.73588806719755817</c:v>
                </c:pt>
                <c:pt idx="56">
                  <c:v>0.736093651884001</c:v>
                </c:pt>
                <c:pt idx="57">
                  <c:v>0.73620197799048415</c:v>
                </c:pt>
                <c:pt idx="58">
                  <c:v>0.73649042193572378</c:v>
                </c:pt>
                <c:pt idx="59">
                  <c:v>0.73656650204779084</c:v>
                </c:pt>
                <c:pt idx="60">
                  <c:v>0.73675494260198693</c:v>
                </c:pt>
                <c:pt idx="61">
                  <c:v>0.73726543731373595</c:v>
                </c:pt>
                <c:pt idx="62">
                  <c:v>0.73728627681925096</c:v>
                </c:pt>
                <c:pt idx="63">
                  <c:v>0.7371362847113252</c:v>
                </c:pt>
                <c:pt idx="64">
                  <c:v>0.73674880825719502</c:v>
                </c:pt>
                <c:pt idx="65">
                  <c:v>0.73688965948035101</c:v>
                </c:pt>
                <c:pt idx="66">
                  <c:v>0.73712361643553725</c:v>
                </c:pt>
                <c:pt idx="67">
                  <c:v>0.73730138522860011</c:v>
                </c:pt>
                <c:pt idx="68">
                  <c:v>0.73739436706328099</c:v>
                </c:pt>
                <c:pt idx="69">
                  <c:v>0.73722740170291456</c:v>
                </c:pt>
                <c:pt idx="70">
                  <c:v>0.73706554252445322</c:v>
                </c:pt>
                <c:pt idx="71">
                  <c:v>0.73708305094104365</c:v>
                </c:pt>
                <c:pt idx="72">
                  <c:v>0.73709467562087805</c:v>
                </c:pt>
                <c:pt idx="73">
                  <c:v>0.73709726625866656</c:v>
                </c:pt>
                <c:pt idx="74">
                  <c:v>0.73709871480839073</c:v>
                </c:pt>
                <c:pt idx="75">
                  <c:v>0.73642434577221993</c:v>
                </c:pt>
                <c:pt idx="76">
                  <c:v>0.73603313073290821</c:v>
                </c:pt>
                <c:pt idx="77">
                  <c:v>0.73580161431279945</c:v>
                </c:pt>
                <c:pt idx="78">
                  <c:v>0.73582208812636629</c:v>
                </c:pt>
                <c:pt idx="79">
                  <c:v>0.73602351217547757</c:v>
                </c:pt>
                <c:pt idx="80">
                  <c:v>0.73521655153087473</c:v>
                </c:pt>
                <c:pt idx="81">
                  <c:v>0.7342547097147184</c:v>
                </c:pt>
                <c:pt idx="82">
                  <c:v>0.73280128729491056</c:v>
                </c:pt>
                <c:pt idx="83">
                  <c:v>0.73076697653258393</c:v>
                </c:pt>
                <c:pt idx="84">
                  <c:v>0.72948392199798939</c:v>
                </c:pt>
                <c:pt idx="85">
                  <c:v>0.72771205071653844</c:v>
                </c:pt>
                <c:pt idx="86">
                  <c:v>0.72707526489087859</c:v>
                </c:pt>
                <c:pt idx="87">
                  <c:v>0.72547375711862583</c:v>
                </c:pt>
                <c:pt idx="88">
                  <c:v>0.72478152501611437</c:v>
                </c:pt>
                <c:pt idx="89">
                  <c:v>0.72507295642130853</c:v>
                </c:pt>
                <c:pt idx="90">
                  <c:v>0.72463601578852599</c:v>
                </c:pt>
                <c:pt idx="91">
                  <c:v>0.72393955409054178</c:v>
                </c:pt>
                <c:pt idx="92">
                  <c:v>0.72401852450248261</c:v>
                </c:pt>
                <c:pt idx="93">
                  <c:v>0.72386547298038395</c:v>
                </c:pt>
                <c:pt idx="94">
                  <c:v>0.72401410822659362</c:v>
                </c:pt>
                <c:pt idx="95">
                  <c:v>0.72466965796491878</c:v>
                </c:pt>
                <c:pt idx="96">
                  <c:v>0.72603322899693734</c:v>
                </c:pt>
                <c:pt idx="97">
                  <c:v>0.72679630220074254</c:v>
                </c:pt>
                <c:pt idx="98">
                  <c:v>0.72728494879236738</c:v>
                </c:pt>
                <c:pt idx="99">
                  <c:v>0.72789149618696314</c:v>
                </c:pt>
                <c:pt idx="100">
                  <c:v>0.7294192891721234</c:v>
                </c:pt>
                <c:pt idx="101">
                  <c:v>0.73071221061869041</c:v>
                </c:pt>
                <c:pt idx="102">
                  <c:v>0.73149684535911386</c:v>
                </c:pt>
                <c:pt idx="103">
                  <c:v>0.7323332061638691</c:v>
                </c:pt>
                <c:pt idx="104">
                  <c:v>0.73316641613939604</c:v>
                </c:pt>
                <c:pt idx="105">
                  <c:v>0.73390030267217798</c:v>
                </c:pt>
                <c:pt idx="106">
                  <c:v>0.73525026906284818</c:v>
                </c:pt>
                <c:pt idx="107">
                  <c:v>0.73603523646908342</c:v>
                </c:pt>
                <c:pt idx="108">
                  <c:v>0.73670180493517012</c:v>
                </c:pt>
                <c:pt idx="109">
                  <c:v>0.73708780534153684</c:v>
                </c:pt>
                <c:pt idx="110">
                  <c:v>0.73776369553616861</c:v>
                </c:pt>
                <c:pt idx="111">
                  <c:v>0.73833567549051271</c:v>
                </c:pt>
                <c:pt idx="112">
                  <c:v>0.73882607604584183</c:v>
                </c:pt>
                <c:pt idx="113">
                  <c:v>0.73923109794108366</c:v>
                </c:pt>
                <c:pt idx="114">
                  <c:v>0.73956827934075342</c:v>
                </c:pt>
                <c:pt idx="115">
                  <c:v>0.73963044778969067</c:v>
                </c:pt>
                <c:pt idx="116">
                  <c:v>0.7400489846537408</c:v>
                </c:pt>
                <c:pt idx="117">
                  <c:v>0.7407339436375926</c:v>
                </c:pt>
                <c:pt idx="118">
                  <c:v>0.74035034365701058</c:v>
                </c:pt>
                <c:pt idx="119">
                  <c:v>0.73986977596400516</c:v>
                </c:pt>
                <c:pt idx="120">
                  <c:v>0.74018048198696862</c:v>
                </c:pt>
                <c:pt idx="121">
                  <c:v>0.73873810565635778</c:v>
                </c:pt>
                <c:pt idx="122">
                  <c:v>0.73806037154180282</c:v>
                </c:pt>
                <c:pt idx="123">
                  <c:v>0.73759873320965774</c:v>
                </c:pt>
                <c:pt idx="124">
                  <c:v>0.73719561143177548</c:v>
                </c:pt>
                <c:pt idx="125">
                  <c:v>0.73692709332224504</c:v>
                </c:pt>
                <c:pt idx="126">
                  <c:v>0.73637862384738684</c:v>
                </c:pt>
                <c:pt idx="127">
                  <c:v>0.73644475302033841</c:v>
                </c:pt>
                <c:pt idx="128">
                  <c:v>0.73661340679082021</c:v>
                </c:pt>
                <c:pt idx="129">
                  <c:v>0.73669709333666222</c:v>
                </c:pt>
                <c:pt idx="130">
                  <c:v>0.73647099046203279</c:v>
                </c:pt>
                <c:pt idx="131">
                  <c:v>0.73587369209814146</c:v>
                </c:pt>
                <c:pt idx="132">
                  <c:v>0.73570882904776114</c:v>
                </c:pt>
                <c:pt idx="133">
                  <c:v>0.73441705948995462</c:v>
                </c:pt>
                <c:pt idx="134">
                  <c:v>0.73368824400898769</c:v>
                </c:pt>
                <c:pt idx="135">
                  <c:v>0.73237340935270367</c:v>
                </c:pt>
                <c:pt idx="136">
                  <c:v>0.73199677090683912</c:v>
                </c:pt>
                <c:pt idx="137">
                  <c:v>0.73120798591603209</c:v>
                </c:pt>
                <c:pt idx="138">
                  <c:v>0.73146008983552457</c:v>
                </c:pt>
                <c:pt idx="139">
                  <c:v>0.73087926475383203</c:v>
                </c:pt>
                <c:pt idx="140">
                  <c:v>0.73074527815251622</c:v>
                </c:pt>
                <c:pt idx="141">
                  <c:v>0.73107308950420979</c:v>
                </c:pt>
                <c:pt idx="142">
                  <c:v>0.7316035491284042</c:v>
                </c:pt>
                <c:pt idx="143">
                  <c:v>0.73232674822539723</c:v>
                </c:pt>
                <c:pt idx="144">
                  <c:v>0.73260684791928421</c:v>
                </c:pt>
                <c:pt idx="145">
                  <c:v>0.73297059393149744</c:v>
                </c:pt>
                <c:pt idx="146">
                  <c:v>0.73305622379084767</c:v>
                </c:pt>
                <c:pt idx="147">
                  <c:v>0.73298925922429348</c:v>
                </c:pt>
                <c:pt idx="148">
                  <c:v>0.73289322273046908</c:v>
                </c:pt>
                <c:pt idx="149">
                  <c:v>0.73276737744208886</c:v>
                </c:pt>
                <c:pt idx="150">
                  <c:v>0.73233856706089928</c:v>
                </c:pt>
                <c:pt idx="151">
                  <c:v>0.73248859464950578</c:v>
                </c:pt>
                <c:pt idx="152">
                  <c:v>0.73243644545391584</c:v>
                </c:pt>
                <c:pt idx="153">
                  <c:v>0.73264539118054117</c:v>
                </c:pt>
                <c:pt idx="154">
                  <c:v>0.73196003967632683</c:v>
                </c:pt>
                <c:pt idx="155">
                  <c:v>0.73187953839861297</c:v>
                </c:pt>
                <c:pt idx="156">
                  <c:v>0.7315719081980786</c:v>
                </c:pt>
                <c:pt idx="157">
                  <c:v>0.7315575489916355</c:v>
                </c:pt>
                <c:pt idx="158">
                  <c:v>0.73159374830950996</c:v>
                </c:pt>
                <c:pt idx="159">
                  <c:v>0.73144233782969359</c:v>
                </c:pt>
                <c:pt idx="160">
                  <c:v>0.73143477115524425</c:v>
                </c:pt>
                <c:pt idx="161">
                  <c:v>0.73133605966017456</c:v>
                </c:pt>
                <c:pt idx="162">
                  <c:v>0.73173024686203503</c:v>
                </c:pt>
                <c:pt idx="163">
                  <c:v>0.73147125448470618</c:v>
                </c:pt>
                <c:pt idx="164">
                  <c:v>0.72958266327200139</c:v>
                </c:pt>
                <c:pt idx="165">
                  <c:v>0.72780684201096058</c:v>
                </c:pt>
                <c:pt idx="166">
                  <c:v>0.72626111849178565</c:v>
                </c:pt>
                <c:pt idx="167">
                  <c:v>0.72519078749766863</c:v>
                </c:pt>
                <c:pt idx="168">
                  <c:v>0.72571345951296184</c:v>
                </c:pt>
                <c:pt idx="169">
                  <c:v>0.72572151198059165</c:v>
                </c:pt>
                <c:pt idx="170">
                  <c:v>0.72531163748727256</c:v>
                </c:pt>
                <c:pt idx="171">
                  <c:v>0.72454340671212902</c:v>
                </c:pt>
                <c:pt idx="172">
                  <c:v>0.72339848847037513</c:v>
                </c:pt>
                <c:pt idx="173">
                  <c:v>0.7215509619569106</c:v>
                </c:pt>
                <c:pt idx="174">
                  <c:v>0.72045747763251566</c:v>
                </c:pt>
                <c:pt idx="175">
                  <c:v>0.71930476839642077</c:v>
                </c:pt>
                <c:pt idx="176">
                  <c:v>0.71846315439859265</c:v>
                </c:pt>
                <c:pt idx="177">
                  <c:v>0.71822856252297873</c:v>
                </c:pt>
                <c:pt idx="178">
                  <c:v>0.71718316068682075</c:v>
                </c:pt>
                <c:pt idx="179">
                  <c:v>0.71548440294821636</c:v>
                </c:pt>
                <c:pt idx="180">
                  <c:v>0.71467205688013258</c:v>
                </c:pt>
                <c:pt idx="181">
                  <c:v>0.71435225302753702</c:v>
                </c:pt>
                <c:pt idx="182">
                  <c:v>0.71226197133173419</c:v>
                </c:pt>
                <c:pt idx="183">
                  <c:v>0.70915180675795741</c:v>
                </c:pt>
                <c:pt idx="184">
                  <c:v>0.70541052989243258</c:v>
                </c:pt>
                <c:pt idx="185">
                  <c:v>0.70202663871959381</c:v>
                </c:pt>
                <c:pt idx="186">
                  <c:v>0.69865188396473143</c:v>
                </c:pt>
                <c:pt idx="187">
                  <c:v>0.69460369363755081</c:v>
                </c:pt>
                <c:pt idx="188">
                  <c:v>0.69019592153781972</c:v>
                </c:pt>
                <c:pt idx="189">
                  <c:v>0.68400033940587179</c:v>
                </c:pt>
                <c:pt idx="190">
                  <c:v>0.67768091577981382</c:v>
                </c:pt>
                <c:pt idx="191">
                  <c:v>0.67024863874407015</c:v>
                </c:pt>
                <c:pt idx="192">
                  <c:v>0.66375336367646065</c:v>
                </c:pt>
                <c:pt idx="193">
                  <c:v>0.65708682610360736</c:v>
                </c:pt>
                <c:pt idx="194">
                  <c:v>0.6514055192881798</c:v>
                </c:pt>
                <c:pt idx="195">
                  <c:v>0.64594737705096983</c:v>
                </c:pt>
                <c:pt idx="196">
                  <c:v>0.64176554325241197</c:v>
                </c:pt>
                <c:pt idx="197">
                  <c:v>0.6365284515749976</c:v>
                </c:pt>
                <c:pt idx="198">
                  <c:v>0.63222243863753724</c:v>
                </c:pt>
                <c:pt idx="199">
                  <c:v>0.6280131656765382</c:v>
                </c:pt>
                <c:pt idx="200">
                  <c:v>0.62449221522334541</c:v>
                </c:pt>
                <c:pt idx="201">
                  <c:v>0.62328436514191943</c:v>
                </c:pt>
                <c:pt idx="202">
                  <c:v>0.62221153550042319</c:v>
                </c:pt>
                <c:pt idx="203">
                  <c:v>0.62134801942878937</c:v>
                </c:pt>
                <c:pt idx="204">
                  <c:v>0.62037493465917426</c:v>
                </c:pt>
                <c:pt idx="205">
                  <c:v>0.61940426717343977</c:v>
                </c:pt>
                <c:pt idx="206">
                  <c:v>0.61724768524269347</c:v>
                </c:pt>
                <c:pt idx="207">
                  <c:v>0.61428441230405695</c:v>
                </c:pt>
                <c:pt idx="208">
                  <c:v>0.61118668931498621</c:v>
                </c:pt>
                <c:pt idx="209">
                  <c:v>0.60828134963705827</c:v>
                </c:pt>
                <c:pt idx="210">
                  <c:v>0.60583658026416043</c:v>
                </c:pt>
                <c:pt idx="211">
                  <c:v>0.60398583083629764</c:v>
                </c:pt>
                <c:pt idx="212">
                  <c:v>0.60194200712262502</c:v>
                </c:pt>
                <c:pt idx="213">
                  <c:v>0.60023333406170609</c:v>
                </c:pt>
                <c:pt idx="214">
                  <c:v>0.59878825762188204</c:v>
                </c:pt>
                <c:pt idx="215">
                  <c:v>0.59703735086682219</c:v>
                </c:pt>
                <c:pt idx="216">
                  <c:v>0.59593937693027454</c:v>
                </c:pt>
                <c:pt idx="217">
                  <c:v>0.59558630288196679</c:v>
                </c:pt>
                <c:pt idx="218">
                  <c:v>0.59517257575023241</c:v>
                </c:pt>
                <c:pt idx="219">
                  <c:v>0.595235327211453</c:v>
                </c:pt>
                <c:pt idx="220">
                  <c:v>0.59576126005745378</c:v>
                </c:pt>
                <c:pt idx="221">
                  <c:v>0.59640538375425445</c:v>
                </c:pt>
                <c:pt idx="222">
                  <c:v>0.59687923612090821</c:v>
                </c:pt>
                <c:pt idx="223">
                  <c:v>0.59750674183830965</c:v>
                </c:pt>
                <c:pt idx="224">
                  <c:v>0.59840994297358963</c:v>
                </c:pt>
                <c:pt idx="225">
                  <c:v>0.59920851373293582</c:v>
                </c:pt>
                <c:pt idx="226">
                  <c:v>0.59966221399052044</c:v>
                </c:pt>
                <c:pt idx="227">
                  <c:v>0.60004057045425563</c:v>
                </c:pt>
                <c:pt idx="228">
                  <c:v>0.60052216669289804</c:v>
                </c:pt>
                <c:pt idx="229">
                  <c:v>0.60068006314396905</c:v>
                </c:pt>
                <c:pt idx="230">
                  <c:v>0.60161117357760896</c:v>
                </c:pt>
                <c:pt idx="231">
                  <c:v>0.60173009780581521</c:v>
                </c:pt>
                <c:pt idx="232">
                  <c:v>0.60208402017361862</c:v>
                </c:pt>
                <c:pt idx="233">
                  <c:v>0.60191791723484345</c:v>
                </c:pt>
                <c:pt idx="234">
                  <c:v>0.60176411143752817</c:v>
                </c:pt>
                <c:pt idx="235">
                  <c:v>0.60178074455869623</c:v>
                </c:pt>
                <c:pt idx="236">
                  <c:v>0.60129289969332922</c:v>
                </c:pt>
                <c:pt idx="237">
                  <c:v>0.60033692246843862</c:v>
                </c:pt>
                <c:pt idx="238">
                  <c:v>0.59912110445028777</c:v>
                </c:pt>
                <c:pt idx="239">
                  <c:v>0.597981502690902</c:v>
                </c:pt>
                <c:pt idx="240">
                  <c:v>0.59660685668544455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FA4-47F8-BD66-5FADF1C286CF}"/>
            </c:ext>
          </c:extLst>
        </c:ser>
        <c:ser>
          <c:idx val="3"/>
          <c:order val="3"/>
          <c:tx>
            <c:strRef>
              <c:f>Graph!$G$41</c:f>
              <c:strCache>
                <c:ptCount val="1"/>
                <c:pt idx="0">
                  <c:v>saya_divide_mean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43819</c:v>
                </c:pt>
                <c:pt idx="1">
                  <c:v>43818</c:v>
                </c:pt>
                <c:pt idx="2">
                  <c:v>43817</c:v>
                </c:pt>
                <c:pt idx="3">
                  <c:v>43816</c:v>
                </c:pt>
                <c:pt idx="4">
                  <c:v>43815</c:v>
                </c:pt>
                <c:pt idx="5">
                  <c:v>43812</c:v>
                </c:pt>
                <c:pt idx="6">
                  <c:v>43811</c:v>
                </c:pt>
                <c:pt idx="7">
                  <c:v>43810</c:v>
                </c:pt>
                <c:pt idx="8">
                  <c:v>43809</c:v>
                </c:pt>
                <c:pt idx="9">
                  <c:v>43808</c:v>
                </c:pt>
                <c:pt idx="10">
                  <c:v>43805</c:v>
                </c:pt>
                <c:pt idx="11">
                  <c:v>43804</c:v>
                </c:pt>
                <c:pt idx="12">
                  <c:v>43803</c:v>
                </c:pt>
                <c:pt idx="13">
                  <c:v>43802</c:v>
                </c:pt>
                <c:pt idx="14">
                  <c:v>43801</c:v>
                </c:pt>
                <c:pt idx="15">
                  <c:v>43798</c:v>
                </c:pt>
                <c:pt idx="16">
                  <c:v>43797</c:v>
                </c:pt>
                <c:pt idx="17">
                  <c:v>43796</c:v>
                </c:pt>
                <c:pt idx="18">
                  <c:v>43795</c:v>
                </c:pt>
                <c:pt idx="19">
                  <c:v>43794</c:v>
                </c:pt>
                <c:pt idx="20">
                  <c:v>43791</c:v>
                </c:pt>
                <c:pt idx="21">
                  <c:v>43790</c:v>
                </c:pt>
                <c:pt idx="22">
                  <c:v>43789</c:v>
                </c:pt>
                <c:pt idx="23">
                  <c:v>43788</c:v>
                </c:pt>
                <c:pt idx="24">
                  <c:v>43787</c:v>
                </c:pt>
                <c:pt idx="25">
                  <c:v>43784</c:v>
                </c:pt>
                <c:pt idx="26">
                  <c:v>43783</c:v>
                </c:pt>
                <c:pt idx="27">
                  <c:v>43782</c:v>
                </c:pt>
                <c:pt idx="28">
                  <c:v>43781</c:v>
                </c:pt>
                <c:pt idx="29">
                  <c:v>43780</c:v>
                </c:pt>
                <c:pt idx="30">
                  <c:v>43777</c:v>
                </c:pt>
                <c:pt idx="31">
                  <c:v>43776</c:v>
                </c:pt>
                <c:pt idx="32">
                  <c:v>43775</c:v>
                </c:pt>
                <c:pt idx="33">
                  <c:v>43774</c:v>
                </c:pt>
                <c:pt idx="34">
                  <c:v>43770</c:v>
                </c:pt>
                <c:pt idx="35">
                  <c:v>43769</c:v>
                </c:pt>
                <c:pt idx="36">
                  <c:v>43768</c:v>
                </c:pt>
                <c:pt idx="37">
                  <c:v>43767</c:v>
                </c:pt>
                <c:pt idx="38">
                  <c:v>43766</c:v>
                </c:pt>
                <c:pt idx="39">
                  <c:v>43763</c:v>
                </c:pt>
                <c:pt idx="40">
                  <c:v>43762</c:v>
                </c:pt>
                <c:pt idx="41">
                  <c:v>43761</c:v>
                </c:pt>
                <c:pt idx="42">
                  <c:v>43759</c:v>
                </c:pt>
                <c:pt idx="43">
                  <c:v>43756</c:v>
                </c:pt>
                <c:pt idx="44">
                  <c:v>43755</c:v>
                </c:pt>
                <c:pt idx="45">
                  <c:v>43754</c:v>
                </c:pt>
                <c:pt idx="46">
                  <c:v>43753</c:v>
                </c:pt>
                <c:pt idx="47">
                  <c:v>43749</c:v>
                </c:pt>
                <c:pt idx="48">
                  <c:v>43748</c:v>
                </c:pt>
                <c:pt idx="49">
                  <c:v>43747</c:v>
                </c:pt>
                <c:pt idx="50">
                  <c:v>43746</c:v>
                </c:pt>
                <c:pt idx="51">
                  <c:v>43745</c:v>
                </c:pt>
                <c:pt idx="52">
                  <c:v>43742</c:v>
                </c:pt>
                <c:pt idx="53">
                  <c:v>43741</c:v>
                </c:pt>
                <c:pt idx="54">
                  <c:v>43740</c:v>
                </c:pt>
                <c:pt idx="55">
                  <c:v>43739</c:v>
                </c:pt>
                <c:pt idx="56">
                  <c:v>43738</c:v>
                </c:pt>
                <c:pt idx="57">
                  <c:v>43735</c:v>
                </c:pt>
                <c:pt idx="58">
                  <c:v>43734</c:v>
                </c:pt>
                <c:pt idx="59">
                  <c:v>43733</c:v>
                </c:pt>
                <c:pt idx="60">
                  <c:v>43732</c:v>
                </c:pt>
                <c:pt idx="61">
                  <c:v>43728</c:v>
                </c:pt>
                <c:pt idx="62">
                  <c:v>43727</c:v>
                </c:pt>
                <c:pt idx="63">
                  <c:v>43726</c:v>
                </c:pt>
                <c:pt idx="64">
                  <c:v>43725</c:v>
                </c:pt>
                <c:pt idx="65">
                  <c:v>43721</c:v>
                </c:pt>
                <c:pt idx="66">
                  <c:v>43720</c:v>
                </c:pt>
                <c:pt idx="67">
                  <c:v>43719</c:v>
                </c:pt>
                <c:pt idx="68">
                  <c:v>43718</c:v>
                </c:pt>
                <c:pt idx="69">
                  <c:v>43717</c:v>
                </c:pt>
                <c:pt idx="70">
                  <c:v>43714</c:v>
                </c:pt>
                <c:pt idx="71">
                  <c:v>43713</c:v>
                </c:pt>
                <c:pt idx="72">
                  <c:v>43712</c:v>
                </c:pt>
                <c:pt idx="73">
                  <c:v>43711</c:v>
                </c:pt>
                <c:pt idx="74">
                  <c:v>43710</c:v>
                </c:pt>
                <c:pt idx="75">
                  <c:v>43707</c:v>
                </c:pt>
                <c:pt idx="76">
                  <c:v>43706</c:v>
                </c:pt>
                <c:pt idx="77">
                  <c:v>43705</c:v>
                </c:pt>
                <c:pt idx="78">
                  <c:v>43704</c:v>
                </c:pt>
                <c:pt idx="79">
                  <c:v>43703</c:v>
                </c:pt>
                <c:pt idx="80">
                  <c:v>43700</c:v>
                </c:pt>
                <c:pt idx="81">
                  <c:v>43699</c:v>
                </c:pt>
                <c:pt idx="82">
                  <c:v>43698</c:v>
                </c:pt>
                <c:pt idx="83">
                  <c:v>43697</c:v>
                </c:pt>
                <c:pt idx="84">
                  <c:v>43696</c:v>
                </c:pt>
                <c:pt idx="85">
                  <c:v>43693</c:v>
                </c:pt>
                <c:pt idx="86">
                  <c:v>43692</c:v>
                </c:pt>
                <c:pt idx="87">
                  <c:v>43691</c:v>
                </c:pt>
                <c:pt idx="88">
                  <c:v>43690</c:v>
                </c:pt>
                <c:pt idx="89">
                  <c:v>43686</c:v>
                </c:pt>
                <c:pt idx="90">
                  <c:v>43685</c:v>
                </c:pt>
                <c:pt idx="91">
                  <c:v>43684</c:v>
                </c:pt>
                <c:pt idx="92">
                  <c:v>43683</c:v>
                </c:pt>
                <c:pt idx="93">
                  <c:v>43682</c:v>
                </c:pt>
                <c:pt idx="94">
                  <c:v>43679</c:v>
                </c:pt>
                <c:pt idx="95">
                  <c:v>43678</c:v>
                </c:pt>
                <c:pt idx="96">
                  <c:v>43677</c:v>
                </c:pt>
                <c:pt idx="97">
                  <c:v>43676</c:v>
                </c:pt>
                <c:pt idx="98">
                  <c:v>43675</c:v>
                </c:pt>
                <c:pt idx="99">
                  <c:v>43672</c:v>
                </c:pt>
                <c:pt idx="100">
                  <c:v>43671</c:v>
                </c:pt>
                <c:pt idx="101">
                  <c:v>43670</c:v>
                </c:pt>
                <c:pt idx="102">
                  <c:v>43669</c:v>
                </c:pt>
                <c:pt idx="103">
                  <c:v>43668</c:v>
                </c:pt>
                <c:pt idx="104">
                  <c:v>43665</c:v>
                </c:pt>
                <c:pt idx="105">
                  <c:v>43664</c:v>
                </c:pt>
                <c:pt idx="106">
                  <c:v>43663</c:v>
                </c:pt>
                <c:pt idx="107">
                  <c:v>43662</c:v>
                </c:pt>
                <c:pt idx="108">
                  <c:v>43658</c:v>
                </c:pt>
                <c:pt idx="109">
                  <c:v>43657</c:v>
                </c:pt>
                <c:pt idx="110">
                  <c:v>43656</c:v>
                </c:pt>
                <c:pt idx="111">
                  <c:v>43655</c:v>
                </c:pt>
                <c:pt idx="112">
                  <c:v>43654</c:v>
                </c:pt>
                <c:pt idx="113">
                  <c:v>43651</c:v>
                </c:pt>
                <c:pt idx="114">
                  <c:v>43650</c:v>
                </c:pt>
                <c:pt idx="115">
                  <c:v>43649</c:v>
                </c:pt>
                <c:pt idx="116">
                  <c:v>43648</c:v>
                </c:pt>
                <c:pt idx="117">
                  <c:v>43647</c:v>
                </c:pt>
                <c:pt idx="118">
                  <c:v>43644</c:v>
                </c:pt>
                <c:pt idx="119">
                  <c:v>43643</c:v>
                </c:pt>
                <c:pt idx="120">
                  <c:v>43642</c:v>
                </c:pt>
                <c:pt idx="121">
                  <c:v>43641</c:v>
                </c:pt>
                <c:pt idx="122">
                  <c:v>43640</c:v>
                </c:pt>
                <c:pt idx="123">
                  <c:v>43637</c:v>
                </c:pt>
                <c:pt idx="124">
                  <c:v>43636</c:v>
                </c:pt>
                <c:pt idx="125">
                  <c:v>43635</c:v>
                </c:pt>
                <c:pt idx="126">
                  <c:v>43634</c:v>
                </c:pt>
                <c:pt idx="127">
                  <c:v>43633</c:v>
                </c:pt>
                <c:pt idx="128">
                  <c:v>43630</c:v>
                </c:pt>
                <c:pt idx="129">
                  <c:v>43629</c:v>
                </c:pt>
                <c:pt idx="130">
                  <c:v>43628</c:v>
                </c:pt>
                <c:pt idx="131">
                  <c:v>43627</c:v>
                </c:pt>
                <c:pt idx="132">
                  <c:v>43626</c:v>
                </c:pt>
                <c:pt idx="133">
                  <c:v>43623</c:v>
                </c:pt>
                <c:pt idx="134">
                  <c:v>43622</c:v>
                </c:pt>
                <c:pt idx="135">
                  <c:v>43621</c:v>
                </c:pt>
                <c:pt idx="136">
                  <c:v>43620</c:v>
                </c:pt>
                <c:pt idx="137">
                  <c:v>43619</c:v>
                </c:pt>
                <c:pt idx="138">
                  <c:v>43616</c:v>
                </c:pt>
                <c:pt idx="139">
                  <c:v>43615</c:v>
                </c:pt>
                <c:pt idx="140">
                  <c:v>43614</c:v>
                </c:pt>
                <c:pt idx="141">
                  <c:v>43613</c:v>
                </c:pt>
                <c:pt idx="142">
                  <c:v>43612</c:v>
                </c:pt>
                <c:pt idx="143">
                  <c:v>43609</c:v>
                </c:pt>
                <c:pt idx="144">
                  <c:v>43608</c:v>
                </c:pt>
                <c:pt idx="145">
                  <c:v>43607</c:v>
                </c:pt>
                <c:pt idx="146">
                  <c:v>43606</c:v>
                </c:pt>
                <c:pt idx="147">
                  <c:v>43605</c:v>
                </c:pt>
                <c:pt idx="148">
                  <c:v>43602</c:v>
                </c:pt>
                <c:pt idx="149">
                  <c:v>43601</c:v>
                </c:pt>
                <c:pt idx="150">
                  <c:v>43600</c:v>
                </c:pt>
                <c:pt idx="151">
                  <c:v>43599</c:v>
                </c:pt>
                <c:pt idx="152">
                  <c:v>43598</c:v>
                </c:pt>
                <c:pt idx="153">
                  <c:v>43595</c:v>
                </c:pt>
                <c:pt idx="154">
                  <c:v>43594</c:v>
                </c:pt>
                <c:pt idx="155">
                  <c:v>43593</c:v>
                </c:pt>
                <c:pt idx="156">
                  <c:v>43592</c:v>
                </c:pt>
                <c:pt idx="157">
                  <c:v>43581</c:v>
                </c:pt>
                <c:pt idx="158">
                  <c:v>43580</c:v>
                </c:pt>
                <c:pt idx="159">
                  <c:v>43579</c:v>
                </c:pt>
                <c:pt idx="160">
                  <c:v>43578</c:v>
                </c:pt>
                <c:pt idx="161">
                  <c:v>43577</c:v>
                </c:pt>
                <c:pt idx="162">
                  <c:v>43574</c:v>
                </c:pt>
                <c:pt idx="163">
                  <c:v>43573</c:v>
                </c:pt>
                <c:pt idx="164">
                  <c:v>43572</c:v>
                </c:pt>
                <c:pt idx="165">
                  <c:v>43571</c:v>
                </c:pt>
                <c:pt idx="166">
                  <c:v>43570</c:v>
                </c:pt>
                <c:pt idx="167">
                  <c:v>43567</c:v>
                </c:pt>
                <c:pt idx="168">
                  <c:v>43566</c:v>
                </c:pt>
                <c:pt idx="169">
                  <c:v>43565</c:v>
                </c:pt>
                <c:pt idx="170">
                  <c:v>43564</c:v>
                </c:pt>
                <c:pt idx="171">
                  <c:v>43563</c:v>
                </c:pt>
                <c:pt idx="172">
                  <c:v>43560</c:v>
                </c:pt>
                <c:pt idx="173">
                  <c:v>43559</c:v>
                </c:pt>
                <c:pt idx="174">
                  <c:v>43558</c:v>
                </c:pt>
                <c:pt idx="175">
                  <c:v>43557</c:v>
                </c:pt>
                <c:pt idx="176">
                  <c:v>43556</c:v>
                </c:pt>
                <c:pt idx="177">
                  <c:v>43553</c:v>
                </c:pt>
                <c:pt idx="178">
                  <c:v>43552</c:v>
                </c:pt>
                <c:pt idx="179">
                  <c:v>43551</c:v>
                </c:pt>
                <c:pt idx="180">
                  <c:v>43550</c:v>
                </c:pt>
                <c:pt idx="181">
                  <c:v>43549</c:v>
                </c:pt>
                <c:pt idx="182">
                  <c:v>43546</c:v>
                </c:pt>
                <c:pt idx="183">
                  <c:v>43544</c:v>
                </c:pt>
                <c:pt idx="184">
                  <c:v>43543</c:v>
                </c:pt>
                <c:pt idx="185">
                  <c:v>43542</c:v>
                </c:pt>
                <c:pt idx="186">
                  <c:v>43539</c:v>
                </c:pt>
                <c:pt idx="187">
                  <c:v>43538</c:v>
                </c:pt>
                <c:pt idx="188">
                  <c:v>43537</c:v>
                </c:pt>
                <c:pt idx="189">
                  <c:v>43536</c:v>
                </c:pt>
                <c:pt idx="190">
                  <c:v>43535</c:v>
                </c:pt>
                <c:pt idx="191">
                  <c:v>43532</c:v>
                </c:pt>
                <c:pt idx="192">
                  <c:v>43531</c:v>
                </c:pt>
                <c:pt idx="193">
                  <c:v>43530</c:v>
                </c:pt>
                <c:pt idx="194">
                  <c:v>43529</c:v>
                </c:pt>
                <c:pt idx="195">
                  <c:v>43528</c:v>
                </c:pt>
                <c:pt idx="196">
                  <c:v>43525</c:v>
                </c:pt>
                <c:pt idx="197">
                  <c:v>43524</c:v>
                </c:pt>
                <c:pt idx="198">
                  <c:v>43523</c:v>
                </c:pt>
                <c:pt idx="199">
                  <c:v>43522</c:v>
                </c:pt>
                <c:pt idx="200">
                  <c:v>43521</c:v>
                </c:pt>
                <c:pt idx="201">
                  <c:v>43518</c:v>
                </c:pt>
                <c:pt idx="202">
                  <c:v>43517</c:v>
                </c:pt>
                <c:pt idx="203">
                  <c:v>43516</c:v>
                </c:pt>
                <c:pt idx="204">
                  <c:v>43515</c:v>
                </c:pt>
                <c:pt idx="205">
                  <c:v>43514</c:v>
                </c:pt>
                <c:pt idx="206">
                  <c:v>43511</c:v>
                </c:pt>
                <c:pt idx="207">
                  <c:v>43510</c:v>
                </c:pt>
                <c:pt idx="208">
                  <c:v>43509</c:v>
                </c:pt>
                <c:pt idx="209">
                  <c:v>43508</c:v>
                </c:pt>
                <c:pt idx="210">
                  <c:v>43504</c:v>
                </c:pt>
                <c:pt idx="211">
                  <c:v>43503</c:v>
                </c:pt>
                <c:pt idx="212">
                  <c:v>43502</c:v>
                </c:pt>
                <c:pt idx="213">
                  <c:v>43501</c:v>
                </c:pt>
                <c:pt idx="214">
                  <c:v>43500</c:v>
                </c:pt>
                <c:pt idx="215">
                  <c:v>43497</c:v>
                </c:pt>
                <c:pt idx="216">
                  <c:v>43496</c:v>
                </c:pt>
                <c:pt idx="217">
                  <c:v>43495</c:v>
                </c:pt>
                <c:pt idx="218">
                  <c:v>43494</c:v>
                </c:pt>
                <c:pt idx="219">
                  <c:v>43493</c:v>
                </c:pt>
                <c:pt idx="220">
                  <c:v>43490</c:v>
                </c:pt>
                <c:pt idx="221">
                  <c:v>43489</c:v>
                </c:pt>
                <c:pt idx="222">
                  <c:v>43488</c:v>
                </c:pt>
                <c:pt idx="223">
                  <c:v>43487</c:v>
                </c:pt>
                <c:pt idx="224">
                  <c:v>43486</c:v>
                </c:pt>
                <c:pt idx="225">
                  <c:v>43483</c:v>
                </c:pt>
                <c:pt idx="226">
                  <c:v>43482</c:v>
                </c:pt>
                <c:pt idx="227">
                  <c:v>43481</c:v>
                </c:pt>
                <c:pt idx="228">
                  <c:v>43480</c:v>
                </c:pt>
                <c:pt idx="229">
                  <c:v>43476</c:v>
                </c:pt>
                <c:pt idx="230">
                  <c:v>43475</c:v>
                </c:pt>
                <c:pt idx="231">
                  <c:v>43474</c:v>
                </c:pt>
                <c:pt idx="232">
                  <c:v>43473</c:v>
                </c:pt>
                <c:pt idx="233">
                  <c:v>43472</c:v>
                </c:pt>
                <c:pt idx="234">
                  <c:v>43469</c:v>
                </c:pt>
                <c:pt idx="235">
                  <c:v>43462</c:v>
                </c:pt>
                <c:pt idx="236">
                  <c:v>43461</c:v>
                </c:pt>
                <c:pt idx="237">
                  <c:v>43460</c:v>
                </c:pt>
                <c:pt idx="238">
                  <c:v>43459</c:v>
                </c:pt>
                <c:pt idx="239">
                  <c:v>43455</c:v>
                </c:pt>
                <c:pt idx="240">
                  <c:v>43454</c:v>
                </c:pt>
              </c:numCache>
            </c:numRef>
          </c:cat>
          <c:val>
            <c:numRef>
              <c:f>Graph!$G$42:$G$703</c:f>
              <c:numCache>
                <c:formatCode>General</c:formatCode>
                <c:ptCount val="662"/>
                <c:pt idx="0">
                  <c:v>0.76685632855334696</c:v>
                </c:pt>
                <c:pt idx="1">
                  <c:v>0.76796321039195004</c:v>
                </c:pt>
                <c:pt idx="2">
                  <c:v>0.76902326906066198</c:v>
                </c:pt>
                <c:pt idx="3">
                  <c:v>0.77017483232397499</c:v>
                </c:pt>
                <c:pt idx="4">
                  <c:v>0.77098332080021004</c:v>
                </c:pt>
                <c:pt idx="5">
                  <c:v>0.77156670560520102</c:v>
                </c:pt>
                <c:pt idx="6">
                  <c:v>0.77192282304163196</c:v>
                </c:pt>
                <c:pt idx="7">
                  <c:v>0.77229625331261598</c:v>
                </c:pt>
                <c:pt idx="8">
                  <c:v>0.77271452508652305</c:v>
                </c:pt>
                <c:pt idx="9">
                  <c:v>0.77316752008455103</c:v>
                </c:pt>
                <c:pt idx="10">
                  <c:v>0.77358939086102296</c:v>
                </c:pt>
                <c:pt idx="11">
                  <c:v>0.77434041959094202</c:v>
                </c:pt>
                <c:pt idx="12">
                  <c:v>0.774747593713768</c:v>
                </c:pt>
                <c:pt idx="13">
                  <c:v>0.77517966496058799</c:v>
                </c:pt>
                <c:pt idx="14">
                  <c:v>0.77569184787173995</c:v>
                </c:pt>
                <c:pt idx="15">
                  <c:v>0.77555584058398896</c:v>
                </c:pt>
                <c:pt idx="16">
                  <c:v>0.77510881181873603</c:v>
                </c:pt>
                <c:pt idx="17">
                  <c:v>0.77469805625686305</c:v>
                </c:pt>
                <c:pt idx="18">
                  <c:v>0.774300659605895</c:v>
                </c:pt>
                <c:pt idx="19">
                  <c:v>0.77382321450627101</c:v>
                </c:pt>
                <c:pt idx="20">
                  <c:v>0.77370708645651598</c:v>
                </c:pt>
                <c:pt idx="21">
                  <c:v>0.77300905320441704</c:v>
                </c:pt>
                <c:pt idx="22">
                  <c:v>0.77228523560618201</c:v>
                </c:pt>
                <c:pt idx="23">
                  <c:v>0.77192184469578595</c:v>
                </c:pt>
                <c:pt idx="24">
                  <c:v>0.77187504315864597</c:v>
                </c:pt>
                <c:pt idx="25">
                  <c:v>0.77174895230708795</c:v>
                </c:pt>
                <c:pt idx="26">
                  <c:v>0.77179826139734697</c:v>
                </c:pt>
                <c:pt idx="27">
                  <c:v>0.77181180725738197</c:v>
                </c:pt>
                <c:pt idx="28">
                  <c:v>0.77179082184573999</c:v>
                </c:pt>
                <c:pt idx="29">
                  <c:v>0.77193833680244295</c:v>
                </c:pt>
                <c:pt idx="30">
                  <c:v>0.77199256428547103</c:v>
                </c:pt>
                <c:pt idx="31">
                  <c:v>0.77168633093183303</c:v>
                </c:pt>
                <c:pt idx="32">
                  <c:v>0.77139591160193499</c:v>
                </c:pt>
                <c:pt idx="33">
                  <c:v>0.77126850037996297</c:v>
                </c:pt>
                <c:pt idx="34">
                  <c:v>0.77089354343794003</c:v>
                </c:pt>
                <c:pt idx="35">
                  <c:v>0.77030883440634101</c:v>
                </c:pt>
                <c:pt idx="36">
                  <c:v>0.77061945339461302</c:v>
                </c:pt>
                <c:pt idx="37">
                  <c:v>0.77104928534320105</c:v>
                </c:pt>
                <c:pt idx="38">
                  <c:v>0.77175293328476602</c:v>
                </c:pt>
                <c:pt idx="39">
                  <c:v>0.7722820331211</c:v>
                </c:pt>
                <c:pt idx="40">
                  <c:v>0.77282527770367704</c:v>
                </c:pt>
                <c:pt idx="41">
                  <c:v>0.77324022930603398</c:v>
                </c:pt>
                <c:pt idx="42">
                  <c:v>0.77366214082142204</c:v>
                </c:pt>
                <c:pt idx="43">
                  <c:v>0.77384662442987295</c:v>
                </c:pt>
                <c:pt idx="44">
                  <c:v>0.774123863530641</c:v>
                </c:pt>
                <c:pt idx="45">
                  <c:v>0.77404274290099795</c:v>
                </c:pt>
                <c:pt idx="46">
                  <c:v>0.77439055003218504</c:v>
                </c:pt>
                <c:pt idx="47">
                  <c:v>0.77472324687923499</c:v>
                </c:pt>
                <c:pt idx="48">
                  <c:v>0.77507057246224598</c:v>
                </c:pt>
                <c:pt idx="49">
                  <c:v>0.77534923467413897</c:v>
                </c:pt>
                <c:pt idx="50">
                  <c:v>0.77548722369008105</c:v>
                </c:pt>
                <c:pt idx="51">
                  <c:v>0.775712427261258</c:v>
                </c:pt>
                <c:pt idx="52">
                  <c:v>0.77571866860119199</c:v>
                </c:pt>
                <c:pt idx="53">
                  <c:v>0.77540436693214598</c:v>
                </c:pt>
                <c:pt idx="54">
                  <c:v>0.77531012733857096</c:v>
                </c:pt>
                <c:pt idx="55">
                  <c:v>0.77526496176766801</c:v>
                </c:pt>
                <c:pt idx="56">
                  <c:v>0.77536716281146201</c:v>
                </c:pt>
                <c:pt idx="57">
                  <c:v>0.77542519459939896</c:v>
                </c:pt>
                <c:pt idx="58">
                  <c:v>0.77568291658831301</c:v>
                </c:pt>
                <c:pt idx="59">
                  <c:v>0.77574725220279805</c:v>
                </c:pt>
                <c:pt idx="60">
                  <c:v>0.77589202672589996</c:v>
                </c:pt>
                <c:pt idx="61">
                  <c:v>0.776163690649738</c:v>
                </c:pt>
                <c:pt idx="62">
                  <c:v>0.776271162176565</c:v>
                </c:pt>
                <c:pt idx="63">
                  <c:v>0.77617609216066796</c:v>
                </c:pt>
                <c:pt idx="64">
                  <c:v>0.775927481303606</c:v>
                </c:pt>
                <c:pt idx="65">
                  <c:v>0.77599708857335004</c:v>
                </c:pt>
                <c:pt idx="66">
                  <c:v>0.77612659455206801</c:v>
                </c:pt>
                <c:pt idx="67">
                  <c:v>0.77621346744890696</c:v>
                </c:pt>
                <c:pt idx="68">
                  <c:v>0.776250573732987</c:v>
                </c:pt>
                <c:pt idx="69">
                  <c:v>0.77603712643233602</c:v>
                </c:pt>
                <c:pt idx="70">
                  <c:v>0.77582529379854603</c:v>
                </c:pt>
                <c:pt idx="71">
                  <c:v>0.77566595192714505</c:v>
                </c:pt>
                <c:pt idx="72">
                  <c:v>0.77570845872892402</c:v>
                </c:pt>
                <c:pt idx="73">
                  <c:v>0.77567912331831401</c:v>
                </c:pt>
                <c:pt idx="74">
                  <c:v>0.77583343908353497</c:v>
                </c:pt>
                <c:pt idx="75">
                  <c:v>0.77638048358825595</c:v>
                </c:pt>
                <c:pt idx="76">
                  <c:v>0.775964488427348</c:v>
                </c:pt>
                <c:pt idx="77">
                  <c:v>0.77550636654768201</c:v>
                </c:pt>
                <c:pt idx="78">
                  <c:v>0.77494411725244905</c:v>
                </c:pt>
                <c:pt idx="79">
                  <c:v>0.77468899229444999</c:v>
                </c:pt>
                <c:pt idx="80">
                  <c:v>0.77500264059712498</c:v>
                </c:pt>
                <c:pt idx="81">
                  <c:v>0.77537667406685895</c:v>
                </c:pt>
                <c:pt idx="82">
                  <c:v>0.77581617829664395</c:v>
                </c:pt>
                <c:pt idx="83">
                  <c:v>0.77628116891544896</c:v>
                </c:pt>
                <c:pt idx="84">
                  <c:v>0.77667991083478105</c:v>
                </c:pt>
                <c:pt idx="85">
                  <c:v>0.77729047576913002</c:v>
                </c:pt>
                <c:pt idx="86">
                  <c:v>0.77751766733541094</c:v>
                </c:pt>
                <c:pt idx="87">
                  <c:v>0.778060806412185</c:v>
                </c:pt>
                <c:pt idx="88">
                  <c:v>0.77829382704193495</c:v>
                </c:pt>
                <c:pt idx="89">
                  <c:v>0.77817672433552998</c:v>
                </c:pt>
                <c:pt idx="90">
                  <c:v>0.77864534881098202</c:v>
                </c:pt>
                <c:pt idx="91">
                  <c:v>0.77958561835080498</c:v>
                </c:pt>
                <c:pt idx="92">
                  <c:v>0.78051315453994696</c:v>
                </c:pt>
                <c:pt idx="93">
                  <c:v>0.78202264931346699</c:v>
                </c:pt>
                <c:pt idx="94">
                  <c:v>0.78328222911488499</c:v>
                </c:pt>
                <c:pt idx="95">
                  <c:v>0.78418844748744598</c:v>
                </c:pt>
                <c:pt idx="96">
                  <c:v>0.78528664748892396</c:v>
                </c:pt>
                <c:pt idx="97">
                  <c:v>0.78618671410235497</c:v>
                </c:pt>
                <c:pt idx="98">
                  <c:v>0.78691157823804403</c:v>
                </c:pt>
                <c:pt idx="99">
                  <c:v>0.78791225129264497</c:v>
                </c:pt>
                <c:pt idx="100">
                  <c:v>0.78904179549536702</c:v>
                </c:pt>
                <c:pt idx="101">
                  <c:v>0.79004729018056796</c:v>
                </c:pt>
                <c:pt idx="102">
                  <c:v>0.79098534017928002</c:v>
                </c:pt>
                <c:pt idx="103">
                  <c:v>0.79176890970774205</c:v>
                </c:pt>
                <c:pt idx="104">
                  <c:v>0.79248038298675005</c:v>
                </c:pt>
                <c:pt idx="105">
                  <c:v>0.79330698063264904</c:v>
                </c:pt>
                <c:pt idx="106">
                  <c:v>0.79455028519670801</c:v>
                </c:pt>
                <c:pt idx="107">
                  <c:v>0.79534000971581997</c:v>
                </c:pt>
                <c:pt idx="108">
                  <c:v>0.79596635894825896</c:v>
                </c:pt>
                <c:pt idx="109">
                  <c:v>0.796272317580898</c:v>
                </c:pt>
                <c:pt idx="110">
                  <c:v>0.79688080836772401</c:v>
                </c:pt>
                <c:pt idx="111">
                  <c:v>0.79751578002077494</c:v>
                </c:pt>
                <c:pt idx="112">
                  <c:v>0.79807570161491403</c:v>
                </c:pt>
                <c:pt idx="113">
                  <c:v>0.79838021081494503</c:v>
                </c:pt>
                <c:pt idx="114">
                  <c:v>0.79874199524276501</c:v>
                </c:pt>
                <c:pt idx="115">
                  <c:v>0.79878220255119403</c:v>
                </c:pt>
                <c:pt idx="116">
                  <c:v>0.79897570338907797</c:v>
                </c:pt>
                <c:pt idx="117">
                  <c:v>0.79928944445252403</c:v>
                </c:pt>
                <c:pt idx="118">
                  <c:v>0.799176856031516</c:v>
                </c:pt>
                <c:pt idx="119">
                  <c:v>0.79904004252506899</c:v>
                </c:pt>
                <c:pt idx="120">
                  <c:v>0.79912622038032899</c:v>
                </c:pt>
                <c:pt idx="121">
                  <c:v>0.79871566277858497</c:v>
                </c:pt>
                <c:pt idx="122">
                  <c:v>0.79849833808610904</c:v>
                </c:pt>
                <c:pt idx="123">
                  <c:v>0.79832540588267797</c:v>
                </c:pt>
                <c:pt idx="124">
                  <c:v>0.79815691519924503</c:v>
                </c:pt>
                <c:pt idx="125">
                  <c:v>0.79806750313746699</c:v>
                </c:pt>
                <c:pt idx="126">
                  <c:v>0.79790001977388603</c:v>
                </c:pt>
                <c:pt idx="127">
                  <c:v>0.79792155760107297</c:v>
                </c:pt>
                <c:pt idx="128">
                  <c:v>0.79796726401007001</c:v>
                </c:pt>
                <c:pt idx="129">
                  <c:v>0.79799047666761902</c:v>
                </c:pt>
                <c:pt idx="130">
                  <c:v>0.79792729229444104</c:v>
                </c:pt>
                <c:pt idx="131">
                  <c:v>0.79774617862351105</c:v>
                </c:pt>
                <c:pt idx="132">
                  <c:v>0.79769093638129496</c:v>
                </c:pt>
                <c:pt idx="133">
                  <c:v>0.79724893303188604</c:v>
                </c:pt>
                <c:pt idx="134">
                  <c:v>0.79699875265670606</c:v>
                </c:pt>
                <c:pt idx="135">
                  <c:v>0.79658055857426102</c:v>
                </c:pt>
                <c:pt idx="136">
                  <c:v>0.79643119267180396</c:v>
                </c:pt>
                <c:pt idx="137">
                  <c:v>0.79608832145088404</c:v>
                </c:pt>
                <c:pt idx="138">
                  <c:v>0.79618641797863698</c:v>
                </c:pt>
                <c:pt idx="139">
                  <c:v>0.79602171145682399</c:v>
                </c:pt>
                <c:pt idx="140">
                  <c:v>0.79597376005735399</c:v>
                </c:pt>
                <c:pt idx="141">
                  <c:v>0.79613417537208497</c:v>
                </c:pt>
                <c:pt idx="142">
                  <c:v>0.796389926671904</c:v>
                </c:pt>
                <c:pt idx="143">
                  <c:v>0.79669511476895705</c:v>
                </c:pt>
                <c:pt idx="144">
                  <c:v>0.79681312489331402</c:v>
                </c:pt>
                <c:pt idx="145">
                  <c:v>0.79697202988965998</c:v>
                </c:pt>
                <c:pt idx="146">
                  <c:v>0.79701646695639905</c:v>
                </c:pt>
                <c:pt idx="147">
                  <c:v>0.79698081097727003</c:v>
                </c:pt>
                <c:pt idx="148">
                  <c:v>0.79692923207799204</c:v>
                </c:pt>
                <c:pt idx="149">
                  <c:v>0.79684806573173605</c:v>
                </c:pt>
                <c:pt idx="150">
                  <c:v>0.79633305169606405</c:v>
                </c:pt>
                <c:pt idx="151">
                  <c:v>0.79638164670990297</c:v>
                </c:pt>
                <c:pt idx="152">
                  <c:v>0.79636481472007603</c:v>
                </c:pt>
                <c:pt idx="153">
                  <c:v>0.79643853655591601</c:v>
                </c:pt>
                <c:pt idx="154">
                  <c:v>0.79616402763403804</c:v>
                </c:pt>
                <c:pt idx="155">
                  <c:v>0.79580986325951997</c:v>
                </c:pt>
                <c:pt idx="156">
                  <c:v>0.795218597062193</c:v>
                </c:pt>
                <c:pt idx="157">
                  <c:v>0.79449838024752395</c:v>
                </c:pt>
                <c:pt idx="158">
                  <c:v>0.793352776338762</c:v>
                </c:pt>
                <c:pt idx="159">
                  <c:v>0.79243023453746597</c:v>
                </c:pt>
                <c:pt idx="160">
                  <c:v>0.79135872513712702</c:v>
                </c:pt>
                <c:pt idx="161">
                  <c:v>0.79057261779348598</c:v>
                </c:pt>
                <c:pt idx="162">
                  <c:v>0.78953953726234405</c:v>
                </c:pt>
                <c:pt idx="163">
                  <c:v>0.78848024542783901</c:v>
                </c:pt>
                <c:pt idx="164">
                  <c:v>0.78735574382012197</c:v>
                </c:pt>
                <c:pt idx="165">
                  <c:v>0.78620831872999997</c:v>
                </c:pt>
                <c:pt idx="166">
                  <c:v>0.78477207635249502</c:v>
                </c:pt>
                <c:pt idx="167">
                  <c:v>0.783635935210096</c:v>
                </c:pt>
                <c:pt idx="168">
                  <c:v>0.78228199040304303</c:v>
                </c:pt>
                <c:pt idx="169">
                  <c:v>0.78102585473673003</c:v>
                </c:pt>
                <c:pt idx="170">
                  <c:v>0.78012576880513695</c:v>
                </c:pt>
                <c:pt idx="171">
                  <c:v>0.77908245326152703</c:v>
                </c:pt>
                <c:pt idx="172">
                  <c:v>0.77793135203914499</c:v>
                </c:pt>
                <c:pt idx="173">
                  <c:v>0.77666342086948004</c:v>
                </c:pt>
                <c:pt idx="174">
                  <c:v>0.77527781990707101</c:v>
                </c:pt>
                <c:pt idx="175">
                  <c:v>0.77396411442833302</c:v>
                </c:pt>
                <c:pt idx="176">
                  <c:v>0.77275144253973405</c:v>
                </c:pt>
                <c:pt idx="177">
                  <c:v>0.77154762604119598</c:v>
                </c:pt>
                <c:pt idx="178">
                  <c:v>0.77030232575378699</c:v>
                </c:pt>
                <c:pt idx="179">
                  <c:v>0.76896333010978402</c:v>
                </c:pt>
                <c:pt idx="180">
                  <c:v>0.76758187847836301</c:v>
                </c:pt>
                <c:pt idx="181">
                  <c:v>0.76592880660756002</c:v>
                </c:pt>
                <c:pt idx="182">
                  <c:v>0.76425477011069498</c:v>
                </c:pt>
                <c:pt idx="183">
                  <c:v>0.76251624876689506</c:v>
                </c:pt>
                <c:pt idx="184">
                  <c:v>0.76091246510364996</c:v>
                </c:pt>
                <c:pt idx="185">
                  <c:v>0.75906132589407105</c:v>
                </c:pt>
                <c:pt idx="186">
                  <c:v>0.75707481139830302</c:v>
                </c:pt>
                <c:pt idx="187">
                  <c:v>0.75498205920362604</c:v>
                </c:pt>
                <c:pt idx="188">
                  <c:v>0.75308533283631096</c:v>
                </c:pt>
                <c:pt idx="189">
                  <c:v>0.75074230534098396</c:v>
                </c:pt>
                <c:pt idx="190">
                  <c:v>0.74866907299150098</c:v>
                </c:pt>
                <c:pt idx="191">
                  <c:v>0.74642810183778496</c:v>
                </c:pt>
                <c:pt idx="192">
                  <c:v>0.74416557905848502</c:v>
                </c:pt>
                <c:pt idx="193">
                  <c:v>0.74230287242964199</c:v>
                </c:pt>
                <c:pt idx="194">
                  <c:v>0.74056788288533903</c:v>
                </c:pt>
                <c:pt idx="195">
                  <c:v>0.73872895734299804</c:v>
                </c:pt>
                <c:pt idx="196">
                  <c:v>0.73730101307721596</c:v>
                </c:pt>
                <c:pt idx="197">
                  <c:v>0.73548665015322301</c:v>
                </c:pt>
                <c:pt idx="198">
                  <c:v>0.73369466020712004</c:v>
                </c:pt>
                <c:pt idx="199">
                  <c:v>0.73182530688868297</c:v>
                </c:pt>
                <c:pt idx="200">
                  <c:v>0.73016110994197103</c:v>
                </c:pt>
                <c:pt idx="201">
                  <c:v>0.72922899227806204</c:v>
                </c:pt>
                <c:pt idx="202">
                  <c:v>0.72818876855521897</c:v>
                </c:pt>
                <c:pt idx="203">
                  <c:v>0.72735120522999697</c:v>
                </c:pt>
                <c:pt idx="204">
                  <c:v>0.726445223377574</c:v>
                </c:pt>
                <c:pt idx="205">
                  <c:v>0.72556871239530496</c:v>
                </c:pt>
                <c:pt idx="206">
                  <c:v>0.72427558720644003</c:v>
                </c:pt>
                <c:pt idx="207">
                  <c:v>0.72261005725788396</c:v>
                </c:pt>
                <c:pt idx="208">
                  <c:v>0.72108510484993105</c:v>
                </c:pt>
                <c:pt idx="209">
                  <c:v>0.71948746088045901</c:v>
                </c:pt>
                <c:pt idx="210">
                  <c:v>0.71813544404829799</c:v>
                </c:pt>
                <c:pt idx="211">
                  <c:v>0.71664577382184902</c:v>
                </c:pt>
                <c:pt idx="212">
                  <c:v>0.71513826198733799</c:v>
                </c:pt>
                <c:pt idx="213">
                  <c:v>0.71350283224951405</c:v>
                </c:pt>
                <c:pt idx="214">
                  <c:v>0.71235081410377399</c:v>
                </c:pt>
                <c:pt idx="215">
                  <c:v>0.71081905169898296</c:v>
                </c:pt>
                <c:pt idx="216">
                  <c:v>0.709091534278536</c:v>
                </c:pt>
                <c:pt idx="217">
                  <c:v>0.70753547922273496</c:v>
                </c:pt>
                <c:pt idx="218">
                  <c:v>0.705971649021226</c:v>
                </c:pt>
                <c:pt idx="219">
                  <c:v>0.70477864100588805</c:v>
                </c:pt>
                <c:pt idx="220">
                  <c:v>0.70382846049187098</c:v>
                </c:pt>
                <c:pt idx="221">
                  <c:v>0.70288679805092802</c:v>
                </c:pt>
                <c:pt idx="222">
                  <c:v>0.70177833960478797</c:v>
                </c:pt>
                <c:pt idx="223">
                  <c:v>0.70077353645130203</c:v>
                </c:pt>
                <c:pt idx="224">
                  <c:v>0.69992172278524301</c:v>
                </c:pt>
                <c:pt idx="225">
                  <c:v>0.69910140900866802</c:v>
                </c:pt>
                <c:pt idx="226">
                  <c:v>0.698563345623753</c:v>
                </c:pt>
                <c:pt idx="227">
                  <c:v>0.69819782960094101</c:v>
                </c:pt>
                <c:pt idx="228">
                  <c:v>0.697858659797853</c:v>
                </c:pt>
                <c:pt idx="229">
                  <c:v>0.69775193546977898</c:v>
                </c:pt>
                <c:pt idx="230">
                  <c:v>0.69737280744524999</c:v>
                </c:pt>
                <c:pt idx="231">
                  <c:v>0.69732366197465701</c:v>
                </c:pt>
                <c:pt idx="232">
                  <c:v>0.69717486313464105</c:v>
                </c:pt>
                <c:pt idx="233">
                  <c:v>0.697255472180767</c:v>
                </c:pt>
                <c:pt idx="234">
                  <c:v>0.69732526589802202</c:v>
                </c:pt>
                <c:pt idx="235">
                  <c:v>0.69731647226805804</c:v>
                </c:pt>
                <c:pt idx="236">
                  <c:v>0.69751010053828499</c:v>
                </c:pt>
                <c:pt idx="237">
                  <c:v>0.69787571531111603</c:v>
                </c:pt>
                <c:pt idx="238">
                  <c:v>0.69840001613648195</c:v>
                </c:pt>
                <c:pt idx="239">
                  <c:v>0.69912509780617405</c:v>
                </c:pt>
                <c:pt idx="240">
                  <c:v>0.69996094876287096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FA4-47F8-BD66-5FADF1C28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793728"/>
        <c:axId val="98811904"/>
      </c:lineChart>
      <c:dateAx>
        <c:axId val="987937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98811904"/>
        <c:crosses val="autoZero"/>
        <c:auto val="1"/>
        <c:lblOffset val="100"/>
        <c:baseTimeUnit val="days"/>
      </c:dateAx>
      <c:valAx>
        <c:axId val="98811904"/>
        <c:scaling>
          <c:orientation val="minMax"/>
          <c:max val="0.86120224196219175"/>
          <c:min val="0.49517257575023244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987937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853179923252956"/>
          <c:y val="1.6268379869053211E-2"/>
          <c:w val="0.11146820076747002"/>
          <c:h val="0.150455857604382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117651379319196E-2"/>
          <c:y val="3.0553318400621875E-2"/>
          <c:w val="0.87885104561634764"/>
          <c:h val="0.79822145785874865"/>
        </c:manualLayout>
      </c:layout>
      <c:lineChart>
        <c:grouping val="standard"/>
        <c:varyColors val="0"/>
        <c:ser>
          <c:idx val="0"/>
          <c:order val="0"/>
          <c:tx>
            <c:strRef>
              <c:f>Detail!$C$41</c:f>
              <c:strCache>
                <c:ptCount val="1"/>
                <c:pt idx="0">
                  <c:v>CLOSE_6752</c:v>
                </c:pt>
              </c:strCache>
            </c:strRef>
          </c:tx>
          <c:marker>
            <c:symbol val="none"/>
          </c:marker>
          <c:cat>
            <c:numRef>
              <c:f>Detail!$A$42:$A$703</c:f>
              <c:numCache>
                <c:formatCode>m/d/yyyy</c:formatCode>
                <c:ptCount val="662"/>
                <c:pt idx="0">
                  <c:v>43819</c:v>
                </c:pt>
                <c:pt idx="1">
                  <c:v>43818</c:v>
                </c:pt>
                <c:pt idx="2">
                  <c:v>43817</c:v>
                </c:pt>
                <c:pt idx="3">
                  <c:v>43816</c:v>
                </c:pt>
                <c:pt idx="4">
                  <c:v>43815</c:v>
                </c:pt>
                <c:pt idx="5">
                  <c:v>43812</c:v>
                </c:pt>
                <c:pt idx="6">
                  <c:v>43811</c:v>
                </c:pt>
                <c:pt idx="7">
                  <c:v>43810</c:v>
                </c:pt>
                <c:pt idx="8">
                  <c:v>43809</c:v>
                </c:pt>
                <c:pt idx="9">
                  <c:v>43808</c:v>
                </c:pt>
                <c:pt idx="10">
                  <c:v>43805</c:v>
                </c:pt>
                <c:pt idx="11">
                  <c:v>43804</c:v>
                </c:pt>
                <c:pt idx="12">
                  <c:v>43803</c:v>
                </c:pt>
                <c:pt idx="13">
                  <c:v>43802</c:v>
                </c:pt>
                <c:pt idx="14">
                  <c:v>43801</c:v>
                </c:pt>
                <c:pt idx="15">
                  <c:v>43798</c:v>
                </c:pt>
                <c:pt idx="16">
                  <c:v>43797</c:v>
                </c:pt>
                <c:pt idx="17">
                  <c:v>43796</c:v>
                </c:pt>
                <c:pt idx="18">
                  <c:v>43795</c:v>
                </c:pt>
                <c:pt idx="19">
                  <c:v>43794</c:v>
                </c:pt>
                <c:pt idx="20">
                  <c:v>43791</c:v>
                </c:pt>
                <c:pt idx="21">
                  <c:v>43790</c:v>
                </c:pt>
                <c:pt idx="22">
                  <c:v>43789</c:v>
                </c:pt>
                <c:pt idx="23">
                  <c:v>43788</c:v>
                </c:pt>
                <c:pt idx="24">
                  <c:v>43787</c:v>
                </c:pt>
                <c:pt idx="25">
                  <c:v>43784</c:v>
                </c:pt>
                <c:pt idx="26">
                  <c:v>43783</c:v>
                </c:pt>
                <c:pt idx="27">
                  <c:v>43782</c:v>
                </c:pt>
                <c:pt idx="28">
                  <c:v>43781</c:v>
                </c:pt>
                <c:pt idx="29">
                  <c:v>43780</c:v>
                </c:pt>
                <c:pt idx="30">
                  <c:v>43777</c:v>
                </c:pt>
                <c:pt idx="31">
                  <c:v>43776</c:v>
                </c:pt>
                <c:pt idx="32">
                  <c:v>43775</c:v>
                </c:pt>
                <c:pt idx="33">
                  <c:v>43774</c:v>
                </c:pt>
                <c:pt idx="34">
                  <c:v>43770</c:v>
                </c:pt>
                <c:pt idx="35">
                  <c:v>43769</c:v>
                </c:pt>
                <c:pt idx="36">
                  <c:v>43768</c:v>
                </c:pt>
                <c:pt idx="37">
                  <c:v>43767</c:v>
                </c:pt>
                <c:pt idx="38">
                  <c:v>43766</c:v>
                </c:pt>
                <c:pt idx="39">
                  <c:v>43763</c:v>
                </c:pt>
                <c:pt idx="40">
                  <c:v>43762</c:v>
                </c:pt>
                <c:pt idx="41">
                  <c:v>43761</c:v>
                </c:pt>
                <c:pt idx="42">
                  <c:v>43759</c:v>
                </c:pt>
                <c:pt idx="43">
                  <c:v>43756</c:v>
                </c:pt>
                <c:pt idx="44">
                  <c:v>43755</c:v>
                </c:pt>
                <c:pt idx="45">
                  <c:v>43754</c:v>
                </c:pt>
                <c:pt idx="46">
                  <c:v>43753</c:v>
                </c:pt>
                <c:pt idx="47">
                  <c:v>43749</c:v>
                </c:pt>
                <c:pt idx="48">
                  <c:v>43748</c:v>
                </c:pt>
                <c:pt idx="49">
                  <c:v>43747</c:v>
                </c:pt>
                <c:pt idx="50">
                  <c:v>43746</c:v>
                </c:pt>
                <c:pt idx="51">
                  <c:v>43745</c:v>
                </c:pt>
                <c:pt idx="52">
                  <c:v>43742</c:v>
                </c:pt>
                <c:pt idx="53">
                  <c:v>43741</c:v>
                </c:pt>
                <c:pt idx="54">
                  <c:v>43740</c:v>
                </c:pt>
                <c:pt idx="55">
                  <c:v>43739</c:v>
                </c:pt>
                <c:pt idx="56">
                  <c:v>43738</c:v>
                </c:pt>
                <c:pt idx="57">
                  <c:v>43735</c:v>
                </c:pt>
                <c:pt idx="58">
                  <c:v>43734</c:v>
                </c:pt>
                <c:pt idx="59">
                  <c:v>43733</c:v>
                </c:pt>
                <c:pt idx="60">
                  <c:v>43732</c:v>
                </c:pt>
                <c:pt idx="61">
                  <c:v>43728</c:v>
                </c:pt>
                <c:pt idx="62">
                  <c:v>43727</c:v>
                </c:pt>
              </c:numCache>
            </c:numRef>
          </c:cat>
          <c:val>
            <c:numRef>
              <c:f>Detail!$K$42:$K$703</c:f>
              <c:numCache>
                <c:formatCode>General</c:formatCode>
                <c:ptCount val="662"/>
                <c:pt idx="0">
                  <c:v>1433</c:v>
                </c:pt>
                <c:pt idx="1">
                  <c:v>1429</c:v>
                </c:pt>
                <c:pt idx="2">
                  <c:v>1424</c:v>
                </c:pt>
                <c:pt idx="3">
                  <c:v>1412</c:v>
                </c:pt>
                <c:pt idx="4">
                  <c:v>1374</c:v>
                </c:pt>
                <c:pt idx="5">
                  <c:v>1373</c:v>
                </c:pt>
                <c:pt idx="6">
                  <c:v>1335</c:v>
                </c:pt>
                <c:pt idx="7">
                  <c:v>1348</c:v>
                </c:pt>
                <c:pt idx="8">
                  <c:v>1362</c:v>
                </c:pt>
                <c:pt idx="9">
                  <c:v>1374</c:v>
                </c:pt>
                <c:pt idx="10">
                  <c:v>1361</c:v>
                </c:pt>
                <c:pt idx="11">
                  <c:v>1343</c:v>
                </c:pt>
                <c:pt idx="12">
                  <c:v>1310</c:v>
                </c:pt>
                <c:pt idx="13">
                  <c:v>1302</c:v>
                </c:pt>
                <c:pt idx="14">
                  <c:v>1295</c:v>
                </c:pt>
                <c:pt idx="15">
                  <c:v>1288</c:v>
                </c:pt>
                <c:pt idx="16">
                  <c:v>1279</c:v>
                </c:pt>
                <c:pt idx="17">
                  <c:v>1274</c:v>
                </c:pt>
                <c:pt idx="18">
                  <c:v>1251</c:v>
                </c:pt>
                <c:pt idx="19">
                  <c:v>1269</c:v>
                </c:pt>
                <c:pt idx="20">
                  <c:v>1250</c:v>
                </c:pt>
                <c:pt idx="21">
                  <c:v>1243</c:v>
                </c:pt>
                <c:pt idx="22">
                  <c:v>1266</c:v>
                </c:pt>
                <c:pt idx="23">
                  <c:v>1319</c:v>
                </c:pt>
                <c:pt idx="24">
                  <c:v>1320</c:v>
                </c:pt>
                <c:pt idx="25">
                  <c:v>1342</c:v>
                </c:pt>
                <c:pt idx="26">
                  <c:v>1318</c:v>
                </c:pt>
                <c:pt idx="27">
                  <c:v>1333</c:v>
                </c:pt>
                <c:pt idx="28">
                  <c:v>1358</c:v>
                </c:pt>
                <c:pt idx="29">
                  <c:v>1343</c:v>
                </c:pt>
                <c:pt idx="30">
                  <c:v>1329</c:v>
                </c:pt>
                <c:pt idx="31">
                  <c:v>1297</c:v>
                </c:pt>
                <c:pt idx="32">
                  <c:v>1300</c:v>
                </c:pt>
                <c:pt idx="33">
                  <c:v>1248</c:v>
                </c:pt>
                <c:pt idx="34">
                  <c:v>1202</c:v>
                </c:pt>
                <c:pt idx="35">
                  <c:v>1220</c:v>
                </c:pt>
                <c:pt idx="36">
                  <c:v>1222</c:v>
                </c:pt>
                <c:pt idx="37">
                  <c:v>1259</c:v>
                </c:pt>
                <c:pt idx="38">
                  <c:v>1222</c:v>
                </c:pt>
                <c:pt idx="39">
                  <c:v>1212</c:v>
                </c:pt>
                <c:pt idx="40">
                  <c:v>1223</c:v>
                </c:pt>
                <c:pt idx="41">
                  <c:v>1223</c:v>
                </c:pt>
                <c:pt idx="42">
                  <c:v>1186</c:v>
                </c:pt>
                <c:pt idx="43">
                  <c:v>1190</c:v>
                </c:pt>
                <c:pt idx="44">
                  <c:v>1188</c:v>
                </c:pt>
                <c:pt idx="45">
                  <c:v>1205</c:v>
                </c:pt>
                <c:pt idx="46">
                  <c:v>1196</c:v>
                </c:pt>
                <c:pt idx="47">
                  <c:v>1165</c:v>
                </c:pt>
                <c:pt idx="48">
                  <c:v>1130</c:v>
                </c:pt>
                <c:pt idx="49">
                  <c:v>1143</c:v>
                </c:pt>
                <c:pt idx="50">
                  <c:v>1162</c:v>
                </c:pt>
                <c:pt idx="51">
                  <c:v>1145</c:v>
                </c:pt>
                <c:pt idx="52">
                  <c:v>1135</c:v>
                </c:pt>
                <c:pt idx="53">
                  <c:v>1152</c:v>
                </c:pt>
                <c:pt idx="54">
                  <c:v>1180</c:v>
                </c:pt>
                <c:pt idx="55">
                  <c:v>1183</c:v>
                </c:pt>
                <c:pt idx="56">
                  <c:v>1145</c:v>
                </c:pt>
                <c:pt idx="57">
                  <c:v>1165</c:v>
                </c:pt>
                <c:pt idx="58">
                  <c:v>1169</c:v>
                </c:pt>
                <c:pt idx="59">
                  <c:v>1167</c:v>
                </c:pt>
                <c:pt idx="60">
                  <c:v>1170</c:v>
                </c:pt>
                <c:pt idx="61">
                  <c:v>1147</c:v>
                </c:pt>
                <c:pt idx="62">
                  <c:v>1153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E8-4810-A7AD-CCD789CBD632}"/>
            </c:ext>
          </c:extLst>
        </c:ser>
        <c:ser>
          <c:idx val="1"/>
          <c:order val="1"/>
          <c:tx>
            <c:strRef>
              <c:f>Detail!$E$41</c:f>
              <c:strCache>
                <c:ptCount val="1"/>
                <c:pt idx="0">
                  <c:v>CLOSE_8795</c:v>
                </c:pt>
              </c:strCache>
            </c:strRef>
          </c:tx>
          <c:marker>
            <c:symbol val="none"/>
          </c:marker>
          <c:cat>
            <c:numRef>
              <c:f>Detail!$A$42:$A$703</c:f>
              <c:numCache>
                <c:formatCode>m/d/yyyy</c:formatCode>
                <c:ptCount val="662"/>
                <c:pt idx="0">
                  <c:v>43819</c:v>
                </c:pt>
                <c:pt idx="1">
                  <c:v>43818</c:v>
                </c:pt>
                <c:pt idx="2">
                  <c:v>43817</c:v>
                </c:pt>
                <c:pt idx="3">
                  <c:v>43816</c:v>
                </c:pt>
                <c:pt idx="4">
                  <c:v>43815</c:v>
                </c:pt>
                <c:pt idx="5">
                  <c:v>43812</c:v>
                </c:pt>
                <c:pt idx="6">
                  <c:v>43811</c:v>
                </c:pt>
                <c:pt idx="7">
                  <c:v>43810</c:v>
                </c:pt>
                <c:pt idx="8">
                  <c:v>43809</c:v>
                </c:pt>
                <c:pt idx="9">
                  <c:v>43808</c:v>
                </c:pt>
                <c:pt idx="10">
                  <c:v>43805</c:v>
                </c:pt>
                <c:pt idx="11">
                  <c:v>43804</c:v>
                </c:pt>
                <c:pt idx="12">
                  <c:v>43803</c:v>
                </c:pt>
                <c:pt idx="13">
                  <c:v>43802</c:v>
                </c:pt>
                <c:pt idx="14">
                  <c:v>43801</c:v>
                </c:pt>
                <c:pt idx="15">
                  <c:v>43798</c:v>
                </c:pt>
                <c:pt idx="16">
                  <c:v>43797</c:v>
                </c:pt>
                <c:pt idx="17">
                  <c:v>43796</c:v>
                </c:pt>
                <c:pt idx="18">
                  <c:v>43795</c:v>
                </c:pt>
                <c:pt idx="19">
                  <c:v>43794</c:v>
                </c:pt>
                <c:pt idx="20">
                  <c:v>43791</c:v>
                </c:pt>
                <c:pt idx="21">
                  <c:v>43790</c:v>
                </c:pt>
                <c:pt idx="22">
                  <c:v>43789</c:v>
                </c:pt>
                <c:pt idx="23">
                  <c:v>43788</c:v>
                </c:pt>
                <c:pt idx="24">
                  <c:v>43787</c:v>
                </c:pt>
                <c:pt idx="25">
                  <c:v>43784</c:v>
                </c:pt>
                <c:pt idx="26">
                  <c:v>43783</c:v>
                </c:pt>
                <c:pt idx="27">
                  <c:v>43782</c:v>
                </c:pt>
                <c:pt idx="28">
                  <c:v>43781</c:v>
                </c:pt>
                <c:pt idx="29">
                  <c:v>43780</c:v>
                </c:pt>
                <c:pt idx="30">
                  <c:v>43777</c:v>
                </c:pt>
                <c:pt idx="31">
                  <c:v>43776</c:v>
                </c:pt>
                <c:pt idx="32">
                  <c:v>43775</c:v>
                </c:pt>
                <c:pt idx="33">
                  <c:v>43774</c:v>
                </c:pt>
                <c:pt idx="34">
                  <c:v>43770</c:v>
                </c:pt>
                <c:pt idx="35">
                  <c:v>43769</c:v>
                </c:pt>
                <c:pt idx="36">
                  <c:v>43768</c:v>
                </c:pt>
                <c:pt idx="37">
                  <c:v>43767</c:v>
                </c:pt>
                <c:pt idx="38">
                  <c:v>43766</c:v>
                </c:pt>
                <c:pt idx="39">
                  <c:v>43763</c:v>
                </c:pt>
                <c:pt idx="40">
                  <c:v>43762</c:v>
                </c:pt>
                <c:pt idx="41">
                  <c:v>43761</c:v>
                </c:pt>
                <c:pt idx="42">
                  <c:v>43759</c:v>
                </c:pt>
                <c:pt idx="43">
                  <c:v>43756</c:v>
                </c:pt>
                <c:pt idx="44">
                  <c:v>43755</c:v>
                </c:pt>
                <c:pt idx="45">
                  <c:v>43754</c:v>
                </c:pt>
                <c:pt idx="46">
                  <c:v>43753</c:v>
                </c:pt>
                <c:pt idx="47">
                  <c:v>43749</c:v>
                </c:pt>
                <c:pt idx="48">
                  <c:v>43748</c:v>
                </c:pt>
                <c:pt idx="49">
                  <c:v>43747</c:v>
                </c:pt>
                <c:pt idx="50">
                  <c:v>43746</c:v>
                </c:pt>
                <c:pt idx="51">
                  <c:v>43745</c:v>
                </c:pt>
                <c:pt idx="52">
                  <c:v>43742</c:v>
                </c:pt>
                <c:pt idx="53">
                  <c:v>43741</c:v>
                </c:pt>
                <c:pt idx="54">
                  <c:v>43740</c:v>
                </c:pt>
                <c:pt idx="55">
                  <c:v>43739</c:v>
                </c:pt>
                <c:pt idx="56">
                  <c:v>43738</c:v>
                </c:pt>
                <c:pt idx="57">
                  <c:v>43735</c:v>
                </c:pt>
                <c:pt idx="58">
                  <c:v>43734</c:v>
                </c:pt>
                <c:pt idx="59">
                  <c:v>43733</c:v>
                </c:pt>
                <c:pt idx="60">
                  <c:v>43732</c:v>
                </c:pt>
                <c:pt idx="61">
                  <c:v>43728</c:v>
                </c:pt>
                <c:pt idx="62">
                  <c:v>43727</c:v>
                </c:pt>
              </c:numCache>
            </c:numRef>
          </c:cat>
          <c:val>
            <c:numRef>
              <c:f>Detail!$L$42:$L$703</c:f>
              <c:numCache>
                <c:formatCode>General</c:formatCode>
                <c:ptCount val="662"/>
                <c:pt idx="0">
                  <c:v>1313.0455971319739</c:v>
                </c:pt>
                <c:pt idx="1">
                  <c:v>1325.9629173201881</c:v>
                </c:pt>
                <c:pt idx="2">
                  <c:v>1324.6711853013667</c:v>
                </c:pt>
                <c:pt idx="3">
                  <c:v>1351.7975576966166</c:v>
                </c:pt>
                <c:pt idx="4">
                  <c:v>1338.8802375084024</c:v>
                </c:pt>
                <c:pt idx="5">
                  <c:v>1366.652475913063</c:v>
                </c:pt>
                <c:pt idx="6">
                  <c:v>1338.8802375084024</c:v>
                </c:pt>
                <c:pt idx="7">
                  <c:v>1369.8818059601165</c:v>
                </c:pt>
                <c:pt idx="8">
                  <c:v>1366.0066099036521</c:v>
                </c:pt>
                <c:pt idx="9">
                  <c:v>1366.0066099036521</c:v>
                </c:pt>
                <c:pt idx="10">
                  <c:v>1336.2967734707595</c:v>
                </c:pt>
                <c:pt idx="11">
                  <c:v>1349.2140936589738</c:v>
                </c:pt>
                <c:pt idx="12">
                  <c:v>1336.2967734707595</c:v>
                </c:pt>
                <c:pt idx="13">
                  <c:v>1329.8381133766525</c:v>
                </c:pt>
                <c:pt idx="14">
                  <c:v>1333.067443423706</c:v>
                </c:pt>
                <c:pt idx="15">
                  <c:v>1333.067443423706</c:v>
                </c:pt>
                <c:pt idx="16">
                  <c:v>1303.3576069908133</c:v>
                </c:pt>
                <c:pt idx="17">
                  <c:v>1267.57663006946</c:v>
                </c:pt>
                <c:pt idx="18">
                  <c:v>1267.1891104638134</c:v>
                </c:pt>
                <c:pt idx="19">
                  <c:v>1250.0090746134888</c:v>
                </c:pt>
                <c:pt idx="20">
                  <c:v>1279.3313914407349</c:v>
                </c:pt>
                <c:pt idx="21">
                  <c:v>1298.1906789155275</c:v>
                </c:pt>
                <c:pt idx="22">
                  <c:v>1294.3154828590634</c:v>
                </c:pt>
                <c:pt idx="23">
                  <c:v>1293.6696168496526</c:v>
                </c:pt>
                <c:pt idx="24">
                  <c:v>1279.3313914407349</c:v>
                </c:pt>
                <c:pt idx="25">
                  <c:v>1289.5360743894241</c:v>
                </c:pt>
                <c:pt idx="26">
                  <c:v>1288.3735155724848</c:v>
                </c:pt>
                <c:pt idx="27">
                  <c:v>1313.0455971319739</c:v>
                </c:pt>
                <c:pt idx="28">
                  <c:v>1318.8583912166703</c:v>
                </c:pt>
                <c:pt idx="29">
                  <c:v>1317.5666591978488</c:v>
                </c:pt>
                <c:pt idx="30">
                  <c:v>1320.1501232354917</c:v>
                </c:pt>
                <c:pt idx="31">
                  <c:v>1318.8583912166703</c:v>
                </c:pt>
                <c:pt idx="32">
                  <c:v>1311.1079991037418</c:v>
                </c:pt>
                <c:pt idx="33">
                  <c:v>1304.0034730002239</c:v>
                </c:pt>
                <c:pt idx="34">
                  <c:v>1266.9307640600491</c:v>
                </c:pt>
                <c:pt idx="35">
                  <c:v>1184.3890880573604</c:v>
                </c:pt>
                <c:pt idx="36">
                  <c:v>1178.1887743670177</c:v>
                </c:pt>
                <c:pt idx="37">
                  <c:v>1185.809993278064</c:v>
                </c:pt>
                <c:pt idx="38">
                  <c:v>1178.0596011651355</c:v>
                </c:pt>
                <c:pt idx="39">
                  <c:v>1171.7301142729107</c:v>
                </c:pt>
                <c:pt idx="40">
                  <c:v>1174.3135783105533</c:v>
                </c:pt>
                <c:pt idx="41">
                  <c:v>1166.4340129957427</c:v>
                </c:pt>
                <c:pt idx="42">
                  <c:v>1155.5834640376429</c:v>
                </c:pt>
                <c:pt idx="43">
                  <c:v>1147.3163791171858</c:v>
                </c:pt>
                <c:pt idx="44">
                  <c:v>1171.6009410710285</c:v>
                </c:pt>
                <c:pt idx="45">
                  <c:v>1168.7591306296213</c:v>
                </c:pt>
                <c:pt idx="46">
                  <c:v>1158.5544476809321</c:v>
                </c:pt>
                <c:pt idx="47">
                  <c:v>1134.011539323325</c:v>
                </c:pt>
                <c:pt idx="48">
                  <c:v>1112.956307416536</c:v>
                </c:pt>
                <c:pt idx="49">
                  <c:v>1122.9026439614609</c:v>
                </c:pt>
                <c:pt idx="50">
                  <c:v>1129.49047725745</c:v>
                </c:pt>
                <c:pt idx="51">
                  <c:v>1131.169728881918</c:v>
                </c:pt>
                <c:pt idx="52">
                  <c:v>1141.3744118306072</c:v>
                </c:pt>
                <c:pt idx="53">
                  <c:v>1137.2408693703785</c:v>
                </c:pt>
                <c:pt idx="54">
                  <c:v>1164.754761371275</c:v>
                </c:pt>
                <c:pt idx="55">
                  <c:v>1163.7213757562176</c:v>
                </c:pt>
                <c:pt idx="56">
                  <c:v>1131.0405556800358</c:v>
                </c:pt>
                <c:pt idx="57">
                  <c:v>1150.8040555680036</c:v>
                </c:pt>
                <c:pt idx="58">
                  <c:v>1165.0131077750391</c:v>
                </c:pt>
                <c:pt idx="59">
                  <c:v>1156.8751960564643</c:v>
                </c:pt>
                <c:pt idx="60">
                  <c:v>1144.4745686757785</c:v>
                </c:pt>
                <c:pt idx="61">
                  <c:v>1155.7126372395251</c:v>
                </c:pt>
                <c:pt idx="62">
                  <c:v>1153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E8-4810-A7AD-CCD789CBD6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957760"/>
        <c:axId val="137959296"/>
      </c:lineChart>
      <c:dateAx>
        <c:axId val="1379577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959296"/>
        <c:crosses val="autoZero"/>
        <c:auto val="1"/>
        <c:lblOffset val="100"/>
        <c:baseTimeUnit val="days"/>
      </c:dateAx>
      <c:valAx>
        <c:axId val="137959296"/>
        <c:scaling>
          <c:orientation val="minMax"/>
          <c:max val="1433"/>
          <c:min val="1112.956307416536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95776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6358186525853755"/>
          <c:y val="3.0978629203754358E-2"/>
          <c:w val="0.16694356073421124"/>
          <c:h val="0.10937726973325448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GBox" noThreeD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161925</xdr:colOff>
          <xdr:row>0</xdr:row>
          <xdr:rowOff>57150</xdr:rowOff>
        </xdr:from>
        <xdr:to>
          <xdr:col>6</xdr:col>
          <xdr:colOff>266700</xdr:colOff>
          <xdr:row>1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0</xdr:row>
          <xdr:rowOff>0</xdr:rowOff>
        </xdr:from>
        <xdr:to>
          <xdr:col>5</xdr:col>
          <xdr:colOff>9525</xdr:colOff>
          <xdr:row>0</xdr:row>
          <xdr:rowOff>247650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UPDATE 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276224</xdr:colOff>
      <xdr:row>6</xdr:row>
      <xdr:rowOff>47624</xdr:rowOff>
    </xdr:from>
    <xdr:to>
      <xdr:col>15</xdr:col>
      <xdr:colOff>302559</xdr:colOff>
      <xdr:row>39</xdr:row>
      <xdr:rowOff>19050</xdr:rowOff>
    </xdr:to>
    <xdr:graphicFrame macro="">
      <xdr:nvGraphicFramePr>
        <xdr:cNvPr id="2" name="chart_back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212911</xdr:colOff>
      <xdr:row>41</xdr:row>
      <xdr:rowOff>123264</xdr:rowOff>
    </xdr:from>
    <xdr:to>
      <xdr:col>15</xdr:col>
      <xdr:colOff>358588</xdr:colOff>
      <xdr:row>76</xdr:row>
      <xdr:rowOff>168089</xdr:rowOff>
    </xdr:to>
    <xdr:graphicFrame macro="">
      <xdr:nvGraphicFramePr>
        <xdr:cNvPr id="3" name="chart_back_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380999</xdr:colOff>
      <xdr:row>42</xdr:row>
      <xdr:rowOff>119063</xdr:rowOff>
    </xdr:from>
    <xdr:to>
      <xdr:col>30</xdr:col>
      <xdr:colOff>333376</xdr:colOff>
      <xdr:row>76</xdr:row>
      <xdr:rowOff>23813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221114</xdr:colOff>
      <xdr:row>7</xdr:row>
      <xdr:rowOff>51026</xdr:rowOff>
    </xdr:from>
    <xdr:to>
      <xdr:col>30</xdr:col>
      <xdr:colOff>363990</xdr:colOff>
      <xdr:row>21</xdr:row>
      <xdr:rowOff>17007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238124</xdr:colOff>
      <xdr:row>24</xdr:row>
      <xdr:rowOff>23813</xdr:rowOff>
    </xdr:from>
    <xdr:to>
      <xdr:col>30</xdr:col>
      <xdr:colOff>309562</xdr:colOff>
      <xdr:row>38</xdr:row>
      <xdr:rowOff>95251</xdr:rowOff>
    </xdr:to>
    <xdr:graphicFrame macro="">
      <xdr:nvGraphicFramePr>
        <xdr:cNvPr id="6" name="图表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30</xdr:row>
          <xdr:rowOff>142875</xdr:rowOff>
        </xdr:from>
        <xdr:to>
          <xdr:col>0</xdr:col>
          <xdr:colOff>790575</xdr:colOff>
          <xdr:row>32</xdr:row>
          <xdr:rowOff>95250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Return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16</xdr:row>
          <xdr:rowOff>0</xdr:rowOff>
        </xdr:from>
        <xdr:to>
          <xdr:col>0</xdr:col>
          <xdr:colOff>609600</xdr:colOff>
          <xdr:row>17</xdr:row>
          <xdr:rowOff>28575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14</xdr:row>
          <xdr:rowOff>38100</xdr:rowOff>
        </xdr:from>
        <xdr:to>
          <xdr:col>0</xdr:col>
          <xdr:colOff>628650</xdr:colOff>
          <xdr:row>15</xdr:row>
          <xdr:rowOff>57150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20</xdr:row>
          <xdr:rowOff>19050</xdr:rowOff>
        </xdr:from>
        <xdr:to>
          <xdr:col>0</xdr:col>
          <xdr:colOff>733425</xdr:colOff>
          <xdr:row>21</xdr:row>
          <xdr:rowOff>114300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1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22</xdr:row>
          <xdr:rowOff>28575</xdr:rowOff>
        </xdr:from>
        <xdr:to>
          <xdr:col>0</xdr:col>
          <xdr:colOff>742950</xdr:colOff>
          <xdr:row>23</xdr:row>
          <xdr:rowOff>114300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2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23</xdr:row>
          <xdr:rowOff>200025</xdr:rowOff>
        </xdr:from>
        <xdr:to>
          <xdr:col>0</xdr:col>
          <xdr:colOff>742950</xdr:colOff>
          <xdr:row>25</xdr:row>
          <xdr:rowOff>57150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6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28</xdr:row>
          <xdr:rowOff>9525</xdr:rowOff>
        </xdr:from>
        <xdr:to>
          <xdr:col>0</xdr:col>
          <xdr:colOff>752475</xdr:colOff>
          <xdr:row>29</xdr:row>
          <xdr:rowOff>95250</xdr:rowOff>
        </xdr:to>
        <xdr:sp macro="" textlink="">
          <xdr:nvSpPr>
            <xdr:cNvPr id="13319" name="Button 7" hidden="1">
              <a:extLst>
                <a:ext uri="{63B3BB69-23CF-44E3-9099-C40C66FF867C}">
                  <a14:compatExt spid="_x0000_s13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19</xdr:row>
          <xdr:rowOff>66675</xdr:rowOff>
        </xdr:from>
        <xdr:to>
          <xdr:col>0</xdr:col>
          <xdr:colOff>781050</xdr:colOff>
          <xdr:row>30</xdr:row>
          <xdr:rowOff>9525</xdr:rowOff>
        </xdr:to>
        <xdr:sp macro="" textlink="">
          <xdr:nvSpPr>
            <xdr:cNvPr id="13320" name="Group Box 8" hidden="1">
              <a:extLst>
                <a:ext uri="{63B3BB69-23CF-44E3-9099-C40C66FF867C}">
                  <a14:compatExt spid="_x0000_s13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icrosoft YaHei"/>
                  <a:ea typeface="Microsoft YaHei"/>
                </a:rPr>
                <a:t> Span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25</xdr:row>
          <xdr:rowOff>161925</xdr:rowOff>
        </xdr:from>
        <xdr:to>
          <xdr:col>0</xdr:col>
          <xdr:colOff>733425</xdr:colOff>
          <xdr:row>27</xdr:row>
          <xdr:rowOff>66675</xdr:rowOff>
        </xdr:to>
        <xdr:sp macro="" textlink="">
          <xdr:nvSpPr>
            <xdr:cNvPr id="13321" name="Button 9" hidden="1">
              <a:extLst>
                <a:ext uri="{63B3BB69-23CF-44E3-9099-C40C66FF867C}">
                  <a14:compatExt spid="_x0000_s13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3 Month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476250</xdr:colOff>
          <xdr:row>1</xdr:row>
          <xdr:rowOff>28575</xdr:rowOff>
        </xdr:from>
        <xdr:to>
          <xdr:col>10</xdr:col>
          <xdr:colOff>123825</xdr:colOff>
          <xdr:row>2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276224</xdr:colOff>
      <xdr:row>2</xdr:row>
      <xdr:rowOff>47624</xdr:rowOff>
    </xdr:from>
    <xdr:to>
      <xdr:col>18</xdr:col>
      <xdr:colOff>533399</xdr:colOff>
      <xdr:row>35</xdr:row>
      <xdr:rowOff>180974</xdr:rowOff>
    </xdr:to>
    <xdr:graphicFrame macro="">
      <xdr:nvGraphicFramePr>
        <xdr:cNvPr id="3" name="chart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26</xdr:row>
          <xdr:rowOff>142875</xdr:rowOff>
        </xdr:from>
        <xdr:to>
          <xdr:col>0</xdr:col>
          <xdr:colOff>790575</xdr:colOff>
          <xdr:row>28</xdr:row>
          <xdr:rowOff>95250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Return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12</xdr:row>
          <xdr:rowOff>0</xdr:rowOff>
        </xdr:from>
        <xdr:to>
          <xdr:col>0</xdr:col>
          <xdr:colOff>609600</xdr:colOff>
          <xdr:row>13</xdr:row>
          <xdr:rowOff>28575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10</xdr:row>
          <xdr:rowOff>38100</xdr:rowOff>
        </xdr:from>
        <xdr:to>
          <xdr:col>0</xdr:col>
          <xdr:colOff>628650</xdr:colOff>
          <xdr:row>11</xdr:row>
          <xdr:rowOff>57150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16</xdr:row>
          <xdr:rowOff>19050</xdr:rowOff>
        </xdr:from>
        <xdr:to>
          <xdr:col>0</xdr:col>
          <xdr:colOff>733425</xdr:colOff>
          <xdr:row>17</xdr:row>
          <xdr:rowOff>114300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1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18</xdr:row>
          <xdr:rowOff>28575</xdr:rowOff>
        </xdr:from>
        <xdr:to>
          <xdr:col>0</xdr:col>
          <xdr:colOff>742950</xdr:colOff>
          <xdr:row>19</xdr:row>
          <xdr:rowOff>114300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2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20</xdr:row>
          <xdr:rowOff>95250</xdr:rowOff>
        </xdr:from>
        <xdr:to>
          <xdr:col>0</xdr:col>
          <xdr:colOff>742950</xdr:colOff>
          <xdr:row>22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6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22</xdr:row>
          <xdr:rowOff>133350</xdr:rowOff>
        </xdr:from>
        <xdr:to>
          <xdr:col>0</xdr:col>
          <xdr:colOff>752475</xdr:colOff>
          <xdr:row>24</xdr:row>
          <xdr:rowOff>38100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15</xdr:row>
          <xdr:rowOff>66675</xdr:rowOff>
        </xdr:from>
        <xdr:to>
          <xdr:col>0</xdr:col>
          <xdr:colOff>781050</xdr:colOff>
          <xdr:row>24</xdr:row>
          <xdr:rowOff>161925</xdr:rowOff>
        </xdr:to>
        <xdr:sp macro="" textlink="">
          <xdr:nvSpPr>
            <xdr:cNvPr id="4104" name="Group Box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icrosoft YaHei"/>
                  <a:ea typeface="Microsoft YaHei"/>
                </a:rPr>
                <a:t> Span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29</xdr:row>
          <xdr:rowOff>47625</xdr:rowOff>
        </xdr:from>
        <xdr:to>
          <xdr:col>0</xdr:col>
          <xdr:colOff>800100</xdr:colOff>
          <xdr:row>31</xdr:row>
          <xdr:rowOff>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Detail 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107674</xdr:colOff>
      <xdr:row>6</xdr:row>
      <xdr:rowOff>107674</xdr:rowOff>
    </xdr:from>
    <xdr:to>
      <xdr:col>7</xdr:col>
      <xdr:colOff>637760</xdr:colOff>
      <xdr:row>29</xdr:row>
      <xdr:rowOff>107673</xdr:rowOff>
    </xdr:to>
    <xdr:graphicFrame macro="">
      <xdr:nvGraphicFramePr>
        <xdr:cNvPr id="3" name="chart_detail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16</xdr:row>
          <xdr:rowOff>95250</xdr:rowOff>
        </xdr:from>
        <xdr:to>
          <xdr:col>0</xdr:col>
          <xdr:colOff>714375</xdr:colOff>
          <xdr:row>27</xdr:row>
          <xdr:rowOff>66675</xdr:rowOff>
        </xdr:to>
        <xdr:sp macro="" textlink="">
          <xdr:nvSpPr>
            <xdr:cNvPr id="12289" name="Group Box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icrosoft YaHei"/>
                  <a:ea typeface="Microsoft YaHei"/>
                </a:rPr>
                <a:t> Span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17</xdr:row>
          <xdr:rowOff>85725</xdr:rowOff>
        </xdr:from>
        <xdr:to>
          <xdr:col>0</xdr:col>
          <xdr:colOff>685800</xdr:colOff>
          <xdr:row>19</xdr:row>
          <xdr:rowOff>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1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19</xdr:row>
          <xdr:rowOff>76200</xdr:rowOff>
        </xdr:from>
        <xdr:to>
          <xdr:col>0</xdr:col>
          <xdr:colOff>676275</xdr:colOff>
          <xdr:row>20</xdr:row>
          <xdr:rowOff>171450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2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21</xdr:row>
          <xdr:rowOff>66675</xdr:rowOff>
        </xdr:from>
        <xdr:to>
          <xdr:col>0</xdr:col>
          <xdr:colOff>666750</xdr:colOff>
          <xdr:row>22</xdr:row>
          <xdr:rowOff>161925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6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23</xdr:row>
          <xdr:rowOff>57150</xdr:rowOff>
        </xdr:from>
        <xdr:to>
          <xdr:col>0</xdr:col>
          <xdr:colOff>676275</xdr:colOff>
          <xdr:row>24</xdr:row>
          <xdr:rowOff>152400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3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25</xdr:row>
          <xdr:rowOff>57150</xdr:rowOff>
        </xdr:from>
        <xdr:to>
          <xdr:col>0</xdr:col>
          <xdr:colOff>695325</xdr:colOff>
          <xdr:row>26</xdr:row>
          <xdr:rowOff>152400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4</xdr:row>
          <xdr:rowOff>104775</xdr:rowOff>
        </xdr:from>
        <xdr:to>
          <xdr:col>0</xdr:col>
          <xdr:colOff>638175</xdr:colOff>
          <xdr:row>5</xdr:row>
          <xdr:rowOff>152400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</xdr:row>
          <xdr:rowOff>66675</xdr:rowOff>
        </xdr:from>
        <xdr:to>
          <xdr:col>0</xdr:col>
          <xdr:colOff>619125</xdr:colOff>
          <xdr:row>7</xdr:row>
          <xdr:rowOff>114300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28</xdr:row>
          <xdr:rowOff>38100</xdr:rowOff>
        </xdr:from>
        <xdr:to>
          <xdr:col>0</xdr:col>
          <xdr:colOff>657225</xdr:colOff>
          <xdr:row>29</xdr:row>
          <xdr:rowOff>180975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Return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30</xdr:row>
          <xdr:rowOff>76200</xdr:rowOff>
        </xdr:from>
        <xdr:to>
          <xdr:col>0</xdr:col>
          <xdr:colOff>666750</xdr:colOff>
          <xdr:row>32</xdr:row>
          <xdr:rowOff>38100</xdr:rowOff>
        </xdr:to>
        <xdr:sp macro="" textlink="">
          <xdr:nvSpPr>
            <xdr:cNvPr id="12298" name="Button 10" hidden="1">
              <a:extLst>
                <a:ext uri="{63B3BB69-23CF-44E3-9099-C40C66FF867C}">
                  <a14:compatExt spid="_x0000_s12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Graph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142875</xdr:rowOff>
    </xdr:from>
    <xdr:to>
      <xdr:col>12</xdr:col>
      <xdr:colOff>333375</xdr:colOff>
      <xdr:row>45</xdr:row>
      <xdr:rowOff>104775</xdr:rowOff>
    </xdr:to>
    <xdr:pic>
      <xdr:nvPicPr>
        <xdr:cNvPr id="4098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504825"/>
          <a:ext cx="8562975" cy="7743825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6.xml"/><Relationship Id="rId11" Type="http://schemas.openxmlformats.org/officeDocument/2006/relationships/ctrlProp" Target="../ctrlProps/ctrlProp11.xml"/><Relationship Id="rId5" Type="http://schemas.openxmlformats.org/officeDocument/2006/relationships/ctrlProp" Target="../ctrlProps/ctrlProp5.xml"/><Relationship Id="rId10" Type="http://schemas.openxmlformats.org/officeDocument/2006/relationships/ctrlProp" Target="../ctrlProps/ctrlProp10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.xml"/><Relationship Id="rId3" Type="http://schemas.openxmlformats.org/officeDocument/2006/relationships/ctrlProp" Target="../ctrlProps/ctrlProp13.xml"/><Relationship Id="rId7" Type="http://schemas.openxmlformats.org/officeDocument/2006/relationships/ctrlProp" Target="../ctrlProps/ctrlProp1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16.xml"/><Relationship Id="rId11" Type="http://schemas.openxmlformats.org/officeDocument/2006/relationships/ctrlProp" Target="../ctrlProps/ctrlProp21.xml"/><Relationship Id="rId5" Type="http://schemas.openxmlformats.org/officeDocument/2006/relationships/ctrlProp" Target="../ctrlProps/ctrlProp15.xml"/><Relationship Id="rId10" Type="http://schemas.openxmlformats.org/officeDocument/2006/relationships/ctrlProp" Target="../ctrlProps/ctrlProp20.xml"/><Relationship Id="rId4" Type="http://schemas.openxmlformats.org/officeDocument/2006/relationships/ctrlProp" Target="../ctrlProps/ctrlProp14.xml"/><Relationship Id="rId9" Type="http://schemas.openxmlformats.org/officeDocument/2006/relationships/ctrlProp" Target="../ctrlProps/ctrlProp19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.xml"/><Relationship Id="rId3" Type="http://schemas.openxmlformats.org/officeDocument/2006/relationships/ctrlProp" Target="../ctrlProps/ctrlProp22.xml"/><Relationship Id="rId7" Type="http://schemas.openxmlformats.org/officeDocument/2006/relationships/ctrlProp" Target="../ctrlProps/ctrlProp26.xml"/><Relationship Id="rId12" Type="http://schemas.openxmlformats.org/officeDocument/2006/relationships/ctrlProp" Target="../ctrlProps/ctrlProp3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25.xml"/><Relationship Id="rId11" Type="http://schemas.openxmlformats.org/officeDocument/2006/relationships/ctrlProp" Target="../ctrlProps/ctrlProp30.xml"/><Relationship Id="rId5" Type="http://schemas.openxmlformats.org/officeDocument/2006/relationships/ctrlProp" Target="../ctrlProps/ctrlProp24.xml"/><Relationship Id="rId10" Type="http://schemas.openxmlformats.org/officeDocument/2006/relationships/ctrlProp" Target="../ctrlProps/ctrlProp29.xml"/><Relationship Id="rId4" Type="http://schemas.openxmlformats.org/officeDocument/2006/relationships/ctrlProp" Target="../ctrlProps/ctrlProp23.xml"/><Relationship Id="rId9" Type="http://schemas.openxmlformats.org/officeDocument/2006/relationships/ctrlProp" Target="../ctrlProps/ctrlProp28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B2:D2"/>
  <sheetViews>
    <sheetView showGridLines="0" workbookViewId="0">
      <selection activeCell="D34" sqref="D34"/>
    </sheetView>
  </sheetViews>
  <sheetFormatPr defaultRowHeight="14.25" x14ac:dyDescent="0.2"/>
  <sheetData>
    <row r="2" spans="2:4" ht="22.5" x14ac:dyDescent="0.25">
      <c r="B2" s="226" t="s">
        <v>2213</v>
      </c>
      <c r="C2" s="56"/>
      <c r="D2" s="56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6" tint="0.39997558519241921"/>
  </sheetPr>
  <dimension ref="B1:W9"/>
  <sheetViews>
    <sheetView showGridLines="0" zoomScale="115" zoomScaleNormal="115" workbookViewId="0">
      <selection activeCell="B6" sqref="B6"/>
    </sheetView>
  </sheetViews>
  <sheetFormatPr defaultRowHeight="14.25" x14ac:dyDescent="0.2"/>
  <cols>
    <col min="1" max="1" width="1" customWidth="1"/>
    <col min="2" max="2" width="7.25" customWidth="1"/>
    <col min="3" max="3" width="3" customWidth="1"/>
    <col min="4" max="4" width="9.5" customWidth="1"/>
    <col min="5" max="5" width="3.125" customWidth="1"/>
    <col min="6" max="6" width="6.875" customWidth="1"/>
    <col min="7" max="7" width="21.75" customWidth="1"/>
    <col min="8" max="8" width="9.625" customWidth="1"/>
    <col min="9" max="9" width="8.125" customWidth="1"/>
    <col min="10" max="10" width="13.375" customWidth="1"/>
    <col min="11" max="11" width="4.75" customWidth="1"/>
    <col min="12" max="12" width="8.375" customWidth="1"/>
    <col min="13" max="13" width="7.5" customWidth="1"/>
    <col min="14" max="14" width="6.75" customWidth="1"/>
    <col min="15" max="15" width="8.25" customWidth="1"/>
    <col min="16" max="16" width="10.625" customWidth="1"/>
    <col min="17" max="17" width="7.375" customWidth="1"/>
    <col min="18" max="18" width="10.875" customWidth="1"/>
    <col min="19" max="19" width="8.375" customWidth="1"/>
    <col min="20" max="20" width="2" customWidth="1"/>
    <col min="21" max="21" width="10.5" customWidth="1"/>
    <col min="22" max="22" width="6.125" customWidth="1"/>
    <col min="23" max="23" width="19.375" customWidth="1"/>
  </cols>
  <sheetData>
    <row r="1" spans="2:23" ht="18.75" customHeight="1" thickBot="1" x14ac:dyDescent="0.25">
      <c r="C1" s="57" t="s">
        <v>100</v>
      </c>
      <c r="D1" s="13"/>
      <c r="H1" s="1"/>
      <c r="I1" s="13" t="s">
        <v>24</v>
      </c>
      <c r="J1" s="56"/>
      <c r="K1" s="281">
        <v>43819</v>
      </c>
      <c r="L1" s="282"/>
      <c r="M1" s="23"/>
      <c r="N1" s="13" t="s">
        <v>202</v>
      </c>
      <c r="P1" s="281">
        <f ca="1">TODAY()</f>
        <v>43822</v>
      </c>
      <c r="Q1" s="283"/>
      <c r="U1" s="57" t="s">
        <v>23</v>
      </c>
      <c r="V1" s="57"/>
    </row>
    <row r="2" spans="2:23" ht="16.5" customHeight="1" thickBot="1" x14ac:dyDescent="0.25">
      <c r="J2" s="180">
        <f>SUM(J4:J56)</f>
        <v>6033700</v>
      </c>
      <c r="R2" s="127">
        <f ca="1">SUM(R4:R56)</f>
        <v>-37906.632328767118</v>
      </c>
      <c r="S2" s="91">
        <f ca="1">SUM(S4:S56)</f>
        <v>-1.911765111732882E-2</v>
      </c>
    </row>
    <row r="3" spans="2:23" ht="24.75" thickBot="1" x14ac:dyDescent="0.25">
      <c r="C3" s="58" t="s">
        <v>83</v>
      </c>
      <c r="D3" s="68" t="s">
        <v>107</v>
      </c>
      <c r="E3" s="60"/>
      <c r="F3" s="59" t="s">
        <v>42</v>
      </c>
      <c r="G3" s="61" t="s">
        <v>43</v>
      </c>
      <c r="H3" s="62" t="s">
        <v>84</v>
      </c>
      <c r="I3" s="62" t="s">
        <v>85</v>
      </c>
      <c r="J3" s="60" t="s">
        <v>22</v>
      </c>
      <c r="K3" s="60" t="s">
        <v>86</v>
      </c>
      <c r="L3" s="62" t="s">
        <v>87</v>
      </c>
      <c r="M3" s="63" t="s">
        <v>108</v>
      </c>
      <c r="N3" s="60" t="s">
        <v>88</v>
      </c>
      <c r="O3" s="63" t="s">
        <v>102</v>
      </c>
      <c r="P3" s="60" t="s">
        <v>195</v>
      </c>
      <c r="Q3" s="60" t="s">
        <v>89</v>
      </c>
      <c r="R3" s="63" t="s">
        <v>104</v>
      </c>
      <c r="S3" s="66" t="s">
        <v>105</v>
      </c>
      <c r="T3" s="65"/>
      <c r="U3" s="67" t="s">
        <v>201</v>
      </c>
      <c r="V3" s="67" t="s">
        <v>106</v>
      </c>
      <c r="W3" s="64" t="s">
        <v>103</v>
      </c>
    </row>
    <row r="4" spans="2:23" s="106" customFormat="1" x14ac:dyDescent="0.2">
      <c r="B4" s="124" t="s">
        <v>210</v>
      </c>
      <c r="C4" s="286">
        <f>ROW()/2-1</f>
        <v>1</v>
      </c>
      <c r="D4" s="288">
        <v>43808</v>
      </c>
      <c r="E4" s="33" t="s">
        <v>198</v>
      </c>
      <c r="F4" s="33">
        <v>5991</v>
      </c>
      <c r="G4" s="55" t="s">
        <v>915</v>
      </c>
      <c r="H4" s="49">
        <v>1013</v>
      </c>
      <c r="I4" s="49">
        <v>900</v>
      </c>
      <c r="J4" s="50">
        <f t="shared" ref="J4:J9" si="0">H4*I4</f>
        <v>911700</v>
      </c>
      <c r="K4" s="52" t="s">
        <v>914</v>
      </c>
      <c r="L4" s="49">
        <v>1030</v>
      </c>
      <c r="M4" s="33">
        <v>770</v>
      </c>
      <c r="N4" s="144">
        <f ca="1">IF(OR(K4="現物",J4=0),0,IF(E4="売",J4*Fee_Refer!$B$12/365*V4, J4*Fee_Refer!$B$11/365*#REF!))</f>
        <v>384.66246575342461</v>
      </c>
      <c r="O4" s="52">
        <v>0</v>
      </c>
      <c r="P4" s="147">
        <f ca="1">IF(L4 &gt;0,(H4-L4)*I4-M4-N4-O4,0)</f>
        <v>-16454.662465753423</v>
      </c>
      <c r="Q4" s="51">
        <f t="shared" ref="Q4:Q9" ca="1" si="1">P4/J4</f>
        <v>-1.8048330005213803E-2</v>
      </c>
      <c r="R4" s="290">
        <f ca="1">P4+P5</f>
        <v>-18246.010410958901</v>
      </c>
      <c r="S4" s="291">
        <f ca="1">R4/(J4+J5)</f>
        <v>-9.7954637950066568E-3</v>
      </c>
      <c r="U4" s="293">
        <f ca="1">$P$1</f>
        <v>43822</v>
      </c>
      <c r="V4" s="284">
        <f ca="1">IF(U4&gt;D4,DATEDIF(D4,U4,"d"),0)</f>
        <v>14</v>
      </c>
      <c r="W4" s="285"/>
    </row>
    <row r="5" spans="2:23" s="106" customFormat="1" x14ac:dyDescent="0.2">
      <c r="B5" s="124" t="s">
        <v>764</v>
      </c>
      <c r="C5" s="287"/>
      <c r="D5" s="289">
        <v>43748</v>
      </c>
      <c r="E5" s="29" t="s">
        <v>200</v>
      </c>
      <c r="F5" s="29">
        <v>7267</v>
      </c>
      <c r="G5" s="54" t="s">
        <v>916</v>
      </c>
      <c r="H5" s="46">
        <v>3170</v>
      </c>
      <c r="I5" s="46">
        <v>300</v>
      </c>
      <c r="J5" s="47">
        <f t="shared" si="0"/>
        <v>951000</v>
      </c>
      <c r="K5" s="145" t="s">
        <v>914</v>
      </c>
      <c r="L5" s="41">
        <v>3170</v>
      </c>
      <c r="M5" s="31">
        <v>770</v>
      </c>
      <c r="N5" s="146">
        <f ca="1">IF(OR(K5="現物",J5=0),0,IF(E5="売",J5*Fee_Refer!$B$12/365*V5, J5*Fee_Refer!$B$11/365*V4))</f>
        <v>1021.3479452054794</v>
      </c>
      <c r="O5" s="169">
        <v>0</v>
      </c>
      <c r="P5" s="148">
        <f ca="1">IF(L5&gt;0,(L5-H5)*I5-M5-N5-O5,0)</f>
        <v>-1791.3479452054794</v>
      </c>
      <c r="Q5" s="48">
        <f t="shared" ca="1" si="1"/>
        <v>-1.8836466300793683E-3</v>
      </c>
      <c r="R5" s="290"/>
      <c r="S5" s="292"/>
      <c r="U5" s="284"/>
      <c r="V5" s="284"/>
      <c r="W5" s="284"/>
    </row>
    <row r="6" spans="2:23" s="106" customFormat="1" x14ac:dyDescent="0.2">
      <c r="B6" s="124" t="s">
        <v>210</v>
      </c>
      <c r="C6" s="286">
        <f>ROW()/2-1</f>
        <v>2</v>
      </c>
      <c r="D6" s="288">
        <v>43809</v>
      </c>
      <c r="E6" s="33" t="s">
        <v>198</v>
      </c>
      <c r="F6" s="33">
        <v>6471</v>
      </c>
      <c r="G6" s="55" t="s">
        <v>918</v>
      </c>
      <c r="H6" s="49">
        <v>1067</v>
      </c>
      <c r="I6" s="49">
        <v>1000</v>
      </c>
      <c r="J6" s="50">
        <f t="shared" si="0"/>
        <v>1067000</v>
      </c>
      <c r="K6" s="52" t="s">
        <v>920</v>
      </c>
      <c r="L6" s="49">
        <v>1063</v>
      </c>
      <c r="M6" s="33">
        <v>770</v>
      </c>
      <c r="N6" s="144">
        <f ca="1">IF(OR(K6="現物",J6=0),0,IF(E6="売",J6*Fee_Refer!$B$12/365*V6, J6*Fee_Refer!$B$11/365*#REF!))</f>
        <v>418.03013698630139</v>
      </c>
      <c r="O6" s="52">
        <v>0</v>
      </c>
      <c r="P6" s="147">
        <f ca="1">IF(L6 &gt;0,(H6-L6)*I6-M6-N6-O6,0)</f>
        <v>2811.9698630136986</v>
      </c>
      <c r="Q6" s="51">
        <f t="shared" ca="1" si="1"/>
        <v>2.6353981846426416E-3</v>
      </c>
      <c r="R6" s="290">
        <f ca="1">P6+P7</f>
        <v>-13443.049315068492</v>
      </c>
      <c r="S6" s="291">
        <f ca="1">R6/(J6+J7)</f>
        <v>-6.2380739281060289E-3</v>
      </c>
      <c r="U6" s="293">
        <f ca="1">$P$1</f>
        <v>43822</v>
      </c>
      <c r="V6" s="284">
        <f ca="1">IF(U6&gt;D6,DATEDIF(D6,U6,"d"),0)</f>
        <v>13</v>
      </c>
      <c r="W6" s="285"/>
    </row>
    <row r="7" spans="2:23" s="106" customFormat="1" x14ac:dyDescent="0.2">
      <c r="B7" s="124" t="s">
        <v>764</v>
      </c>
      <c r="C7" s="287"/>
      <c r="D7" s="289">
        <v>43748</v>
      </c>
      <c r="E7" s="29" t="s">
        <v>200</v>
      </c>
      <c r="F7" s="29">
        <v>6473</v>
      </c>
      <c r="G7" s="54" t="s">
        <v>919</v>
      </c>
      <c r="H7" s="46">
        <v>1360</v>
      </c>
      <c r="I7" s="46">
        <v>800</v>
      </c>
      <c r="J7" s="47">
        <f t="shared" si="0"/>
        <v>1088000</v>
      </c>
      <c r="K7" s="145" t="s">
        <v>920</v>
      </c>
      <c r="L7" s="41">
        <v>1342</v>
      </c>
      <c r="M7" s="31">
        <v>770</v>
      </c>
      <c r="N7" s="146">
        <f ca="1">IF(OR(K7="現物",J7=0),0,IF(E7="売",J7*Fee_Refer!$B$12/365*V7, J7*Fee_Refer!$B$11/365*V6))</f>
        <v>1085.0191780821917</v>
      </c>
      <c r="O7" s="170">
        <v>0</v>
      </c>
      <c r="P7" s="148">
        <f ca="1">IF(L7&gt;0,(L7-H7)*I7-M7-N7-O7,0)</f>
        <v>-16255.019178082192</v>
      </c>
      <c r="Q7" s="48">
        <f t="shared" ca="1" si="1"/>
        <v>-1.4940274979854956E-2</v>
      </c>
      <c r="R7" s="290"/>
      <c r="S7" s="292"/>
      <c r="U7" s="284"/>
      <c r="V7" s="284"/>
      <c r="W7" s="284"/>
    </row>
    <row r="8" spans="2:23" s="106" customFormat="1" x14ac:dyDescent="0.2">
      <c r="B8" s="124" t="s">
        <v>210</v>
      </c>
      <c r="C8" s="286">
        <f>ROW()/2-1</f>
        <v>3</v>
      </c>
      <c r="D8" s="288">
        <v>43811</v>
      </c>
      <c r="E8" s="33" t="s">
        <v>198</v>
      </c>
      <c r="F8" s="33">
        <v>1860</v>
      </c>
      <c r="G8" s="55" t="s">
        <v>922</v>
      </c>
      <c r="H8" s="49">
        <v>730</v>
      </c>
      <c r="I8" s="49">
        <v>1400</v>
      </c>
      <c r="J8" s="50">
        <f t="shared" si="0"/>
        <v>1022000</v>
      </c>
      <c r="K8" s="52" t="s">
        <v>921</v>
      </c>
      <c r="L8" s="49">
        <v>723</v>
      </c>
      <c r="M8" s="33">
        <v>770</v>
      </c>
      <c r="N8" s="144">
        <f ca="1">IF(OR(K8="現物",J8=0),0,IF(E8="売",J8*Fee_Refer!$B$12/365*V8, J8*Fee_Refer!$B$11/365*#REF!))</f>
        <v>338.8</v>
      </c>
      <c r="O8" s="52">
        <v>0</v>
      </c>
      <c r="P8" s="147">
        <f ca="1">IF(L8 &gt;0,(H8-L8)*I8-M8-N8-O8,0)</f>
        <v>8691.2000000000007</v>
      </c>
      <c r="Q8" s="51">
        <f t="shared" ca="1" si="1"/>
        <v>8.5041095890410964E-3</v>
      </c>
      <c r="R8" s="290">
        <f ca="1">P8+P9</f>
        <v>-6217.572602739725</v>
      </c>
      <c r="S8" s="291">
        <f ca="1">R8/(J8+J9)</f>
        <v>-3.0841133942161336E-3</v>
      </c>
      <c r="U8" s="293">
        <f ca="1">$P$1</f>
        <v>43822</v>
      </c>
      <c r="V8" s="284">
        <f ca="1">IF(U8&gt;D8,DATEDIF(D8,U8,"d"),0)</f>
        <v>11</v>
      </c>
      <c r="W8" s="285"/>
    </row>
    <row r="9" spans="2:23" s="106" customFormat="1" x14ac:dyDescent="0.2">
      <c r="B9" s="124" t="s">
        <v>764</v>
      </c>
      <c r="C9" s="287"/>
      <c r="D9" s="289">
        <v>43748</v>
      </c>
      <c r="E9" s="29" t="s">
        <v>200</v>
      </c>
      <c r="F9" s="29">
        <v>5110</v>
      </c>
      <c r="G9" s="54" t="s">
        <v>923</v>
      </c>
      <c r="H9" s="46">
        <v>1420</v>
      </c>
      <c r="I9" s="46">
        <v>700</v>
      </c>
      <c r="J9" s="47">
        <f t="shared" si="0"/>
        <v>994000</v>
      </c>
      <c r="K9" s="145" t="s">
        <v>921</v>
      </c>
      <c r="L9" s="41">
        <v>1401</v>
      </c>
      <c r="M9" s="31">
        <v>770</v>
      </c>
      <c r="N9" s="146">
        <f ca="1">IF(OR(K9="現物",J9=0),0,IF(E9="売",J9*Fee_Refer!$B$12/365*V9, J9*Fee_Refer!$B$11/365*V8))</f>
        <v>838.77260273972604</v>
      </c>
      <c r="O9" s="179">
        <v>0</v>
      </c>
      <c r="P9" s="148">
        <f ca="1">IF(L9&gt;0,(L9-H9)*I9-M9-N9-O9,0)</f>
        <v>-14908.772602739726</v>
      </c>
      <c r="Q9" s="48">
        <f t="shared" ca="1" si="1"/>
        <v>-1.4998765193903144E-2</v>
      </c>
      <c r="R9" s="290"/>
      <c r="S9" s="292"/>
      <c r="U9" s="284"/>
      <c r="V9" s="284"/>
      <c r="W9" s="284"/>
    </row>
  </sheetData>
  <mergeCells count="23">
    <mergeCell ref="V8:V9"/>
    <mergeCell ref="W8:W9"/>
    <mergeCell ref="C8:C9"/>
    <mergeCell ref="D8:D9"/>
    <mergeCell ref="R8:R9"/>
    <mergeCell ref="S8:S9"/>
    <mergeCell ref="U8:U9"/>
    <mergeCell ref="V6:V7"/>
    <mergeCell ref="W6:W7"/>
    <mergeCell ref="C6:C7"/>
    <mergeCell ref="D6:D7"/>
    <mergeCell ref="R6:R7"/>
    <mergeCell ref="S6:S7"/>
    <mergeCell ref="U6:U7"/>
    <mergeCell ref="K1:L1"/>
    <mergeCell ref="P1:Q1"/>
    <mergeCell ref="V4:V5"/>
    <mergeCell ref="W4:W5"/>
    <mergeCell ref="C4:C5"/>
    <mergeCell ref="D4:D5"/>
    <mergeCell ref="R4:R5"/>
    <mergeCell ref="S4:S5"/>
    <mergeCell ref="U4:U5"/>
  </mergeCells>
  <phoneticPr fontId="1" type="noConversion"/>
  <hyperlinks>
    <hyperlink ref="B4" display="Select"/>
    <hyperlink ref="B5" display="Close"/>
    <hyperlink ref="B6" display="Select"/>
    <hyperlink ref="B7" display="Close"/>
    <hyperlink ref="B8" display="Select"/>
    <hyperlink ref="B9" display="Close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2.update_price">
                <anchor moveWithCells="1" sizeWithCells="1">
                  <from>
                    <xdr:col>5</xdr:col>
                    <xdr:colOff>161925</xdr:colOff>
                    <xdr:row>0</xdr:row>
                    <xdr:rowOff>57150</xdr:rowOff>
                  </from>
                  <to>
                    <xdr:col>6</xdr:col>
                    <xdr:colOff>266700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6" tint="0.39997558519241921"/>
  </sheetPr>
  <dimension ref="B1:AC35"/>
  <sheetViews>
    <sheetView showGridLines="0" zoomScaleNormal="100" workbookViewId="0">
      <selection activeCell="B12" sqref="B12"/>
    </sheetView>
  </sheetViews>
  <sheetFormatPr defaultRowHeight="14.25" x14ac:dyDescent="0.2"/>
  <cols>
    <col min="1" max="1" width="0.5" customWidth="1"/>
    <col min="2" max="2" width="6.125" customWidth="1"/>
    <col min="3" max="3" width="3.625" customWidth="1"/>
    <col min="4" max="4" width="10" customWidth="1"/>
    <col min="5" max="5" width="3.5" customWidth="1"/>
    <col min="6" max="6" width="7.125" customWidth="1"/>
    <col min="7" max="7" width="22" customWidth="1"/>
    <col min="8" max="8" width="8" customWidth="1"/>
    <col min="9" max="9" width="8.25" customWidth="1"/>
    <col min="10" max="10" width="10" customWidth="1"/>
    <col min="11" max="11" width="6.875" customWidth="1"/>
    <col min="12" max="12" width="8.125" customWidth="1"/>
    <col min="13" max="13" width="9.125" customWidth="1"/>
    <col min="14" max="14" width="7.375" customWidth="1"/>
    <col min="15" max="15" width="7.5" customWidth="1"/>
    <col min="16" max="16" width="9.5" customWidth="1"/>
    <col min="17" max="17" width="8" customWidth="1"/>
    <col min="18" max="18" width="10.375" customWidth="1"/>
    <col min="19" max="19" width="10.625" customWidth="1"/>
    <col min="20" max="20" width="1.125" hidden="1" customWidth="1"/>
    <col min="21" max="21" width="10.125" customWidth="1"/>
    <col min="22" max="22" width="5.25" bestFit="1" customWidth="1"/>
    <col min="23" max="23" width="13.875" bestFit="1" customWidth="1"/>
    <col min="25" max="25" width="15.125" customWidth="1"/>
    <col min="26" max="26" width="5.5" customWidth="1"/>
    <col min="27" max="28" width="6.25" customWidth="1"/>
    <col min="29" max="29" width="5.5" customWidth="1"/>
  </cols>
  <sheetData>
    <row r="1" spans="2:29" ht="5.25" customHeight="1" x14ac:dyDescent="0.2"/>
    <row r="2" spans="2:29" ht="15" thickBot="1" x14ac:dyDescent="0.25">
      <c r="C2" s="57" t="s">
        <v>196</v>
      </c>
      <c r="R2" s="93">
        <f>SUM(R4:R1004)</f>
        <v>547597.39287671214</v>
      </c>
      <c r="S2" s="181"/>
      <c r="U2" s="57" t="s">
        <v>81</v>
      </c>
      <c r="X2" s="1" t="s">
        <v>1779</v>
      </c>
    </row>
    <row r="3" spans="2:29" ht="30" customHeight="1" thickBot="1" x14ac:dyDescent="0.25">
      <c r="C3" s="58" t="s">
        <v>83</v>
      </c>
      <c r="D3" s="92" t="s">
        <v>107</v>
      </c>
      <c r="E3" s="60"/>
      <c r="F3" s="61" t="s">
        <v>42</v>
      </c>
      <c r="G3" s="61" t="s">
        <v>43</v>
      </c>
      <c r="H3" s="63" t="s">
        <v>209</v>
      </c>
      <c r="I3" s="63" t="s">
        <v>206</v>
      </c>
      <c r="J3" s="60" t="s">
        <v>22</v>
      </c>
      <c r="K3" s="60" t="s">
        <v>86</v>
      </c>
      <c r="L3" s="63" t="s">
        <v>207</v>
      </c>
      <c r="M3" s="63" t="s">
        <v>108</v>
      </c>
      <c r="N3" s="60" t="s">
        <v>88</v>
      </c>
      <c r="O3" s="63" t="s">
        <v>102</v>
      </c>
      <c r="P3" s="62" t="s">
        <v>208</v>
      </c>
      <c r="Q3" s="62" t="s">
        <v>90</v>
      </c>
      <c r="R3" s="63" t="s">
        <v>104</v>
      </c>
      <c r="S3" s="66" t="s">
        <v>105</v>
      </c>
      <c r="T3" s="65"/>
      <c r="U3" s="67" t="s">
        <v>197</v>
      </c>
      <c r="V3" s="67" t="s">
        <v>1774</v>
      </c>
      <c r="W3" s="67" t="s">
        <v>103</v>
      </c>
      <c r="AA3" s="67" t="s">
        <v>203</v>
      </c>
      <c r="AB3" s="67" t="s">
        <v>204</v>
      </c>
      <c r="AC3" s="67" t="s">
        <v>205</v>
      </c>
    </row>
    <row r="4" spans="2:29" x14ac:dyDescent="0.2">
      <c r="B4" s="124" t="s">
        <v>210</v>
      </c>
      <c r="C4" s="303">
        <v>1</v>
      </c>
      <c r="D4" s="316">
        <v>43726</v>
      </c>
      <c r="E4" s="25" t="s">
        <v>198</v>
      </c>
      <c r="F4" s="25">
        <v>6472</v>
      </c>
      <c r="G4" s="53" t="s">
        <v>199</v>
      </c>
      <c r="H4" s="43">
        <v>320</v>
      </c>
      <c r="I4" s="26">
        <v>1200</v>
      </c>
      <c r="J4" s="44">
        <v>384000</v>
      </c>
      <c r="K4" s="37" t="s">
        <v>97</v>
      </c>
      <c r="L4" s="40">
        <v>313</v>
      </c>
      <c r="M4" s="27">
        <f>360+18+14</f>
        <v>392</v>
      </c>
      <c r="N4" s="28">
        <v>219</v>
      </c>
      <c r="O4" s="28">
        <v>60</v>
      </c>
      <c r="P4" s="25">
        <f>IF(L4 &gt;0,(H4-L4)*I4-M4-N4-O4,0)</f>
        <v>7729</v>
      </c>
      <c r="Q4" s="45">
        <f>P4/J4</f>
        <v>2.0127604166666667E-2</v>
      </c>
      <c r="R4" s="296">
        <f>P4+P5</f>
        <v>159</v>
      </c>
      <c r="S4" s="305">
        <f>R4/(J4+J5)</f>
        <v>2.1406645484409498E-4</v>
      </c>
      <c r="U4" s="318">
        <v>43742</v>
      </c>
      <c r="V4" s="312">
        <f>DATEDIF(D4,U4,"d")</f>
        <v>16</v>
      </c>
      <c r="W4" s="310" t="s">
        <v>898</v>
      </c>
      <c r="X4" s="171"/>
      <c r="AA4" s="296">
        <f>YEAR(U4)</f>
        <v>2019</v>
      </c>
      <c r="AB4" s="296">
        <f>MONTH(U4)</f>
        <v>10</v>
      </c>
      <c r="AC4" s="296" t="str">
        <f>IF(R4&gt;0,"○","☓")</f>
        <v>○</v>
      </c>
    </row>
    <row r="5" spans="2:29" ht="15" thickBot="1" x14ac:dyDescent="0.25">
      <c r="B5" s="106"/>
      <c r="C5" s="287"/>
      <c r="D5" s="294"/>
      <c r="E5" s="29" t="s">
        <v>200</v>
      </c>
      <c r="F5" s="29">
        <v>6752</v>
      </c>
      <c r="G5" s="54" t="s">
        <v>61</v>
      </c>
      <c r="H5" s="46">
        <v>896.9</v>
      </c>
      <c r="I5" s="30">
        <v>400</v>
      </c>
      <c r="J5" s="47">
        <v>358760</v>
      </c>
      <c r="K5" s="38" t="s">
        <v>98</v>
      </c>
      <c r="L5" s="41">
        <v>880.4</v>
      </c>
      <c r="M5" s="31">
        <f>360+14+34</f>
        <v>408</v>
      </c>
      <c r="N5" s="32">
        <v>522</v>
      </c>
      <c r="O5" s="32">
        <f>200-160</f>
        <v>40</v>
      </c>
      <c r="P5" s="29">
        <f>IF(L5 &gt;0,(L5-H5)*I5-M5-N5-O5,0)</f>
        <v>-7570</v>
      </c>
      <c r="Q5" s="48">
        <f>P5/J5</f>
        <v>-2.1100457130114839E-2</v>
      </c>
      <c r="R5" s="292"/>
      <c r="S5" s="317"/>
      <c r="U5" s="319"/>
      <c r="V5" s="313"/>
      <c r="W5" s="311"/>
      <c r="X5" s="171"/>
      <c r="AA5" s="292"/>
      <c r="AB5" s="292"/>
      <c r="AC5" s="292"/>
    </row>
    <row r="6" spans="2:29" x14ac:dyDescent="0.2">
      <c r="B6" s="124" t="s">
        <v>210</v>
      </c>
      <c r="C6" s="303">
        <v>2</v>
      </c>
      <c r="D6" s="308">
        <v>43732</v>
      </c>
      <c r="E6" s="25" t="s">
        <v>91</v>
      </c>
      <c r="F6" s="25">
        <v>6305</v>
      </c>
      <c r="G6" s="53" t="s">
        <v>32</v>
      </c>
      <c r="H6" s="43">
        <v>2638</v>
      </c>
      <c r="I6" s="26">
        <v>300</v>
      </c>
      <c r="J6" s="44">
        <v>791400</v>
      </c>
      <c r="K6" s="37" t="s">
        <v>97</v>
      </c>
      <c r="L6" s="40">
        <v>2464</v>
      </c>
      <c r="M6" s="27">
        <f>700+35+28</f>
        <v>763</v>
      </c>
      <c r="N6" s="28">
        <v>477</v>
      </c>
      <c r="O6" s="28">
        <v>30</v>
      </c>
      <c r="P6" s="25">
        <f>IF(L6 &gt;0,(H6-L6)*I6-M6-N6-O6,0)</f>
        <v>50930</v>
      </c>
      <c r="Q6" s="45">
        <f t="shared" ref="Q6:Q35" si="0">P6/J6</f>
        <v>6.4354308819812994E-2</v>
      </c>
      <c r="R6" s="296">
        <f>P6+P7</f>
        <v>37649</v>
      </c>
      <c r="S6" s="291">
        <f>R6/(J6+J7)</f>
        <v>2.3845082019127242E-2</v>
      </c>
      <c r="T6" s="3"/>
      <c r="U6" s="314">
        <v>43748</v>
      </c>
      <c r="V6" s="315">
        <f>DATEDIF(D6,U6,"d")</f>
        <v>16</v>
      </c>
      <c r="W6" s="310" t="s">
        <v>898</v>
      </c>
      <c r="X6" s="171"/>
      <c r="AA6" s="296">
        <f>YEAR(U6)</f>
        <v>2019</v>
      </c>
      <c r="AB6" s="296">
        <f>MONTH(U6)</f>
        <v>10</v>
      </c>
      <c r="AC6" s="296" t="str">
        <f>IF(R6&gt;0,"○","☓")</f>
        <v>○</v>
      </c>
    </row>
    <row r="7" spans="2:29" x14ac:dyDescent="0.2">
      <c r="B7" s="106"/>
      <c r="C7" s="287"/>
      <c r="D7" s="295"/>
      <c r="E7" s="29" t="s">
        <v>92</v>
      </c>
      <c r="F7" s="29">
        <v>3861</v>
      </c>
      <c r="G7" s="54" t="s">
        <v>38</v>
      </c>
      <c r="H7" s="46">
        <v>525</v>
      </c>
      <c r="I7" s="30">
        <v>1500</v>
      </c>
      <c r="J7" s="47">
        <v>787500</v>
      </c>
      <c r="K7" s="38" t="s">
        <v>98</v>
      </c>
      <c r="L7" s="41">
        <v>518</v>
      </c>
      <c r="M7" s="31">
        <f>700+28+95</f>
        <v>823</v>
      </c>
      <c r="N7" s="32">
        <v>1208</v>
      </c>
      <c r="O7" s="32">
        <v>750</v>
      </c>
      <c r="P7" s="29">
        <f>IF(L7 &gt;0,(L7-H7)*I7-M7-N7-O7,0)</f>
        <v>-13281</v>
      </c>
      <c r="Q7" s="48">
        <f t="shared" si="0"/>
        <v>-1.6864761904761903E-2</v>
      </c>
      <c r="R7" s="292"/>
      <c r="S7" s="292"/>
      <c r="T7" s="3"/>
      <c r="U7" s="314"/>
      <c r="V7" s="315"/>
      <c r="W7" s="311"/>
      <c r="X7" s="171"/>
      <c r="AA7" s="292"/>
      <c r="AB7" s="292"/>
      <c r="AC7" s="292"/>
    </row>
    <row r="8" spans="2:29" x14ac:dyDescent="0.2">
      <c r="B8" s="124" t="s">
        <v>210</v>
      </c>
      <c r="C8" s="286">
        <f>ROW()/2-1</f>
        <v>3</v>
      </c>
      <c r="D8" s="308">
        <v>43747</v>
      </c>
      <c r="E8" s="33" t="s">
        <v>99</v>
      </c>
      <c r="F8" s="33">
        <v>3099</v>
      </c>
      <c r="G8" s="55" t="s">
        <v>37</v>
      </c>
      <c r="H8" s="49">
        <v>872</v>
      </c>
      <c r="I8" s="33">
        <v>1200</v>
      </c>
      <c r="J8" s="33">
        <f t="shared" ref="J8:J13" si="1">H8*I8</f>
        <v>1046400</v>
      </c>
      <c r="K8" s="52" t="s">
        <v>96</v>
      </c>
      <c r="L8" s="49">
        <v>876</v>
      </c>
      <c r="M8" s="33">
        <f>700+35+35</f>
        <v>770</v>
      </c>
      <c r="N8" s="33">
        <v>220</v>
      </c>
      <c r="O8" s="52">
        <v>0</v>
      </c>
      <c r="P8" s="25">
        <f>IF(L8 &gt;0,(H8-L8)*I8-M8-N8-O8,0)</f>
        <v>-5790</v>
      </c>
      <c r="Q8" s="45">
        <f t="shared" si="0"/>
        <v>-5.5332568807339453E-3</v>
      </c>
      <c r="R8" s="290">
        <f>P8+P9</f>
        <v>63304</v>
      </c>
      <c r="S8" s="305">
        <f>R8/(J8+J9)</f>
        <v>3.0952474085663994E-2</v>
      </c>
      <c r="U8" s="307">
        <v>43753</v>
      </c>
      <c r="V8" s="287">
        <f>DATEDIF(D8,U8,"d")</f>
        <v>6</v>
      </c>
      <c r="W8" s="301" t="s">
        <v>900</v>
      </c>
      <c r="X8" s="171"/>
      <c r="AA8" s="296">
        <f>YEAR(U8)</f>
        <v>2019</v>
      </c>
      <c r="AB8" s="296">
        <f>MONTH(U8)</f>
        <v>10</v>
      </c>
      <c r="AC8" s="296" t="str">
        <f>IF(R8&gt;0,"○","☓")</f>
        <v>○</v>
      </c>
    </row>
    <row r="9" spans="2:29" x14ac:dyDescent="0.2">
      <c r="B9" s="106"/>
      <c r="C9" s="287"/>
      <c r="D9" s="295">
        <v>43747</v>
      </c>
      <c r="E9" s="29" t="s">
        <v>92</v>
      </c>
      <c r="F9" s="29">
        <v>7211</v>
      </c>
      <c r="G9" s="54" t="s">
        <v>29</v>
      </c>
      <c r="H9" s="46">
        <v>454</v>
      </c>
      <c r="I9" s="46">
        <v>2200</v>
      </c>
      <c r="J9" s="47">
        <f t="shared" si="1"/>
        <v>998800</v>
      </c>
      <c r="K9" s="38" t="s">
        <v>96</v>
      </c>
      <c r="L9" s="41">
        <v>486</v>
      </c>
      <c r="M9" s="31">
        <f>700+35+35</f>
        <v>770</v>
      </c>
      <c r="N9" s="32">
        <v>536</v>
      </c>
      <c r="O9" s="32">
        <v>0</v>
      </c>
      <c r="P9" s="29">
        <f>IF(L9 &gt;0,(L9-H9)*I9-M9-N9-O9,0)</f>
        <v>69094</v>
      </c>
      <c r="Q9" s="48">
        <f t="shared" si="0"/>
        <v>6.9177012414897876E-2</v>
      </c>
      <c r="R9" s="290"/>
      <c r="S9" s="292"/>
      <c r="U9" s="293"/>
      <c r="V9" s="284"/>
      <c r="W9" s="284"/>
      <c r="X9" s="171"/>
      <c r="AA9" s="292"/>
      <c r="AB9" s="292"/>
      <c r="AC9" s="292"/>
    </row>
    <row r="10" spans="2:29" x14ac:dyDescent="0.2">
      <c r="B10" s="124" t="s">
        <v>210</v>
      </c>
      <c r="C10" s="286">
        <f>ROW()/2-1</f>
        <v>4</v>
      </c>
      <c r="D10" s="308">
        <v>43753</v>
      </c>
      <c r="E10" s="128" t="s">
        <v>91</v>
      </c>
      <c r="F10" s="33">
        <v>7453</v>
      </c>
      <c r="G10" s="55" t="s">
        <v>60</v>
      </c>
      <c r="H10" s="49">
        <v>2127</v>
      </c>
      <c r="I10" s="33">
        <v>500</v>
      </c>
      <c r="J10" s="33">
        <f t="shared" si="1"/>
        <v>1063500</v>
      </c>
      <c r="K10" s="52" t="s">
        <v>96</v>
      </c>
      <c r="L10" s="49">
        <v>2298</v>
      </c>
      <c r="M10" s="33">
        <f>700+35+35</f>
        <v>770</v>
      </c>
      <c r="N10" s="33">
        <v>256</v>
      </c>
      <c r="O10" s="52">
        <v>0</v>
      </c>
      <c r="P10" s="25">
        <f>IF(L10 &gt;0,(H10-L10)*I10-M10-N10-O10,0)</f>
        <v>-86526</v>
      </c>
      <c r="Q10" s="45">
        <f t="shared" si="0"/>
        <v>-8.1359661495063476E-2</v>
      </c>
      <c r="R10" s="290">
        <f>P10+P11</f>
        <v>-93238.000000000029</v>
      </c>
      <c r="S10" s="291">
        <f>R10/(J10+J11)</f>
        <v>-4.3839777316989466E-2</v>
      </c>
      <c r="U10" s="306">
        <v>43759</v>
      </c>
      <c r="V10" s="284">
        <f>DATEDIF(D10,U10,"d")</f>
        <v>6</v>
      </c>
      <c r="W10" s="309" t="s">
        <v>215</v>
      </c>
      <c r="X10" s="171" t="s">
        <v>231</v>
      </c>
      <c r="AA10" s="296">
        <f>YEAR(U10)</f>
        <v>2019</v>
      </c>
      <c r="AB10" s="296">
        <f>MONTH(U10)</f>
        <v>10</v>
      </c>
      <c r="AC10" s="299" t="str">
        <f>IF(R10&gt;0,"○","☓")</f>
        <v>☓</v>
      </c>
    </row>
    <row r="11" spans="2:29" x14ac:dyDescent="0.2">
      <c r="B11" s="106"/>
      <c r="C11" s="287"/>
      <c r="D11" s="295">
        <v>43748</v>
      </c>
      <c r="E11" s="129" t="s">
        <v>92</v>
      </c>
      <c r="F11" s="29">
        <v>8308</v>
      </c>
      <c r="G11" s="54" t="s">
        <v>58</v>
      </c>
      <c r="H11" s="46">
        <v>462.3</v>
      </c>
      <c r="I11" s="46">
        <v>2300</v>
      </c>
      <c r="J11" s="47">
        <f t="shared" si="1"/>
        <v>1063290</v>
      </c>
      <c r="K11" s="38" t="s">
        <v>96</v>
      </c>
      <c r="L11" s="41">
        <v>460</v>
      </c>
      <c r="M11" s="31">
        <f>700+35+35</f>
        <v>770</v>
      </c>
      <c r="N11" s="105">
        <v>652</v>
      </c>
      <c r="O11" s="105">
        <v>0</v>
      </c>
      <c r="P11" s="29">
        <f>IF(L11 &gt;0,(L11-H11)*I11-M11-N11-O11,0)</f>
        <v>-6712.0000000000264</v>
      </c>
      <c r="Q11" s="48">
        <f t="shared" si="0"/>
        <v>-6.3124829538508086E-3</v>
      </c>
      <c r="R11" s="290"/>
      <c r="S11" s="292"/>
      <c r="U11" s="307"/>
      <c r="V11" s="284"/>
      <c r="W11" s="309"/>
      <c r="X11" s="171" t="s">
        <v>232</v>
      </c>
      <c r="AA11" s="292"/>
      <c r="AB11" s="292"/>
      <c r="AC11" s="300"/>
    </row>
    <row r="12" spans="2:29" x14ac:dyDescent="0.2">
      <c r="B12" s="124" t="s">
        <v>210</v>
      </c>
      <c r="C12" s="303">
        <f>ROW()/2-1</f>
        <v>5</v>
      </c>
      <c r="D12" s="294">
        <v>43742</v>
      </c>
      <c r="E12" s="25" t="s">
        <v>91</v>
      </c>
      <c r="F12" s="25">
        <v>8750</v>
      </c>
      <c r="G12" s="53" t="s">
        <v>31</v>
      </c>
      <c r="H12" s="43">
        <v>1635</v>
      </c>
      <c r="I12" s="26">
        <v>600</v>
      </c>
      <c r="J12" s="44">
        <f t="shared" si="1"/>
        <v>981000</v>
      </c>
      <c r="K12" s="37" t="s">
        <v>97</v>
      </c>
      <c r="L12" s="40">
        <v>1741.5</v>
      </c>
      <c r="M12" s="27">
        <f>700+35+35</f>
        <v>770</v>
      </c>
      <c r="N12" s="28">
        <v>502</v>
      </c>
      <c r="O12" s="28">
        <v>0</v>
      </c>
      <c r="P12" s="25">
        <f>IF(L12 &gt;0,(H12-L12)*I12-M12-N12-O12,0)</f>
        <v>-65172</v>
      </c>
      <c r="Q12" s="45">
        <f t="shared" si="0"/>
        <v>-6.6434250764525998E-2</v>
      </c>
      <c r="R12" s="304">
        <f>P12+P13</f>
        <v>-11052.999999999898</v>
      </c>
      <c r="S12" s="305">
        <f>R12/(J12+J13)</f>
        <v>-5.6554672757562954E-3</v>
      </c>
      <c r="U12" s="306">
        <v>43759</v>
      </c>
      <c r="V12" s="284">
        <f>DATEDIF(D12,U12,"d")</f>
        <v>17</v>
      </c>
      <c r="W12" s="302" t="s">
        <v>898</v>
      </c>
      <c r="X12" s="171"/>
      <c r="AA12" s="296">
        <f>YEAR(U12)</f>
        <v>2019</v>
      </c>
      <c r="AB12" s="296">
        <f>MONTH(U12)</f>
        <v>10</v>
      </c>
      <c r="AC12" s="299" t="str">
        <f>IF(R12&gt;0,"○","☓")</f>
        <v>☓</v>
      </c>
    </row>
    <row r="13" spans="2:29" x14ac:dyDescent="0.2">
      <c r="B13" s="106"/>
      <c r="C13" s="287"/>
      <c r="D13" s="295"/>
      <c r="E13" s="29" t="s">
        <v>92</v>
      </c>
      <c r="F13" s="29">
        <v>8002</v>
      </c>
      <c r="G13" s="54" t="s">
        <v>30</v>
      </c>
      <c r="H13" s="46">
        <v>695.28</v>
      </c>
      <c r="I13" s="30">
        <v>1400</v>
      </c>
      <c r="J13" s="47">
        <f t="shared" si="1"/>
        <v>973392</v>
      </c>
      <c r="K13" s="173" t="s">
        <v>905</v>
      </c>
      <c r="L13" s="41">
        <v>734.7</v>
      </c>
      <c r="M13" s="31">
        <f>487+582</f>
        <v>1069</v>
      </c>
      <c r="N13" s="32">
        <v>0</v>
      </c>
      <c r="O13" s="32">
        <v>0</v>
      </c>
      <c r="P13" s="29">
        <f>IF(L13 &gt;0,(L13-H13)*I13-M13-N13-O13,0)</f>
        <v>54119.000000000102</v>
      </c>
      <c r="Q13" s="48">
        <f t="shared" si="0"/>
        <v>5.5598361194667822E-2</v>
      </c>
      <c r="R13" s="290"/>
      <c r="S13" s="292"/>
      <c r="U13" s="307"/>
      <c r="V13" s="284"/>
      <c r="W13" s="302"/>
      <c r="AA13" s="292"/>
      <c r="AB13" s="292"/>
      <c r="AC13" s="300"/>
    </row>
    <row r="14" spans="2:29" s="106" customFormat="1" x14ac:dyDescent="0.2">
      <c r="B14" s="124" t="s">
        <v>210</v>
      </c>
      <c r="C14" s="286">
        <f>ROW()/2-1</f>
        <v>6</v>
      </c>
      <c r="D14" s="294">
        <v>43745</v>
      </c>
      <c r="E14" s="33" t="s">
        <v>91</v>
      </c>
      <c r="F14" s="33">
        <v>6770</v>
      </c>
      <c r="G14" s="55" t="s">
        <v>25</v>
      </c>
      <c r="H14" s="49">
        <v>2105</v>
      </c>
      <c r="I14" s="34">
        <v>400</v>
      </c>
      <c r="J14" s="50">
        <f t="shared" ref="J14:J19" si="2">H14*I14</f>
        <v>842000</v>
      </c>
      <c r="K14" s="39" t="s">
        <v>97</v>
      </c>
      <c r="L14" s="42">
        <v>2145</v>
      </c>
      <c r="M14" s="35">
        <f>700+35+35</f>
        <v>770</v>
      </c>
      <c r="N14" s="36">
        <v>431</v>
      </c>
      <c r="O14" s="36">
        <v>80</v>
      </c>
      <c r="P14" s="25">
        <f>IF(L14 &gt;0,(H14-L14)*I14-M14-N14-O14,0)</f>
        <v>-17281</v>
      </c>
      <c r="Q14" s="45">
        <f t="shared" si="0"/>
        <v>-2.052375296912114E-2</v>
      </c>
      <c r="R14" s="290">
        <f>P14+P15</f>
        <v>-1197.0000000000437</v>
      </c>
      <c r="S14" s="291">
        <f>R14/(J14+J15)</f>
        <v>-7.1541831052504275E-4</v>
      </c>
      <c r="U14" s="293">
        <v>43761</v>
      </c>
      <c r="V14" s="284">
        <f>DATEDIF(D14,U14,"d")</f>
        <v>16</v>
      </c>
      <c r="W14" s="302" t="s">
        <v>898</v>
      </c>
      <c r="X14" s="171"/>
      <c r="AA14" s="296">
        <f>YEAR(U14)</f>
        <v>2019</v>
      </c>
      <c r="AB14" s="296">
        <f>MONTH(U14)</f>
        <v>10</v>
      </c>
      <c r="AC14" s="299" t="str">
        <f>IF(R14&gt;0,"○","☓")</f>
        <v>☓</v>
      </c>
    </row>
    <row r="15" spans="2:29" s="106" customFormat="1" x14ac:dyDescent="0.2">
      <c r="C15" s="287"/>
      <c r="D15" s="295">
        <v>43745</v>
      </c>
      <c r="E15" s="29" t="s">
        <v>92</v>
      </c>
      <c r="F15" s="29">
        <v>8601</v>
      </c>
      <c r="G15" s="54" t="s">
        <v>26</v>
      </c>
      <c r="H15" s="46">
        <v>488.91</v>
      </c>
      <c r="I15" s="30">
        <v>1700</v>
      </c>
      <c r="J15" s="47">
        <f t="shared" si="2"/>
        <v>831147</v>
      </c>
      <c r="K15" s="173" t="s">
        <v>82</v>
      </c>
      <c r="L15" s="41">
        <v>499</v>
      </c>
      <c r="M15" s="31">
        <f>487+582</f>
        <v>1069</v>
      </c>
      <c r="N15" s="169">
        <v>0</v>
      </c>
      <c r="O15" s="169">
        <v>0</v>
      </c>
      <c r="P15" s="29">
        <f>IF(L15 &gt;0,(L15-H15)*I15-M15-N15-O15,0)</f>
        <v>16083.999999999956</v>
      </c>
      <c r="Q15" s="48">
        <f t="shared" si="0"/>
        <v>1.9351570781101245E-2</v>
      </c>
      <c r="R15" s="290"/>
      <c r="S15" s="292"/>
      <c r="U15" s="284"/>
      <c r="V15" s="284"/>
      <c r="W15" s="302"/>
      <c r="AA15" s="292"/>
      <c r="AB15" s="292"/>
      <c r="AC15" s="300"/>
    </row>
    <row r="16" spans="2:29" s="106" customFormat="1" x14ac:dyDescent="0.2">
      <c r="B16" s="124" t="s">
        <v>210</v>
      </c>
      <c r="C16" s="286">
        <f>ROW()/2-1</f>
        <v>7</v>
      </c>
      <c r="D16" s="294">
        <v>43745</v>
      </c>
      <c r="E16" s="33" t="s">
        <v>91</v>
      </c>
      <c r="F16" s="33">
        <v>5803</v>
      </c>
      <c r="G16" s="55" t="s">
        <v>27</v>
      </c>
      <c r="H16" s="49">
        <v>413</v>
      </c>
      <c r="I16" s="34">
        <v>1700</v>
      </c>
      <c r="J16" s="50">
        <f t="shared" si="2"/>
        <v>702100</v>
      </c>
      <c r="K16" s="39" t="s">
        <v>97</v>
      </c>
      <c r="L16" s="42">
        <v>459</v>
      </c>
      <c r="M16" s="35">
        <f>700+35+35</f>
        <v>770</v>
      </c>
      <c r="N16" s="36">
        <v>359</v>
      </c>
      <c r="O16" s="36">
        <v>85</v>
      </c>
      <c r="P16" s="25">
        <f>IF(L16 &gt;0,(H16-L16)*I16-M16-N16-O16,0)</f>
        <v>-79414</v>
      </c>
      <c r="Q16" s="45">
        <f t="shared" si="0"/>
        <v>-0.11310924369747899</v>
      </c>
      <c r="R16" s="290">
        <f>P16+P17</f>
        <v>-16483</v>
      </c>
      <c r="S16" s="291">
        <f>R16/(J16+J17)</f>
        <v>-1.1926054554663194E-2</v>
      </c>
      <c r="U16" s="293">
        <v>43761</v>
      </c>
      <c r="V16" s="284">
        <f>DATEDIF(D16,U16,"d")</f>
        <v>16</v>
      </c>
      <c r="W16" s="302" t="s">
        <v>898</v>
      </c>
      <c r="X16" s="171"/>
      <c r="AA16" s="296">
        <f>YEAR(U16)</f>
        <v>2019</v>
      </c>
      <c r="AB16" s="296">
        <f>MONTH(U16)</f>
        <v>10</v>
      </c>
      <c r="AC16" s="299" t="str">
        <f>IF(R16&gt;0,"○","☓")</f>
        <v>☓</v>
      </c>
    </row>
    <row r="17" spans="2:29" s="106" customFormat="1" x14ac:dyDescent="0.2">
      <c r="C17" s="287"/>
      <c r="D17" s="295">
        <v>43745</v>
      </c>
      <c r="E17" s="29" t="s">
        <v>92</v>
      </c>
      <c r="F17" s="29">
        <v>7259</v>
      </c>
      <c r="G17" s="54" t="s">
        <v>28</v>
      </c>
      <c r="H17" s="46">
        <v>3400</v>
      </c>
      <c r="I17" s="46">
        <v>200</v>
      </c>
      <c r="J17" s="47">
        <f t="shared" si="2"/>
        <v>680000</v>
      </c>
      <c r="K17" s="173" t="s">
        <v>82</v>
      </c>
      <c r="L17" s="41">
        <v>3720</v>
      </c>
      <c r="M17" s="31">
        <f>487+582</f>
        <v>1069</v>
      </c>
      <c r="N17" s="169">
        <v>0</v>
      </c>
      <c r="O17" s="169">
        <v>0</v>
      </c>
      <c r="P17" s="29">
        <f>IF(L17 &gt;0,(L17-H17)*I17-M17-N17-O17,0)</f>
        <v>62931</v>
      </c>
      <c r="Q17" s="48">
        <f t="shared" si="0"/>
        <v>9.2545588235294116E-2</v>
      </c>
      <c r="R17" s="290"/>
      <c r="S17" s="292"/>
      <c r="U17" s="284"/>
      <c r="V17" s="284"/>
      <c r="W17" s="302"/>
      <c r="AA17" s="292"/>
      <c r="AB17" s="292"/>
      <c r="AC17" s="300"/>
    </row>
    <row r="18" spans="2:29" s="106" customFormat="1" x14ac:dyDescent="0.2">
      <c r="B18" s="124" t="s">
        <v>210</v>
      </c>
      <c r="C18" s="286">
        <f>ROW()/2-1</f>
        <v>8</v>
      </c>
      <c r="D18" s="294">
        <v>43748</v>
      </c>
      <c r="E18" s="33" t="s">
        <v>91</v>
      </c>
      <c r="F18" s="33">
        <v>7186</v>
      </c>
      <c r="G18" s="55" t="s">
        <v>93</v>
      </c>
      <c r="H18" s="49">
        <v>410</v>
      </c>
      <c r="I18" s="33">
        <v>1800</v>
      </c>
      <c r="J18" s="33">
        <f t="shared" si="2"/>
        <v>738000</v>
      </c>
      <c r="K18" s="52" t="s">
        <v>96</v>
      </c>
      <c r="L18" s="49">
        <v>444</v>
      </c>
      <c r="M18" s="33">
        <f>700+35+35</f>
        <v>770</v>
      </c>
      <c r="N18" s="33">
        <v>355</v>
      </c>
      <c r="O18" s="52">
        <v>1350</v>
      </c>
      <c r="P18" s="25">
        <f>IF(L18 &gt;0,(H18-L18)*I18-M18-N18-O18,0)</f>
        <v>-63675</v>
      </c>
      <c r="Q18" s="45">
        <f t="shared" si="0"/>
        <v>-8.6280487804878042E-2</v>
      </c>
      <c r="R18" s="290">
        <f>P18+P19</f>
        <v>-4757</v>
      </c>
      <c r="S18" s="291">
        <f>R18/(J18+J19)</f>
        <v>-3.2102847887704143E-3</v>
      </c>
      <c r="U18" s="293">
        <v>43767</v>
      </c>
      <c r="V18" s="284">
        <f>DATEDIF(D18,U18,"d")</f>
        <v>19</v>
      </c>
      <c r="W18" s="302" t="s">
        <v>898</v>
      </c>
      <c r="X18" s="227"/>
      <c r="AA18" s="296">
        <f>YEAR(U18)</f>
        <v>2019</v>
      </c>
      <c r="AB18" s="296">
        <f>MONTH(U18)</f>
        <v>10</v>
      </c>
      <c r="AC18" s="299" t="str">
        <f>IF(R18&gt;0,"○","☓")</f>
        <v>☓</v>
      </c>
    </row>
    <row r="19" spans="2:29" s="106" customFormat="1" x14ac:dyDescent="0.2">
      <c r="C19" s="287"/>
      <c r="D19" s="295">
        <v>43748</v>
      </c>
      <c r="E19" s="29" t="s">
        <v>92</v>
      </c>
      <c r="F19" s="29">
        <v>8309</v>
      </c>
      <c r="G19" s="54" t="s">
        <v>94</v>
      </c>
      <c r="H19" s="46">
        <v>3719</v>
      </c>
      <c r="I19" s="46">
        <v>200</v>
      </c>
      <c r="J19" s="47">
        <f t="shared" si="2"/>
        <v>743800</v>
      </c>
      <c r="K19" s="38" t="s">
        <v>96</v>
      </c>
      <c r="L19" s="41">
        <v>4022</v>
      </c>
      <c r="M19" s="31">
        <f>700+35+35</f>
        <v>770</v>
      </c>
      <c r="N19" s="130">
        <v>912</v>
      </c>
      <c r="O19" s="130">
        <v>0</v>
      </c>
      <c r="P19" s="29">
        <f>IF(L19 &gt;0,(L19-H19)*I19-M19-N19-O19,0)</f>
        <v>58918</v>
      </c>
      <c r="Q19" s="48">
        <f t="shared" si="0"/>
        <v>7.9212153804786231E-2</v>
      </c>
      <c r="R19" s="290"/>
      <c r="S19" s="292"/>
      <c r="U19" s="284"/>
      <c r="V19" s="284"/>
      <c r="W19" s="302"/>
      <c r="X19" s="227"/>
      <c r="AA19" s="292"/>
      <c r="AB19" s="292"/>
      <c r="AC19" s="300"/>
    </row>
    <row r="20" spans="2:29" x14ac:dyDescent="0.2">
      <c r="B20" s="124" t="s">
        <v>210</v>
      </c>
      <c r="C20" s="286">
        <f>ROW()/2-1</f>
        <v>9</v>
      </c>
      <c r="D20" s="294">
        <v>43782</v>
      </c>
      <c r="E20" s="33" t="s">
        <v>91</v>
      </c>
      <c r="F20" s="33">
        <v>1820</v>
      </c>
      <c r="G20" s="55" t="s">
        <v>70</v>
      </c>
      <c r="H20" s="49">
        <v>2431</v>
      </c>
      <c r="I20" s="33">
        <v>400</v>
      </c>
      <c r="J20" s="50">
        <f t="shared" ref="J20:J27" si="3">H20*I20</f>
        <v>972400</v>
      </c>
      <c r="K20" s="52" t="s">
        <v>96</v>
      </c>
      <c r="L20" s="49">
        <v>2375</v>
      </c>
      <c r="M20" s="33">
        <f>700+35+35</f>
        <v>770</v>
      </c>
      <c r="N20" s="33">
        <v>234</v>
      </c>
      <c r="O20" s="52">
        <v>0</v>
      </c>
      <c r="P20" s="25">
        <f>IF(L20 &gt;0,(H20-L20)*I20-M20-N20-O20,0)</f>
        <v>21396</v>
      </c>
      <c r="Q20" s="45">
        <f t="shared" si="0"/>
        <v>2.2003290826820239E-2</v>
      </c>
      <c r="R20" s="290">
        <f>P20+P21</f>
        <v>485995</v>
      </c>
      <c r="S20" s="291">
        <f>R20/(J20+J21)</f>
        <v>0.25451000559299347</v>
      </c>
      <c r="U20" s="293">
        <v>43789</v>
      </c>
      <c r="V20" s="284">
        <f>DATEDIF(D20,U20,"d")</f>
        <v>7</v>
      </c>
      <c r="W20" s="301" t="s">
        <v>233</v>
      </c>
      <c r="X20" s="227" t="s">
        <v>2214</v>
      </c>
      <c r="AA20" s="296">
        <f>YEAR(U20)</f>
        <v>2019</v>
      </c>
      <c r="AB20" s="296">
        <f>MONTH(U20)</f>
        <v>11</v>
      </c>
      <c r="AC20" s="296" t="str">
        <f>IF(R20&gt;0,"○","☓")</f>
        <v>○</v>
      </c>
    </row>
    <row r="21" spans="2:29" x14ac:dyDescent="0.2">
      <c r="B21" s="106"/>
      <c r="C21" s="287"/>
      <c r="D21" s="295">
        <v>43748</v>
      </c>
      <c r="E21" s="29" t="s">
        <v>92</v>
      </c>
      <c r="F21" s="29">
        <v>4508</v>
      </c>
      <c r="G21" s="54" t="s">
        <v>242</v>
      </c>
      <c r="H21" s="46">
        <v>1338.76</v>
      </c>
      <c r="I21" s="46">
        <v>700</v>
      </c>
      <c r="J21" s="47">
        <f t="shared" si="3"/>
        <v>937132</v>
      </c>
      <c r="K21" s="173" t="s">
        <v>82</v>
      </c>
      <c r="L21" s="41">
        <v>2004</v>
      </c>
      <c r="M21" s="31">
        <f>487+582</f>
        <v>1069</v>
      </c>
      <c r="N21" s="169">
        <v>0</v>
      </c>
      <c r="O21" s="169">
        <v>0</v>
      </c>
      <c r="P21" s="29">
        <f>IF(L21 &gt;0,(L21-H21)*I21-M21-N21-O21,0)</f>
        <v>464599</v>
      </c>
      <c r="Q21" s="48">
        <f t="shared" si="0"/>
        <v>0.49576687168936712</v>
      </c>
      <c r="R21" s="290"/>
      <c r="S21" s="292"/>
      <c r="U21" s="284"/>
      <c r="V21" s="284"/>
      <c r="W21" s="284"/>
      <c r="X21" s="106" t="s">
        <v>752</v>
      </c>
      <c r="AA21" s="292"/>
      <c r="AB21" s="292"/>
      <c r="AC21" s="292"/>
    </row>
    <row r="22" spans="2:29" s="106" customFormat="1" x14ac:dyDescent="0.2">
      <c r="B22" s="124" t="s">
        <v>210</v>
      </c>
      <c r="C22" s="286">
        <f>ROW()/2-1</f>
        <v>10</v>
      </c>
      <c r="D22" s="294">
        <v>43782</v>
      </c>
      <c r="E22" s="33" t="s">
        <v>91</v>
      </c>
      <c r="F22" s="33">
        <v>8002</v>
      </c>
      <c r="G22" s="55" t="s">
        <v>30</v>
      </c>
      <c r="H22" s="49">
        <v>814</v>
      </c>
      <c r="I22" s="33">
        <v>1300</v>
      </c>
      <c r="J22" s="50">
        <f t="shared" si="3"/>
        <v>1058200</v>
      </c>
      <c r="K22" s="52" t="s">
        <v>96</v>
      </c>
      <c r="L22" s="49">
        <v>794.1</v>
      </c>
      <c r="M22" s="33">
        <f>700+35+35</f>
        <v>770</v>
      </c>
      <c r="N22" s="33">
        <v>350</v>
      </c>
      <c r="O22" s="52">
        <v>0</v>
      </c>
      <c r="P22" s="25">
        <f>IF(L22 &gt;0,(H22-L22)*I22-M22-N22-O22,0)</f>
        <v>24749.999999999971</v>
      </c>
      <c r="Q22" s="45">
        <f t="shared" si="0"/>
        <v>2.3388773388773362E-2</v>
      </c>
      <c r="R22" s="290">
        <f>P22+P23</f>
        <v>60240.999999999913</v>
      </c>
      <c r="S22" s="291">
        <f>R22/(J22+J23)</f>
        <v>2.8847737807914758E-2</v>
      </c>
      <c r="U22" s="293">
        <v>43790</v>
      </c>
      <c r="V22" s="284">
        <f>DATEDIF(D22,U22,"d")</f>
        <v>8</v>
      </c>
      <c r="W22" s="301" t="s">
        <v>233</v>
      </c>
      <c r="X22" s="171"/>
      <c r="AA22" s="296">
        <f>YEAR(U22)</f>
        <v>2019</v>
      </c>
      <c r="AB22" s="296">
        <f>MONTH(U22)</f>
        <v>11</v>
      </c>
      <c r="AC22" s="296" t="str">
        <f>IF(R22&gt;0,"○","☓")</f>
        <v>○</v>
      </c>
    </row>
    <row r="23" spans="2:29" s="106" customFormat="1" x14ac:dyDescent="0.2">
      <c r="C23" s="287"/>
      <c r="D23" s="295">
        <v>43748</v>
      </c>
      <c r="E23" s="29" t="s">
        <v>92</v>
      </c>
      <c r="F23" s="29">
        <v>8601</v>
      </c>
      <c r="G23" s="54" t="s">
        <v>26</v>
      </c>
      <c r="H23" s="46">
        <v>515.02</v>
      </c>
      <c r="I23" s="46">
        <v>2000</v>
      </c>
      <c r="J23" s="47">
        <f t="shared" si="3"/>
        <v>1030040</v>
      </c>
      <c r="K23" s="173" t="s">
        <v>82</v>
      </c>
      <c r="L23" s="41">
        <v>533.29999999999995</v>
      </c>
      <c r="M23" s="31">
        <f>487+582</f>
        <v>1069</v>
      </c>
      <c r="N23" s="130">
        <v>0</v>
      </c>
      <c r="O23" s="169">
        <v>0</v>
      </c>
      <c r="P23" s="29">
        <f>IF(L23 &gt;0,(L23-H23)*I23-M23-N23-O23,0)</f>
        <v>35490.999999999942</v>
      </c>
      <c r="Q23" s="48">
        <f t="shared" si="0"/>
        <v>3.4455943458506409E-2</v>
      </c>
      <c r="R23" s="290"/>
      <c r="S23" s="292"/>
      <c r="U23" s="284"/>
      <c r="V23" s="284"/>
      <c r="W23" s="284"/>
      <c r="AA23" s="292"/>
      <c r="AB23" s="292"/>
      <c r="AC23" s="292"/>
    </row>
    <row r="24" spans="2:29" s="106" customFormat="1" x14ac:dyDescent="0.2">
      <c r="B24" s="124" t="s">
        <v>210</v>
      </c>
      <c r="C24" s="286">
        <f>ROW()/2-1</f>
        <v>11</v>
      </c>
      <c r="D24" s="294">
        <v>43783</v>
      </c>
      <c r="E24" s="33" t="s">
        <v>91</v>
      </c>
      <c r="F24" s="33">
        <v>3105</v>
      </c>
      <c r="G24" s="55" t="s">
        <v>53</v>
      </c>
      <c r="H24" s="49">
        <v>970</v>
      </c>
      <c r="I24" s="33">
        <v>1100</v>
      </c>
      <c r="J24" s="50">
        <f t="shared" si="3"/>
        <v>1067000</v>
      </c>
      <c r="K24" s="52" t="s">
        <v>96</v>
      </c>
      <c r="L24" s="49">
        <v>999</v>
      </c>
      <c r="M24" s="33">
        <f t="shared" ref="M24:M30" si="4">700+35+35</f>
        <v>770</v>
      </c>
      <c r="N24" s="33">
        <v>514</v>
      </c>
      <c r="O24" s="52">
        <v>165</v>
      </c>
      <c r="P24" s="25">
        <f>IF(L24 &gt;0,(H24-L24)*I24-M24-N24-O24,0)</f>
        <v>-33349</v>
      </c>
      <c r="Q24" s="45">
        <f t="shared" si="0"/>
        <v>-3.1254920337394562E-2</v>
      </c>
      <c r="R24" s="290">
        <f>P24+P25</f>
        <v>-59214</v>
      </c>
      <c r="S24" s="291">
        <f>R24/(J24+J25)</f>
        <v>-2.7894290559638213E-2</v>
      </c>
      <c r="U24" s="293">
        <v>43798</v>
      </c>
      <c r="V24" s="284">
        <f>DATEDIF(D24,U24,"d")</f>
        <v>15</v>
      </c>
      <c r="W24" s="321" t="s">
        <v>215</v>
      </c>
      <c r="X24" s="171"/>
      <c r="AA24" s="296">
        <f>YEAR(U24)</f>
        <v>2019</v>
      </c>
      <c r="AB24" s="296">
        <f>MONTH(U24)</f>
        <v>11</v>
      </c>
      <c r="AC24" s="296" t="str">
        <f>IF(R24&gt;0,"○","☓")</f>
        <v>☓</v>
      </c>
    </row>
    <row r="25" spans="2:29" s="106" customFormat="1" x14ac:dyDescent="0.2">
      <c r="C25" s="287"/>
      <c r="D25" s="295">
        <v>43748</v>
      </c>
      <c r="E25" s="29" t="s">
        <v>92</v>
      </c>
      <c r="F25" s="29">
        <v>6301</v>
      </c>
      <c r="G25" s="54" t="s">
        <v>64</v>
      </c>
      <c r="H25" s="46">
        <v>2639.5</v>
      </c>
      <c r="I25" s="46">
        <v>400</v>
      </c>
      <c r="J25" s="47">
        <f t="shared" si="3"/>
        <v>1055800</v>
      </c>
      <c r="K25" s="38" t="s">
        <v>82</v>
      </c>
      <c r="L25" s="41">
        <v>2580</v>
      </c>
      <c r="M25" s="31">
        <f t="shared" si="4"/>
        <v>770</v>
      </c>
      <c r="N25" s="131">
        <v>1295</v>
      </c>
      <c r="O25" s="131">
        <v>0</v>
      </c>
      <c r="P25" s="29">
        <f>IF(L25 &gt;0,(L25-H25)*I25-M25-N25-O25,0)</f>
        <v>-25865</v>
      </c>
      <c r="Q25" s="48">
        <f t="shared" si="0"/>
        <v>-2.4498010986929341E-2</v>
      </c>
      <c r="R25" s="290"/>
      <c r="S25" s="292"/>
      <c r="U25" s="284"/>
      <c r="V25" s="284"/>
      <c r="W25" s="322"/>
      <c r="X25" s="171"/>
      <c r="AA25" s="292"/>
      <c r="AB25" s="292"/>
      <c r="AC25" s="292"/>
    </row>
    <row r="26" spans="2:29" s="106" customFormat="1" x14ac:dyDescent="0.2">
      <c r="B26" s="124" t="s">
        <v>210</v>
      </c>
      <c r="C26" s="286">
        <f>ROW()/2-1</f>
        <v>12</v>
      </c>
      <c r="D26" s="294">
        <v>43784</v>
      </c>
      <c r="E26" s="33" t="s">
        <v>91</v>
      </c>
      <c r="F26" s="33">
        <v>6770</v>
      </c>
      <c r="G26" s="55" t="s">
        <v>25</v>
      </c>
      <c r="H26" s="49">
        <v>2386</v>
      </c>
      <c r="I26" s="33">
        <v>400</v>
      </c>
      <c r="J26" s="50">
        <f t="shared" si="3"/>
        <v>954400</v>
      </c>
      <c r="K26" s="52" t="s">
        <v>906</v>
      </c>
      <c r="L26" s="49">
        <v>2446</v>
      </c>
      <c r="M26" s="33">
        <f t="shared" si="4"/>
        <v>770</v>
      </c>
      <c r="N26" s="33">
        <v>320</v>
      </c>
      <c r="O26" s="52">
        <v>488</v>
      </c>
      <c r="P26" s="25">
        <f>IF(L26 &gt;0,(H26-L26)*I26-M26-N26-O26,0)</f>
        <v>-25578</v>
      </c>
      <c r="Q26" s="45">
        <f t="shared" si="0"/>
        <v>-2.680008382229673E-2</v>
      </c>
      <c r="R26" s="290">
        <f>P26+P27</f>
        <v>-23558</v>
      </c>
      <c r="S26" s="291">
        <f>R26/(J26+J27)</f>
        <v>-1.2410704878305763E-2</v>
      </c>
      <c r="U26" s="293">
        <v>43802</v>
      </c>
      <c r="V26" s="284">
        <f>DATEDIF(D26,U26,"d")</f>
        <v>18</v>
      </c>
      <c r="W26" s="297" t="s">
        <v>898</v>
      </c>
      <c r="X26" s="171"/>
      <c r="AA26" s="296">
        <f>YEAR(U26)</f>
        <v>2019</v>
      </c>
      <c r="AB26" s="296">
        <f>MONTH(U26)</f>
        <v>12</v>
      </c>
      <c r="AC26" s="296" t="str">
        <f>IF(R26&gt;0,"○","☓")</f>
        <v>☓</v>
      </c>
    </row>
    <row r="27" spans="2:29" s="106" customFormat="1" x14ac:dyDescent="0.2">
      <c r="C27" s="287"/>
      <c r="D27" s="295">
        <v>43748</v>
      </c>
      <c r="E27" s="29" t="s">
        <v>92</v>
      </c>
      <c r="F27" s="29">
        <v>1911</v>
      </c>
      <c r="G27" s="54" t="s">
        <v>59</v>
      </c>
      <c r="H27" s="46">
        <v>1573</v>
      </c>
      <c r="I27" s="46">
        <v>600</v>
      </c>
      <c r="J27" s="47">
        <f t="shared" si="3"/>
        <v>943800</v>
      </c>
      <c r="K27" s="172" t="s">
        <v>97</v>
      </c>
      <c r="L27" s="41">
        <v>1579</v>
      </c>
      <c r="M27" s="31">
        <f t="shared" si="4"/>
        <v>770</v>
      </c>
      <c r="N27" s="132">
        <v>1230</v>
      </c>
      <c r="O27" s="132">
        <v>-420</v>
      </c>
      <c r="P27" s="29">
        <f>IF(L27 &gt;0,(L27-H27)*I27-M27-N27-O27,0)</f>
        <v>2020</v>
      </c>
      <c r="Q27" s="48">
        <f t="shared" si="0"/>
        <v>2.1402839584657766E-3</v>
      </c>
      <c r="R27" s="290"/>
      <c r="S27" s="292"/>
      <c r="U27" s="284"/>
      <c r="V27" s="284"/>
      <c r="W27" s="298"/>
      <c r="X27" s="171"/>
      <c r="AA27" s="292"/>
      <c r="AB27" s="292"/>
      <c r="AC27" s="292"/>
    </row>
    <row r="28" spans="2:29" s="106" customFormat="1" x14ac:dyDescent="0.2">
      <c r="B28" s="124" t="s">
        <v>210</v>
      </c>
      <c r="C28" s="286">
        <v>13</v>
      </c>
      <c r="D28" s="294">
        <v>43789</v>
      </c>
      <c r="E28" s="33" t="s">
        <v>91</v>
      </c>
      <c r="F28" s="33">
        <v>4182</v>
      </c>
      <c r="G28" s="55" t="s">
        <v>51</v>
      </c>
      <c r="H28" s="49">
        <v>1627</v>
      </c>
      <c r="I28" s="33">
        <v>600</v>
      </c>
      <c r="J28" s="50">
        <v>976200</v>
      </c>
      <c r="K28" s="52" t="s">
        <v>96</v>
      </c>
      <c r="L28" s="49">
        <v>1681</v>
      </c>
      <c r="M28" s="33">
        <f t="shared" si="4"/>
        <v>770</v>
      </c>
      <c r="N28" s="144">
        <v>558</v>
      </c>
      <c r="O28" s="52">
        <v>120</v>
      </c>
      <c r="P28" s="25">
        <f>IF(L28 &gt;0,(H28-L28)*I28-M28-N28-O28,0)</f>
        <v>-33848</v>
      </c>
      <c r="Q28" s="45">
        <f t="shared" si="0"/>
        <v>-3.4673222700266342E-2</v>
      </c>
      <c r="R28" s="290">
        <v>54150</v>
      </c>
      <c r="S28" s="291">
        <v>2.7799999999999998E-2</v>
      </c>
      <c r="U28" s="293">
        <v>43805</v>
      </c>
      <c r="V28" s="284">
        <v>15</v>
      </c>
      <c r="W28" s="301" t="s">
        <v>874</v>
      </c>
      <c r="X28" s="171"/>
      <c r="AA28" s="296">
        <f>YEAR(U28)</f>
        <v>2019</v>
      </c>
      <c r="AB28" s="296">
        <f>MONTH(U28)</f>
        <v>12</v>
      </c>
      <c r="AC28" s="296" t="str">
        <f>IF(R28&gt;0,"○","☓")</f>
        <v>○</v>
      </c>
    </row>
    <row r="29" spans="2:29" s="106" customFormat="1" x14ac:dyDescent="0.2">
      <c r="C29" s="287"/>
      <c r="D29" s="295">
        <v>43748</v>
      </c>
      <c r="E29" s="29" t="s">
        <v>92</v>
      </c>
      <c r="F29" s="29">
        <v>1824</v>
      </c>
      <c r="G29" s="54" t="s">
        <v>245</v>
      </c>
      <c r="H29" s="46">
        <v>973</v>
      </c>
      <c r="I29" s="46">
        <v>1000</v>
      </c>
      <c r="J29" s="47">
        <v>973000</v>
      </c>
      <c r="K29" s="145" t="s">
        <v>96</v>
      </c>
      <c r="L29" s="41">
        <v>1062</v>
      </c>
      <c r="M29" s="31">
        <f t="shared" si="4"/>
        <v>770</v>
      </c>
      <c r="N29" s="31">
        <v>1418</v>
      </c>
      <c r="O29" s="138">
        <v>0</v>
      </c>
      <c r="P29" s="29">
        <f>IF(L29 &gt;0,(L29-H29)*I29-M29-N29-O29,0)</f>
        <v>86812</v>
      </c>
      <c r="Q29" s="48">
        <f t="shared" si="0"/>
        <v>8.9220966084275433E-2</v>
      </c>
      <c r="R29" s="290"/>
      <c r="S29" s="292"/>
      <c r="U29" s="284"/>
      <c r="V29" s="284"/>
      <c r="W29" s="284"/>
      <c r="X29" s="171"/>
      <c r="AA29" s="292"/>
      <c r="AB29" s="292"/>
      <c r="AC29" s="292"/>
    </row>
    <row r="30" spans="2:29" s="106" customFormat="1" x14ac:dyDescent="0.2">
      <c r="B30" s="124" t="s">
        <v>210</v>
      </c>
      <c r="C30" s="286">
        <v>14</v>
      </c>
      <c r="D30" s="294">
        <v>43790</v>
      </c>
      <c r="E30" s="33" t="s">
        <v>91</v>
      </c>
      <c r="F30" s="33">
        <v>6995</v>
      </c>
      <c r="G30" s="55" t="s">
        <v>54</v>
      </c>
      <c r="H30" s="49">
        <v>2050</v>
      </c>
      <c r="I30" s="33">
        <v>500</v>
      </c>
      <c r="J30" s="50">
        <f t="shared" ref="J30:J35" si="5">H30*I30</f>
        <v>1025000</v>
      </c>
      <c r="K30" s="52" t="s">
        <v>96</v>
      </c>
      <c r="L30" s="49">
        <v>2176</v>
      </c>
      <c r="M30" s="33">
        <f t="shared" si="4"/>
        <v>770</v>
      </c>
      <c r="N30" s="144">
        <f>IF(OR(K30="現物",J30=0),0,IF(E30="売",J30*Fee_Refer!$B$12/365*V30, J30*Fee_Refer!$B$11/365*#REF!))</f>
        <v>556.02739726027391</v>
      </c>
      <c r="O30" s="52">
        <v>92</v>
      </c>
      <c r="P30" s="25">
        <f>IF(L30 &gt;0,(H30-L30)*I30-M30-N30-O30,0)</f>
        <v>-64418.027397260274</v>
      </c>
      <c r="Q30" s="45">
        <f t="shared" si="0"/>
        <v>-6.2846855997327103E-2</v>
      </c>
      <c r="R30" s="290">
        <f>P30+P31</f>
        <v>33712.972602739726</v>
      </c>
      <c r="S30" s="291">
        <f>R30/(J30+J31)</f>
        <v>1.6402146834066229E-2</v>
      </c>
      <c r="U30" s="293">
        <v>43808</v>
      </c>
      <c r="V30" s="284">
        <f>IF(U30&gt;D30,DATEDIF(D30,U30,"d"),0)</f>
        <v>18</v>
      </c>
      <c r="W30" s="320" t="s">
        <v>899</v>
      </c>
      <c r="AA30" s="296">
        <f>YEAR(U30)</f>
        <v>2019</v>
      </c>
      <c r="AB30" s="296">
        <f>MONTH(U30)</f>
        <v>12</v>
      </c>
      <c r="AC30" s="296" t="str">
        <f>IF(R30&gt;0,"○","☓")</f>
        <v>○</v>
      </c>
    </row>
    <row r="31" spans="2:29" s="106" customFormat="1" x14ac:dyDescent="0.2">
      <c r="C31" s="287"/>
      <c r="D31" s="295">
        <v>43748</v>
      </c>
      <c r="E31" s="29" t="s">
        <v>92</v>
      </c>
      <c r="F31" s="29">
        <v>6472</v>
      </c>
      <c r="G31" s="54" t="s">
        <v>75</v>
      </c>
      <c r="H31" s="46">
        <v>322</v>
      </c>
      <c r="I31" s="46">
        <v>3200</v>
      </c>
      <c r="J31" s="47">
        <f t="shared" si="5"/>
        <v>1030400</v>
      </c>
      <c r="K31" s="173" t="s">
        <v>82</v>
      </c>
      <c r="L31" s="41">
        <v>353</v>
      </c>
      <c r="M31" s="31">
        <f>487+582</f>
        <v>1069</v>
      </c>
      <c r="N31" s="169">
        <v>0</v>
      </c>
      <c r="O31" s="169">
        <v>0</v>
      </c>
      <c r="P31" s="29">
        <f>IF(L31 &gt;0,(L31-H31)*I31-M31-N31-O31,0)</f>
        <v>98131</v>
      </c>
      <c r="Q31" s="48">
        <f t="shared" si="0"/>
        <v>9.5235830745341615E-2</v>
      </c>
      <c r="R31" s="290"/>
      <c r="S31" s="292"/>
      <c r="U31" s="284"/>
      <c r="V31" s="284"/>
      <c r="W31" s="284"/>
      <c r="AA31" s="292"/>
      <c r="AB31" s="292"/>
      <c r="AC31" s="292"/>
    </row>
    <row r="32" spans="2:29" s="106" customFormat="1" x14ac:dyDescent="0.2">
      <c r="B32" s="124" t="s">
        <v>210</v>
      </c>
      <c r="C32" s="286">
        <v>15</v>
      </c>
      <c r="D32" s="294">
        <v>43791</v>
      </c>
      <c r="E32" s="33" t="s">
        <v>91</v>
      </c>
      <c r="F32" s="33">
        <v>8601</v>
      </c>
      <c r="G32" s="55" t="s">
        <v>26</v>
      </c>
      <c r="H32" s="49">
        <v>533.79999999999995</v>
      </c>
      <c r="I32" s="33">
        <v>2000</v>
      </c>
      <c r="J32" s="50">
        <f t="shared" si="5"/>
        <v>1067600</v>
      </c>
      <c r="K32" s="52" t="s">
        <v>96</v>
      </c>
      <c r="L32" s="49">
        <v>555</v>
      </c>
      <c r="M32" s="33">
        <f>700+35+35</f>
        <v>770</v>
      </c>
      <c r="N32" s="144">
        <f>IF(OR(K32="現物",J32=0),0,IF(E32="売",J32*Fee_Refer!$B$12/365*V32, J32*Fee_Refer!$B$11/365*#REF!))</f>
        <v>546.96219178082174</v>
      </c>
      <c r="O32" s="52">
        <v>92</v>
      </c>
      <c r="P32" s="25">
        <f>IF(L32 &gt;0,(H32-L32)*I32-M32-N32-O32,0)</f>
        <v>-43808.962191780913</v>
      </c>
      <c r="Q32" s="45">
        <f t="shared" si="0"/>
        <v>-4.1034996432915805E-2</v>
      </c>
      <c r="R32" s="290">
        <f>P32+P33</f>
        <v>-7387.9621917808836</v>
      </c>
      <c r="S32" s="291">
        <f>R32/(J32+J33)</f>
        <v>-3.4469872261972761E-3</v>
      </c>
      <c r="U32" s="293">
        <v>43808</v>
      </c>
      <c r="V32" s="284">
        <f>IF(U32&gt;D32,DATEDIF(D32,U32,"d"),0)</f>
        <v>17</v>
      </c>
      <c r="W32" s="320" t="s">
        <v>899</v>
      </c>
      <c r="AA32" s="296">
        <f>YEAR(U32)</f>
        <v>2019</v>
      </c>
      <c r="AB32" s="296">
        <f>MONTH(U32)</f>
        <v>12</v>
      </c>
      <c r="AC32" s="296" t="str">
        <f>IF(R32&gt;0,"○","☓")</f>
        <v>☓</v>
      </c>
    </row>
    <row r="33" spans="2:29" s="106" customFormat="1" x14ac:dyDescent="0.2">
      <c r="C33" s="287"/>
      <c r="D33" s="295">
        <v>43748</v>
      </c>
      <c r="E33" s="29" t="s">
        <v>92</v>
      </c>
      <c r="F33" s="29">
        <v>8308</v>
      </c>
      <c r="G33" s="54" t="s">
        <v>58</v>
      </c>
      <c r="H33" s="46">
        <v>467.7</v>
      </c>
      <c r="I33" s="46">
        <v>2300</v>
      </c>
      <c r="J33" s="47">
        <f t="shared" si="5"/>
        <v>1075710</v>
      </c>
      <c r="K33" s="173" t="s">
        <v>82</v>
      </c>
      <c r="L33" s="41">
        <v>484</v>
      </c>
      <c r="M33" s="31">
        <f>487+582</f>
        <v>1069</v>
      </c>
      <c r="N33" s="169">
        <v>0</v>
      </c>
      <c r="O33" s="169">
        <v>0</v>
      </c>
      <c r="P33" s="29">
        <f>IF(L33 &gt;0,(L33-H33)*I33-M33-N33-O33,0)</f>
        <v>36421.000000000029</v>
      </c>
      <c r="Q33" s="48">
        <f t="shared" si="0"/>
        <v>3.3857638211042033E-2</v>
      </c>
      <c r="R33" s="290"/>
      <c r="S33" s="292"/>
      <c r="U33" s="284"/>
      <c r="V33" s="284"/>
      <c r="W33" s="284"/>
      <c r="AA33" s="292"/>
      <c r="AB33" s="292"/>
      <c r="AC33" s="292"/>
    </row>
    <row r="34" spans="2:29" s="106" customFormat="1" x14ac:dyDescent="0.2">
      <c r="B34" s="124" t="s">
        <v>210</v>
      </c>
      <c r="C34" s="286">
        <v>16</v>
      </c>
      <c r="D34" s="323">
        <v>43802</v>
      </c>
      <c r="E34" s="33" t="s">
        <v>198</v>
      </c>
      <c r="F34" s="33">
        <v>3861</v>
      </c>
      <c r="G34" s="55" t="s">
        <v>38</v>
      </c>
      <c r="H34" s="49">
        <v>616</v>
      </c>
      <c r="I34" s="49">
        <v>1700</v>
      </c>
      <c r="J34" s="50">
        <f t="shared" si="5"/>
        <v>1047200</v>
      </c>
      <c r="K34" s="52" t="s">
        <v>96</v>
      </c>
      <c r="L34" s="49">
        <v>630</v>
      </c>
      <c r="M34" s="33">
        <v>770</v>
      </c>
      <c r="N34" s="144">
        <f>IF(OR(K34="現物",J34=0),0,IF(E34="売",J34*Fee_Refer!$B$12/365*V34, J34*Fee_Refer!$B$11/365*#REF!))</f>
        <v>504.95123287671225</v>
      </c>
      <c r="O34" s="52">
        <v>0</v>
      </c>
      <c r="P34" s="147">
        <f>IF(L34 &gt;0,(H34-L34)*I34-M34-N34-O34,0)</f>
        <v>-25074.951232876712</v>
      </c>
      <c r="Q34" s="51">
        <f t="shared" si="0"/>
        <v>-2.3944758625741705E-2</v>
      </c>
      <c r="R34" s="290">
        <f>P34+P35</f>
        <v>29274.382465753424</v>
      </c>
      <c r="S34" s="291">
        <f>R34/(J34+J35)</f>
        <v>1.4002861602292846E-2</v>
      </c>
      <c r="U34" s="293">
        <v>43818</v>
      </c>
      <c r="V34" s="284">
        <f>IF(U34&gt;D34,DATEDIF(D34,U34,"d"),0)</f>
        <v>16</v>
      </c>
      <c r="W34" s="285" t="s">
        <v>899</v>
      </c>
      <c r="AA34" s="296">
        <f>YEAR(U34)</f>
        <v>2019</v>
      </c>
      <c r="AB34" s="296">
        <f>MONTH(U34)</f>
        <v>12</v>
      </c>
      <c r="AC34" s="296" t="str">
        <f>IF(R34&gt;0,"○","☓")</f>
        <v>○</v>
      </c>
    </row>
    <row r="35" spans="2:29" s="106" customFormat="1" x14ac:dyDescent="0.2">
      <c r="C35" s="287"/>
      <c r="D35" s="324">
        <v>43748</v>
      </c>
      <c r="E35" s="29" t="s">
        <v>200</v>
      </c>
      <c r="F35" s="29">
        <v>5703</v>
      </c>
      <c r="G35" s="54" t="s">
        <v>239</v>
      </c>
      <c r="H35" s="46">
        <v>222</v>
      </c>
      <c r="I35" s="46">
        <v>4700</v>
      </c>
      <c r="J35" s="47">
        <f t="shared" si="5"/>
        <v>1043400</v>
      </c>
      <c r="K35" s="145" t="s">
        <v>96</v>
      </c>
      <c r="L35" s="41">
        <v>234</v>
      </c>
      <c r="M35" s="31">
        <v>770</v>
      </c>
      <c r="N35" s="146">
        <f>IF(OR(K35="現物",J35=0),0,IF(E35="売",J35*Fee_Refer!$B$12/365*V35, J35*Fee_Refer!$B$11/365*V34))</f>
        <v>1280.666301369863</v>
      </c>
      <c r="O35" s="221">
        <v>0</v>
      </c>
      <c r="P35" s="148">
        <f>IF(L35&gt;0,(L35-H35)*I35-M35-N35-O35,0)</f>
        <v>54349.333698630136</v>
      </c>
      <c r="Q35" s="48">
        <f t="shared" si="0"/>
        <v>5.2088684779212323E-2</v>
      </c>
      <c r="R35" s="290"/>
      <c r="S35" s="292"/>
      <c r="U35" s="284"/>
      <c r="V35" s="284"/>
      <c r="W35" s="284"/>
      <c r="AA35" s="292"/>
      <c r="AB35" s="292"/>
      <c r="AC35" s="292"/>
    </row>
  </sheetData>
  <autoFilter ref="B3:AC23"/>
  <mergeCells count="160">
    <mergeCell ref="C32:C33"/>
    <mergeCell ref="D32:D33"/>
    <mergeCell ref="R32:R33"/>
    <mergeCell ref="AA28:AA29"/>
    <mergeCell ref="AB28:AB29"/>
    <mergeCell ref="S32:S33"/>
    <mergeCell ref="U32:U33"/>
    <mergeCell ref="V32:V33"/>
    <mergeCell ref="C34:C35"/>
    <mergeCell ref="D34:D35"/>
    <mergeCell ref="R34:R35"/>
    <mergeCell ref="S34:S35"/>
    <mergeCell ref="U34:U35"/>
    <mergeCell ref="V34:V35"/>
    <mergeCell ref="W34:W35"/>
    <mergeCell ref="AA32:AA33"/>
    <mergeCell ref="AB32:AB33"/>
    <mergeCell ref="W32:W33"/>
    <mergeCell ref="D28:D29"/>
    <mergeCell ref="R28:R29"/>
    <mergeCell ref="S28:S29"/>
    <mergeCell ref="U28:U29"/>
    <mergeCell ref="V28:V29"/>
    <mergeCell ref="W28:W29"/>
    <mergeCell ref="C30:C31"/>
    <mergeCell ref="D30:D31"/>
    <mergeCell ref="R30:R31"/>
    <mergeCell ref="S30:S31"/>
    <mergeCell ref="U30:U31"/>
    <mergeCell ref="V30:V31"/>
    <mergeCell ref="W30:W31"/>
    <mergeCell ref="AC14:AC15"/>
    <mergeCell ref="AA16:AA17"/>
    <mergeCell ref="AB16:AB17"/>
    <mergeCell ref="AC16:AC17"/>
    <mergeCell ref="C16:C17"/>
    <mergeCell ref="D16:D17"/>
    <mergeCell ref="R16:R17"/>
    <mergeCell ref="S16:S17"/>
    <mergeCell ref="AC24:AC25"/>
    <mergeCell ref="V24:V25"/>
    <mergeCell ref="W24:W25"/>
    <mergeCell ref="C22:C23"/>
    <mergeCell ref="W22:W23"/>
    <mergeCell ref="D22:D23"/>
    <mergeCell ref="AA24:AA25"/>
    <mergeCell ref="AB24:AB25"/>
    <mergeCell ref="V14:V15"/>
    <mergeCell ref="W14:W15"/>
    <mergeCell ref="V16:V17"/>
    <mergeCell ref="W16:W17"/>
    <mergeCell ref="V18:V19"/>
    <mergeCell ref="W18:W19"/>
    <mergeCell ref="AA14:AA15"/>
    <mergeCell ref="AB14:AB15"/>
    <mergeCell ref="U16:U17"/>
    <mergeCell ref="C14:C15"/>
    <mergeCell ref="D14:D15"/>
    <mergeCell ref="R14:R15"/>
    <mergeCell ref="S14:S15"/>
    <mergeCell ref="U14:U15"/>
    <mergeCell ref="V8:V9"/>
    <mergeCell ref="W8:W9"/>
    <mergeCell ref="W4:W5"/>
    <mergeCell ref="W6:W7"/>
    <mergeCell ref="C8:C9"/>
    <mergeCell ref="D8:D9"/>
    <mergeCell ref="R8:R9"/>
    <mergeCell ref="S8:S9"/>
    <mergeCell ref="U8:U9"/>
    <mergeCell ref="V4:V5"/>
    <mergeCell ref="C6:C7"/>
    <mergeCell ref="D6:D7"/>
    <mergeCell ref="R6:R7"/>
    <mergeCell ref="S6:S7"/>
    <mergeCell ref="U6:U7"/>
    <mergeCell ref="V6:V7"/>
    <mergeCell ref="C4:C5"/>
    <mergeCell ref="D4:D5"/>
    <mergeCell ref="R4:R5"/>
    <mergeCell ref="S4:S5"/>
    <mergeCell ref="U4:U5"/>
    <mergeCell ref="AC4:AC5"/>
    <mergeCell ref="AC6:AC7"/>
    <mergeCell ref="AC8:AC9"/>
    <mergeCell ref="AA4:AA5"/>
    <mergeCell ref="AA6:AA7"/>
    <mergeCell ref="AA8:AA9"/>
    <mergeCell ref="AB4:AB5"/>
    <mergeCell ref="AB6:AB7"/>
    <mergeCell ref="AB8:AB9"/>
    <mergeCell ref="AC10:AC11"/>
    <mergeCell ref="AA12:AA13"/>
    <mergeCell ref="AB12:AB13"/>
    <mergeCell ref="AC12:AC13"/>
    <mergeCell ref="W12:W13"/>
    <mergeCell ref="C12:C13"/>
    <mergeCell ref="R12:R13"/>
    <mergeCell ref="S12:S13"/>
    <mergeCell ref="V12:V13"/>
    <mergeCell ref="D12:D13"/>
    <mergeCell ref="U12:U13"/>
    <mergeCell ref="C10:C11"/>
    <mergeCell ref="D10:D11"/>
    <mergeCell ref="R10:R11"/>
    <mergeCell ref="S10:S11"/>
    <mergeCell ref="U10:U11"/>
    <mergeCell ref="V10:V11"/>
    <mergeCell ref="W10:W11"/>
    <mergeCell ref="AA10:AA11"/>
    <mergeCell ref="AB10:AB11"/>
    <mergeCell ref="C20:C21"/>
    <mergeCell ref="R20:R21"/>
    <mergeCell ref="S20:S21"/>
    <mergeCell ref="V20:V21"/>
    <mergeCell ref="U20:U21"/>
    <mergeCell ref="C18:C19"/>
    <mergeCell ref="D18:D19"/>
    <mergeCell ref="R18:R19"/>
    <mergeCell ref="S18:S19"/>
    <mergeCell ref="U18:U19"/>
    <mergeCell ref="D20:D21"/>
    <mergeCell ref="R22:R23"/>
    <mergeCell ref="S22:S23"/>
    <mergeCell ref="U22:U23"/>
    <mergeCell ref="V22:V23"/>
    <mergeCell ref="AA18:AA19"/>
    <mergeCell ref="AB18:AB19"/>
    <mergeCell ref="AC18:AC19"/>
    <mergeCell ref="AA20:AA21"/>
    <mergeCell ref="AB20:AB21"/>
    <mergeCell ref="AC20:AC21"/>
    <mergeCell ref="W20:W21"/>
    <mergeCell ref="AA22:AA23"/>
    <mergeCell ref="AB22:AB23"/>
    <mergeCell ref="AC22:AC23"/>
    <mergeCell ref="C26:C27"/>
    <mergeCell ref="D26:D27"/>
    <mergeCell ref="R26:R27"/>
    <mergeCell ref="S26:S27"/>
    <mergeCell ref="U26:U27"/>
    <mergeCell ref="AA34:AA35"/>
    <mergeCell ref="AB34:AB35"/>
    <mergeCell ref="AC34:AC35"/>
    <mergeCell ref="C24:C25"/>
    <mergeCell ref="D24:D25"/>
    <mergeCell ref="R24:R25"/>
    <mergeCell ref="S24:S25"/>
    <mergeCell ref="U24:U25"/>
    <mergeCell ref="V26:V27"/>
    <mergeCell ref="W26:W27"/>
    <mergeCell ref="AA30:AA31"/>
    <mergeCell ref="AB30:AB31"/>
    <mergeCell ref="AC30:AC31"/>
    <mergeCell ref="AA26:AA27"/>
    <mergeCell ref="AB26:AB27"/>
    <mergeCell ref="AC26:AC27"/>
    <mergeCell ref="AC32:AC33"/>
    <mergeCell ref="AC28:AC29"/>
    <mergeCell ref="C28:C29"/>
  </mergeCells>
  <phoneticPr fontId="1" type="noConversion"/>
  <dataValidations disablePrompts="1" count="1">
    <dataValidation type="custom" allowBlank="1" showInputMessage="1" showErrorMessage="1" sqref="K4 K6 K12">
      <formula1>"""aaa"",""bbb"""</formula1>
    </dataValidation>
  </dataValidations>
  <hyperlinks>
    <hyperlink ref="B4" display="Select"/>
    <hyperlink ref="B6" display="Select"/>
    <hyperlink ref="B8" display="Select"/>
    <hyperlink ref="B10" display="Select"/>
    <hyperlink ref="B12" display="Select"/>
    <hyperlink ref="B14" display="Select"/>
    <hyperlink ref="B16" display="Select"/>
    <hyperlink ref="B18" display="Select"/>
    <hyperlink ref="B20" display="Select"/>
    <hyperlink ref="B22" display="Select"/>
    <hyperlink ref="B24" display="Select"/>
    <hyperlink ref="B26" display="Select"/>
    <hyperlink ref="B28" display="Select"/>
    <hyperlink ref="B30" display="Select"/>
    <hyperlink ref="B32" display="Select"/>
    <hyperlink ref="B34" display="Select"/>
  </hyperlink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6" tint="0.39997558519241921"/>
  </sheetPr>
  <dimension ref="A27"/>
  <sheetViews>
    <sheetView showGridLines="0" workbookViewId="0">
      <selection activeCell="G33" sqref="G33"/>
    </sheetView>
  </sheetViews>
  <sheetFormatPr defaultRowHeight="14.25" x14ac:dyDescent="0.2"/>
  <sheetData>
    <row r="27" spans="1:1" x14ac:dyDescent="0.2">
      <c r="A27" s="16" t="s">
        <v>41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tabColor theme="6" tint="0.39997558519241921"/>
  </sheetPr>
  <dimension ref="A1:W14"/>
  <sheetViews>
    <sheetView showGridLines="0" zoomScaleNormal="100" workbookViewId="0">
      <selection activeCell="I37" sqref="I37"/>
    </sheetView>
  </sheetViews>
  <sheetFormatPr defaultRowHeight="14.25" x14ac:dyDescent="0.2"/>
  <cols>
    <col min="1" max="1" width="6" style="106" customWidth="1"/>
    <col min="2" max="2" width="6.5" style="106" customWidth="1"/>
    <col min="3" max="3" width="12.75" style="106" customWidth="1"/>
    <col min="4" max="4" width="9.875" style="106" customWidth="1"/>
    <col min="5" max="7" width="9" style="106"/>
    <col min="8" max="8" width="10.75" style="106" customWidth="1"/>
    <col min="9" max="10" width="9" style="106"/>
    <col min="11" max="11" width="10.625" style="106" customWidth="1"/>
    <col min="12" max="16384" width="9" style="106"/>
  </cols>
  <sheetData>
    <row r="1" spans="1:23" ht="21" customHeight="1" thickBot="1" x14ac:dyDescent="0.25">
      <c r="A1" s="168" t="s">
        <v>897</v>
      </c>
    </row>
    <row r="2" spans="1:23" ht="59.25" customHeight="1" x14ac:dyDescent="0.2">
      <c r="A2" s="152" t="s">
        <v>875</v>
      </c>
      <c r="B2" s="153" t="s">
        <v>876</v>
      </c>
      <c r="C2" s="154" t="s">
        <v>883</v>
      </c>
      <c r="D2" s="153" t="s">
        <v>884</v>
      </c>
      <c r="E2" s="153" t="s">
        <v>885</v>
      </c>
      <c r="F2" s="154" t="s">
        <v>893</v>
      </c>
      <c r="G2" s="154" t="s">
        <v>894</v>
      </c>
      <c r="H2" s="154" t="s">
        <v>886</v>
      </c>
      <c r="I2" s="154" t="s">
        <v>887</v>
      </c>
      <c r="J2" s="154" t="s">
        <v>888</v>
      </c>
      <c r="K2" s="154" t="s">
        <v>895</v>
      </c>
      <c r="L2" s="154" t="s">
        <v>889</v>
      </c>
      <c r="M2" s="154" t="s">
        <v>877</v>
      </c>
      <c r="N2" s="154" t="s">
        <v>878</v>
      </c>
      <c r="O2" s="154" t="s">
        <v>879</v>
      </c>
      <c r="P2" s="154" t="s">
        <v>890</v>
      </c>
      <c r="Q2" s="155" t="s">
        <v>891</v>
      </c>
      <c r="R2" s="155" t="s">
        <v>880</v>
      </c>
      <c r="S2" s="156" t="s">
        <v>881</v>
      </c>
      <c r="T2" s="156" t="s">
        <v>882</v>
      </c>
      <c r="U2" s="156" t="s">
        <v>896</v>
      </c>
      <c r="V2" s="157" t="s">
        <v>892</v>
      </c>
      <c r="W2" s="151"/>
    </row>
    <row r="3" spans="1:23" x14ac:dyDescent="0.2">
      <c r="A3" s="158">
        <v>2019</v>
      </c>
      <c r="B3" s="158">
        <v>10</v>
      </c>
      <c r="C3" s="159">
        <v>5000000</v>
      </c>
      <c r="D3" s="160">
        <v>-25615.999999999971</v>
      </c>
      <c r="E3" s="161">
        <f>IF(D3 &lt;&gt; 0,D3/C3, 0)</f>
        <v>-5.1231999999999944E-3</v>
      </c>
      <c r="F3" s="160">
        <v>101112</v>
      </c>
      <c r="G3" s="160">
        <v>-126727.99999999997</v>
      </c>
      <c r="H3" s="158">
        <v>8</v>
      </c>
      <c r="I3" s="158">
        <v>3</v>
      </c>
      <c r="J3" s="158">
        <v>5</v>
      </c>
      <c r="K3" s="162">
        <f>IF(H3&lt;&gt;0,I3/H3,0)</f>
        <v>0.375</v>
      </c>
      <c r="L3" s="163">
        <f t="shared" ref="L3:M5" si="0">IF(I3&lt;&gt;0,F3/I3,0)</f>
        <v>33704</v>
      </c>
      <c r="M3" s="164">
        <f t="shared" si="0"/>
        <v>-25345.599999999995</v>
      </c>
      <c r="N3" s="165">
        <v>14</v>
      </c>
      <c r="O3" s="165">
        <v>-93238.000000000029</v>
      </c>
      <c r="P3" s="166">
        <f>IF(C3&lt;&gt;0,O3/C3,0)</f>
        <v>-1.8647600000000007E-2</v>
      </c>
      <c r="Q3" s="167">
        <v>3</v>
      </c>
      <c r="R3" s="167">
        <v>5</v>
      </c>
      <c r="S3" s="167">
        <v>1</v>
      </c>
      <c r="T3" s="167">
        <v>1</v>
      </c>
      <c r="U3" s="167">
        <v>6</v>
      </c>
      <c r="V3" s="167">
        <f>IF(H3&lt;&gt;0,H3-S3-T3-U3,0)</f>
        <v>0</v>
      </c>
    </row>
    <row r="4" spans="1:23" x14ac:dyDescent="0.2">
      <c r="A4" s="158">
        <v>2019</v>
      </c>
      <c r="B4" s="158">
        <v>11</v>
      </c>
      <c r="C4" s="159">
        <f>IF(D3 &lt;&gt; 0,C3+D3, 0)</f>
        <v>4974384</v>
      </c>
      <c r="D4" s="160">
        <v>487021.99999999988</v>
      </c>
      <c r="E4" s="161">
        <f>IF(D4 &lt;&gt; 0,D4/C4, 0)</f>
        <v>9.7905991978102194E-2</v>
      </c>
      <c r="F4" s="160">
        <v>546235.99999999988</v>
      </c>
      <c r="G4" s="160">
        <v>-59214</v>
      </c>
      <c r="H4" s="158">
        <v>3</v>
      </c>
      <c r="I4" s="158">
        <v>2</v>
      </c>
      <c r="J4" s="158">
        <v>1</v>
      </c>
      <c r="K4" s="162">
        <f>IF(H4&lt;&gt;0,I4/H4,0)</f>
        <v>0.66666666666666663</v>
      </c>
      <c r="L4" s="163">
        <f t="shared" si="0"/>
        <v>273117.99999999994</v>
      </c>
      <c r="M4" s="164">
        <f t="shared" si="0"/>
        <v>-59214</v>
      </c>
      <c r="N4" s="165">
        <v>10</v>
      </c>
      <c r="O4" s="165">
        <v>-59214</v>
      </c>
      <c r="P4" s="166">
        <f>IF(C4&lt;&gt;0,O4/C4,0)</f>
        <v>-1.190378547373906E-2</v>
      </c>
      <c r="Q4" s="167">
        <v>2</v>
      </c>
      <c r="R4" s="167">
        <v>1</v>
      </c>
      <c r="S4" s="167">
        <v>2</v>
      </c>
      <c r="T4" s="167">
        <v>1</v>
      </c>
      <c r="U4" s="167">
        <v>0</v>
      </c>
      <c r="V4" s="167">
        <f>IF(H4&lt;&gt;0,H4-S4-T4-U4,0)</f>
        <v>0</v>
      </c>
    </row>
    <row r="5" spans="1:23" x14ac:dyDescent="0.2">
      <c r="A5" s="158">
        <v>2019</v>
      </c>
      <c r="B5" s="158">
        <v>12</v>
      </c>
      <c r="C5" s="159">
        <f>IF(D4 &lt;&gt; 0,C4+D4, 0)</f>
        <v>5461406</v>
      </c>
      <c r="D5" s="160">
        <v>86191.392876712271</v>
      </c>
      <c r="E5" s="161">
        <f>IF(D5 &lt;&gt; 0,D5/C5, 0)</f>
        <v>1.5781905406174211E-2</v>
      </c>
      <c r="F5" s="160">
        <v>117137.35506849315</v>
      </c>
      <c r="G5" s="160">
        <v>-30945.962191780884</v>
      </c>
      <c r="H5" s="158">
        <v>5</v>
      </c>
      <c r="I5" s="158">
        <v>3</v>
      </c>
      <c r="J5" s="158">
        <v>2</v>
      </c>
      <c r="K5" s="162">
        <f>IF(H5&lt;&gt;0,I5/H5,0)</f>
        <v>0.6</v>
      </c>
      <c r="L5" s="163">
        <f t="shared" si="0"/>
        <v>39045.785022831049</v>
      </c>
      <c r="M5" s="164">
        <f t="shared" si="0"/>
        <v>-15472.981095890442</v>
      </c>
      <c r="N5" s="165">
        <v>16.8</v>
      </c>
      <c r="O5" s="165">
        <v>-23558</v>
      </c>
      <c r="P5" s="166">
        <f>IF(C5&lt;&gt;0,O5/C5,0)</f>
        <v>-4.3135412382818636E-3</v>
      </c>
      <c r="Q5" s="167">
        <v>2</v>
      </c>
      <c r="R5" s="167">
        <v>1</v>
      </c>
      <c r="S5" s="167">
        <v>1</v>
      </c>
      <c r="T5" s="167">
        <v>0</v>
      </c>
      <c r="U5" s="167">
        <v>4</v>
      </c>
      <c r="V5" s="167">
        <f>IF(H5&lt;&gt;0,H5-S5-T5-U5,0)</f>
        <v>0</v>
      </c>
    </row>
    <row r="7" spans="1:23" x14ac:dyDescent="0.2">
      <c r="C7" s="10"/>
      <c r="D7" s="10"/>
    </row>
    <row r="14" spans="1:23" x14ac:dyDescent="0.2">
      <c r="A14" s="16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Sheet17.update_trade_report">
                <anchor moveWithCells="1" sizeWithCells="1">
                  <from>
                    <xdr:col>3</xdr:col>
                    <xdr:colOff>114300</xdr:colOff>
                    <xdr:row>0</xdr:row>
                    <xdr:rowOff>0</xdr:rowOff>
                  </from>
                  <to>
                    <xdr:col>5</xdr:col>
                    <xdr:colOff>9525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tabColor theme="6" tint="0.39997558519241921"/>
  </sheetPr>
  <dimension ref="A1:AF822"/>
  <sheetViews>
    <sheetView showGridLines="0" zoomScale="70" zoomScaleNormal="70" workbookViewId="0">
      <selection activeCell="AG15" sqref="AG15"/>
    </sheetView>
  </sheetViews>
  <sheetFormatPr defaultRowHeight="14.25" x14ac:dyDescent="0.2"/>
  <cols>
    <col min="1" max="1" width="12" style="106" customWidth="1"/>
    <col min="2" max="2" width="12.125" style="106" customWidth="1"/>
    <col min="3" max="3" width="6" style="106" customWidth="1"/>
    <col min="4" max="4" width="7.25" style="106" customWidth="1"/>
    <col min="5" max="15" width="9" style="106"/>
    <col min="16" max="16" width="9.5" style="106" customWidth="1"/>
    <col min="17" max="19" width="9" style="106"/>
    <col min="20" max="20" width="2.75" style="106" customWidth="1"/>
    <col min="21" max="22" width="9" style="106"/>
    <col min="23" max="23" width="11.75" style="106" customWidth="1"/>
    <col min="24" max="24" width="15.75" style="106" customWidth="1"/>
    <col min="25" max="25" width="14" style="106" customWidth="1"/>
    <col min="26" max="26" width="12.875" style="106" customWidth="1"/>
    <col min="27" max="16384" width="9" style="106"/>
  </cols>
  <sheetData>
    <row r="1" spans="1:31" ht="22.5" customHeight="1" thickBot="1" x14ac:dyDescent="0.25">
      <c r="A1" s="134"/>
      <c r="B1" s="193"/>
      <c r="C1" s="191"/>
      <c r="D1" s="243">
        <v>5</v>
      </c>
      <c r="E1" s="244" t="s">
        <v>2217</v>
      </c>
      <c r="F1" s="245">
        <v>16</v>
      </c>
      <c r="G1" s="190"/>
      <c r="H1" s="194"/>
      <c r="I1" s="136"/>
      <c r="J1" s="137"/>
      <c r="N1" s="174"/>
      <c r="O1" s="195"/>
      <c r="P1" s="135"/>
      <c r="Q1" s="216"/>
      <c r="R1" s="217"/>
      <c r="S1" s="10"/>
      <c r="T1" s="218"/>
      <c r="U1" s="135"/>
    </row>
    <row r="2" spans="1:31" ht="33" customHeight="1" thickBot="1" x14ac:dyDescent="0.25">
      <c r="A2" s="134"/>
      <c r="B2" s="68" t="s">
        <v>1773</v>
      </c>
      <c r="C2" s="60"/>
      <c r="D2" s="59" t="s">
        <v>42</v>
      </c>
      <c r="E2" s="61" t="s">
        <v>43</v>
      </c>
      <c r="F2" s="62" t="s">
        <v>84</v>
      </c>
      <c r="G2" s="62" t="s">
        <v>85</v>
      </c>
      <c r="H2" s="60" t="s">
        <v>22</v>
      </c>
      <c r="I2" s="60" t="s">
        <v>86</v>
      </c>
      <c r="J2" s="62" t="s">
        <v>87</v>
      </c>
      <c r="K2" s="63" t="s">
        <v>108</v>
      </c>
      <c r="L2" s="60" t="s">
        <v>88</v>
      </c>
      <c r="M2" s="63" t="s">
        <v>102</v>
      </c>
      <c r="N2" s="60" t="s">
        <v>195</v>
      </c>
      <c r="O2" s="60" t="s">
        <v>89</v>
      </c>
      <c r="P2" s="63" t="s">
        <v>104</v>
      </c>
      <c r="Q2" s="66" t="s">
        <v>105</v>
      </c>
      <c r="R2" s="66" t="s">
        <v>1774</v>
      </c>
      <c r="S2" s="10"/>
      <c r="T2" s="10"/>
      <c r="U2" s="381" t="s">
        <v>2328</v>
      </c>
      <c r="V2" s="382"/>
      <c r="W2" s="383"/>
      <c r="X2" s="384" t="s">
        <v>2329</v>
      </c>
      <c r="Y2" s="384" t="s">
        <v>2330</v>
      </c>
      <c r="Z2" s="384" t="s">
        <v>2331</v>
      </c>
    </row>
    <row r="3" spans="1:31" ht="22.5" customHeight="1" x14ac:dyDescent="0.2">
      <c r="A3" s="134"/>
      <c r="B3" s="234">
        <v>43742</v>
      </c>
      <c r="C3" s="36" t="s">
        <v>91</v>
      </c>
      <c r="D3" s="36">
        <v>8750</v>
      </c>
      <c r="E3" s="232" t="s">
        <v>2333</v>
      </c>
      <c r="F3" s="235">
        <v>1635</v>
      </c>
      <c r="G3" s="235">
        <v>600</v>
      </c>
      <c r="H3" s="236">
        <f>F3*G3</f>
        <v>981000</v>
      </c>
      <c r="I3" s="232" t="s">
        <v>2332</v>
      </c>
      <c r="J3" s="235">
        <v>1741.5</v>
      </c>
      <c r="K3" s="36">
        <v>770</v>
      </c>
      <c r="L3" s="237">
        <f>IF(OR(I3="現物",H3=0),0,IF(C3="売",H3*Fee_Refer!$B$12/365*T3, H3*Fee_Refer!$B$11/365*#REF!))</f>
        <v>0</v>
      </c>
      <c r="M3" s="232">
        <v>92</v>
      </c>
      <c r="N3" s="238">
        <v>-65172</v>
      </c>
      <c r="O3" s="239">
        <v>-6.6434250764525998E-2</v>
      </c>
      <c r="P3" s="386">
        <v>-11052.999999999898</v>
      </c>
      <c r="Q3" s="291">
        <v>-5.6554672757562954E-3</v>
      </c>
      <c r="R3" s="290">
        <v>17</v>
      </c>
      <c r="S3" s="10"/>
      <c r="T3" s="10"/>
      <c r="U3" s="387" t="s">
        <v>899</v>
      </c>
      <c r="V3" s="388"/>
      <c r="W3" s="389"/>
      <c r="X3" s="385">
        <v>-2.2489776167984399</v>
      </c>
      <c r="Y3" s="385">
        <v>-1.92829016021163</v>
      </c>
      <c r="Z3" s="385">
        <v>-0.15663381936929899</v>
      </c>
    </row>
    <row r="4" spans="1:31" ht="22.5" customHeight="1" x14ac:dyDescent="0.2">
      <c r="A4" s="134"/>
      <c r="B4" s="225">
        <v>43759</v>
      </c>
      <c r="C4" s="224" t="s">
        <v>92</v>
      </c>
      <c r="D4" s="224">
        <v>8002</v>
      </c>
      <c r="E4" s="233" t="s">
        <v>2334</v>
      </c>
      <c r="F4" s="240">
        <v>695.28</v>
      </c>
      <c r="G4" s="240">
        <v>1400</v>
      </c>
      <c r="H4" s="241">
        <f>F4*G4</f>
        <v>973392</v>
      </c>
      <c r="I4" s="233" t="s">
        <v>2335</v>
      </c>
      <c r="J4" s="242">
        <v>734.7</v>
      </c>
      <c r="K4" s="31">
        <v>1069</v>
      </c>
      <c r="L4" s="146">
        <f>IF(OR(I4="現物",H4=0),0,IF(C4="売",H4*Fee_Refer!$B$12/365*T4, H4*Fee_Refer!$B$11/365*T3))</f>
        <v>0</v>
      </c>
      <c r="M4" s="224">
        <v>408</v>
      </c>
      <c r="N4" s="222">
        <v>54119.000000000102</v>
      </c>
      <c r="O4" s="223">
        <v>5.5598361194667822E-2</v>
      </c>
      <c r="P4" s="386"/>
      <c r="Q4" s="291"/>
      <c r="R4" s="290"/>
      <c r="S4" s="10"/>
      <c r="T4" s="10"/>
      <c r="U4" s="390"/>
      <c r="V4" s="391"/>
      <c r="W4" s="392"/>
      <c r="X4" s="385"/>
      <c r="Y4" s="385"/>
      <c r="Z4" s="385"/>
    </row>
    <row r="5" spans="1:31" ht="22.5" customHeight="1" thickBot="1" x14ac:dyDescent="0.25">
      <c r="A5" s="134"/>
      <c r="B5" s="193"/>
      <c r="C5" s="191"/>
      <c r="D5" s="192"/>
      <c r="E5" s="190"/>
      <c r="F5" s="190"/>
      <c r="G5" s="190"/>
      <c r="H5" s="194"/>
      <c r="I5" s="136"/>
      <c r="J5" s="137"/>
      <c r="N5" s="174"/>
      <c r="O5" s="195"/>
      <c r="P5" s="135"/>
      <c r="Q5" s="216"/>
    </row>
    <row r="6" spans="1:31" x14ac:dyDescent="0.2">
      <c r="A6" s="206" t="s">
        <v>2216</v>
      </c>
      <c r="B6" s="94"/>
      <c r="C6" s="95"/>
      <c r="D6" s="95"/>
      <c r="E6" s="95"/>
      <c r="F6" s="95"/>
      <c r="G6" s="95"/>
      <c r="H6" s="95"/>
      <c r="I6" s="95"/>
      <c r="J6" s="95"/>
      <c r="K6" s="95"/>
      <c r="L6" s="95"/>
      <c r="M6" s="95"/>
      <c r="N6" s="95"/>
      <c r="O6" s="95"/>
      <c r="P6" s="96"/>
      <c r="Q6" s="10"/>
      <c r="R6" s="94"/>
      <c r="S6" s="95"/>
      <c r="T6" s="95"/>
      <c r="U6" s="95"/>
      <c r="V6" s="95"/>
      <c r="W6" s="95"/>
      <c r="X6" s="95"/>
      <c r="Y6" s="95"/>
      <c r="Z6" s="95"/>
      <c r="AA6" s="95"/>
      <c r="AB6" s="95"/>
      <c r="AC6" s="95"/>
      <c r="AD6" s="95"/>
      <c r="AE6" s="96"/>
    </row>
    <row r="7" spans="1:31" ht="18" x14ac:dyDescent="0.25">
      <c r="A7" s="22" t="s">
        <v>2336</v>
      </c>
      <c r="B7" s="97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98"/>
      <c r="Q7" s="10"/>
      <c r="R7" s="246" t="s">
        <v>2219</v>
      </c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98"/>
    </row>
    <row r="8" spans="1:31" x14ac:dyDescent="0.2">
      <c r="A8" s="206" t="s">
        <v>1765</v>
      </c>
      <c r="B8" s="97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98"/>
      <c r="Q8" s="10"/>
      <c r="R8" s="97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98"/>
    </row>
    <row r="9" spans="1:31" x14ac:dyDescent="0.2">
      <c r="A9" s="220" t="s">
        <v>1769</v>
      </c>
      <c r="B9" s="97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98"/>
      <c r="Q9" s="10"/>
      <c r="R9" s="97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98"/>
    </row>
    <row r="10" spans="1:31" ht="15" customHeight="1" x14ac:dyDescent="0.2">
      <c r="A10" s="206" t="s">
        <v>1753</v>
      </c>
      <c r="B10" s="97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98"/>
      <c r="Q10" s="10"/>
      <c r="R10" s="97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98"/>
    </row>
    <row r="11" spans="1:31" x14ac:dyDescent="0.2">
      <c r="A11" s="207">
        <v>0.51992527934452604</v>
      </c>
      <c r="B11" s="97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98"/>
      <c r="Q11" s="10"/>
      <c r="R11" s="97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98"/>
    </row>
    <row r="12" spans="1:31" x14ac:dyDescent="0.2">
      <c r="A12" s="206" t="s">
        <v>1754</v>
      </c>
      <c r="B12" s="97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98"/>
      <c r="Q12" s="10"/>
      <c r="R12" s="97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98"/>
    </row>
    <row r="13" spans="1:31" x14ac:dyDescent="0.2">
      <c r="A13" s="207">
        <v>0.3887173758532218</v>
      </c>
      <c r="B13" s="97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98"/>
      <c r="Q13" s="10"/>
      <c r="R13" s="97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98"/>
    </row>
    <row r="14" spans="1:31" x14ac:dyDescent="0.2">
      <c r="B14" s="9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98"/>
      <c r="Q14" s="10"/>
      <c r="R14" s="97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98"/>
    </row>
    <row r="15" spans="1:31" x14ac:dyDescent="0.2">
      <c r="B15" s="97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98"/>
      <c r="Q15" s="10"/>
      <c r="R15" s="97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98"/>
    </row>
    <row r="16" spans="1:31" x14ac:dyDescent="0.2">
      <c r="B16" s="9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98"/>
      <c r="Q16" s="10"/>
      <c r="R16" s="97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98"/>
    </row>
    <row r="17" spans="2:31" x14ac:dyDescent="0.2">
      <c r="B17" s="97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98"/>
      <c r="Q17" s="10"/>
      <c r="R17" s="97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98"/>
    </row>
    <row r="18" spans="2:31" x14ac:dyDescent="0.2">
      <c r="B18" s="9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98"/>
      <c r="Q18" s="10"/>
      <c r="R18" s="97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98"/>
    </row>
    <row r="19" spans="2:31" x14ac:dyDescent="0.2">
      <c r="B19" s="9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98"/>
      <c r="Q19" s="10"/>
      <c r="R19" s="97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98"/>
    </row>
    <row r="20" spans="2:31" x14ac:dyDescent="0.2">
      <c r="B20" s="9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98"/>
      <c r="Q20" s="10"/>
      <c r="R20" s="97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98"/>
    </row>
    <row r="21" spans="2:31" x14ac:dyDescent="0.2">
      <c r="B21" s="9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98"/>
      <c r="Q21" s="10"/>
      <c r="R21" s="97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98"/>
    </row>
    <row r="22" spans="2:31" x14ac:dyDescent="0.2">
      <c r="B22" s="9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98"/>
      <c r="Q22" s="10"/>
      <c r="R22" s="97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98"/>
    </row>
    <row r="23" spans="2:31" x14ac:dyDescent="0.2">
      <c r="B23" s="9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98"/>
      <c r="Q23" s="10"/>
      <c r="R23" s="97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98"/>
    </row>
    <row r="24" spans="2:31" ht="18" x14ac:dyDescent="0.25">
      <c r="B24" s="9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98"/>
      <c r="Q24" s="10"/>
      <c r="R24" s="246" t="s">
        <v>2220</v>
      </c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98"/>
    </row>
    <row r="25" spans="2:31" x14ac:dyDescent="0.2">
      <c r="B25" s="97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98"/>
      <c r="Q25" s="10"/>
      <c r="R25" s="97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98"/>
    </row>
    <row r="26" spans="2:31" x14ac:dyDescent="0.2">
      <c r="B26" s="9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98"/>
      <c r="Q26" s="10"/>
      <c r="R26" s="97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98"/>
    </row>
    <row r="27" spans="2:31" x14ac:dyDescent="0.2">
      <c r="B27" s="9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98"/>
      <c r="Q27" s="10"/>
      <c r="R27" s="97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98"/>
    </row>
    <row r="28" spans="2:31" x14ac:dyDescent="0.2">
      <c r="B28" s="9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98"/>
      <c r="Q28" s="10"/>
      <c r="R28" s="97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98"/>
    </row>
    <row r="29" spans="2:31" x14ac:dyDescent="0.2">
      <c r="B29" s="97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98"/>
      <c r="Q29" s="10"/>
      <c r="R29" s="97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98"/>
    </row>
    <row r="30" spans="2:31" x14ac:dyDescent="0.2">
      <c r="B30" s="9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98"/>
      <c r="Q30" s="10"/>
      <c r="R30" s="97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98"/>
    </row>
    <row r="31" spans="2:31" x14ac:dyDescent="0.2">
      <c r="B31" s="9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98"/>
      <c r="Q31" s="10"/>
      <c r="R31" s="97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98"/>
    </row>
    <row r="32" spans="2:31" x14ac:dyDescent="0.2">
      <c r="B32" s="9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98"/>
      <c r="Q32" s="10"/>
      <c r="R32" s="97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98"/>
    </row>
    <row r="33" spans="1:31" x14ac:dyDescent="0.2">
      <c r="B33" s="9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98"/>
      <c r="Q33" s="10"/>
      <c r="R33" s="97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98"/>
    </row>
    <row r="34" spans="1:31" x14ac:dyDescent="0.2">
      <c r="B34" s="9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98"/>
      <c r="Q34" s="10"/>
      <c r="R34" s="97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98"/>
    </row>
    <row r="35" spans="1:31" x14ac:dyDescent="0.2">
      <c r="A35" s="228">
        <f>B3</f>
        <v>43742</v>
      </c>
      <c r="B35" s="9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98"/>
      <c r="Q35" s="10"/>
      <c r="R35" s="97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98"/>
    </row>
    <row r="36" spans="1:31" x14ac:dyDescent="0.2">
      <c r="A36" s="228">
        <f>B3</f>
        <v>43742</v>
      </c>
      <c r="B36" s="9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98"/>
      <c r="Q36" s="10"/>
      <c r="R36" s="97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98"/>
    </row>
    <row r="37" spans="1:31" x14ac:dyDescent="0.2">
      <c r="A37" s="229">
        <v>0</v>
      </c>
      <c r="B37" s="9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98"/>
      <c r="Q37" s="10"/>
      <c r="R37" s="97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98"/>
    </row>
    <row r="38" spans="1:31" x14ac:dyDescent="0.2">
      <c r="A38" s="230">
        <v>1</v>
      </c>
      <c r="B38" s="97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98"/>
      <c r="Q38" s="10"/>
      <c r="R38" s="97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98"/>
    </row>
    <row r="39" spans="1:31" x14ac:dyDescent="0.2">
      <c r="A39" s="231">
        <f>B4</f>
        <v>43759</v>
      </c>
      <c r="B39" s="97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98"/>
      <c r="Q39" s="10"/>
      <c r="R39" s="97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98"/>
    </row>
    <row r="40" spans="1:31" ht="15" thickBot="1" x14ac:dyDescent="0.25">
      <c r="A40" s="231">
        <f>B4</f>
        <v>43759</v>
      </c>
      <c r="B40" s="99"/>
      <c r="C40" s="100"/>
      <c r="D40" s="100"/>
      <c r="E40" s="100"/>
      <c r="F40" s="100"/>
      <c r="G40" s="100"/>
      <c r="H40" s="100"/>
      <c r="I40" s="100"/>
      <c r="J40" s="100"/>
      <c r="K40" s="100"/>
      <c r="L40" s="100"/>
      <c r="M40" s="100"/>
      <c r="N40" s="100"/>
      <c r="O40" s="100"/>
      <c r="P40" s="101"/>
      <c r="R40" s="99"/>
      <c r="S40" s="100"/>
      <c r="T40" s="100"/>
      <c r="U40" s="100"/>
      <c r="V40" s="100"/>
      <c r="W40" s="100"/>
      <c r="X40" s="100"/>
      <c r="Y40" s="100"/>
      <c r="Z40" s="100"/>
      <c r="AA40" s="100"/>
      <c r="AB40" s="100"/>
      <c r="AC40" s="100"/>
      <c r="AD40" s="100"/>
      <c r="AE40" s="101"/>
    </row>
    <row r="41" spans="1:31" ht="15" thickBot="1" x14ac:dyDescent="0.25"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</row>
    <row r="42" spans="1:31" ht="18" x14ac:dyDescent="0.25">
      <c r="B42" s="94"/>
      <c r="C42" s="95"/>
      <c r="D42" s="95"/>
      <c r="E42" s="95"/>
      <c r="F42" s="95"/>
      <c r="G42" s="95"/>
      <c r="H42" s="95"/>
      <c r="I42" s="95"/>
      <c r="J42" s="95"/>
      <c r="K42" s="95"/>
      <c r="L42" s="95"/>
      <c r="M42" s="95"/>
      <c r="N42" s="95"/>
      <c r="O42" s="95"/>
      <c r="P42" s="96"/>
      <c r="R42" s="247" t="s">
        <v>2221</v>
      </c>
      <c r="S42" s="95"/>
      <c r="T42" s="95"/>
      <c r="U42" s="95"/>
      <c r="V42" s="95"/>
      <c r="W42" s="95"/>
      <c r="X42" s="95"/>
      <c r="Y42" s="95"/>
      <c r="Z42" s="95"/>
      <c r="AA42" s="95"/>
      <c r="AB42" s="95"/>
      <c r="AC42" s="95"/>
      <c r="AD42" s="95"/>
      <c r="AE42" s="96"/>
    </row>
    <row r="43" spans="1:31" x14ac:dyDescent="0.2">
      <c r="B43" s="97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98"/>
      <c r="R43" s="97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98"/>
    </row>
    <row r="44" spans="1:31" x14ac:dyDescent="0.2">
      <c r="A44" s="206" t="s">
        <v>2215</v>
      </c>
      <c r="B44" s="9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98"/>
      <c r="R44" s="97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98"/>
    </row>
    <row r="45" spans="1:31" x14ac:dyDescent="0.2">
      <c r="A45" s="106">
        <v>2.2862678614676679</v>
      </c>
      <c r="B45" s="97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98"/>
      <c r="R45" s="97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98"/>
    </row>
    <row r="46" spans="1:31" x14ac:dyDescent="0.2">
      <c r="A46" s="206" t="s">
        <v>1753</v>
      </c>
      <c r="B46" s="9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98"/>
      <c r="R46" s="97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98"/>
    </row>
    <row r="47" spans="1:31" x14ac:dyDescent="0.2">
      <c r="A47" s="106">
        <v>1940.8127875999032</v>
      </c>
      <c r="B47" s="97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98"/>
      <c r="R47" s="97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98"/>
    </row>
    <row r="48" spans="1:31" x14ac:dyDescent="0.2">
      <c r="A48" s="206" t="s">
        <v>1754</v>
      </c>
      <c r="B48" s="9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98"/>
      <c r="R48" s="97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98"/>
    </row>
    <row r="49" spans="1:31" x14ac:dyDescent="0.2">
      <c r="A49" s="106">
        <v>1362</v>
      </c>
      <c r="B49" s="97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98"/>
      <c r="R49" s="97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98"/>
    </row>
    <row r="50" spans="1:31" x14ac:dyDescent="0.2">
      <c r="B50" s="97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98"/>
      <c r="R50" s="97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98"/>
    </row>
    <row r="51" spans="1:31" x14ac:dyDescent="0.2">
      <c r="B51" s="97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98"/>
      <c r="R51" s="97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98"/>
    </row>
    <row r="52" spans="1:31" x14ac:dyDescent="0.2">
      <c r="B52" s="97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98"/>
      <c r="R52" s="97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98"/>
    </row>
    <row r="53" spans="1:31" x14ac:dyDescent="0.2">
      <c r="B53" s="97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98"/>
      <c r="R53" s="97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98"/>
    </row>
    <row r="54" spans="1:31" x14ac:dyDescent="0.2">
      <c r="B54" s="97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98"/>
      <c r="R54" s="97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98"/>
    </row>
    <row r="55" spans="1:31" x14ac:dyDescent="0.2">
      <c r="B55" s="97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98"/>
      <c r="R55" s="97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98"/>
    </row>
    <row r="56" spans="1:31" x14ac:dyDescent="0.2">
      <c r="B56" s="97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98"/>
      <c r="R56" s="97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98"/>
    </row>
    <row r="57" spans="1:31" x14ac:dyDescent="0.2">
      <c r="B57" s="97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98"/>
      <c r="R57" s="97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98"/>
    </row>
    <row r="58" spans="1:31" x14ac:dyDescent="0.2">
      <c r="B58" s="97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98"/>
      <c r="R58" s="97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98"/>
    </row>
    <row r="59" spans="1:31" x14ac:dyDescent="0.2">
      <c r="B59" s="97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98"/>
      <c r="R59" s="97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98"/>
    </row>
    <row r="60" spans="1:31" x14ac:dyDescent="0.2">
      <c r="B60" s="97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98"/>
      <c r="R60" s="97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98"/>
    </row>
    <row r="61" spans="1:31" x14ac:dyDescent="0.2">
      <c r="B61" s="97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98"/>
      <c r="R61" s="97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98"/>
    </row>
    <row r="62" spans="1:31" x14ac:dyDescent="0.2">
      <c r="B62" s="97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98"/>
      <c r="R62" s="97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98"/>
    </row>
    <row r="63" spans="1:31" x14ac:dyDescent="0.2">
      <c r="B63" s="97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98"/>
      <c r="R63" s="97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98"/>
    </row>
    <row r="64" spans="1:31" x14ac:dyDescent="0.2">
      <c r="B64" s="97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98"/>
      <c r="R64" s="97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98"/>
    </row>
    <row r="65" spans="1:32" x14ac:dyDescent="0.2">
      <c r="B65" s="97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98"/>
      <c r="R65" s="97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98"/>
    </row>
    <row r="66" spans="1:32" x14ac:dyDescent="0.2">
      <c r="B66" s="97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98"/>
      <c r="R66" s="97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98"/>
    </row>
    <row r="67" spans="1:32" x14ac:dyDescent="0.2">
      <c r="B67" s="97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98"/>
      <c r="R67" s="97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98"/>
    </row>
    <row r="68" spans="1:32" x14ac:dyDescent="0.2">
      <c r="B68" s="97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98"/>
      <c r="R68" s="97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98"/>
    </row>
    <row r="69" spans="1:32" x14ac:dyDescent="0.2">
      <c r="B69" s="97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98"/>
      <c r="R69" s="97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98"/>
    </row>
    <row r="70" spans="1:32" x14ac:dyDescent="0.2">
      <c r="B70" s="97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98"/>
      <c r="R70" s="97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98"/>
    </row>
    <row r="71" spans="1:32" x14ac:dyDescent="0.2">
      <c r="B71" s="97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98"/>
      <c r="R71" s="97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98"/>
    </row>
    <row r="72" spans="1:32" x14ac:dyDescent="0.2">
      <c r="B72" s="97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98"/>
      <c r="R72" s="97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98"/>
    </row>
    <row r="73" spans="1:32" x14ac:dyDescent="0.2">
      <c r="B73" s="97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98"/>
      <c r="R73" s="97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98"/>
    </row>
    <row r="74" spans="1:32" x14ac:dyDescent="0.2">
      <c r="B74" s="97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98"/>
      <c r="R74" s="97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98"/>
    </row>
    <row r="75" spans="1:32" x14ac:dyDescent="0.2">
      <c r="B75" s="97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98"/>
      <c r="R75" s="97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98"/>
    </row>
    <row r="76" spans="1:32" x14ac:dyDescent="0.2">
      <c r="B76" s="97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98"/>
      <c r="R76" s="97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98"/>
    </row>
    <row r="77" spans="1:32" x14ac:dyDescent="0.2">
      <c r="B77" s="97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98"/>
      <c r="R77" s="97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98"/>
    </row>
    <row r="78" spans="1:32" ht="15" thickBot="1" x14ac:dyDescent="0.25">
      <c r="B78" s="99"/>
      <c r="C78" s="100"/>
      <c r="D78" s="100"/>
      <c r="E78" s="100"/>
      <c r="F78" s="100"/>
      <c r="G78" s="100"/>
      <c r="H78" s="100"/>
      <c r="I78" s="100"/>
      <c r="J78" s="100"/>
      <c r="K78" s="100"/>
      <c r="L78" s="100"/>
      <c r="M78" s="100"/>
      <c r="N78" s="100"/>
      <c r="O78" s="100"/>
      <c r="P78" s="101"/>
      <c r="R78" s="99"/>
      <c r="S78" s="100"/>
      <c r="T78" s="100"/>
      <c r="U78" s="100"/>
      <c r="V78" s="100"/>
      <c r="W78" s="100"/>
      <c r="X78" s="100"/>
      <c r="Y78" s="100"/>
      <c r="Z78" s="100"/>
      <c r="AA78" s="100"/>
      <c r="AB78" s="100"/>
      <c r="AC78" s="100"/>
      <c r="AD78" s="100"/>
      <c r="AE78" s="101"/>
    </row>
    <row r="79" spans="1:32" x14ac:dyDescent="0.2">
      <c r="A79" s="10"/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</row>
    <row r="80" spans="1:32" ht="15" thickBot="1" x14ac:dyDescent="0.25">
      <c r="A80" s="219"/>
      <c r="B80" s="100"/>
      <c r="C80" s="100"/>
      <c r="D80" s="100"/>
      <c r="E80" s="100"/>
      <c r="F80" s="100"/>
      <c r="G80" s="100"/>
      <c r="H80" s="100"/>
      <c r="I80" s="100"/>
      <c r="J80" s="100"/>
      <c r="K80" s="100"/>
      <c r="L80" s="100"/>
      <c r="M80" s="100"/>
      <c r="N80" s="100"/>
      <c r="O80" s="100"/>
      <c r="P80" s="100"/>
      <c r="Q80" s="100"/>
      <c r="R80" s="100"/>
      <c r="S80" s="100"/>
      <c r="T80" s="100"/>
      <c r="U80" s="100"/>
      <c r="V80" s="100"/>
      <c r="W80" s="100"/>
      <c r="X80" s="100"/>
      <c r="Y80" s="100"/>
      <c r="Z80" s="100"/>
      <c r="AA80" s="100"/>
      <c r="AB80" s="100"/>
      <c r="AC80" s="100"/>
      <c r="AD80" s="100"/>
      <c r="AE80" s="100"/>
      <c r="AF80" s="100"/>
    </row>
    <row r="81" spans="1:28" x14ac:dyDescent="0.2">
      <c r="A81" s="106" t="s">
        <v>868</v>
      </c>
      <c r="B81" s="106" t="s">
        <v>2337</v>
      </c>
      <c r="C81" s="106" t="s">
        <v>2338</v>
      </c>
      <c r="D81" s="106" t="s">
        <v>2339</v>
      </c>
      <c r="E81" s="106" t="s">
        <v>2340</v>
      </c>
      <c r="F81" s="106" t="s">
        <v>869</v>
      </c>
      <c r="G81" s="106" t="s">
        <v>870</v>
      </c>
      <c r="H81" s="106" t="s">
        <v>871</v>
      </c>
      <c r="I81" s="106" t="s">
        <v>872</v>
      </c>
      <c r="J81" s="106" t="s">
        <v>873</v>
      </c>
      <c r="K81" s="106" t="s">
        <v>33</v>
      </c>
      <c r="L81" s="106" t="s">
        <v>35</v>
      </c>
      <c r="M81" s="106" t="s">
        <v>34</v>
      </c>
      <c r="N81" s="106" t="s">
        <v>36</v>
      </c>
      <c r="P81" s="106" t="s">
        <v>211</v>
      </c>
      <c r="Q81" s="106" t="s">
        <v>212</v>
      </c>
      <c r="R81" s="106" t="s">
        <v>213</v>
      </c>
      <c r="S81" s="106" t="s">
        <v>214</v>
      </c>
      <c r="U81" s="106" t="s">
        <v>1775</v>
      </c>
      <c r="V81" s="106" t="s">
        <v>1776</v>
      </c>
      <c r="W81" s="106" t="s">
        <v>1777</v>
      </c>
      <c r="X81" s="106" t="s">
        <v>1778</v>
      </c>
      <c r="Y81" s="106" t="s">
        <v>868</v>
      </c>
      <c r="AA81" s="106" t="s">
        <v>2341</v>
      </c>
      <c r="AB81" s="106" t="s">
        <v>2342</v>
      </c>
    </row>
    <row r="82" spans="1:28" x14ac:dyDescent="0.2">
      <c r="A82" s="14">
        <v>43817</v>
      </c>
      <c r="B82" s="106">
        <v>834.2</v>
      </c>
      <c r="C82" s="106">
        <v>825</v>
      </c>
      <c r="D82" s="106">
        <v>1865.5</v>
      </c>
      <c r="E82" s="106">
        <v>1864</v>
      </c>
      <c r="F82" s="106">
        <v>0.44259656652360502</v>
      </c>
      <c r="G82" s="106">
        <v>0.445082187958391</v>
      </c>
      <c r="H82" s="106">
        <v>1.5868995883485101E-2</v>
      </c>
      <c r="I82" s="106">
        <v>-0.15663381936929899</v>
      </c>
      <c r="J82" s="106">
        <v>-0.56000000000000005</v>
      </c>
      <c r="K82" s="106">
        <v>0.76668823614399095</v>
      </c>
      <c r="L82" s="106">
        <v>0.87785529251227901</v>
      </c>
      <c r="M82" s="106">
        <v>0.76584238172959496</v>
      </c>
      <c r="N82" s="106">
        <v>0.457691437673302</v>
      </c>
      <c r="P82" s="106">
        <v>0.46095118384187611</v>
      </c>
      <c r="Q82" s="106">
        <v>0.42921319207490588</v>
      </c>
      <c r="R82" s="106">
        <v>0.47682017972536117</v>
      </c>
      <c r="S82" s="106">
        <v>0.41334419619142082</v>
      </c>
      <c r="U82" s="106">
        <v>-138170</v>
      </c>
      <c r="V82" s="106">
        <v>180539.00000000003</v>
      </c>
      <c r="W82" s="106">
        <v>42369.000000000029</v>
      </c>
      <c r="X82" s="106">
        <v>2.1678864833666958</v>
      </c>
      <c r="Y82" s="14">
        <v>43817</v>
      </c>
      <c r="AA82" s="106">
        <v>1864</v>
      </c>
      <c r="AB82" s="106">
        <v>1886.170985710826</v>
      </c>
    </row>
    <row r="83" spans="1:28" x14ac:dyDescent="0.2">
      <c r="A83" s="14">
        <v>43816</v>
      </c>
      <c r="B83" s="106">
        <v>831.2</v>
      </c>
      <c r="C83" s="106">
        <v>833</v>
      </c>
      <c r="D83" s="106">
        <v>1882</v>
      </c>
      <c r="E83" s="106">
        <v>1873</v>
      </c>
      <c r="F83" s="106">
        <v>0.44474105712760198</v>
      </c>
      <c r="G83" s="106">
        <v>0.445414069534463</v>
      </c>
      <c r="H83" s="106">
        <v>1.60725207914371E-2</v>
      </c>
      <c r="I83" s="106">
        <v>-4.1873481801291697E-2</v>
      </c>
      <c r="J83" s="106">
        <v>-0.15</v>
      </c>
      <c r="K83" s="106">
        <v>0.75532750355648903</v>
      </c>
      <c r="L83" s="106">
        <v>0.87041499991061</v>
      </c>
      <c r="M83" s="106">
        <v>0.76466881856828905</v>
      </c>
      <c r="N83" s="106">
        <v>0.41625372150496798</v>
      </c>
      <c r="P83" s="106">
        <v>0.46148659032590011</v>
      </c>
      <c r="Q83" s="106">
        <v>0.42934154874302588</v>
      </c>
      <c r="R83" s="106">
        <v>0.47755911111733718</v>
      </c>
      <c r="S83" s="106">
        <v>0.41326902795158882</v>
      </c>
      <c r="U83" s="106">
        <v>-143570</v>
      </c>
      <c r="V83" s="106">
        <v>191739.00000000003</v>
      </c>
      <c r="W83" s="106">
        <v>48169.000000000029</v>
      </c>
      <c r="X83" s="106">
        <v>2.4646539691116227</v>
      </c>
      <c r="Y83" s="14">
        <v>43816</v>
      </c>
      <c r="AA83" s="106">
        <v>1873</v>
      </c>
      <c r="AB83" s="106">
        <v>1904.4611286025674</v>
      </c>
    </row>
    <row r="84" spans="1:28" x14ac:dyDescent="0.2">
      <c r="A84" s="14">
        <v>43815</v>
      </c>
      <c r="B84" s="106">
        <v>833.2</v>
      </c>
      <c r="C84" s="106">
        <v>829</v>
      </c>
      <c r="D84" s="106">
        <v>1871</v>
      </c>
      <c r="E84" s="106">
        <v>1865</v>
      </c>
      <c r="F84" s="106">
        <v>0.444504021447721</v>
      </c>
      <c r="G84" s="106">
        <v>0.44572108015853001</v>
      </c>
      <c r="H84" s="106">
        <v>1.62753675656356E-2</v>
      </c>
      <c r="I84" s="106">
        <v>-7.4779184304191407E-2</v>
      </c>
      <c r="J84" s="106">
        <v>-0.27</v>
      </c>
      <c r="K84" s="106">
        <v>0.74200913011673297</v>
      </c>
      <c r="L84" s="106">
        <v>0.86996156921330703</v>
      </c>
      <c r="M84" s="106">
        <v>0.76433604866163696</v>
      </c>
      <c r="N84" s="106">
        <v>0.41787564104992803</v>
      </c>
      <c r="P84" s="106">
        <v>0.46199644772416559</v>
      </c>
      <c r="Q84" s="106">
        <v>0.42944571259289444</v>
      </c>
      <c r="R84" s="106">
        <v>0.47827181528980123</v>
      </c>
      <c r="S84" s="106">
        <v>0.4131703450272588</v>
      </c>
      <c r="U84" s="106">
        <v>-138770</v>
      </c>
      <c r="V84" s="106">
        <v>186139.00000000003</v>
      </c>
      <c r="W84" s="106">
        <v>47369.000000000029</v>
      </c>
      <c r="X84" s="106">
        <v>2.4237205228019776</v>
      </c>
      <c r="Y84" s="14">
        <v>43815</v>
      </c>
      <c r="AA84" s="106">
        <v>1865</v>
      </c>
      <c r="AB84" s="106">
        <v>1895.3160571566966</v>
      </c>
    </row>
    <row r="85" spans="1:28" x14ac:dyDescent="0.2">
      <c r="A85" s="14">
        <v>43812</v>
      </c>
      <c r="B85" s="106">
        <v>834.9</v>
      </c>
      <c r="C85" s="106">
        <v>837.7</v>
      </c>
      <c r="D85" s="106">
        <v>1860.5</v>
      </c>
      <c r="E85" s="106">
        <v>1872.5</v>
      </c>
      <c r="F85" s="106">
        <v>0.44736982643524698</v>
      </c>
      <c r="G85" s="106">
        <v>0.44603411565511297</v>
      </c>
      <c r="H85" s="106">
        <v>1.6473523444535901E-2</v>
      </c>
      <c r="I85" s="106">
        <v>8.1082276334563996E-2</v>
      </c>
      <c r="J85" s="106">
        <v>0.3</v>
      </c>
      <c r="K85" s="106">
        <v>0.73050699510223605</v>
      </c>
      <c r="L85" s="106">
        <v>0.86874835270978501</v>
      </c>
      <c r="M85" s="106">
        <v>0.763840804018032</v>
      </c>
      <c r="N85" s="106">
        <v>0.40759828879646098</v>
      </c>
      <c r="P85" s="106">
        <v>0.46250763909964887</v>
      </c>
      <c r="Q85" s="106">
        <v>0.42956059221057707</v>
      </c>
      <c r="R85" s="106">
        <v>0.47898116254418477</v>
      </c>
      <c r="S85" s="106">
        <v>0.41308706876604118</v>
      </c>
      <c r="U85" s="106">
        <v>-143270</v>
      </c>
      <c r="V85" s="106">
        <v>198319.00000000012</v>
      </c>
      <c r="W85" s="106">
        <v>55049.000000000116</v>
      </c>
      <c r="X85" s="106">
        <v>2.8166816073745755</v>
      </c>
      <c r="Y85" s="14">
        <v>43812</v>
      </c>
      <c r="AA85" s="106">
        <v>1872.5</v>
      </c>
      <c r="AB85" s="106">
        <v>1915.2065875514654</v>
      </c>
    </row>
    <row r="86" spans="1:28" x14ac:dyDescent="0.2">
      <c r="A86" s="14">
        <v>43811</v>
      </c>
      <c r="B86" s="106">
        <v>824</v>
      </c>
      <c r="C86" s="106">
        <v>814.9</v>
      </c>
      <c r="D86" s="106">
        <v>1812.5</v>
      </c>
      <c r="E86" s="106">
        <v>1808.5</v>
      </c>
      <c r="F86" s="106">
        <v>0.45059441526126598</v>
      </c>
      <c r="G86" s="106">
        <v>0.44635097637535998</v>
      </c>
      <c r="H86" s="106">
        <v>1.6722831585109999E-2</v>
      </c>
      <c r="I86" s="106">
        <v>0.253751218165984</v>
      </c>
      <c r="J86" s="106">
        <v>0.94</v>
      </c>
      <c r="K86" s="106">
        <v>0.72855862371139801</v>
      </c>
      <c r="L86" s="106">
        <v>0.78413338970160396</v>
      </c>
      <c r="M86" s="106">
        <v>0.76487177987244204</v>
      </c>
      <c r="N86" s="106">
        <v>0.40500022072442199</v>
      </c>
      <c r="P86" s="106">
        <v>0.46307380796046999</v>
      </c>
      <c r="Q86" s="106">
        <v>0.42962814479024997</v>
      </c>
      <c r="R86" s="106">
        <v>0.47979663954557999</v>
      </c>
      <c r="S86" s="106">
        <v>0.41290531320513996</v>
      </c>
      <c r="U86" s="106">
        <v>-104870</v>
      </c>
      <c r="V86" s="106">
        <v>166399</v>
      </c>
      <c r="W86" s="106">
        <v>61529</v>
      </c>
      <c r="X86" s="106">
        <v>3.1482425224826955</v>
      </c>
      <c r="Y86" s="14">
        <v>43811</v>
      </c>
      <c r="AA86" s="106">
        <v>1808.5</v>
      </c>
      <c r="AB86" s="106">
        <v>1863.0796803100025</v>
      </c>
    </row>
    <row r="87" spans="1:28" x14ac:dyDescent="0.2">
      <c r="A87" s="14">
        <v>43810</v>
      </c>
      <c r="B87" s="106">
        <v>827.2</v>
      </c>
      <c r="C87" s="106">
        <v>823.4</v>
      </c>
      <c r="D87" s="106">
        <v>1831.5</v>
      </c>
      <c r="E87" s="106">
        <v>1824</v>
      </c>
      <c r="F87" s="106">
        <v>0.45142543859649098</v>
      </c>
      <c r="G87" s="106">
        <v>0.44677781291198698</v>
      </c>
      <c r="H87" s="106">
        <v>1.72266544484082E-2</v>
      </c>
      <c r="I87" s="106">
        <v>0.26979270399965299</v>
      </c>
      <c r="J87" s="106">
        <v>1.03</v>
      </c>
      <c r="K87" s="106">
        <v>0.723584150914937</v>
      </c>
      <c r="L87" s="106">
        <v>0.75561899760294504</v>
      </c>
      <c r="M87" s="106">
        <v>0.76446278632990605</v>
      </c>
      <c r="N87" s="106">
        <v>0.49079249665174601</v>
      </c>
      <c r="P87" s="106">
        <v>0.46400446736039519</v>
      </c>
      <c r="Q87" s="106">
        <v>0.42955115846357877</v>
      </c>
      <c r="R87" s="106">
        <v>0.4812311218088034</v>
      </c>
      <c r="S87" s="106">
        <v>0.41232450401517057</v>
      </c>
      <c r="U87" s="106">
        <v>-114170</v>
      </c>
      <c r="V87" s="106">
        <v>178299</v>
      </c>
      <c r="W87" s="106">
        <v>64129</v>
      </c>
      <c r="X87" s="106">
        <v>3.281276222989042</v>
      </c>
      <c r="Y87" s="14">
        <v>43810</v>
      </c>
      <c r="AA87" s="106">
        <v>1824</v>
      </c>
      <c r="AB87" s="106">
        <v>1882.5129571324778</v>
      </c>
    </row>
    <row r="88" spans="1:28" x14ac:dyDescent="0.2">
      <c r="A88" s="14">
        <v>43809</v>
      </c>
      <c r="B88" s="106">
        <v>835</v>
      </c>
      <c r="C88" s="106">
        <v>829.2</v>
      </c>
      <c r="D88" s="106">
        <v>1830</v>
      </c>
      <c r="E88" s="106">
        <v>1825.5</v>
      </c>
      <c r="F88" s="106">
        <v>0.454231717337715</v>
      </c>
      <c r="G88" s="106">
        <v>0.44720946417275498</v>
      </c>
      <c r="H88" s="106">
        <v>1.7735777921076699E-2</v>
      </c>
      <c r="I88" s="106">
        <v>0.39593713882799803</v>
      </c>
      <c r="J88" s="106">
        <v>1.55</v>
      </c>
      <c r="K88" s="106">
        <v>0.72020857279667805</v>
      </c>
      <c r="L88" s="106">
        <v>0.73033928970242701</v>
      </c>
      <c r="M88" s="106">
        <v>0.76172820632952498</v>
      </c>
      <c r="N88" s="106">
        <v>0.54056933045491495</v>
      </c>
      <c r="P88" s="106">
        <v>0.4649452420938317</v>
      </c>
      <c r="Q88" s="106">
        <v>0.42947368625167825</v>
      </c>
      <c r="R88" s="106">
        <v>0.48268102001490837</v>
      </c>
      <c r="S88" s="106">
        <v>0.41173790833060159</v>
      </c>
      <c r="U88" s="106">
        <v>-115070</v>
      </c>
      <c r="V88" s="106">
        <v>186419.00000000012</v>
      </c>
      <c r="W88" s="106">
        <v>71349.000000000116</v>
      </c>
      <c r="X88" s="106">
        <v>3.6507005759335955</v>
      </c>
      <c r="Y88" s="14">
        <v>43809</v>
      </c>
      <c r="AA88" s="106">
        <v>1825.5</v>
      </c>
      <c r="AB88" s="106">
        <v>1895.7733107289903</v>
      </c>
    </row>
    <row r="89" spans="1:28" x14ac:dyDescent="0.2">
      <c r="A89" s="14">
        <v>43808</v>
      </c>
      <c r="B89" s="106">
        <v>830.7</v>
      </c>
      <c r="C89" s="106">
        <v>831</v>
      </c>
      <c r="D89" s="106">
        <v>1839</v>
      </c>
      <c r="E89" s="106">
        <v>1833</v>
      </c>
      <c r="F89" s="106">
        <v>0.45335515548281502</v>
      </c>
      <c r="G89" s="106">
        <v>0.447683300640913</v>
      </c>
      <c r="H89" s="106">
        <v>1.8380075397977098E-2</v>
      </c>
      <c r="I89" s="106">
        <v>0.308587136836526</v>
      </c>
      <c r="J89" s="106">
        <v>1.25</v>
      </c>
      <c r="K89" s="106">
        <v>0.71622371924462203</v>
      </c>
      <c r="L89" s="106">
        <v>0.70304393879735105</v>
      </c>
      <c r="M89" s="106">
        <v>0.76014629409386203</v>
      </c>
      <c r="N89" s="106">
        <v>0.51010654885593198</v>
      </c>
      <c r="P89" s="106">
        <v>0.46606337603889009</v>
      </c>
      <c r="Q89" s="106">
        <v>0.4293032252429359</v>
      </c>
      <c r="R89" s="106">
        <v>0.48444345143686718</v>
      </c>
      <c r="S89" s="106">
        <v>0.41092314984495881</v>
      </c>
      <c r="U89" s="106">
        <v>-119570</v>
      </c>
      <c r="V89" s="106">
        <v>188939.00000000003</v>
      </c>
      <c r="W89" s="106">
        <v>69369.000000000029</v>
      </c>
      <c r="X89" s="106">
        <v>3.5493902963172195</v>
      </c>
      <c r="Y89" s="14">
        <v>43808</v>
      </c>
      <c r="AA89" s="106">
        <v>1833</v>
      </c>
      <c r="AB89" s="106">
        <v>1899.8885928796321</v>
      </c>
    </row>
    <row r="90" spans="1:28" ht="15" customHeight="1" x14ac:dyDescent="0.2">
      <c r="A90" s="14">
        <v>43805</v>
      </c>
      <c r="B90" s="106">
        <v>826.6</v>
      </c>
      <c r="C90" s="106">
        <v>824.9</v>
      </c>
      <c r="D90" s="106">
        <v>1815</v>
      </c>
      <c r="E90" s="106">
        <v>1802</v>
      </c>
      <c r="F90" s="106">
        <v>0.45776914539400598</v>
      </c>
      <c r="G90" s="106">
        <v>0.44819840985695703</v>
      </c>
      <c r="H90" s="106">
        <v>1.9060571774401298E-2</v>
      </c>
      <c r="I90" s="106">
        <v>0.50212216350733196</v>
      </c>
      <c r="J90" s="106">
        <v>2.09</v>
      </c>
      <c r="K90" s="106">
        <v>0.72973436163930605</v>
      </c>
      <c r="L90" s="106">
        <v>0.60960178277347499</v>
      </c>
      <c r="M90" s="106">
        <v>0.76082409107200899</v>
      </c>
      <c r="N90" s="106">
        <v>0.36394770316604602</v>
      </c>
      <c r="P90" s="106">
        <v>0.46725898163135832</v>
      </c>
      <c r="Q90" s="106">
        <v>0.42913783808255573</v>
      </c>
      <c r="R90" s="106">
        <v>0.48631955340575961</v>
      </c>
      <c r="S90" s="106">
        <v>0.41007726630815444</v>
      </c>
      <c r="U90" s="106">
        <v>-100970</v>
      </c>
      <c r="V90" s="106">
        <v>180399</v>
      </c>
      <c r="W90" s="106">
        <v>79429</v>
      </c>
      <c r="X90" s="106">
        <v>4.0641283836610054</v>
      </c>
      <c r="Y90" s="14">
        <v>43805</v>
      </c>
      <c r="AA90" s="106">
        <v>1802</v>
      </c>
      <c r="AB90" s="106">
        <v>1885.9423589246792</v>
      </c>
    </row>
    <row r="91" spans="1:28" x14ac:dyDescent="0.2">
      <c r="A91" s="14">
        <v>43804</v>
      </c>
      <c r="B91" s="106">
        <v>819.2</v>
      </c>
      <c r="C91" s="106">
        <v>826.1</v>
      </c>
      <c r="D91" s="106">
        <v>1799</v>
      </c>
      <c r="E91" s="106">
        <v>1797.5</v>
      </c>
      <c r="F91" s="106">
        <v>0.459582753824756</v>
      </c>
      <c r="G91" s="106">
        <v>0.44856080265160603</v>
      </c>
      <c r="H91" s="106">
        <v>1.9492573953860299E-2</v>
      </c>
      <c r="I91" s="106">
        <v>0.56544359914907605</v>
      </c>
      <c r="J91" s="106">
        <v>2.4</v>
      </c>
      <c r="K91" s="106">
        <v>0.745850756865436</v>
      </c>
      <c r="L91" s="106">
        <v>0.660810416548964</v>
      </c>
      <c r="M91" s="106">
        <v>0.76116847510181895</v>
      </c>
      <c r="N91" s="106">
        <v>0.380273733387132</v>
      </c>
      <c r="P91" s="106">
        <v>0.46805337660546631</v>
      </c>
      <c r="Q91" s="106">
        <v>0.42906822869774575</v>
      </c>
      <c r="R91" s="106">
        <v>0.48754595055932665</v>
      </c>
      <c r="S91" s="106">
        <v>0.40957565474388541</v>
      </c>
      <c r="U91" s="106">
        <v>-98270</v>
      </c>
      <c r="V91" s="106">
        <v>182079.00000000006</v>
      </c>
      <c r="W91" s="106">
        <v>83809.000000000058</v>
      </c>
      <c r="X91" s="106">
        <v>4.2882390022063159</v>
      </c>
      <c r="Y91" s="14">
        <v>43804</v>
      </c>
      <c r="AA91" s="106">
        <v>1797.5</v>
      </c>
      <c r="AB91" s="106">
        <v>1888.6858803584405</v>
      </c>
    </row>
    <row r="92" spans="1:28" x14ac:dyDescent="0.2">
      <c r="A92" s="14">
        <v>43803</v>
      </c>
      <c r="B92" s="106">
        <v>809</v>
      </c>
      <c r="C92" s="106">
        <v>813.2</v>
      </c>
      <c r="D92" s="106">
        <v>1759</v>
      </c>
      <c r="E92" s="106">
        <v>1779</v>
      </c>
      <c r="F92" s="106">
        <v>0.457110736368746</v>
      </c>
      <c r="G92" s="106">
        <v>0.448826994129706</v>
      </c>
      <c r="H92" s="106">
        <v>1.9775535975500899E-2</v>
      </c>
      <c r="I92" s="106">
        <v>0.41888838053758698</v>
      </c>
      <c r="J92" s="106">
        <v>1.81</v>
      </c>
      <c r="K92" s="106">
        <v>0.76570177873969003</v>
      </c>
      <c r="L92" s="106">
        <v>0.64486150018946797</v>
      </c>
      <c r="M92" s="106">
        <v>0.76299028262187096</v>
      </c>
      <c r="N92" s="106">
        <v>0.37362932947783001</v>
      </c>
      <c r="P92" s="106">
        <v>0.46860253010520692</v>
      </c>
      <c r="Q92" s="106">
        <v>0.42905145815420509</v>
      </c>
      <c r="R92" s="106">
        <v>0.48837806608070777</v>
      </c>
      <c r="S92" s="106">
        <v>0.40927592217870423</v>
      </c>
      <c r="U92" s="106">
        <v>-87170</v>
      </c>
      <c r="V92" s="106">
        <v>164019.00000000012</v>
      </c>
      <c r="W92" s="106">
        <v>76849.000000000116</v>
      </c>
      <c r="X92" s="106">
        <v>3.9321180193124063</v>
      </c>
      <c r="Y92" s="14">
        <v>43803</v>
      </c>
      <c r="AA92" s="106">
        <v>1779</v>
      </c>
      <c r="AB92" s="106">
        <v>1859.1930249455077</v>
      </c>
    </row>
    <row r="93" spans="1:28" x14ac:dyDescent="0.2">
      <c r="A93" s="14">
        <v>43802</v>
      </c>
      <c r="B93" s="106">
        <v>814.4</v>
      </c>
      <c r="C93" s="106">
        <v>815.2</v>
      </c>
      <c r="D93" s="106">
        <v>1775</v>
      </c>
      <c r="E93" s="106">
        <v>1788</v>
      </c>
      <c r="F93" s="106">
        <v>0.45592841163310899</v>
      </c>
      <c r="G93" s="106">
        <v>0.44902501920242099</v>
      </c>
      <c r="H93" s="106">
        <v>1.9931242590822101E-2</v>
      </c>
      <c r="I93" s="106">
        <v>0.346360363596525</v>
      </c>
      <c r="J93" s="106">
        <v>1.51</v>
      </c>
      <c r="K93" s="106">
        <v>0.78768087471988502</v>
      </c>
      <c r="L93" s="106">
        <v>0.35406053312025598</v>
      </c>
      <c r="M93" s="106">
        <v>0.76501348543041203</v>
      </c>
      <c r="N93" s="106">
        <v>0.50527392223462797</v>
      </c>
      <c r="P93" s="106">
        <v>0.46895626179324312</v>
      </c>
      <c r="Q93" s="106">
        <v>0.42909377661159886</v>
      </c>
      <c r="R93" s="106">
        <v>0.4888875043840652</v>
      </c>
      <c r="S93" s="106">
        <v>0.40916253402077679</v>
      </c>
      <c r="U93" s="106">
        <v>-92570</v>
      </c>
      <c r="V93" s="106">
        <v>166819.00000000012</v>
      </c>
      <c r="W93" s="106">
        <v>74249.000000000116</v>
      </c>
      <c r="X93" s="106">
        <v>3.799084318806059</v>
      </c>
      <c r="Y93" s="14">
        <v>43802</v>
      </c>
      <c r="AA93" s="106">
        <v>1788</v>
      </c>
      <c r="AB93" s="106">
        <v>1863.765560668443</v>
      </c>
    </row>
    <row r="94" spans="1:28" x14ac:dyDescent="0.2">
      <c r="A94" s="14">
        <v>43801</v>
      </c>
      <c r="B94" s="106">
        <v>810.7</v>
      </c>
      <c r="C94" s="106">
        <v>825.2</v>
      </c>
      <c r="D94" s="106">
        <v>1785</v>
      </c>
      <c r="E94" s="106">
        <v>1761.5</v>
      </c>
      <c r="F94" s="106">
        <v>0.46846437695146098</v>
      </c>
      <c r="G94" s="106">
        <v>0.44920238397038997</v>
      </c>
      <c r="H94" s="106">
        <v>2.0050715192116299E-2</v>
      </c>
      <c r="I94" s="106">
        <v>0.96066363700805502</v>
      </c>
      <c r="J94" s="106">
        <v>4.1100000000000003</v>
      </c>
      <c r="K94" s="106">
        <v>0.81155933519818702</v>
      </c>
      <c r="L94" s="106">
        <v>0.59012439002674899</v>
      </c>
      <c r="M94" s="106">
        <v>0.77001965165678199</v>
      </c>
      <c r="N94" s="106">
        <v>0.48157707133989602</v>
      </c>
      <c r="P94" s="106">
        <v>0.46925309916250629</v>
      </c>
      <c r="Q94" s="106">
        <v>0.42915166877827365</v>
      </c>
      <c r="R94" s="106">
        <v>0.48930381435462256</v>
      </c>
      <c r="S94" s="106">
        <v>0.40910095358615739</v>
      </c>
      <c r="U94" s="106">
        <v>-76670</v>
      </c>
      <c r="V94" s="106">
        <v>180819.00000000012</v>
      </c>
      <c r="W94" s="106">
        <v>104149.00000000012</v>
      </c>
      <c r="X94" s="106">
        <v>5.3289718746290466</v>
      </c>
      <c r="Y94" s="14">
        <v>43801</v>
      </c>
      <c r="AA94" s="106">
        <v>1761.5</v>
      </c>
      <c r="AB94" s="106">
        <v>1886.6282392831197</v>
      </c>
    </row>
    <row r="95" spans="1:28" x14ac:dyDescent="0.2">
      <c r="A95" s="14">
        <v>43798</v>
      </c>
      <c r="B95" s="106">
        <v>812</v>
      </c>
      <c r="C95" s="106">
        <v>808.2</v>
      </c>
      <c r="D95" s="106">
        <v>1770.5</v>
      </c>
      <c r="E95" s="106">
        <v>1763</v>
      </c>
      <c r="F95" s="106">
        <v>0.45842314237095799</v>
      </c>
      <c r="G95" s="106">
        <v>0.44908244431590599</v>
      </c>
      <c r="H95" s="106">
        <v>1.9961842467137701E-2</v>
      </c>
      <c r="I95" s="106">
        <v>0.467927650988604</v>
      </c>
      <c r="J95" s="106">
        <v>2.04</v>
      </c>
      <c r="K95" s="106">
        <v>0.83885038473970297</v>
      </c>
      <c r="L95" s="106">
        <v>0.51144375813938903</v>
      </c>
      <c r="M95" s="106">
        <v>0.77249046464230497</v>
      </c>
      <c r="N95" s="106">
        <v>0.38451030241939899</v>
      </c>
      <c r="P95" s="106">
        <v>0.46904428678304372</v>
      </c>
      <c r="Q95" s="106">
        <v>0.42912060184876827</v>
      </c>
      <c r="R95" s="106">
        <v>0.48900612925018139</v>
      </c>
      <c r="S95" s="106">
        <v>0.4091587593816306</v>
      </c>
      <c r="U95" s="106">
        <v>-77570</v>
      </c>
      <c r="V95" s="106">
        <v>157019.00000000012</v>
      </c>
      <c r="W95" s="106">
        <v>79449.000000000116</v>
      </c>
      <c r="X95" s="106">
        <v>4.0651517198187523</v>
      </c>
      <c r="Y95" s="14">
        <v>43798</v>
      </c>
      <c r="AA95" s="106">
        <v>1763</v>
      </c>
      <c r="AB95" s="106">
        <v>1847.7616856381694</v>
      </c>
    </row>
    <row r="96" spans="1:28" x14ac:dyDescent="0.2">
      <c r="A96" s="14">
        <v>43797</v>
      </c>
      <c r="B96" s="106">
        <v>808.9</v>
      </c>
      <c r="C96" s="106">
        <v>811.6</v>
      </c>
      <c r="D96" s="106">
        <v>1781</v>
      </c>
      <c r="E96" s="106">
        <v>1772</v>
      </c>
      <c r="F96" s="106">
        <v>0.45801354401805799</v>
      </c>
      <c r="G96" s="106">
        <v>0.44904111696181598</v>
      </c>
      <c r="H96" s="106">
        <v>1.9945663446608902E-2</v>
      </c>
      <c r="I96" s="106">
        <v>0.44984350008011598</v>
      </c>
      <c r="J96" s="106">
        <v>1.96</v>
      </c>
      <c r="K96" s="106">
        <v>0.85263476657922999</v>
      </c>
      <c r="L96" s="106">
        <v>0.42683721276021303</v>
      </c>
      <c r="M96" s="106">
        <v>0.77528191661054402</v>
      </c>
      <c r="N96" s="106">
        <v>0.37970919135311998</v>
      </c>
      <c r="P96" s="106">
        <v>0.4689867804084249</v>
      </c>
      <c r="Q96" s="106">
        <v>0.42909545351520706</v>
      </c>
      <c r="R96" s="106">
        <v>0.48893244385503376</v>
      </c>
      <c r="S96" s="106">
        <v>0.4091497900685982</v>
      </c>
      <c r="U96" s="106">
        <v>-82970</v>
      </c>
      <c r="V96" s="106">
        <v>161779.00000000006</v>
      </c>
      <c r="W96" s="106">
        <v>78809.000000000058</v>
      </c>
      <c r="X96" s="106">
        <v>4.0324049627710332</v>
      </c>
      <c r="Y96" s="14">
        <v>43797</v>
      </c>
      <c r="AA96" s="106">
        <v>1772</v>
      </c>
      <c r="AB96" s="106">
        <v>1855.5349963671592</v>
      </c>
    </row>
    <row r="97" spans="1:28" x14ac:dyDescent="0.2">
      <c r="A97" s="14">
        <v>43796</v>
      </c>
      <c r="B97" s="106">
        <v>806.3</v>
      </c>
      <c r="C97" s="106">
        <v>809.7</v>
      </c>
      <c r="D97" s="106">
        <v>1780</v>
      </c>
      <c r="E97" s="106">
        <v>1775.5</v>
      </c>
      <c r="F97" s="106">
        <v>0.45604055195719501</v>
      </c>
      <c r="G97" s="106">
        <v>0.44897543882003499</v>
      </c>
      <c r="H97" s="106">
        <v>1.99241088485165E-2</v>
      </c>
      <c r="I97" s="106">
        <v>0.35460121157116498</v>
      </c>
      <c r="J97" s="106">
        <v>1.55</v>
      </c>
      <c r="K97" s="106">
        <v>0.86485231409274399</v>
      </c>
      <c r="L97" s="106">
        <v>0.385056432737165</v>
      </c>
      <c r="M97" s="106">
        <v>0.77711618701190099</v>
      </c>
      <c r="N97" s="106">
        <v>0.51048547358254004</v>
      </c>
      <c r="P97" s="106">
        <v>0.46889954766855146</v>
      </c>
      <c r="Q97" s="106">
        <v>0.42905132997151851</v>
      </c>
      <c r="R97" s="106">
        <v>0.48882365651706799</v>
      </c>
      <c r="S97" s="106">
        <v>0.40912722112300198</v>
      </c>
      <c r="U97" s="106">
        <v>-85070</v>
      </c>
      <c r="V97" s="106">
        <v>159119.00000000012</v>
      </c>
      <c r="W97" s="106">
        <v>74049.000000000116</v>
      </c>
      <c r="X97" s="106">
        <v>3.7888509572286475</v>
      </c>
      <c r="Y97" s="14">
        <v>43796</v>
      </c>
      <c r="AA97" s="106">
        <v>1775.5</v>
      </c>
      <c r="AB97" s="106">
        <v>1851.1910874303708</v>
      </c>
    </row>
    <row r="98" spans="1:28" x14ac:dyDescent="0.2">
      <c r="A98" s="14">
        <v>43795</v>
      </c>
      <c r="B98" s="106">
        <v>809.9</v>
      </c>
      <c r="C98" s="106">
        <v>804.8</v>
      </c>
      <c r="D98" s="106">
        <v>1777</v>
      </c>
      <c r="E98" s="106">
        <v>1774</v>
      </c>
      <c r="F98" s="106">
        <v>0.453664036076662</v>
      </c>
      <c r="G98" s="106">
        <v>0.449057072584227</v>
      </c>
      <c r="H98" s="106">
        <v>1.99653890083549E-2</v>
      </c>
      <c r="I98" s="106">
        <v>0.230747494602172</v>
      </c>
      <c r="J98" s="106">
        <v>1.02</v>
      </c>
      <c r="K98" s="106">
        <v>0.87446069414441896</v>
      </c>
      <c r="L98" s="106">
        <v>0.237622936024144</v>
      </c>
      <c r="M98" s="106">
        <v>0.77950688085609798</v>
      </c>
      <c r="N98" s="106">
        <v>0.50853754487432801</v>
      </c>
      <c r="P98" s="106">
        <v>0.46902246159258187</v>
      </c>
      <c r="Q98" s="106">
        <v>0.42909168357587213</v>
      </c>
      <c r="R98" s="106">
        <v>0.4889878506009368</v>
      </c>
      <c r="S98" s="106">
        <v>0.4091262945675172</v>
      </c>
      <c r="U98" s="106">
        <v>-84170</v>
      </c>
      <c r="V98" s="106">
        <v>152258.99999999997</v>
      </c>
      <c r="W98" s="106">
        <v>68088.999999999971</v>
      </c>
      <c r="X98" s="106">
        <v>3.4838967822217839</v>
      </c>
      <c r="Y98" s="14">
        <v>43795</v>
      </c>
      <c r="AA98" s="106">
        <v>1774</v>
      </c>
      <c r="AB98" s="106">
        <v>1839.9883749091791</v>
      </c>
    </row>
    <row r="99" spans="1:28" x14ac:dyDescent="0.2">
      <c r="A99" s="14">
        <v>43794</v>
      </c>
      <c r="B99" s="106">
        <v>806.7</v>
      </c>
      <c r="C99" s="106">
        <v>805.2</v>
      </c>
      <c r="D99" s="106">
        <v>1750</v>
      </c>
      <c r="E99" s="106">
        <v>1767</v>
      </c>
      <c r="F99" s="106">
        <v>0.455687606112054</v>
      </c>
      <c r="G99" s="106">
        <v>0.44904614090607697</v>
      </c>
      <c r="H99" s="106">
        <v>1.9963087879586599E-2</v>
      </c>
      <c r="I99" s="106">
        <v>0.33268726992723202</v>
      </c>
      <c r="J99" s="106">
        <v>1.46</v>
      </c>
      <c r="K99" s="106">
        <v>0.88422928250119903</v>
      </c>
      <c r="L99" s="106">
        <v>0.32366769952719798</v>
      </c>
      <c r="M99" s="106">
        <v>0.78229365155064801</v>
      </c>
      <c r="N99" s="106">
        <v>0.48694246609956698</v>
      </c>
      <c r="P99" s="106">
        <v>0.46900922878566359</v>
      </c>
      <c r="Q99" s="106">
        <v>0.42908305302649036</v>
      </c>
      <c r="R99" s="106">
        <v>0.48897231666525015</v>
      </c>
      <c r="S99" s="106">
        <v>0.4091199651469038</v>
      </c>
      <c r="U99" s="106">
        <v>-79970</v>
      </c>
      <c r="V99" s="106">
        <v>152819.00000000012</v>
      </c>
      <c r="W99" s="106">
        <v>72849.000000000116</v>
      </c>
      <c r="X99" s="106">
        <v>3.7274507877641803</v>
      </c>
      <c r="Y99" s="14">
        <v>43794</v>
      </c>
      <c r="AA99" s="106">
        <v>1767</v>
      </c>
      <c r="AB99" s="106">
        <v>1840.9028820537662</v>
      </c>
    </row>
    <row r="100" spans="1:28" x14ac:dyDescent="0.2">
      <c r="A100" s="14">
        <v>43791</v>
      </c>
      <c r="B100" s="106">
        <v>798</v>
      </c>
      <c r="C100" s="106">
        <v>796.9</v>
      </c>
      <c r="D100" s="106">
        <v>1745</v>
      </c>
      <c r="E100" s="106">
        <v>1740.5</v>
      </c>
      <c r="F100" s="106">
        <v>0.45785693766159102</v>
      </c>
      <c r="G100" s="106">
        <v>0.44891044662252999</v>
      </c>
      <c r="H100" s="106">
        <v>1.99520679985285E-2</v>
      </c>
      <c r="I100" s="106">
        <v>0.44839918547396002</v>
      </c>
      <c r="J100" s="106">
        <v>1.95</v>
      </c>
      <c r="K100" s="106">
        <v>0.89246212434718897</v>
      </c>
      <c r="L100" s="106">
        <v>0.41462306501364299</v>
      </c>
      <c r="M100" s="106">
        <v>0.78187492630343003</v>
      </c>
      <c r="N100" s="15">
        <v>0.486607412223025</v>
      </c>
      <c r="P100" s="106">
        <v>0.46886251462105849</v>
      </c>
      <c r="Q100" s="106">
        <v>0.42895837862400149</v>
      </c>
      <c r="R100" s="106">
        <v>0.48881458261958699</v>
      </c>
      <c r="S100" s="106">
        <v>0.40900631062547299</v>
      </c>
      <c r="U100" s="106">
        <v>-64070</v>
      </c>
      <c r="V100" s="106">
        <v>141199</v>
      </c>
      <c r="W100" s="106">
        <v>77129</v>
      </c>
      <c r="X100" s="106">
        <v>3.9464447255207755</v>
      </c>
      <c r="Y100" s="14">
        <v>43791</v>
      </c>
      <c r="AA100" s="106">
        <v>1740.5</v>
      </c>
      <c r="AB100" s="106">
        <v>1821.9268588035845</v>
      </c>
    </row>
    <row r="101" spans="1:28" x14ac:dyDescent="0.2">
      <c r="A101" s="14">
        <v>43790</v>
      </c>
      <c r="B101" s="106">
        <v>794.1</v>
      </c>
      <c r="C101" s="106">
        <v>797.4</v>
      </c>
      <c r="D101" s="106">
        <v>1721.5</v>
      </c>
      <c r="E101" s="106">
        <v>1719</v>
      </c>
      <c r="F101" s="106">
        <v>0.463874345549738</v>
      </c>
      <c r="G101" s="106">
        <v>0.44874739851607198</v>
      </c>
      <c r="H101" s="106">
        <v>1.9928242954727001E-2</v>
      </c>
      <c r="I101" s="106">
        <v>0.75907078551940599</v>
      </c>
      <c r="J101" s="106">
        <v>3.26</v>
      </c>
      <c r="K101" s="106">
        <v>0.90122668614733703</v>
      </c>
      <c r="L101" s="106">
        <v>0.41688245898196102</v>
      </c>
      <c r="M101" s="106">
        <v>0.78516738256515095</v>
      </c>
      <c r="N101" s="15">
        <v>0.48558093047594297</v>
      </c>
      <c r="P101" s="106">
        <v>0.46867564147079899</v>
      </c>
      <c r="Q101" s="106">
        <v>0.42881915556134498</v>
      </c>
      <c r="R101" s="106">
        <v>0.48860388442552599</v>
      </c>
      <c r="S101" s="106">
        <v>0.40889091260661797</v>
      </c>
      <c r="U101" s="106">
        <v>-51170</v>
      </c>
      <c r="V101" s="106">
        <v>141899</v>
      </c>
      <c r="W101" s="106">
        <v>90729</v>
      </c>
      <c r="X101" s="106">
        <v>4.6423133127847436</v>
      </c>
      <c r="Y101" s="14">
        <v>43790</v>
      </c>
      <c r="AA101" s="106">
        <v>1719</v>
      </c>
      <c r="AB101" s="106">
        <v>1823.0699927343182</v>
      </c>
    </row>
    <row r="102" spans="1:28" ht="15" customHeight="1" x14ac:dyDescent="0.2">
      <c r="A102" s="14">
        <v>43789</v>
      </c>
      <c r="B102" s="106">
        <v>798.5</v>
      </c>
      <c r="C102" s="106">
        <v>793.8</v>
      </c>
      <c r="D102" s="106">
        <v>1777</v>
      </c>
      <c r="E102" s="106">
        <v>1739</v>
      </c>
      <c r="F102" s="106">
        <v>0.45646923519263899</v>
      </c>
      <c r="G102" s="106">
        <v>0.44845330124746802</v>
      </c>
      <c r="H102" s="106">
        <v>1.9865492108286802E-2</v>
      </c>
      <c r="I102" s="106">
        <v>0.403510464350745</v>
      </c>
      <c r="J102" s="106">
        <v>1.76</v>
      </c>
      <c r="K102" s="106">
        <v>0.90752603159302403</v>
      </c>
      <c r="L102" s="106">
        <v>0.46896418840677401</v>
      </c>
      <c r="M102" s="106">
        <v>0.78754284436159605</v>
      </c>
      <c r="N102" s="15">
        <v>0.50152186497815798</v>
      </c>
      <c r="P102" s="106">
        <v>0.46831879335575483</v>
      </c>
      <c r="Q102" s="106">
        <v>0.42858780913918121</v>
      </c>
      <c r="R102" s="106">
        <v>0.48818428546404163</v>
      </c>
      <c r="S102" s="106">
        <v>0.4087223170308944</v>
      </c>
      <c r="U102" s="106">
        <v>-63170</v>
      </c>
      <c r="V102" s="106">
        <v>136858.99999999997</v>
      </c>
      <c r="W102" s="106">
        <v>73688.999999999971</v>
      </c>
      <c r="X102" s="106">
        <v>3.7704309063893002</v>
      </c>
      <c r="Y102" s="14">
        <v>43789</v>
      </c>
      <c r="AA102" s="106">
        <v>1739</v>
      </c>
      <c r="AB102" s="106">
        <v>1814.8394284330348</v>
      </c>
    </row>
    <row r="103" spans="1:28" x14ac:dyDescent="0.2">
      <c r="A103" s="14">
        <v>43788</v>
      </c>
      <c r="B103" s="106">
        <v>808</v>
      </c>
      <c r="C103" s="106">
        <v>805</v>
      </c>
      <c r="D103" s="106">
        <v>1800</v>
      </c>
      <c r="E103" s="106">
        <v>1804.5</v>
      </c>
      <c r="F103" s="106">
        <v>0.44610695483513402</v>
      </c>
      <c r="G103" s="106">
        <v>0.44834600968503302</v>
      </c>
      <c r="H103" s="106">
        <v>1.98436272395714E-2</v>
      </c>
      <c r="I103" s="106">
        <v>-0.112834958189188</v>
      </c>
      <c r="J103" s="106">
        <v>-0.5</v>
      </c>
      <c r="K103" s="106">
        <v>0.90893409883186205</v>
      </c>
      <c r="L103" s="15">
        <v>0.23466726365132301</v>
      </c>
      <c r="M103" s="106">
        <v>0.79119064651314797</v>
      </c>
      <c r="N103" s="15">
        <v>0.48018197023405401</v>
      </c>
      <c r="P103" s="106">
        <v>0.46818963692460441</v>
      </c>
      <c r="Q103" s="106">
        <v>0.42850238244546163</v>
      </c>
      <c r="R103" s="106">
        <v>0.48803326416417581</v>
      </c>
      <c r="S103" s="106">
        <v>0.40865875520589023</v>
      </c>
      <c r="U103" s="106">
        <v>-102470</v>
      </c>
      <c r="V103" s="106">
        <v>152539.00000000003</v>
      </c>
      <c r="W103" s="106">
        <v>50069.000000000029</v>
      </c>
      <c r="X103" s="106">
        <v>2.56187090409703</v>
      </c>
      <c r="Y103" s="14">
        <v>43788</v>
      </c>
      <c r="AA103" s="106">
        <v>1804.5</v>
      </c>
      <c r="AB103" s="106">
        <v>1840.4456284814726</v>
      </c>
    </row>
    <row r="104" spans="1:28" x14ac:dyDescent="0.2">
      <c r="A104" s="14">
        <v>43787</v>
      </c>
      <c r="B104" s="106">
        <v>810</v>
      </c>
      <c r="C104" s="106">
        <v>810.6</v>
      </c>
      <c r="D104" s="106">
        <v>1823</v>
      </c>
      <c r="E104" s="106">
        <v>1809</v>
      </c>
      <c r="F104" s="106">
        <v>0.44809286898839101</v>
      </c>
      <c r="G104" s="106">
        <v>0.44841520558978198</v>
      </c>
      <c r="H104" s="106">
        <v>1.9844747229182301E-2</v>
      </c>
      <c r="I104" s="106">
        <v>-1.6242917970614699E-2</v>
      </c>
      <c r="J104" s="106">
        <v>-7.0000000000000007E-2</v>
      </c>
      <c r="K104" s="106">
        <v>0.91197814165068203</v>
      </c>
      <c r="L104" s="15">
        <v>0.121687907434645</v>
      </c>
      <c r="M104" s="106">
        <v>0.79390347750536905</v>
      </c>
      <c r="N104" s="106">
        <v>0.51422329780600096</v>
      </c>
      <c r="P104" s="106">
        <v>0.46825995281896426</v>
      </c>
      <c r="Q104" s="106">
        <v>0.4285704583605997</v>
      </c>
      <c r="R104" s="106">
        <v>0.4881047000481466</v>
      </c>
      <c r="S104" s="106">
        <v>0.40872571113141737</v>
      </c>
      <c r="U104" s="106">
        <v>-105170</v>
      </c>
      <c r="V104" s="106">
        <v>160379.00000000006</v>
      </c>
      <c r="W104" s="106">
        <v>55209.000000000058</v>
      </c>
      <c r="X104" s="106">
        <v>2.8248682966365015</v>
      </c>
      <c r="Y104" s="14">
        <v>43787</v>
      </c>
      <c r="AA104" s="106">
        <v>1809</v>
      </c>
      <c r="AB104" s="106">
        <v>1853.2487285056916</v>
      </c>
    </row>
    <row r="105" spans="1:28" x14ac:dyDescent="0.2">
      <c r="A105" s="14">
        <v>43784</v>
      </c>
      <c r="B105" s="106">
        <v>799.9</v>
      </c>
      <c r="C105" s="106">
        <v>811</v>
      </c>
      <c r="D105" s="106">
        <v>1795</v>
      </c>
      <c r="E105" s="106">
        <v>1841</v>
      </c>
      <c r="F105" s="106">
        <v>0.44052145573058099</v>
      </c>
      <c r="G105" s="106">
        <v>0.448421167755233</v>
      </c>
      <c r="H105" s="106">
        <v>1.9844716663401599E-2</v>
      </c>
      <c r="I105" s="106">
        <v>-0.39807633228751299</v>
      </c>
      <c r="J105" s="106">
        <v>-1.79</v>
      </c>
      <c r="K105" s="106">
        <v>0.91516918928471302</v>
      </c>
      <c r="L105" s="106">
        <v>0.12011633944087501</v>
      </c>
      <c r="M105" s="106">
        <v>0.79597040433609501</v>
      </c>
      <c r="N105" s="106">
        <v>0.51441782942236902</v>
      </c>
      <c r="P105" s="106">
        <v>0.46826588441863459</v>
      </c>
      <c r="Q105" s="106">
        <v>0.4285764510918314</v>
      </c>
      <c r="R105" s="106">
        <v>0.48811060108203619</v>
      </c>
      <c r="S105" s="106">
        <v>0.4087317344284298</v>
      </c>
      <c r="U105" s="106">
        <v>-124370</v>
      </c>
      <c r="V105" s="106">
        <v>160939.00000000003</v>
      </c>
      <c r="W105" s="106">
        <v>36569.000000000029</v>
      </c>
      <c r="X105" s="106">
        <v>1.8711189976217684</v>
      </c>
      <c r="Y105" s="14">
        <v>43784</v>
      </c>
      <c r="AA105" s="106">
        <v>1841</v>
      </c>
      <c r="AB105" s="106">
        <v>1854.1632356502787</v>
      </c>
    </row>
    <row r="106" spans="1:28" x14ac:dyDescent="0.2">
      <c r="A106" s="14">
        <v>43783</v>
      </c>
      <c r="B106" s="106">
        <v>802</v>
      </c>
      <c r="C106" s="106">
        <v>793.8</v>
      </c>
      <c r="D106" s="106">
        <v>1838</v>
      </c>
      <c r="E106" s="106">
        <v>1813.5</v>
      </c>
      <c r="F106" s="106">
        <v>0.43771712158808901</v>
      </c>
      <c r="G106" s="106">
        <v>0.448582416285777</v>
      </c>
      <c r="H106" s="106">
        <v>1.9828999624184201E-2</v>
      </c>
      <c r="I106" s="106">
        <v>-0.54794971524619296</v>
      </c>
      <c r="J106" s="106">
        <v>-2.48</v>
      </c>
      <c r="K106" s="106">
        <v>0.917900950612347</v>
      </c>
      <c r="L106" s="106">
        <v>0.13144209412390501</v>
      </c>
      <c r="M106" s="106">
        <v>0.79820626850558096</v>
      </c>
      <c r="N106" s="106">
        <v>0.49383441421851099</v>
      </c>
      <c r="P106" s="106">
        <v>0.46841141590996122</v>
      </c>
      <c r="Q106" s="106">
        <v>0.42875341666159278</v>
      </c>
      <c r="R106" s="106">
        <v>0.48824041553414538</v>
      </c>
      <c r="S106" s="106">
        <v>0.40892441703740862</v>
      </c>
      <c r="U106" s="106">
        <v>-107870</v>
      </c>
      <c r="V106" s="106">
        <v>136858.99999999997</v>
      </c>
      <c r="W106" s="106">
        <v>28988.999999999971</v>
      </c>
      <c r="X106" s="106">
        <v>1.4832745938378775</v>
      </c>
      <c r="Y106" s="14">
        <v>43783</v>
      </c>
      <c r="AA106" s="106">
        <v>1813.5</v>
      </c>
      <c r="AB106" s="106">
        <v>1814.8394284330348</v>
      </c>
    </row>
    <row r="107" spans="1:28" x14ac:dyDescent="0.2">
      <c r="A107" s="14">
        <v>43782</v>
      </c>
      <c r="B107" s="106">
        <v>814</v>
      </c>
      <c r="C107" s="106">
        <v>804.7</v>
      </c>
      <c r="D107" s="106">
        <v>1869</v>
      </c>
      <c r="E107" s="106">
        <v>1843</v>
      </c>
      <c r="F107" s="106">
        <v>0.43662506782419902</v>
      </c>
      <c r="G107" s="106">
        <v>0.44879118799793599</v>
      </c>
      <c r="H107" s="106">
        <v>1.97959043794073E-2</v>
      </c>
      <c r="I107" s="106">
        <v>-0.61457763891772099</v>
      </c>
      <c r="J107" s="106">
        <v>-2.79</v>
      </c>
      <c r="K107" s="106">
        <v>0.91943115908745598</v>
      </c>
      <c r="L107" s="106">
        <v>0.15591730520898001</v>
      </c>
      <c r="M107" s="106">
        <v>0.797709359911427</v>
      </c>
      <c r="N107" s="106">
        <v>0.49855754227830801</v>
      </c>
      <c r="P107" s="106">
        <v>0.46858709237734331</v>
      </c>
      <c r="Q107" s="106">
        <v>0.42899528361852868</v>
      </c>
      <c r="R107" s="106">
        <v>0.48838299675675056</v>
      </c>
      <c r="S107" s="106">
        <v>0.40919937923912142</v>
      </c>
      <c r="U107" s="106">
        <v>-125570</v>
      </c>
      <c r="V107" s="106">
        <v>152119.00000000012</v>
      </c>
      <c r="W107" s="106">
        <v>26549.000000000116</v>
      </c>
      <c r="X107" s="106">
        <v>1.3584275825934673</v>
      </c>
      <c r="Y107" s="14">
        <v>43782</v>
      </c>
      <c r="AA107" s="106">
        <v>1843</v>
      </c>
      <c r="AB107" s="106">
        <v>1839.7597481230325</v>
      </c>
    </row>
    <row r="108" spans="1:28" x14ac:dyDescent="0.2">
      <c r="A108" s="14">
        <v>43781</v>
      </c>
      <c r="B108" s="106">
        <v>801</v>
      </c>
      <c r="C108" s="106">
        <v>815.9</v>
      </c>
      <c r="D108" s="106">
        <v>1865.5</v>
      </c>
      <c r="E108" s="106">
        <v>1882.5</v>
      </c>
      <c r="F108" s="106">
        <v>0.433413014608233</v>
      </c>
      <c r="G108" s="106">
        <v>0.44897597674268203</v>
      </c>
      <c r="H108" s="106">
        <v>1.97460977203508E-2</v>
      </c>
      <c r="I108" s="106">
        <v>-0.78815380916548505</v>
      </c>
      <c r="J108" s="106">
        <v>-3.59</v>
      </c>
      <c r="K108" s="106">
        <v>0.91994113613306505</v>
      </c>
      <c r="L108" s="106">
        <v>0.133673244198209</v>
      </c>
      <c r="M108" s="106">
        <v>0.79992969448499096</v>
      </c>
      <c r="N108" s="106">
        <v>0.44501926847277101</v>
      </c>
      <c r="P108" s="106">
        <v>0.46872207446303282</v>
      </c>
      <c r="Q108" s="106">
        <v>0.42922987902233123</v>
      </c>
      <c r="R108" s="106">
        <v>0.48846817218338362</v>
      </c>
      <c r="S108" s="106">
        <v>0.40948378130198043</v>
      </c>
      <c r="U108" s="106">
        <v>-149270</v>
      </c>
      <c r="V108" s="106">
        <v>167799</v>
      </c>
      <c r="W108" s="106">
        <v>18529</v>
      </c>
      <c r="X108" s="106">
        <v>0.94806978333926861</v>
      </c>
      <c r="Y108" s="14">
        <v>43781</v>
      </c>
      <c r="AA108" s="106">
        <v>1882.5</v>
      </c>
      <c r="AB108" s="106">
        <v>1865.3659481714701</v>
      </c>
    </row>
    <row r="109" spans="1:28" x14ac:dyDescent="0.2">
      <c r="A109" s="14">
        <v>43780</v>
      </c>
      <c r="B109" s="106">
        <v>803.2</v>
      </c>
      <c r="C109" s="106">
        <v>806.1</v>
      </c>
      <c r="D109" s="106">
        <v>1887</v>
      </c>
      <c r="E109" s="106">
        <v>1877</v>
      </c>
      <c r="F109" s="106">
        <v>0.42946190729888101</v>
      </c>
      <c r="G109" s="106">
        <v>0.44913543508327403</v>
      </c>
      <c r="H109" s="106">
        <v>1.96679099592399E-2</v>
      </c>
      <c r="I109" s="106">
        <v>-1.0002856340691699</v>
      </c>
      <c r="J109" s="106">
        <v>-4.58</v>
      </c>
      <c r="K109" s="106">
        <v>0.91586384574125901</v>
      </c>
      <c r="L109" s="15">
        <v>0.164469128976233</v>
      </c>
      <c r="M109" s="106">
        <v>0.80388441618307804</v>
      </c>
      <c r="N109" s="106">
        <v>0.48324662056324102</v>
      </c>
      <c r="P109" s="106">
        <v>0.46880334504251392</v>
      </c>
      <c r="Q109" s="106">
        <v>0.42946752512403413</v>
      </c>
      <c r="R109" s="106">
        <v>0.48847125500175381</v>
      </c>
      <c r="S109" s="106">
        <v>0.40979961516479424</v>
      </c>
      <c r="U109" s="106">
        <v>-145970</v>
      </c>
      <c r="V109" s="106">
        <v>154079.00000000006</v>
      </c>
      <c r="W109" s="106">
        <v>8109.0000000000582</v>
      </c>
      <c r="X109" s="106">
        <v>0.41491164515614365</v>
      </c>
      <c r="Y109" s="14">
        <v>43780</v>
      </c>
      <c r="AA109" s="106">
        <v>1877</v>
      </c>
      <c r="AB109" s="106">
        <v>1842.9605231290871</v>
      </c>
    </row>
    <row r="110" spans="1:28" x14ac:dyDescent="0.2">
      <c r="A110" s="14">
        <v>43777</v>
      </c>
      <c r="B110" s="106">
        <v>796.9</v>
      </c>
      <c r="C110" s="106">
        <v>800.2</v>
      </c>
      <c r="D110" s="106">
        <v>1881</v>
      </c>
      <c r="E110" s="106">
        <v>1869</v>
      </c>
      <c r="F110" s="106">
        <v>0.42814339218833602</v>
      </c>
      <c r="G110" s="106">
        <v>0.44930518709995898</v>
      </c>
      <c r="H110" s="106">
        <v>1.9551977020798701E-2</v>
      </c>
      <c r="I110" s="106">
        <v>-1.082335299858</v>
      </c>
      <c r="J110" s="106">
        <v>-4.9400000000000004</v>
      </c>
      <c r="K110" s="106">
        <v>0.91280025442122303</v>
      </c>
      <c r="L110" s="106">
        <v>0.114296857349167</v>
      </c>
      <c r="M110" s="106">
        <v>0.80717198671101698</v>
      </c>
      <c r="N110" s="106">
        <v>0.47826371394349998</v>
      </c>
      <c r="P110" s="106">
        <v>0.46885716412075767</v>
      </c>
      <c r="Q110" s="106">
        <v>0.42975321007916029</v>
      </c>
      <c r="R110" s="106">
        <v>0.48840914114155637</v>
      </c>
      <c r="S110" s="106">
        <v>0.41020123305836159</v>
      </c>
      <c r="U110" s="106">
        <v>-141170</v>
      </c>
      <c r="V110" s="106">
        <v>145819.00000000012</v>
      </c>
      <c r="W110" s="106">
        <v>4649.0000000001164</v>
      </c>
      <c r="X110" s="106">
        <v>0.23787448986693133</v>
      </c>
      <c r="Y110" s="14">
        <v>43777</v>
      </c>
      <c r="AA110" s="106">
        <v>1869</v>
      </c>
      <c r="AB110" s="106">
        <v>1829.471542746428</v>
      </c>
    </row>
    <row r="111" spans="1:28" x14ac:dyDescent="0.2">
      <c r="A111" s="14">
        <v>43776</v>
      </c>
      <c r="B111" s="106">
        <v>784</v>
      </c>
      <c r="C111" s="106">
        <v>785.8</v>
      </c>
      <c r="D111" s="106">
        <v>1831</v>
      </c>
      <c r="E111" s="106">
        <v>1847</v>
      </c>
      <c r="F111" s="106">
        <v>0.42544667027612298</v>
      </c>
      <c r="G111" s="106">
        <v>0.44945858361337199</v>
      </c>
      <c r="H111" s="106">
        <v>1.9430099603245699E-2</v>
      </c>
      <c r="I111" s="106">
        <v>-1.2358101001827799</v>
      </c>
      <c r="J111" s="106">
        <v>-5.64</v>
      </c>
      <c r="K111" s="106">
        <v>0.90908368858035704</v>
      </c>
      <c r="L111" s="106">
        <v>0.121469666829899</v>
      </c>
      <c r="M111" s="106">
        <v>0.81200946918779804</v>
      </c>
      <c r="N111" s="106">
        <v>0.46818322138212198</v>
      </c>
      <c r="P111" s="106">
        <v>0.4688886832166177</v>
      </c>
      <c r="Q111" s="106">
        <v>0.43002848401012628</v>
      </c>
      <c r="R111" s="106">
        <v>0.48831878281986341</v>
      </c>
      <c r="S111" s="106">
        <v>0.41059838440688057</v>
      </c>
      <c r="U111" s="106">
        <v>-127970</v>
      </c>
      <c r="V111" s="106">
        <v>125658.99999999997</v>
      </c>
      <c r="W111" s="106">
        <v>-2311.0000000000291</v>
      </c>
      <c r="X111" s="106">
        <v>-0.11824649302698892</v>
      </c>
      <c r="Y111" s="14">
        <v>43776</v>
      </c>
      <c r="AA111" s="106">
        <v>1847</v>
      </c>
      <c r="AB111" s="106">
        <v>1796.5492855412933</v>
      </c>
    </row>
    <row r="112" spans="1:28" x14ac:dyDescent="0.2">
      <c r="A112" s="14">
        <v>43775</v>
      </c>
      <c r="B112" s="106">
        <v>770</v>
      </c>
      <c r="C112" s="106">
        <v>784.8</v>
      </c>
      <c r="D112" s="106">
        <v>1840</v>
      </c>
      <c r="E112" s="106">
        <v>1845.5</v>
      </c>
      <c r="F112" s="106">
        <v>0.425250609590896</v>
      </c>
      <c r="G112" s="106">
        <v>0.44964349726475999</v>
      </c>
      <c r="H112" s="106">
        <v>1.92660010322535E-2</v>
      </c>
      <c r="I112" s="106">
        <v>-1.2661105765034899</v>
      </c>
      <c r="J112" s="106">
        <v>-5.74</v>
      </c>
      <c r="K112" s="106">
        <v>0.90443163234801804</v>
      </c>
      <c r="L112" s="106">
        <v>0.12194269552670201</v>
      </c>
      <c r="M112" s="106">
        <v>0.81396014166719999</v>
      </c>
      <c r="N112" s="106">
        <v>0.51730516133600302</v>
      </c>
      <c r="P112" s="106">
        <v>0.46890949829701351</v>
      </c>
      <c r="Q112" s="106">
        <v>0.43037749623250648</v>
      </c>
      <c r="R112" s="106">
        <v>0.48817549932926702</v>
      </c>
      <c r="S112" s="106">
        <v>0.41111149520025297</v>
      </c>
      <c r="U112" s="106">
        <v>-127070</v>
      </c>
      <c r="V112" s="106">
        <v>124258.99999999997</v>
      </c>
      <c r="W112" s="106">
        <v>-2811.0000000000291</v>
      </c>
      <c r="X112" s="106">
        <v>-0.14382989697051712</v>
      </c>
      <c r="Y112" s="14">
        <v>43775</v>
      </c>
      <c r="AA112" s="106">
        <v>1845.5</v>
      </c>
      <c r="AB112" s="106">
        <v>1794.2630176798257</v>
      </c>
    </row>
    <row r="113" spans="1:28" x14ac:dyDescent="0.2">
      <c r="A113" s="14">
        <v>43774</v>
      </c>
      <c r="B113" s="106">
        <v>769</v>
      </c>
      <c r="C113" s="106">
        <v>768.5</v>
      </c>
      <c r="D113" s="106">
        <v>1814.5</v>
      </c>
      <c r="E113" s="106">
        <v>1815</v>
      </c>
      <c r="F113" s="106">
        <v>0.42341597796143199</v>
      </c>
      <c r="G113" s="106">
        <v>0.44987037530329299</v>
      </c>
      <c r="H113" s="106">
        <v>1.9076672257992699E-2</v>
      </c>
      <c r="I113" s="106">
        <v>-1.3867406738497901</v>
      </c>
      <c r="J113" s="106">
        <v>-6.25</v>
      </c>
      <c r="K113" s="106">
        <v>0.90183484508791201</v>
      </c>
      <c r="L113" s="15">
        <v>6.3592520482106701E-2</v>
      </c>
      <c r="M113" s="106">
        <v>0.81845665821142</v>
      </c>
      <c r="N113" s="106">
        <v>0.47122656237902399</v>
      </c>
      <c r="P113" s="106">
        <v>0.46894704756128569</v>
      </c>
      <c r="Q113" s="106">
        <v>0.43079370304530029</v>
      </c>
      <c r="R113" s="106">
        <v>0.48802371981927839</v>
      </c>
      <c r="S113" s="106">
        <v>0.41171703078730759</v>
      </c>
      <c r="U113" s="106">
        <v>-108770</v>
      </c>
      <c r="V113" s="106">
        <v>101439.00000000004</v>
      </c>
      <c r="W113" s="106">
        <v>-7330.9999999999563</v>
      </c>
      <c r="X113" s="106">
        <v>-0.3751038686200085</v>
      </c>
      <c r="Y113" s="14">
        <v>43774</v>
      </c>
      <c r="AA113" s="106">
        <v>1815</v>
      </c>
      <c r="AB113" s="106">
        <v>1756.9968515379028</v>
      </c>
    </row>
    <row r="114" spans="1:28" x14ac:dyDescent="0.2">
      <c r="A114" s="14">
        <v>43770</v>
      </c>
      <c r="B114" s="106">
        <v>758.8</v>
      </c>
      <c r="C114" s="106">
        <v>756.1</v>
      </c>
      <c r="D114" s="106">
        <v>1752</v>
      </c>
      <c r="E114" s="106">
        <v>1734.5</v>
      </c>
      <c r="F114" s="106">
        <v>0.43591813202652002</v>
      </c>
      <c r="G114" s="106">
        <v>0.450138154163361</v>
      </c>
      <c r="H114" s="106">
        <v>1.8842976835824799E-2</v>
      </c>
      <c r="I114" s="106">
        <v>-0.75465900429308297</v>
      </c>
      <c r="J114" s="106">
        <v>-3.26</v>
      </c>
      <c r="K114" s="106">
        <v>0.89936881955178605</v>
      </c>
      <c r="L114" s="106">
        <v>0.118846025835927</v>
      </c>
      <c r="M114" s="106">
        <v>0.82525547097929597</v>
      </c>
      <c r="N114" s="106">
        <v>0.257706889128334</v>
      </c>
      <c r="P114" s="106">
        <v>0.46898113099918581</v>
      </c>
      <c r="Q114" s="106">
        <v>0.43129517732753619</v>
      </c>
      <c r="R114" s="106">
        <v>0.48782410783501062</v>
      </c>
      <c r="S114" s="106">
        <v>0.41245220049171138</v>
      </c>
      <c r="U114" s="106">
        <v>-60470</v>
      </c>
      <c r="V114" s="106">
        <v>84079.000000000073</v>
      </c>
      <c r="W114" s="106">
        <v>23609.000000000073</v>
      </c>
      <c r="X114" s="106">
        <v>1.207997167405519</v>
      </c>
      <c r="Y114" s="14">
        <v>43770</v>
      </c>
      <c r="AA114" s="106">
        <v>1734.5</v>
      </c>
      <c r="AB114" s="106">
        <v>1728.6471300557037</v>
      </c>
    </row>
    <row r="115" spans="1:28" x14ac:dyDescent="0.2">
      <c r="A115" s="14">
        <v>43769</v>
      </c>
      <c r="B115" s="106">
        <v>762</v>
      </c>
      <c r="C115" s="106">
        <v>765.8</v>
      </c>
      <c r="D115" s="106">
        <v>1810</v>
      </c>
      <c r="E115" s="106">
        <v>1785.5</v>
      </c>
      <c r="F115" s="106">
        <v>0.42889946793615202</v>
      </c>
      <c r="G115" s="106">
        <v>0.45020560705949603</v>
      </c>
      <c r="H115" s="106">
        <v>1.8800960208977101E-2</v>
      </c>
      <c r="I115" s="106">
        <v>-1.1332473919694299</v>
      </c>
      <c r="J115" s="106">
        <v>-4.97</v>
      </c>
      <c r="K115" s="106">
        <v>0.89531547719751703</v>
      </c>
      <c r="L115" s="106">
        <v>8.5231780262439993E-2</v>
      </c>
      <c r="M115" s="106">
        <v>0.83028908489803699</v>
      </c>
      <c r="N115" s="106">
        <v>0.23608567925447899</v>
      </c>
      <c r="P115" s="106">
        <v>0.46900656726847312</v>
      </c>
      <c r="Q115" s="106">
        <v>0.43140464685051894</v>
      </c>
      <c r="R115" s="106">
        <v>0.48780752747745021</v>
      </c>
      <c r="S115" s="106">
        <v>0.41260368664154184</v>
      </c>
      <c r="U115" s="106">
        <v>-91070</v>
      </c>
      <c r="V115" s="106">
        <v>97658.999999999971</v>
      </c>
      <c r="W115" s="106">
        <v>6588.9999999999709</v>
      </c>
      <c r="X115" s="106">
        <v>0.33713809716781334</v>
      </c>
      <c r="Y115" s="14">
        <v>43769</v>
      </c>
      <c r="AA115" s="106">
        <v>1785.5</v>
      </c>
      <c r="AB115" s="106">
        <v>1750.8239283119399</v>
      </c>
    </row>
    <row r="116" spans="1:28" x14ac:dyDescent="0.2">
      <c r="A116" s="14">
        <v>43768</v>
      </c>
      <c r="B116" s="106">
        <v>765</v>
      </c>
      <c r="C116" s="106">
        <v>766.7</v>
      </c>
      <c r="D116" s="106">
        <v>1843</v>
      </c>
      <c r="E116" s="106">
        <v>1815.5</v>
      </c>
      <c r="F116" s="106">
        <v>0.42230790415863401</v>
      </c>
      <c r="G116" s="106">
        <v>0.450409428107169</v>
      </c>
      <c r="H116" s="106">
        <v>1.8651139617317802E-2</v>
      </c>
      <c r="I116" s="106">
        <v>-1.50669205877602</v>
      </c>
      <c r="J116" s="106">
        <v>-6.65</v>
      </c>
      <c r="K116" s="106">
        <v>0.89008863220481704</v>
      </c>
      <c r="L116" s="106">
        <v>8.6584346204695697E-2</v>
      </c>
      <c r="M116" s="106">
        <v>0.83578521783694204</v>
      </c>
      <c r="N116" s="106">
        <v>0.41905872464841398</v>
      </c>
      <c r="P116" s="106">
        <v>0.46906056772448679</v>
      </c>
      <c r="Q116" s="106">
        <v>0.43175828848985121</v>
      </c>
      <c r="R116" s="106">
        <v>0.48771170734180458</v>
      </c>
      <c r="S116" s="106">
        <v>0.41310714887253341</v>
      </c>
      <c r="U116" s="106">
        <v>-109070</v>
      </c>
      <c r="V116" s="106">
        <v>98919.000000000102</v>
      </c>
      <c r="W116" s="106">
        <v>-10150.999999999898</v>
      </c>
      <c r="X116" s="106">
        <v>-0.51939426686150469</v>
      </c>
      <c r="Y116" s="14">
        <v>43768</v>
      </c>
      <c r="AA116" s="106">
        <v>1815.5</v>
      </c>
      <c r="AB116" s="106">
        <v>1752.8815693872612</v>
      </c>
    </row>
    <row r="117" spans="1:28" x14ac:dyDescent="0.2">
      <c r="A117" s="14">
        <v>43767</v>
      </c>
      <c r="B117" s="106">
        <v>759</v>
      </c>
      <c r="C117" s="106">
        <v>761.9</v>
      </c>
      <c r="D117" s="106">
        <v>1825</v>
      </c>
      <c r="E117" s="106">
        <v>1832</v>
      </c>
      <c r="F117" s="106">
        <v>0.415884279475982</v>
      </c>
      <c r="G117" s="106">
        <v>0.45075361788378199</v>
      </c>
      <c r="H117" s="106">
        <v>1.83653756589966E-2</v>
      </c>
      <c r="I117" s="106">
        <v>-1.8986455303307801</v>
      </c>
      <c r="J117" s="106">
        <v>-8.3800000000000008</v>
      </c>
      <c r="K117" s="106">
        <v>0.88614448136111201</v>
      </c>
      <c r="L117" s="106">
        <v>6.86156434964144E-2</v>
      </c>
      <c r="M117" s="106">
        <v>0.84087006725869495</v>
      </c>
      <c r="N117" s="106">
        <v>0.42439015284707698</v>
      </c>
      <c r="P117" s="106">
        <v>0.46911899354277858</v>
      </c>
      <c r="Q117" s="106">
        <v>0.43238824222478539</v>
      </c>
      <c r="R117" s="106">
        <v>0.48748436920177518</v>
      </c>
      <c r="S117" s="106">
        <v>0.41402286656578879</v>
      </c>
      <c r="U117" s="106">
        <v>-118970</v>
      </c>
      <c r="V117" s="106">
        <v>92199</v>
      </c>
      <c r="W117" s="106">
        <v>-26771</v>
      </c>
      <c r="X117" s="106">
        <v>-1.3697866139443877</v>
      </c>
      <c r="Y117" s="14">
        <v>43767</v>
      </c>
      <c r="AA117" s="106">
        <v>1832</v>
      </c>
      <c r="AB117" s="106">
        <v>1741.9074836522161</v>
      </c>
    </row>
    <row r="118" spans="1:28" x14ac:dyDescent="0.2">
      <c r="A118" s="14">
        <v>43766</v>
      </c>
      <c r="B118" s="106">
        <v>755</v>
      </c>
      <c r="C118" s="106">
        <v>753.8</v>
      </c>
      <c r="D118" s="106">
        <v>1792</v>
      </c>
      <c r="E118" s="106">
        <v>1810</v>
      </c>
      <c r="F118" s="106">
        <v>0.41646408839778998</v>
      </c>
      <c r="G118" s="106">
        <v>0.45120523018354702</v>
      </c>
      <c r="H118" s="106">
        <v>1.7913256275868102E-2</v>
      </c>
      <c r="I118" s="106">
        <v>-1.93940963333165</v>
      </c>
      <c r="J118" s="106">
        <v>-8.34</v>
      </c>
      <c r="K118" s="106">
        <v>0.88369529344889697</v>
      </c>
      <c r="L118" s="106">
        <v>6.25507403389957E-2</v>
      </c>
      <c r="M118" s="106">
        <v>0.845119469997057</v>
      </c>
      <c r="N118" s="106">
        <v>0.40391515098069303</v>
      </c>
      <c r="P118" s="106">
        <v>0.46911848645941512</v>
      </c>
      <c r="Q118" s="106">
        <v>0.43329197390767893</v>
      </c>
      <c r="R118" s="106">
        <v>0.48703174273528321</v>
      </c>
      <c r="S118" s="106">
        <v>0.41537871763181083</v>
      </c>
      <c r="U118" s="106">
        <v>-105770</v>
      </c>
      <c r="V118" s="106">
        <v>80858.999999999971</v>
      </c>
      <c r="W118" s="106">
        <v>-24911.000000000029</v>
      </c>
      <c r="X118" s="106">
        <v>-1.2746163512744644</v>
      </c>
      <c r="Y118" s="14">
        <v>43766</v>
      </c>
      <c r="AA118" s="106">
        <v>1810</v>
      </c>
      <c r="AB118" s="106">
        <v>1723.3887139743281</v>
      </c>
    </row>
    <row r="119" spans="1:28" x14ac:dyDescent="0.2">
      <c r="A119" s="14">
        <v>43763</v>
      </c>
      <c r="B119" s="106">
        <v>751.9</v>
      </c>
      <c r="C119" s="106">
        <v>753.1</v>
      </c>
      <c r="D119" s="106">
        <v>1782.5</v>
      </c>
      <c r="E119" s="106">
        <v>1787.5</v>
      </c>
      <c r="F119" s="106">
        <v>0.42131468531468502</v>
      </c>
      <c r="G119" s="106">
        <v>0.45166116643105703</v>
      </c>
      <c r="H119" s="106">
        <v>1.7452456003027899E-2</v>
      </c>
      <c r="I119" s="106">
        <v>-1.7388086302069701</v>
      </c>
      <c r="J119" s="106">
        <v>-7.2</v>
      </c>
      <c r="K119" s="106">
        <v>0.88050472775295796</v>
      </c>
      <c r="L119" s="106">
        <v>5.2364219635610602E-2</v>
      </c>
      <c r="M119" s="106">
        <v>0.84880273481694801</v>
      </c>
      <c r="N119" s="106">
        <v>0.186586680497378</v>
      </c>
      <c r="P119" s="106">
        <v>0.46911362243408494</v>
      </c>
      <c r="Q119" s="106">
        <v>0.43420871042802911</v>
      </c>
      <c r="R119" s="106">
        <v>0.4865660784371128</v>
      </c>
      <c r="S119" s="106">
        <v>0.41675625442500125</v>
      </c>
      <c r="U119" s="106">
        <v>-92270</v>
      </c>
      <c r="V119" s="106">
        <v>79879.000000000073</v>
      </c>
      <c r="W119" s="106">
        <v>-12390.999999999927</v>
      </c>
      <c r="X119" s="106">
        <v>-0.63400791652851252</v>
      </c>
      <c r="Y119" s="14">
        <v>43763</v>
      </c>
      <c r="AA119" s="106">
        <v>1787.5</v>
      </c>
      <c r="AB119" s="106">
        <v>1721.7883264713007</v>
      </c>
    </row>
    <row r="120" spans="1:28" x14ac:dyDescent="0.2">
      <c r="A120" s="14">
        <v>43762</v>
      </c>
      <c r="B120" s="106">
        <v>753.7</v>
      </c>
      <c r="C120" s="106">
        <v>752.5</v>
      </c>
      <c r="D120" s="106">
        <v>1798.5</v>
      </c>
      <c r="E120" s="106">
        <v>1793.5</v>
      </c>
      <c r="F120" s="106">
        <v>0.41957067187064401</v>
      </c>
      <c r="G120" s="106">
        <v>0.45202073266192799</v>
      </c>
      <c r="H120" s="106">
        <v>1.7097730363165999E-2</v>
      </c>
      <c r="I120" s="106">
        <v>-1.8979162790630999</v>
      </c>
      <c r="J120" s="106">
        <v>-7.73</v>
      </c>
      <c r="K120" s="106">
        <v>0.87758116435018396</v>
      </c>
      <c r="L120" s="106">
        <v>5.2957788919120702E-2</v>
      </c>
      <c r="M120" s="106">
        <v>0.85226346967279698</v>
      </c>
      <c r="N120" s="106">
        <v>0.18138319375334699</v>
      </c>
      <c r="P120" s="106">
        <v>0.46911846302509397</v>
      </c>
      <c r="Q120" s="106">
        <v>0.43492300229876202</v>
      </c>
      <c r="R120" s="106">
        <v>0.48621619338826</v>
      </c>
      <c r="S120" s="106">
        <v>0.41782527193559599</v>
      </c>
      <c r="U120" s="106">
        <v>-95870</v>
      </c>
      <c r="V120" s="106">
        <v>79039.000000000044</v>
      </c>
      <c r="W120" s="106">
        <v>-16830.999999999956</v>
      </c>
      <c r="X120" s="106">
        <v>-0.86118854354704455</v>
      </c>
      <c r="Y120" s="14">
        <v>43762</v>
      </c>
      <c r="AA120" s="106">
        <v>1793.5</v>
      </c>
      <c r="AB120" s="106">
        <v>1720.4165657544202</v>
      </c>
    </row>
    <row r="121" spans="1:28" x14ac:dyDescent="0.2">
      <c r="A121" s="14">
        <v>43761</v>
      </c>
      <c r="B121" s="106">
        <v>745.9</v>
      </c>
      <c r="C121" s="106">
        <v>748.6</v>
      </c>
      <c r="D121" s="106">
        <v>1776.5</v>
      </c>
      <c r="E121" s="106">
        <v>1782.5</v>
      </c>
      <c r="F121" s="106">
        <v>0.41997194950911598</v>
      </c>
      <c r="G121" s="106">
        <v>0.45235536217612898</v>
      </c>
      <c r="H121" s="106">
        <v>1.6700334693834001E-2</v>
      </c>
      <c r="I121" s="106">
        <v>-1.9390876446906899</v>
      </c>
      <c r="J121" s="106">
        <v>-7.71</v>
      </c>
      <c r="K121" s="106">
        <v>0.875707501457895</v>
      </c>
      <c r="L121" s="106">
        <v>5.5265030570717903E-2</v>
      </c>
      <c r="M121" s="106">
        <v>0.85691828393470504</v>
      </c>
      <c r="N121" s="106">
        <v>0.18627356197713099</v>
      </c>
      <c r="P121" s="106">
        <v>0.46905569686996296</v>
      </c>
      <c r="Q121" s="106">
        <v>0.43565502748229501</v>
      </c>
      <c r="R121" s="106">
        <v>0.48575603156379699</v>
      </c>
      <c r="S121" s="106">
        <v>0.41895469278846098</v>
      </c>
      <c r="U121" s="106">
        <v>-89270</v>
      </c>
      <c r="V121" s="106">
        <v>73579.000000000073</v>
      </c>
      <c r="W121" s="106">
        <v>-15690.999999999927</v>
      </c>
      <c r="X121" s="106">
        <v>-0.80285838255579867</v>
      </c>
      <c r="Y121" s="14">
        <v>43761</v>
      </c>
      <c r="AA121" s="106">
        <v>1782.5</v>
      </c>
      <c r="AB121" s="106">
        <v>1711.5001210946962</v>
      </c>
    </row>
    <row r="122" spans="1:28" x14ac:dyDescent="0.2">
      <c r="A122" s="14">
        <v>43759</v>
      </c>
      <c r="B122" s="106">
        <v>734.7</v>
      </c>
      <c r="C122" s="106">
        <v>741.7</v>
      </c>
      <c r="D122" s="106">
        <v>1741.5</v>
      </c>
      <c r="E122" s="106">
        <v>1754</v>
      </c>
      <c r="F122" s="106">
        <v>0.42286202964652198</v>
      </c>
      <c r="G122" s="106">
        <v>0.452744688678406</v>
      </c>
      <c r="H122" s="106">
        <v>1.6275819383151299E-2</v>
      </c>
      <c r="I122" s="106">
        <v>-1.83601564556671</v>
      </c>
      <c r="J122" s="106">
        <v>-7.07</v>
      </c>
      <c r="K122" s="106">
        <v>0.87542933848222804</v>
      </c>
      <c r="L122" s="106">
        <v>7.2970725052802193E-2</v>
      </c>
      <c r="M122" s="106">
        <v>0.86611141580085904</v>
      </c>
      <c r="N122" s="106">
        <v>0.32001535663558101</v>
      </c>
      <c r="P122" s="106">
        <v>0.46902050806155732</v>
      </c>
      <c r="Q122" s="106">
        <v>0.43646886929525469</v>
      </c>
      <c r="R122" s="106">
        <v>0.48529632744470863</v>
      </c>
      <c r="S122" s="106">
        <v>0.42019304991210338</v>
      </c>
      <c r="U122" s="106">
        <v>-72170</v>
      </c>
      <c r="V122" s="106">
        <v>63919.000000000102</v>
      </c>
      <c r="W122" s="106">
        <v>-8250.9999999998981</v>
      </c>
      <c r="X122" s="106">
        <v>-0.42217733187609741</v>
      </c>
      <c r="Y122" s="14">
        <v>43759</v>
      </c>
      <c r="AA122" s="106">
        <v>1754</v>
      </c>
      <c r="AB122" s="106">
        <v>1695.7248728505695</v>
      </c>
    </row>
    <row r="123" spans="1:28" x14ac:dyDescent="0.2">
      <c r="A123" s="14">
        <v>43756</v>
      </c>
      <c r="B123" s="106">
        <v>733.2</v>
      </c>
      <c r="C123" s="106">
        <v>733.7</v>
      </c>
      <c r="D123" s="106">
        <v>1716</v>
      </c>
      <c r="E123" s="106">
        <v>1737</v>
      </c>
      <c r="F123" s="106">
        <v>0.42239493379389698</v>
      </c>
      <c r="G123" s="106">
        <v>0.45307834792885099</v>
      </c>
      <c r="H123" s="106">
        <v>1.5912239126702098E-2</v>
      </c>
      <c r="I123" s="106">
        <v>-1.92829016021163</v>
      </c>
      <c r="J123" s="106">
        <v>-7.26</v>
      </c>
      <c r="K123" s="106">
        <v>0.87681162129200796</v>
      </c>
      <c r="L123" s="106">
        <v>7.9131177238118605E-2</v>
      </c>
      <c r="M123" s="106">
        <v>0.87194049757750103</v>
      </c>
      <c r="N123" s="106">
        <v>0.30872795184282398</v>
      </c>
      <c r="P123" s="106">
        <v>0.46899058705555308</v>
      </c>
      <c r="Q123" s="106">
        <v>0.4371661088021489</v>
      </c>
      <c r="R123" s="106">
        <v>0.48490282618225516</v>
      </c>
      <c r="S123" s="106">
        <v>0.42125386967544681</v>
      </c>
      <c r="U123" s="106">
        <v>-61970</v>
      </c>
      <c r="V123" s="106">
        <v>52719.000000000102</v>
      </c>
      <c r="W123" s="106">
        <v>-9250.9999999998981</v>
      </c>
      <c r="X123" s="106">
        <v>-0.47334413976315387</v>
      </c>
      <c r="Y123" s="14">
        <v>43756</v>
      </c>
      <c r="AA123" s="106">
        <v>1737</v>
      </c>
      <c r="AB123" s="106">
        <v>1677.434729958828</v>
      </c>
    </row>
    <row r="124" spans="1:28" x14ac:dyDescent="0.2">
      <c r="A124" s="14">
        <v>43755</v>
      </c>
      <c r="B124" s="106">
        <v>736.5</v>
      </c>
      <c r="C124" s="106">
        <v>731.6</v>
      </c>
      <c r="D124" s="106">
        <v>1713.5</v>
      </c>
      <c r="E124" s="106">
        <v>1713.5</v>
      </c>
      <c r="F124" s="106">
        <v>0.42696235774730001</v>
      </c>
      <c r="G124" s="106">
        <v>0.45329667188852202</v>
      </c>
      <c r="H124" s="106">
        <v>1.55989980795602E-2</v>
      </c>
      <c r="I124" s="106">
        <v>-1.6882054864618801</v>
      </c>
      <c r="J124" s="106">
        <v>-6.17</v>
      </c>
      <c r="K124" s="106">
        <v>0.87549750342879396</v>
      </c>
      <c r="L124" s="106">
        <v>5.7148652096635298E-2</v>
      </c>
      <c r="M124" s="106">
        <v>0.87747513390442</v>
      </c>
      <c r="N124" s="106">
        <v>0.31930175253885801</v>
      </c>
      <c r="P124" s="106">
        <v>0.46889566996808224</v>
      </c>
      <c r="Q124" s="106">
        <v>0.4376976738089618</v>
      </c>
      <c r="R124" s="106">
        <v>0.48449466804764241</v>
      </c>
      <c r="S124" s="106">
        <v>0.42209867572940163</v>
      </c>
      <c r="U124" s="106">
        <v>-47870</v>
      </c>
      <c r="V124" s="106">
        <v>49779.000000000073</v>
      </c>
      <c r="W124" s="106">
        <v>1909.0000000000728</v>
      </c>
      <c r="X124" s="106">
        <v>9.7677436256394454E-2</v>
      </c>
      <c r="Y124" s="14">
        <v>43755</v>
      </c>
      <c r="AA124" s="106">
        <v>1713.5</v>
      </c>
      <c r="AB124" s="106">
        <v>1672.6335674497459</v>
      </c>
    </row>
    <row r="125" spans="1:28" x14ac:dyDescent="0.2">
      <c r="A125" s="14">
        <v>43754</v>
      </c>
      <c r="B125" s="106">
        <v>749.5</v>
      </c>
      <c r="C125" s="106">
        <v>736</v>
      </c>
      <c r="D125" s="106">
        <v>1748.5</v>
      </c>
      <c r="E125" s="106">
        <v>1726</v>
      </c>
      <c r="F125" s="106">
        <v>0.42641946697566602</v>
      </c>
      <c r="G125" s="106">
        <v>0.45356661960821898</v>
      </c>
      <c r="H125" s="106">
        <v>1.53135063281752E-2</v>
      </c>
      <c r="I125" s="106">
        <v>-1.7727587693358999</v>
      </c>
      <c r="J125" s="106">
        <v>-6.37</v>
      </c>
      <c r="K125" s="106">
        <v>0.87532415422869603</v>
      </c>
      <c r="L125" s="15">
        <v>1.6331616693770399E-2</v>
      </c>
      <c r="M125" s="106">
        <v>0.88282758105085202</v>
      </c>
      <c r="N125" s="106">
        <v>0.36406882200392499</v>
      </c>
      <c r="P125" s="106">
        <v>0.46888012593639417</v>
      </c>
      <c r="Q125" s="106">
        <v>0.43825311328004379</v>
      </c>
      <c r="R125" s="106">
        <v>0.48419363226456935</v>
      </c>
      <c r="S125" s="106">
        <v>0.42293960695186861</v>
      </c>
      <c r="U125" s="106">
        <v>-55370</v>
      </c>
      <c r="V125" s="106">
        <v>55939.000000000036</v>
      </c>
      <c r="W125" s="106">
        <v>569.00000000003638</v>
      </c>
      <c r="X125" s="106">
        <v>2.9113913687736973E-2</v>
      </c>
      <c r="Y125" s="14">
        <v>43754</v>
      </c>
      <c r="AA125" s="106">
        <v>1726</v>
      </c>
      <c r="AB125" s="106">
        <v>1682.6931460402036</v>
      </c>
    </row>
    <row r="126" spans="1:28" x14ac:dyDescent="0.2">
      <c r="A126" s="14">
        <v>43753</v>
      </c>
      <c r="B126" s="106">
        <v>744</v>
      </c>
      <c r="C126" s="106">
        <v>746.1</v>
      </c>
      <c r="D126" s="106">
        <v>1702</v>
      </c>
      <c r="E126" s="106">
        <v>1718.5</v>
      </c>
      <c r="F126" s="106">
        <v>0.43415769566482398</v>
      </c>
      <c r="G126" s="106">
        <v>0.45394798818078202</v>
      </c>
      <c r="H126" s="106">
        <v>1.49853275402333E-2</v>
      </c>
      <c r="I126" s="106">
        <v>-1.3206446414217301</v>
      </c>
      <c r="J126" s="106">
        <v>-4.5599999999999996</v>
      </c>
      <c r="K126" s="106">
        <v>0.87204894838514402</v>
      </c>
      <c r="L126" s="106">
        <v>1.9236736335709399E-2</v>
      </c>
      <c r="M126" s="106">
        <v>0.88711262132227497</v>
      </c>
      <c r="N126" s="106">
        <v>0.40554466479787599</v>
      </c>
      <c r="P126" s="106">
        <v>0.46893331572101532</v>
      </c>
      <c r="Q126" s="106">
        <v>0.43896266064054873</v>
      </c>
      <c r="R126" s="106">
        <v>0.48391864326124862</v>
      </c>
      <c r="S126" s="106">
        <v>0.42397733310031543</v>
      </c>
      <c r="U126" s="106">
        <v>-50870</v>
      </c>
      <c r="V126" s="106">
        <v>70079.000000000073</v>
      </c>
      <c r="W126" s="106">
        <v>19209.000000000073</v>
      </c>
      <c r="X126" s="106">
        <v>0.98286321270247068</v>
      </c>
      <c r="Y126" s="14">
        <v>43753</v>
      </c>
      <c r="AA126" s="106">
        <v>1718.5</v>
      </c>
      <c r="AB126" s="106">
        <v>1705.7844514410272</v>
      </c>
    </row>
    <row r="127" spans="1:28" x14ac:dyDescent="0.2">
      <c r="A127" s="14">
        <v>43749</v>
      </c>
      <c r="B127" s="106">
        <v>727.3</v>
      </c>
      <c r="C127" s="106">
        <v>734.5</v>
      </c>
      <c r="D127" s="106">
        <v>1645.5</v>
      </c>
      <c r="E127" s="106">
        <v>1665</v>
      </c>
      <c r="F127" s="106">
        <v>0.441141141141141</v>
      </c>
      <c r="G127" s="106">
        <v>0.45426118463635601</v>
      </c>
      <c r="H127" s="106">
        <v>1.48129116655219E-2</v>
      </c>
      <c r="I127" s="106">
        <v>-0.88571671737927404</v>
      </c>
      <c r="J127" s="106">
        <v>-2.97</v>
      </c>
      <c r="K127" s="106">
        <v>0.87147083504831702</v>
      </c>
      <c r="L127" s="106">
        <v>7.1814483448668399E-3</v>
      </c>
      <c r="M127" s="106">
        <v>0.89420547744069001</v>
      </c>
      <c r="N127" s="106">
        <v>0.40722957644131103</v>
      </c>
      <c r="P127" s="106">
        <v>0.46907409630187791</v>
      </c>
      <c r="Q127" s="106">
        <v>0.43944827297083411</v>
      </c>
      <c r="R127" s="106">
        <v>0.48388700796739981</v>
      </c>
      <c r="S127" s="106">
        <v>0.42463536130531221</v>
      </c>
      <c r="U127" s="106">
        <v>-18770</v>
      </c>
      <c r="V127" s="106">
        <v>53839.000000000036</v>
      </c>
      <c r="W127" s="106">
        <v>35069.000000000036</v>
      </c>
      <c r="X127" s="106">
        <v>1.7943687857911839</v>
      </c>
      <c r="Y127" s="14">
        <v>43749</v>
      </c>
      <c r="AA127" s="106">
        <v>1665</v>
      </c>
      <c r="AB127" s="106">
        <v>1679.263744248002</v>
      </c>
    </row>
    <row r="128" spans="1:28" x14ac:dyDescent="0.2">
      <c r="A128" s="14">
        <v>43748</v>
      </c>
      <c r="B128" s="106">
        <v>709.8</v>
      </c>
      <c r="C128" s="106">
        <v>717.2</v>
      </c>
      <c r="D128" s="106">
        <v>1622</v>
      </c>
      <c r="E128" s="106">
        <v>1625.5</v>
      </c>
      <c r="F128" s="106">
        <v>0.44121808674253998</v>
      </c>
      <c r="G128" s="106">
        <v>0.45445407105604702</v>
      </c>
      <c r="H128" s="106">
        <v>1.4734794814495401E-2</v>
      </c>
      <c r="I128" s="106">
        <v>-0.89828087056124895</v>
      </c>
      <c r="J128" s="106">
        <v>-3</v>
      </c>
      <c r="K128" s="106">
        <v>0.872046702215866</v>
      </c>
      <c r="L128" s="106">
        <v>0.41308014759176498</v>
      </c>
      <c r="M128" s="106">
        <v>0.89805394048449105</v>
      </c>
      <c r="N128" s="106">
        <v>0.40855234271048602</v>
      </c>
      <c r="P128" s="106">
        <v>0.46918886587054243</v>
      </c>
      <c r="Q128" s="106">
        <v>0.4397192762415516</v>
      </c>
      <c r="R128" s="106">
        <v>0.48392366068503784</v>
      </c>
      <c r="S128" s="106">
        <v>0.42498448142705619</v>
      </c>
      <c r="U128" s="106">
        <v>4930</v>
      </c>
      <c r="V128" s="106">
        <v>29619.000000000102</v>
      </c>
      <c r="W128" s="106">
        <v>34549.000000000102</v>
      </c>
      <c r="X128" s="106">
        <v>1.7677620456899179</v>
      </c>
      <c r="Y128" s="14">
        <v>43748</v>
      </c>
      <c r="AA128" s="106">
        <v>1625.5</v>
      </c>
      <c r="AB128" s="106">
        <v>1639.7113102446115</v>
      </c>
    </row>
    <row r="129" spans="1:28" x14ac:dyDescent="0.2">
      <c r="A129" s="14">
        <v>43747</v>
      </c>
      <c r="B129" s="106">
        <v>714.1</v>
      </c>
      <c r="C129" s="106">
        <v>711.2</v>
      </c>
      <c r="D129" s="106">
        <v>1622</v>
      </c>
      <c r="E129" s="106">
        <v>1640</v>
      </c>
      <c r="F129" s="106">
        <v>0.43365853658536502</v>
      </c>
      <c r="G129" s="106">
        <v>0.45462874560470801</v>
      </c>
      <c r="H129" s="106">
        <v>1.4654283595641301E-2</v>
      </c>
      <c r="I129" s="106">
        <v>-1.4309951682373101</v>
      </c>
      <c r="J129" s="106">
        <v>-4.84</v>
      </c>
      <c r="K129" s="106">
        <v>0.87598497573448297</v>
      </c>
      <c r="L129" s="106">
        <v>0.45356469195593102</v>
      </c>
      <c r="M129" s="106">
        <v>0.90307232982362595</v>
      </c>
      <c r="N129" s="106">
        <v>0.24884310325672601</v>
      </c>
      <c r="P129" s="106">
        <v>0.46928302920034931</v>
      </c>
      <c r="Q129" s="106">
        <v>0.4399744620090667</v>
      </c>
      <c r="R129" s="106">
        <v>0.48393731279599062</v>
      </c>
      <c r="S129" s="106">
        <v>0.4253201784134254</v>
      </c>
      <c r="U129" s="106">
        <v>-3770</v>
      </c>
      <c r="V129" s="106">
        <v>21219.000000000102</v>
      </c>
      <c r="W129" s="106">
        <v>17449.000000000102</v>
      </c>
      <c r="X129" s="106">
        <v>0.89280963082125298</v>
      </c>
      <c r="Y129" s="14">
        <v>43747</v>
      </c>
      <c r="AA129" s="106">
        <v>1640</v>
      </c>
      <c r="AB129" s="106">
        <v>1625.9937030758056</v>
      </c>
    </row>
    <row r="130" spans="1:28" x14ac:dyDescent="0.2">
      <c r="A130" s="14">
        <v>43746</v>
      </c>
      <c r="B130" s="106">
        <v>710.4</v>
      </c>
      <c r="C130" s="106">
        <v>722.7</v>
      </c>
      <c r="D130" s="106">
        <v>1651</v>
      </c>
      <c r="E130" s="106">
        <v>1655</v>
      </c>
      <c r="F130" s="106">
        <v>0.43667673716012001</v>
      </c>
      <c r="G130" s="106">
        <v>0.45476735472462498</v>
      </c>
      <c r="H130" s="106">
        <v>1.45036694456737E-2</v>
      </c>
      <c r="I130" s="106">
        <v>-1.24731314597774</v>
      </c>
      <c r="J130" s="106">
        <v>-4.1399999999999997</v>
      </c>
      <c r="K130" s="106">
        <v>0.87808032467250896</v>
      </c>
      <c r="L130" s="106">
        <v>0.25489696971828302</v>
      </c>
      <c r="M130" s="106">
        <v>0.90714210079059499</v>
      </c>
      <c r="N130" s="106">
        <v>0.22084149374088899</v>
      </c>
      <c r="P130" s="106">
        <v>0.4692710241702987</v>
      </c>
      <c r="Q130" s="106">
        <v>0.44026368527895127</v>
      </c>
      <c r="R130" s="106">
        <v>0.48377469361597236</v>
      </c>
      <c r="S130" s="106">
        <v>0.42576001583327761</v>
      </c>
      <c r="U130" s="106">
        <v>-12770</v>
      </c>
      <c r="V130" s="106">
        <v>37319.000000000102</v>
      </c>
      <c r="W130" s="106">
        <v>24549.000000000102</v>
      </c>
      <c r="X130" s="106">
        <v>1.2560939668193538</v>
      </c>
      <c r="Y130" s="14">
        <v>43746</v>
      </c>
      <c r="AA130" s="106">
        <v>1655</v>
      </c>
      <c r="AB130" s="106">
        <v>1652.2857834826837</v>
      </c>
    </row>
    <row r="131" spans="1:28" x14ac:dyDescent="0.2">
      <c r="A131" s="14">
        <v>43745</v>
      </c>
      <c r="B131" s="106">
        <v>698.5</v>
      </c>
      <c r="C131" s="106">
        <v>694.6</v>
      </c>
      <c r="D131" s="106">
        <v>1653</v>
      </c>
      <c r="E131" s="106">
        <v>1624</v>
      </c>
      <c r="F131" s="106">
        <v>0.427709359605911</v>
      </c>
      <c r="G131" s="106">
        <v>0.45497448580519501</v>
      </c>
      <c r="H131" s="106">
        <v>1.4353989414673401E-2</v>
      </c>
      <c r="I131" s="106">
        <v>-1.89948072355499</v>
      </c>
      <c r="J131" s="106">
        <v>-6.37</v>
      </c>
      <c r="K131" s="106">
        <v>0.88832475143308998</v>
      </c>
      <c r="L131" s="106">
        <v>0.19479701723613099</v>
      </c>
      <c r="M131" s="106">
        <v>0.90773227038035498</v>
      </c>
      <c r="N131" s="106">
        <v>0.21483683365693801</v>
      </c>
      <c r="P131" s="106">
        <v>0.46932847521986842</v>
      </c>
      <c r="Q131" s="106">
        <v>0.44062049639052159</v>
      </c>
      <c r="R131" s="106">
        <v>0.48368246463454179</v>
      </c>
      <c r="S131" s="106">
        <v>0.42626650697584823</v>
      </c>
      <c r="U131" s="106">
        <v>5830</v>
      </c>
      <c r="V131" s="106">
        <v>-2020.99999999993</v>
      </c>
      <c r="W131" s="106">
        <v>3809.00000000007</v>
      </c>
      <c r="X131" s="106">
        <v>0.19489437124180156</v>
      </c>
      <c r="Y131" s="14">
        <v>43745</v>
      </c>
      <c r="AA131" s="106">
        <v>1624</v>
      </c>
      <c r="AB131" s="106">
        <v>1588.0416565754422</v>
      </c>
    </row>
    <row r="132" spans="1:28" x14ac:dyDescent="0.2">
      <c r="A132" s="14">
        <v>43742</v>
      </c>
      <c r="B132" s="106">
        <v>694.9</v>
      </c>
      <c r="C132" s="106">
        <v>694.1</v>
      </c>
      <c r="D132" s="106">
        <v>1635</v>
      </c>
      <c r="E132" s="106">
        <v>1624</v>
      </c>
      <c r="F132" s="106">
        <v>0.42740147783251198</v>
      </c>
      <c r="G132" s="106">
        <v>0.45509691282068698</v>
      </c>
      <c r="H132" s="106">
        <v>1.41587490883351E-2</v>
      </c>
      <c r="I132" s="106">
        <v>-1.9560651026009299</v>
      </c>
      <c r="J132" s="106">
        <v>-6.48</v>
      </c>
      <c r="K132" s="106">
        <v>0.89891456209326503</v>
      </c>
      <c r="L132" s="106">
        <v>0.113348951733685</v>
      </c>
      <c r="M132" s="106">
        <v>0.91225054905479797</v>
      </c>
      <c r="N132" s="106">
        <v>0.14041113341682601</v>
      </c>
      <c r="P132" s="106">
        <v>0.46925566190902207</v>
      </c>
      <c r="Q132" s="106">
        <v>0.4409381637323519</v>
      </c>
      <c r="R132" s="106">
        <v>0.48341441099735716</v>
      </c>
      <c r="S132" s="106">
        <v>0.42677941464401681</v>
      </c>
      <c r="U132" s="106">
        <v>5830</v>
      </c>
      <c r="V132" s="106">
        <v>-2720.99999999993</v>
      </c>
      <c r="W132" s="106">
        <v>3109.00000000007</v>
      </c>
      <c r="X132" s="106">
        <v>0.15907760572086205</v>
      </c>
      <c r="Y132" s="14">
        <v>43742</v>
      </c>
      <c r="AA132" s="106">
        <v>1624</v>
      </c>
      <c r="AB132" s="106">
        <v>1586.8985226447085</v>
      </c>
    </row>
    <row r="133" spans="1:28" x14ac:dyDescent="0.2">
      <c r="A133" s="14">
        <v>43741</v>
      </c>
      <c r="B133" s="106">
        <v>700</v>
      </c>
      <c r="C133" s="106">
        <v>699.6</v>
      </c>
      <c r="D133" s="106">
        <v>1636.5</v>
      </c>
      <c r="E133" s="106">
        <v>1650</v>
      </c>
      <c r="F133" s="106">
        <v>0.42399999999999999</v>
      </c>
      <c r="G133" s="106">
        <v>0.45526472881146801</v>
      </c>
      <c r="H133" s="106">
        <v>1.3901751879583301E-2</v>
      </c>
      <c r="I133" s="106">
        <v>-2.2489776167984399</v>
      </c>
      <c r="J133" s="106">
        <v>-7.37</v>
      </c>
      <c r="K133" s="106">
        <v>0.91144242103825801</v>
      </c>
      <c r="L133" s="106">
        <v>8.0655000541298399E-2</v>
      </c>
      <c r="M133" s="106">
        <v>0.91628938243466695</v>
      </c>
      <c r="N133" s="106">
        <v>0.185651184769763</v>
      </c>
      <c r="P133" s="106">
        <v>0.46916648069105132</v>
      </c>
      <c r="Q133" s="106">
        <v>0.4413629769318847</v>
      </c>
      <c r="R133" s="106">
        <v>0.48306823257063464</v>
      </c>
      <c r="S133" s="106">
        <v>0.42746122505230139</v>
      </c>
      <c r="Y133" s="14"/>
      <c r="AA133" s="106">
        <v>1650</v>
      </c>
      <c r="AB133" s="106">
        <v>1599.4729958827804</v>
      </c>
    </row>
    <row r="134" spans="1:28" x14ac:dyDescent="0.2">
      <c r="A134" s="14">
        <v>43740</v>
      </c>
      <c r="B134" s="106">
        <v>714.3</v>
      </c>
      <c r="C134" s="106">
        <v>712.7</v>
      </c>
      <c r="D134" s="106">
        <v>1670</v>
      </c>
      <c r="E134" s="106">
        <v>1686</v>
      </c>
      <c r="F134" s="106">
        <v>0.42271648873072298</v>
      </c>
      <c r="G134" s="106">
        <v>0.45547970317044301</v>
      </c>
      <c r="H134" s="106">
        <v>1.35364806875055E-2</v>
      </c>
      <c r="I134" s="106">
        <v>-2.4203642878876601</v>
      </c>
      <c r="J134" s="106">
        <v>-7.75</v>
      </c>
      <c r="K134" s="106">
        <v>0.92215244693682796</v>
      </c>
      <c r="L134" s="106">
        <v>0.20230960673242299</v>
      </c>
      <c r="M134" s="106">
        <v>0.91930112910443895</v>
      </c>
      <c r="N134" s="106">
        <v>0.25132382843643303</v>
      </c>
      <c r="P134" s="106">
        <v>0.46901618385794852</v>
      </c>
      <c r="Q134" s="106">
        <v>0.44194322248293749</v>
      </c>
      <c r="R134" s="106">
        <v>0.48255266454545398</v>
      </c>
      <c r="S134" s="106">
        <v>0.42840674179543203</v>
      </c>
      <c r="Y134" s="14"/>
      <c r="AA134" s="106">
        <v>1686</v>
      </c>
      <c r="AB134" s="106">
        <v>1629.4231048680069</v>
      </c>
    </row>
    <row r="135" spans="1:28" x14ac:dyDescent="0.2">
      <c r="A135" s="14">
        <v>43739</v>
      </c>
      <c r="B135" s="106">
        <v>718.4</v>
      </c>
      <c r="C135" s="106">
        <v>729.3</v>
      </c>
      <c r="D135" s="106">
        <v>1648.5</v>
      </c>
      <c r="E135" s="106">
        <v>1691</v>
      </c>
      <c r="F135" s="106">
        <v>0.43128326434062603</v>
      </c>
      <c r="G135" s="106">
        <v>0.45573323087350798</v>
      </c>
      <c r="H135" s="106">
        <v>1.30912180609652E-2</v>
      </c>
      <c r="I135" s="106">
        <v>-1.8676616964913899</v>
      </c>
      <c r="J135" s="106">
        <v>-5.67</v>
      </c>
      <c r="K135" s="106">
        <v>0.92692110094847502</v>
      </c>
      <c r="L135" s="106">
        <v>0.22986954919059799</v>
      </c>
      <c r="M135" s="106">
        <v>0.92232948028896999</v>
      </c>
      <c r="N135" s="106">
        <v>0.27450476999527801</v>
      </c>
      <c r="P135" s="106">
        <v>0.46882444893447317</v>
      </c>
      <c r="Q135" s="106">
        <v>0.44264201281254278</v>
      </c>
      <c r="R135" s="106">
        <v>0.48191566699543836</v>
      </c>
      <c r="S135" s="106">
        <v>0.42955079475157759</v>
      </c>
      <c r="Y135" s="14"/>
      <c r="AA135" s="106">
        <v>1691</v>
      </c>
      <c r="AB135" s="106">
        <v>1667.3751513683701</v>
      </c>
    </row>
    <row r="136" spans="1:28" x14ac:dyDescent="0.2">
      <c r="A136" s="14">
        <v>43738</v>
      </c>
      <c r="B136" s="106">
        <v>724</v>
      </c>
      <c r="C136" s="106">
        <v>717.7</v>
      </c>
      <c r="D136" s="106">
        <v>1617.5</v>
      </c>
      <c r="E136" s="106">
        <v>1629</v>
      </c>
      <c r="F136" s="106">
        <v>0.440577041129527</v>
      </c>
      <c r="G136" s="106">
        <v>0.45596924888742701</v>
      </c>
      <c r="H136" s="106">
        <v>1.2804720162930199E-2</v>
      </c>
      <c r="I136" s="106">
        <v>-1.20207295138405</v>
      </c>
      <c r="J136" s="106">
        <v>-3.49</v>
      </c>
      <c r="K136" s="106">
        <v>0.92989551575391305</v>
      </c>
      <c r="L136" s="106">
        <v>0.26488499244633301</v>
      </c>
      <c r="M136" s="106">
        <v>0.92495250914407101</v>
      </c>
      <c r="N136" s="106">
        <v>0.23312556854165001</v>
      </c>
      <c r="P136" s="106">
        <v>0.46877396905035723</v>
      </c>
      <c r="Q136" s="106">
        <v>0.4431645287244968</v>
      </c>
      <c r="R136" s="106">
        <v>0.48157868921328739</v>
      </c>
      <c r="S136" s="106">
        <v>0.43035980856156664</v>
      </c>
      <c r="Y136" s="14"/>
      <c r="AA136" s="106">
        <v>1629</v>
      </c>
      <c r="AB136" s="106">
        <v>1640.8544441753454</v>
      </c>
    </row>
    <row r="137" spans="1:28" x14ac:dyDescent="0.2">
      <c r="A137" s="14">
        <v>43735</v>
      </c>
      <c r="B137" s="106">
        <v>736</v>
      </c>
      <c r="C137" s="106">
        <v>727.9</v>
      </c>
      <c r="D137" s="106">
        <v>1633.5</v>
      </c>
      <c r="E137" s="106">
        <v>1640</v>
      </c>
      <c r="F137" s="106">
        <v>0.44384146341463399</v>
      </c>
      <c r="G137" s="106">
        <v>0.45593515557255898</v>
      </c>
      <c r="H137" s="106">
        <v>1.2848984995981E-2</v>
      </c>
      <c r="I137" s="106">
        <v>-0.94121770409945904</v>
      </c>
      <c r="J137" s="106">
        <v>-2.72</v>
      </c>
      <c r="K137" s="106">
        <v>0.92729334357690996</v>
      </c>
      <c r="L137" s="106">
        <v>0.326062075529929</v>
      </c>
      <c r="M137" s="106">
        <v>0.92696133709210005</v>
      </c>
      <c r="N137" s="106">
        <v>0.30123751841961999</v>
      </c>
      <c r="P137" s="106">
        <v>0.46878414056854001</v>
      </c>
      <c r="Q137" s="106">
        <v>0.44308617057657795</v>
      </c>
      <c r="R137" s="106">
        <v>0.48163312556452098</v>
      </c>
      <c r="S137" s="106">
        <v>0.43023718558059698</v>
      </c>
      <c r="Y137" s="14"/>
      <c r="AA137" s="106">
        <v>1640</v>
      </c>
      <c r="AB137" s="106">
        <v>1664.1743763623153</v>
      </c>
    </row>
    <row r="138" spans="1:28" x14ac:dyDescent="0.2">
      <c r="A138" s="14">
        <v>43734</v>
      </c>
      <c r="B138" s="106">
        <v>755.2</v>
      </c>
      <c r="C138" s="106">
        <v>755.9</v>
      </c>
      <c r="D138" s="106">
        <v>1652.5</v>
      </c>
      <c r="E138" s="106">
        <v>1635</v>
      </c>
      <c r="F138" s="106">
        <v>0.462324159021406</v>
      </c>
      <c r="G138" s="106">
        <v>0.45579887152440801</v>
      </c>
      <c r="H138" s="106">
        <v>1.30294741784708E-2</v>
      </c>
      <c r="I138" s="106">
        <v>0.50080973396299799</v>
      </c>
      <c r="J138" s="106">
        <v>1.41</v>
      </c>
      <c r="K138" s="106">
        <v>0.92835537846373795</v>
      </c>
      <c r="L138" s="106">
        <v>0.113887647088022</v>
      </c>
      <c r="M138" s="106">
        <v>0.92877155672064904</v>
      </c>
      <c r="N138" s="106">
        <v>0.45487007774365501</v>
      </c>
      <c r="P138" s="106">
        <v>0.46882834570287879</v>
      </c>
      <c r="Q138" s="106">
        <v>0.44276939734593723</v>
      </c>
      <c r="R138" s="106">
        <v>0.48185781988134962</v>
      </c>
      <c r="S138" s="106">
        <v>0.4297399231674664</v>
      </c>
      <c r="Y138" s="14"/>
      <c r="AA138" s="106">
        <v>1635</v>
      </c>
      <c r="AB138" s="106">
        <v>1728.1898764834102</v>
      </c>
    </row>
    <row r="139" spans="1:28" x14ac:dyDescent="0.2">
      <c r="A139" s="14">
        <v>43733</v>
      </c>
      <c r="B139" s="106">
        <v>743.1</v>
      </c>
      <c r="C139" s="106">
        <v>752.9</v>
      </c>
      <c r="D139" s="106">
        <v>1605</v>
      </c>
      <c r="E139" s="106">
        <v>1621</v>
      </c>
      <c r="F139" s="106">
        <v>0.46446637877853097</v>
      </c>
      <c r="G139" s="106">
        <v>0.45532300389404401</v>
      </c>
      <c r="H139" s="106">
        <v>1.34281104884752E-2</v>
      </c>
      <c r="I139" s="106">
        <v>0.68091299161821806</v>
      </c>
      <c r="J139" s="106">
        <v>1.97</v>
      </c>
      <c r="K139" s="106">
        <v>0.93075553259958099</v>
      </c>
      <c r="L139" s="106">
        <v>9.5832962385779097E-2</v>
      </c>
      <c r="M139" s="106">
        <v>0.93065345146032896</v>
      </c>
      <c r="N139" s="106">
        <v>0.18708115129072</v>
      </c>
      <c r="P139" s="106">
        <v>0.46875111438251921</v>
      </c>
      <c r="Q139" s="106">
        <v>0.44189489340556881</v>
      </c>
      <c r="R139" s="106">
        <v>0.48217922487099441</v>
      </c>
      <c r="S139" s="106">
        <v>0.42846678291709361</v>
      </c>
      <c r="Y139" s="14"/>
      <c r="AA139" s="106">
        <v>1621</v>
      </c>
      <c r="AB139" s="106">
        <v>1721.331072899007</v>
      </c>
    </row>
    <row r="140" spans="1:28" x14ac:dyDescent="0.2">
      <c r="A140" s="14">
        <v>43732</v>
      </c>
      <c r="B140" s="106">
        <v>751</v>
      </c>
      <c r="C140" s="106">
        <v>752.9</v>
      </c>
      <c r="D140" s="106">
        <v>1615.5</v>
      </c>
      <c r="E140" s="106">
        <v>1627.5</v>
      </c>
      <c r="F140" s="106">
        <v>0.46261136712749601</v>
      </c>
      <c r="G140" s="106">
        <v>0.45478126263451302</v>
      </c>
      <c r="H140" s="106">
        <v>1.38609253034095E-2</v>
      </c>
      <c r="I140" s="106">
        <v>0.56490489066099303</v>
      </c>
      <c r="J140" s="106">
        <v>1.69</v>
      </c>
      <c r="K140" s="106">
        <v>0.93243670300715098</v>
      </c>
      <c r="L140" s="106">
        <v>7.4650858501755804E-2</v>
      </c>
      <c r="M140" s="106">
        <v>0.93255423500972701</v>
      </c>
      <c r="N140" s="106">
        <v>0.18998896994167599</v>
      </c>
      <c r="P140" s="106">
        <v>0.46864218793792251</v>
      </c>
      <c r="Q140" s="106">
        <v>0.44092033733110353</v>
      </c>
      <c r="R140" s="106">
        <v>0.48250311324133199</v>
      </c>
      <c r="S140" s="106">
        <v>0.42705941202769404</v>
      </c>
      <c r="Y140" s="14"/>
      <c r="AA140" s="106">
        <v>1627.5</v>
      </c>
      <c r="AB140" s="106">
        <v>1721.331072899007</v>
      </c>
    </row>
    <row r="141" spans="1:28" x14ac:dyDescent="0.2">
      <c r="A141" s="14">
        <v>43728</v>
      </c>
      <c r="B141" s="106">
        <v>758</v>
      </c>
      <c r="C141" s="106">
        <v>754</v>
      </c>
      <c r="D141" s="106">
        <v>1642.5</v>
      </c>
      <c r="E141" s="106">
        <v>1617</v>
      </c>
      <c r="F141" s="106">
        <v>0.46629560915275198</v>
      </c>
      <c r="G141" s="106">
        <v>0.45431505491730501</v>
      </c>
      <c r="H141" s="106">
        <v>1.4174209431836501E-2</v>
      </c>
      <c r="I141" s="106">
        <v>0.84523615183339895</v>
      </c>
      <c r="J141" s="106">
        <v>2.57</v>
      </c>
      <c r="K141" s="106">
        <v>0.93676822092483703</v>
      </c>
      <c r="L141" s="106">
        <v>7.1429970337120605E-2</v>
      </c>
      <c r="M141" s="106">
        <v>0.93425223648310396</v>
      </c>
      <c r="N141" s="106">
        <v>0.18078712838608199</v>
      </c>
      <c r="P141" s="106">
        <v>0.46848926434914151</v>
      </c>
      <c r="Q141" s="106">
        <v>0.4401408454854685</v>
      </c>
      <c r="R141" s="106">
        <v>0.48266347378097801</v>
      </c>
      <c r="S141" s="106">
        <v>0.425966636053632</v>
      </c>
      <c r="Y141" s="14"/>
      <c r="AA141" s="106">
        <v>1617</v>
      </c>
      <c r="AB141" s="106">
        <v>1723.8459675466215</v>
      </c>
    </row>
    <row r="142" spans="1:28" x14ac:dyDescent="0.2">
      <c r="A142" s="14">
        <v>43727</v>
      </c>
      <c r="B142" s="106">
        <v>755</v>
      </c>
      <c r="C142" s="106">
        <v>753.2</v>
      </c>
      <c r="D142" s="106">
        <v>1658</v>
      </c>
      <c r="E142" s="106">
        <v>1628</v>
      </c>
      <c r="F142" s="106">
        <v>0.462653562653562</v>
      </c>
      <c r="G142" s="106">
        <v>0.45386655649990998</v>
      </c>
      <c r="H142" s="106">
        <v>1.43194572257255E-2</v>
      </c>
      <c r="I142" s="106">
        <v>0.61364100713718805</v>
      </c>
      <c r="J142" s="106">
        <v>1.9</v>
      </c>
      <c r="K142" s="106">
        <v>0.93907717714626404</v>
      </c>
      <c r="L142" s="106">
        <v>4.6888653921124103E-2</v>
      </c>
      <c r="M142" s="106">
        <v>0.93554097412496895</v>
      </c>
      <c r="N142" s="106">
        <v>0.18454666364132399</v>
      </c>
      <c r="P142" s="106">
        <v>0.46818601372563545</v>
      </c>
      <c r="Q142" s="106">
        <v>0.43954709927418451</v>
      </c>
      <c r="R142" s="106">
        <v>0.48250547095136098</v>
      </c>
      <c r="S142" s="106">
        <v>0.42522764204845898</v>
      </c>
      <c r="Y142" s="14"/>
      <c r="AA142" s="106">
        <v>1628</v>
      </c>
      <c r="AB142" s="106">
        <v>1722.0169532574475</v>
      </c>
    </row>
    <row r="143" spans="1:28" x14ac:dyDescent="0.2">
      <c r="A143" s="14">
        <v>43726</v>
      </c>
      <c r="B143" s="106">
        <v>763.2</v>
      </c>
      <c r="C143" s="106">
        <v>753.8</v>
      </c>
      <c r="D143" s="106">
        <v>1646.5</v>
      </c>
      <c r="E143" s="106">
        <v>1636</v>
      </c>
      <c r="F143" s="106">
        <v>0.460757946210268</v>
      </c>
      <c r="G143" s="106">
        <v>0.45345335506936801</v>
      </c>
      <c r="H143" s="106">
        <v>1.45058494910366E-2</v>
      </c>
      <c r="I143" s="106">
        <v>0.50356176281950604</v>
      </c>
      <c r="J143" s="106">
        <v>1.59</v>
      </c>
      <c r="K143" s="106">
        <v>0.94168396514476005</v>
      </c>
      <c r="L143" s="106">
        <v>8.6390978102947602E-3</v>
      </c>
      <c r="M143" s="106">
        <v>0.93663911125888299</v>
      </c>
      <c r="N143" s="106">
        <v>0.198152325305187</v>
      </c>
      <c r="P143" s="106">
        <v>0.46795920456040463</v>
      </c>
      <c r="Q143" s="106">
        <v>0.4389475055783314</v>
      </c>
      <c r="R143" s="106">
        <v>0.48246505405144119</v>
      </c>
      <c r="S143" s="106">
        <v>0.42444165608729484</v>
      </c>
      <c r="Y143" s="14"/>
      <c r="AA143" s="106">
        <v>1636</v>
      </c>
      <c r="AB143" s="106">
        <v>1723.3887139743281</v>
      </c>
    </row>
    <row r="144" spans="1:28" x14ac:dyDescent="0.2">
      <c r="A144" s="14">
        <v>43725</v>
      </c>
      <c r="B144" s="106">
        <v>753.9</v>
      </c>
      <c r="C144" s="106">
        <v>766.7</v>
      </c>
      <c r="D144" s="106">
        <v>1665</v>
      </c>
      <c r="E144" s="106">
        <v>1660.5</v>
      </c>
      <c r="F144" s="106">
        <v>0.46172839506172803</v>
      </c>
      <c r="G144" s="106">
        <v>0.45309898821350197</v>
      </c>
      <c r="H144" s="106">
        <v>1.46470226918755E-2</v>
      </c>
      <c r="I144" s="106">
        <v>0.58915774418870603</v>
      </c>
      <c r="J144" s="106">
        <v>1.87</v>
      </c>
      <c r="K144" s="106">
        <v>0.94176833096175105</v>
      </c>
      <c r="L144" s="106">
        <v>0.36674784803842297</v>
      </c>
      <c r="M144" s="106">
        <v>0.93732822036399099</v>
      </c>
      <c r="N144" s="106">
        <v>0.21966696538351699</v>
      </c>
      <c r="P144" s="106">
        <v>0.46774601090537749</v>
      </c>
      <c r="Q144" s="106">
        <v>0.43845196552162646</v>
      </c>
      <c r="R144" s="106">
        <v>0.482393033597253</v>
      </c>
      <c r="S144" s="106">
        <v>0.42380494282975095</v>
      </c>
      <c r="Y144" s="14"/>
      <c r="AA144" s="106">
        <v>1660.5</v>
      </c>
      <c r="AB144" s="106">
        <v>1752.8815693872612</v>
      </c>
    </row>
    <row r="145" spans="1:28" x14ac:dyDescent="0.2">
      <c r="A145" s="14">
        <v>43721</v>
      </c>
      <c r="B145" s="106">
        <v>754.7</v>
      </c>
      <c r="C145" s="106">
        <v>748.8</v>
      </c>
      <c r="D145" s="106">
        <v>1639.5</v>
      </c>
      <c r="E145" s="106">
        <v>1665.5</v>
      </c>
      <c r="F145" s="106">
        <v>0.44959471630141001</v>
      </c>
      <c r="G145" s="106">
        <v>0.45271087834652901</v>
      </c>
      <c r="H145" s="106">
        <v>1.47980918953345E-2</v>
      </c>
      <c r="I145" s="106">
        <v>-0.21057863859467099</v>
      </c>
      <c r="J145" s="106">
        <v>-0.69</v>
      </c>
      <c r="K145" s="106">
        <v>0.93865302078574697</v>
      </c>
      <c r="L145" s="106">
        <v>0.31471398706661202</v>
      </c>
      <c r="M145" s="106">
        <v>0.93759979108351699</v>
      </c>
      <c r="N145" s="106">
        <v>0.54580236522425596</v>
      </c>
      <c r="P145" s="106">
        <v>0.4675089702418635</v>
      </c>
      <c r="Q145" s="106">
        <v>0.43791278645119452</v>
      </c>
      <c r="R145" s="106">
        <v>0.48230706213719798</v>
      </c>
      <c r="S145" s="106">
        <v>0.42311469455586004</v>
      </c>
      <c r="AA145" s="106">
        <v>1665.5</v>
      </c>
      <c r="AB145" s="106">
        <v>1711.9573746669896</v>
      </c>
    </row>
    <row r="146" spans="1:28" x14ac:dyDescent="0.2">
      <c r="A146" s="14">
        <v>43720</v>
      </c>
      <c r="B146" s="106">
        <v>750</v>
      </c>
      <c r="C146" s="106">
        <v>747.5</v>
      </c>
      <c r="D146" s="106">
        <v>1653</v>
      </c>
      <c r="E146" s="106">
        <v>1645.5</v>
      </c>
      <c r="F146" s="106">
        <v>0.45426921908234502</v>
      </c>
      <c r="G146" s="106">
        <v>0.45244130561805901</v>
      </c>
      <c r="H146" s="106">
        <v>1.5034664216126099E-2</v>
      </c>
      <c r="I146" s="106">
        <v>0.12157993274808999</v>
      </c>
      <c r="J146" s="106">
        <v>0.4</v>
      </c>
      <c r="K146" s="106">
        <v>0.93863126913733397</v>
      </c>
      <c r="L146" s="106">
        <v>0.14587666408326699</v>
      </c>
      <c r="M146" s="106">
        <v>0.937859839592734</v>
      </c>
      <c r="N146" s="106">
        <v>0.221813475644247</v>
      </c>
      <c r="P146" s="106">
        <v>0.4674759698341851</v>
      </c>
      <c r="Q146" s="106">
        <v>0.43740664140193292</v>
      </c>
      <c r="R146" s="106">
        <v>0.48251063405031119</v>
      </c>
      <c r="S146" s="106">
        <v>0.42237197718580682</v>
      </c>
      <c r="AA146" s="106">
        <v>1645.5</v>
      </c>
      <c r="AB146" s="106">
        <v>1708.9852264470817</v>
      </c>
    </row>
    <row r="147" spans="1:28" x14ac:dyDescent="0.2">
      <c r="A147" s="14">
        <v>43719</v>
      </c>
      <c r="B147" s="106">
        <v>733.9</v>
      </c>
      <c r="C147" s="106">
        <v>740.5</v>
      </c>
      <c r="D147" s="106">
        <v>1616.5</v>
      </c>
      <c r="E147" s="106">
        <v>1650</v>
      </c>
      <c r="F147" s="106">
        <v>0.44878787878787801</v>
      </c>
      <c r="G147" s="106">
        <v>0.452087995176435</v>
      </c>
      <c r="H147" s="106">
        <v>1.5296626363642299E-2</v>
      </c>
      <c r="I147" s="106">
        <v>-0.21574145240290701</v>
      </c>
      <c r="J147" s="106">
        <v>-0.74</v>
      </c>
      <c r="K147" s="106">
        <v>0.93833242275392303</v>
      </c>
      <c r="L147" s="106">
        <v>6.1878066239275196E-3</v>
      </c>
      <c r="M147" s="106">
        <v>0.93817891241557205</v>
      </c>
      <c r="N147" s="106">
        <v>0.45291560673380199</v>
      </c>
      <c r="P147" s="106">
        <v>0.46738462154007732</v>
      </c>
      <c r="Q147" s="106">
        <v>0.43679136881279268</v>
      </c>
      <c r="R147" s="106">
        <v>0.48268124790371958</v>
      </c>
      <c r="S147" s="106">
        <v>0.42149474244915042</v>
      </c>
      <c r="AA147" s="106">
        <v>1650</v>
      </c>
      <c r="AB147" s="106">
        <v>1692.9813514168081</v>
      </c>
    </row>
    <row r="148" spans="1:28" x14ac:dyDescent="0.2">
      <c r="A148" s="14">
        <v>43718</v>
      </c>
      <c r="B148" s="106">
        <v>711</v>
      </c>
      <c r="C148" s="106">
        <v>725.4</v>
      </c>
      <c r="D148" s="106">
        <v>1535</v>
      </c>
      <c r="E148" s="106">
        <v>1554.5</v>
      </c>
      <c r="F148" s="106">
        <v>0.46664522354454802</v>
      </c>
      <c r="G148" s="106">
        <v>0.45187061641992599</v>
      </c>
      <c r="H148" s="106">
        <v>1.5456981893709599E-2</v>
      </c>
      <c r="I148" s="106">
        <v>0.95585329828420396</v>
      </c>
      <c r="J148" s="106">
        <v>3.17</v>
      </c>
      <c r="K148" s="106">
        <v>0.94201769097449695</v>
      </c>
      <c r="L148" s="106">
        <v>1.5811547245159902E-2</v>
      </c>
      <c r="M148" s="106">
        <v>0.93839183001007298</v>
      </c>
      <c r="N148" s="106">
        <v>0.46130100977761102</v>
      </c>
      <c r="P148" s="106">
        <v>0.46732759831363557</v>
      </c>
      <c r="Q148" s="106">
        <v>0.4364136345262164</v>
      </c>
      <c r="R148" s="106">
        <v>0.48278458020734516</v>
      </c>
      <c r="S148" s="106">
        <v>0.42095665263250681</v>
      </c>
      <c r="AA148" s="106">
        <v>1554.5</v>
      </c>
      <c r="AB148" s="106">
        <v>1658.4587067086463</v>
      </c>
    </row>
    <row r="149" spans="1:28" x14ac:dyDescent="0.2">
      <c r="A149" s="14">
        <v>43717</v>
      </c>
      <c r="B149" s="106">
        <v>695.9</v>
      </c>
      <c r="C149" s="106">
        <v>701.4</v>
      </c>
      <c r="D149" s="106">
        <v>1499.5</v>
      </c>
      <c r="E149" s="106">
        <v>1510</v>
      </c>
      <c r="F149" s="106">
        <v>0.46450331125827798</v>
      </c>
      <c r="G149" s="106">
        <v>0.45140236650267601</v>
      </c>
      <c r="H149" s="106">
        <v>1.5534058163461701E-2</v>
      </c>
      <c r="I149" s="106">
        <v>0.84336910662644604</v>
      </c>
      <c r="J149" s="106">
        <v>2.82</v>
      </c>
      <c r="K149" s="106">
        <v>0.93922994173584395</v>
      </c>
      <c r="L149" s="106">
        <v>0.15625428295659599</v>
      </c>
      <c r="M149" s="106">
        <v>0.93850269943991405</v>
      </c>
      <c r="N149" s="106">
        <v>0.37301696398747702</v>
      </c>
      <c r="P149" s="106">
        <v>0.46693642466613772</v>
      </c>
      <c r="Q149" s="106">
        <v>0.43586830833921431</v>
      </c>
      <c r="R149" s="106">
        <v>0.48247048282959942</v>
      </c>
      <c r="S149" s="106">
        <v>0.4203342501757526</v>
      </c>
      <c r="AA149" s="106">
        <v>1510</v>
      </c>
      <c r="AB149" s="106">
        <v>1603.5882780334223</v>
      </c>
    </row>
    <row r="150" spans="1:28" x14ac:dyDescent="0.2">
      <c r="A150" s="14">
        <v>43714</v>
      </c>
      <c r="B150" s="106">
        <v>693.5</v>
      </c>
      <c r="C150" s="106">
        <v>695.7</v>
      </c>
      <c r="D150" s="106">
        <v>1507.5</v>
      </c>
      <c r="E150" s="106">
        <v>1500</v>
      </c>
      <c r="F150" s="106">
        <v>0.46379999999999999</v>
      </c>
      <c r="G150" s="106">
        <v>0.45100140666994698</v>
      </c>
      <c r="H150" s="106">
        <v>1.5578765935157E-2</v>
      </c>
      <c r="I150" s="106">
        <v>0.82154089632798599</v>
      </c>
      <c r="J150" s="106">
        <v>2.76</v>
      </c>
      <c r="K150" s="106">
        <v>0.93129989685241799</v>
      </c>
      <c r="L150" s="106">
        <v>0.121377555451931</v>
      </c>
      <c r="M150" s="106">
        <v>0.93845693345749803</v>
      </c>
      <c r="N150" s="106">
        <v>0.194844637696416</v>
      </c>
      <c r="P150" s="106">
        <v>0.46658017260510398</v>
      </c>
      <c r="Q150" s="106">
        <v>0.43542264073478998</v>
      </c>
      <c r="R150" s="106">
        <v>0.48215893854026098</v>
      </c>
      <c r="S150" s="106">
        <v>0.41984387479963298</v>
      </c>
      <c r="AA150" s="106">
        <v>1500</v>
      </c>
      <c r="AB150" s="106">
        <v>1590.5565512230567</v>
      </c>
    </row>
    <row r="151" spans="1:28" x14ac:dyDescent="0.2">
      <c r="A151" s="14">
        <v>43713</v>
      </c>
      <c r="B151" s="106">
        <v>675.4</v>
      </c>
      <c r="C151" s="106">
        <v>685</v>
      </c>
      <c r="D151" s="106">
        <v>1448.5</v>
      </c>
      <c r="E151" s="106">
        <v>1482</v>
      </c>
      <c r="F151" s="106">
        <v>0.46221322537111997</v>
      </c>
      <c r="G151" s="106">
        <v>0.45066676164289698</v>
      </c>
      <c r="H151" s="106">
        <v>1.55698117074578E-2</v>
      </c>
      <c r="I151" s="106">
        <v>0.74159302277828199</v>
      </c>
      <c r="J151" s="106">
        <v>2.5</v>
      </c>
      <c r="K151" s="106">
        <v>0.91954575470567401</v>
      </c>
      <c r="L151" s="106">
        <v>0.25849965104845501</v>
      </c>
      <c r="M151" s="106">
        <v>0.93838859187414003</v>
      </c>
      <c r="N151" s="106">
        <v>0.18043559661241701</v>
      </c>
      <c r="P151" s="106">
        <v>0.46623657335035479</v>
      </c>
      <c r="Q151" s="106">
        <v>0.43509694993543918</v>
      </c>
      <c r="R151" s="106">
        <v>0.48180638505781259</v>
      </c>
      <c r="S151" s="106">
        <v>0.41952713822798138</v>
      </c>
      <c r="AA151" s="106">
        <v>1482</v>
      </c>
      <c r="AB151" s="106">
        <v>1566.0934851053526</v>
      </c>
    </row>
    <row r="152" spans="1:28" x14ac:dyDescent="0.2">
      <c r="A152" s="14">
        <v>43712</v>
      </c>
      <c r="B152" s="106">
        <v>674.9</v>
      </c>
      <c r="C152" s="106">
        <v>670.3</v>
      </c>
      <c r="D152" s="106">
        <v>1454</v>
      </c>
      <c r="E152" s="106">
        <v>1451.5</v>
      </c>
      <c r="F152" s="106">
        <v>0.46179813985532198</v>
      </c>
      <c r="G152" s="106">
        <v>0.45033275312215099</v>
      </c>
      <c r="H152" s="106">
        <v>1.5587218073446299E-2</v>
      </c>
      <c r="I152" s="106">
        <v>0.73556337501319602</v>
      </c>
      <c r="J152" s="106">
        <v>2.48</v>
      </c>
      <c r="K152" s="106">
        <v>0.90992131119804998</v>
      </c>
      <c r="L152" s="106">
        <v>0.25064035160054499</v>
      </c>
      <c r="M152" s="106">
        <v>0.93831901968243703</v>
      </c>
      <c r="N152" s="106">
        <v>0.172907029167812</v>
      </c>
      <c r="P152" s="106">
        <v>0.4659199711955973</v>
      </c>
      <c r="Q152" s="106">
        <v>0.43474553504870467</v>
      </c>
      <c r="R152" s="106">
        <v>0.48150718926904357</v>
      </c>
      <c r="S152" s="106">
        <v>0.4191583169752584</v>
      </c>
      <c r="AA152" s="106">
        <v>1451.5</v>
      </c>
      <c r="AB152" s="106">
        <v>1532.4853475417776</v>
      </c>
    </row>
    <row r="153" spans="1:28" x14ac:dyDescent="0.2">
      <c r="A153" s="14">
        <v>43711</v>
      </c>
      <c r="B153" s="106">
        <v>670.6</v>
      </c>
      <c r="C153" s="106">
        <v>677.3</v>
      </c>
      <c r="D153" s="106">
        <v>1450</v>
      </c>
      <c r="E153" s="106">
        <v>1460</v>
      </c>
      <c r="F153" s="106">
        <v>0.46390410958904099</v>
      </c>
      <c r="G153" s="106">
        <v>0.45002750628416799</v>
      </c>
      <c r="H153" s="106">
        <v>1.5583864025053599E-2</v>
      </c>
      <c r="I153" s="106">
        <v>0.89044689318155301</v>
      </c>
      <c r="J153" s="106">
        <v>2.99</v>
      </c>
      <c r="K153" s="106">
        <v>0.90176156685138198</v>
      </c>
      <c r="L153" s="106">
        <v>0.27570123769055699</v>
      </c>
      <c r="M153" s="106">
        <v>0.93832150670479297</v>
      </c>
      <c r="N153" s="106">
        <v>0.168210159860994</v>
      </c>
      <c r="P153" s="106">
        <v>0.46561137030922156</v>
      </c>
      <c r="Q153" s="106">
        <v>0.43444364225911442</v>
      </c>
      <c r="R153" s="106">
        <v>0.48119523433427519</v>
      </c>
      <c r="S153" s="106">
        <v>0.41885977823406079</v>
      </c>
      <c r="AA153" s="106">
        <v>1460</v>
      </c>
      <c r="AB153" s="106">
        <v>1548.4892225720514</v>
      </c>
    </row>
    <row r="154" spans="1:28" x14ac:dyDescent="0.2">
      <c r="A154" s="14">
        <v>43710</v>
      </c>
      <c r="B154" s="106">
        <v>673.8</v>
      </c>
      <c r="C154" s="106">
        <v>671.7</v>
      </c>
      <c r="D154" s="106">
        <v>1438</v>
      </c>
      <c r="E154" s="106">
        <v>1454.5</v>
      </c>
      <c r="F154" s="106">
        <v>0.46180818150567199</v>
      </c>
      <c r="G154" s="106">
        <v>0.44980904811945199</v>
      </c>
      <c r="H154" s="106">
        <v>1.550243455495E-2</v>
      </c>
      <c r="I154" s="106">
        <v>0.77401606461791095</v>
      </c>
      <c r="J154" s="106">
        <v>2.6</v>
      </c>
      <c r="K154" s="106">
        <v>0.89077718363154301</v>
      </c>
      <c r="L154" s="106">
        <v>0.44100198402431301</v>
      </c>
      <c r="M154" s="106">
        <v>0.93830923080170903</v>
      </c>
      <c r="N154" s="106">
        <v>0.17755242979980501</v>
      </c>
      <c r="P154" s="106">
        <v>0.46531148267440198</v>
      </c>
      <c r="Q154" s="106">
        <v>0.43430661356450201</v>
      </c>
      <c r="R154" s="106">
        <v>0.48081391722935202</v>
      </c>
      <c r="S154" s="106">
        <v>0.41880417900955197</v>
      </c>
      <c r="AA154" s="106">
        <v>1454.5</v>
      </c>
      <c r="AB154" s="106">
        <v>1535.6861225478326</v>
      </c>
    </row>
    <row r="155" spans="1:28" x14ac:dyDescent="0.2">
      <c r="A155" s="14">
        <v>43707</v>
      </c>
      <c r="B155" s="106">
        <v>671.6</v>
      </c>
      <c r="C155" s="106">
        <v>678.1</v>
      </c>
      <c r="D155" s="106">
        <v>1451.5</v>
      </c>
      <c r="E155" s="106">
        <v>1448</v>
      </c>
      <c r="F155" s="106">
        <v>0.46830110497237498</v>
      </c>
      <c r="G155" s="106">
        <v>0.44966964693648998</v>
      </c>
      <c r="H155" s="106">
        <v>1.54407936777687E-2</v>
      </c>
      <c r="I155" s="106">
        <v>1.20663862394004</v>
      </c>
      <c r="J155" s="106">
        <v>3.98</v>
      </c>
      <c r="K155" s="106">
        <v>0.88381937861405802</v>
      </c>
      <c r="L155" s="106">
        <v>0.35519456583876302</v>
      </c>
      <c r="M155" s="106">
        <v>0.93826245559431898</v>
      </c>
      <c r="N155" s="106">
        <v>0.17278126531671401</v>
      </c>
      <c r="P155" s="106">
        <v>0.46511044061425866</v>
      </c>
      <c r="Q155" s="106">
        <v>0.43422885325872129</v>
      </c>
      <c r="R155" s="106">
        <v>0.4805512342920274</v>
      </c>
      <c r="S155" s="106">
        <v>0.41878805958095255</v>
      </c>
      <c r="AA155" s="106">
        <v>1448</v>
      </c>
      <c r="AB155" s="106">
        <v>1550.3182368612256</v>
      </c>
    </row>
    <row r="156" spans="1:28" x14ac:dyDescent="0.2">
      <c r="A156" s="14">
        <v>43706</v>
      </c>
      <c r="B156" s="106">
        <v>666.3</v>
      </c>
      <c r="C156" s="106">
        <v>668.5</v>
      </c>
      <c r="D156" s="106">
        <v>1414.5</v>
      </c>
      <c r="E156" s="106">
        <v>1424</v>
      </c>
      <c r="F156" s="106">
        <v>0.46945224719101097</v>
      </c>
      <c r="G156" s="106">
        <v>0.44953508493984401</v>
      </c>
      <c r="H156" s="106">
        <v>1.5321352743854001E-2</v>
      </c>
      <c r="I156" s="106">
        <v>1.2999610794260099</v>
      </c>
      <c r="J156" s="106">
        <v>4.24</v>
      </c>
      <c r="K156" s="106">
        <v>0.87652321306431902</v>
      </c>
      <c r="L156" s="106">
        <v>0.31598667982738998</v>
      </c>
      <c r="M156" s="106">
        <v>0.93816100553031201</v>
      </c>
      <c r="N156" s="106">
        <v>0.16962581610946001</v>
      </c>
      <c r="P156" s="106">
        <v>0.464856437683698</v>
      </c>
      <c r="Q156" s="106">
        <v>0.43421373219599002</v>
      </c>
      <c r="R156" s="106">
        <v>0.48017779042755199</v>
      </c>
      <c r="S156" s="106">
        <v>0.41889237945213603</v>
      </c>
      <c r="AA156" s="106">
        <v>1424</v>
      </c>
      <c r="AB156" s="106">
        <v>1528.370065391136</v>
      </c>
    </row>
    <row r="157" spans="1:28" x14ac:dyDescent="0.2">
      <c r="A157" s="14">
        <v>43705</v>
      </c>
      <c r="B157" s="106">
        <v>666.6</v>
      </c>
      <c r="C157" s="106">
        <v>664.3</v>
      </c>
      <c r="D157" s="106">
        <v>1422</v>
      </c>
      <c r="E157" s="106">
        <v>1421</v>
      </c>
      <c r="F157" s="106">
        <v>0.46748768472906399</v>
      </c>
      <c r="G157" s="106">
        <v>0.44944211427796499</v>
      </c>
      <c r="H157" s="106">
        <v>1.52210396701715E-2</v>
      </c>
      <c r="I157" s="106">
        <v>1.1855675329762001</v>
      </c>
      <c r="J157" s="106">
        <v>3.86</v>
      </c>
      <c r="K157" s="106">
        <v>0.86428282654502497</v>
      </c>
      <c r="L157" s="106">
        <v>0.43570565909393599</v>
      </c>
      <c r="M157" s="106">
        <v>0.93810359367183405</v>
      </c>
      <c r="N157" s="106">
        <v>0.171811769777235</v>
      </c>
      <c r="P157" s="106">
        <v>0.46466315394813651</v>
      </c>
      <c r="Q157" s="106">
        <v>0.43422107460779347</v>
      </c>
      <c r="R157" s="106">
        <v>0.47988419361830797</v>
      </c>
      <c r="S157" s="106">
        <v>0.419000034937622</v>
      </c>
      <c r="AA157" s="106">
        <v>1421</v>
      </c>
      <c r="AB157" s="106">
        <v>1518.7677403729717</v>
      </c>
    </row>
    <row r="158" spans="1:28" x14ac:dyDescent="0.2">
      <c r="A158" s="14">
        <v>43704</v>
      </c>
      <c r="B158" s="106">
        <v>671</v>
      </c>
      <c r="C158" s="106">
        <v>666.1</v>
      </c>
      <c r="D158" s="106">
        <v>1446.5</v>
      </c>
      <c r="E158" s="106">
        <v>1424</v>
      </c>
      <c r="F158" s="106">
        <v>0.46776685393258399</v>
      </c>
      <c r="G158" s="106">
        <v>0.449400917225033</v>
      </c>
      <c r="H158" s="106">
        <v>1.51762575290949E-2</v>
      </c>
      <c r="I158" s="106">
        <v>1.21017560965477</v>
      </c>
      <c r="J158" s="106">
        <v>3.93</v>
      </c>
      <c r="K158" s="106">
        <v>0.85257430471899898</v>
      </c>
      <c r="L158" s="106">
        <v>0.42140981827614399</v>
      </c>
      <c r="M158" s="106">
        <v>0.93797089781952703</v>
      </c>
      <c r="N158" s="106">
        <v>0.17443205131651701</v>
      </c>
      <c r="P158" s="106">
        <v>0.46457717475412791</v>
      </c>
      <c r="Q158" s="106">
        <v>0.4342246596959381</v>
      </c>
      <c r="R158" s="106">
        <v>0.47975343228322281</v>
      </c>
      <c r="S158" s="106">
        <v>0.41904840216684319</v>
      </c>
      <c r="AA158" s="106">
        <v>1424</v>
      </c>
      <c r="AB158" s="106">
        <v>1522.8830225236136</v>
      </c>
    </row>
    <row r="159" spans="1:28" x14ac:dyDescent="0.2">
      <c r="A159" s="14">
        <v>43703</v>
      </c>
      <c r="B159" s="106">
        <v>659.4</v>
      </c>
      <c r="C159" s="106">
        <v>664.3</v>
      </c>
      <c r="D159" s="106">
        <v>1374</v>
      </c>
      <c r="E159" s="106">
        <v>1419.5</v>
      </c>
      <c r="F159" s="106">
        <v>0.46798168369144</v>
      </c>
      <c r="G159" s="106">
        <v>0.44937117723585301</v>
      </c>
      <c r="H159" s="106">
        <v>1.5142385466836E-2</v>
      </c>
      <c r="I159" s="106">
        <v>1.22903399179388</v>
      </c>
      <c r="J159" s="106">
        <v>3.98</v>
      </c>
      <c r="K159" s="106">
        <v>0.84242001764910801</v>
      </c>
      <c r="L159" s="106">
        <v>0.38005384780457202</v>
      </c>
      <c r="M159" s="106">
        <v>0.93781504126711202</v>
      </c>
      <c r="N159" s="106">
        <v>0.17096196671602601</v>
      </c>
      <c r="P159" s="106">
        <v>0.46451356270268901</v>
      </c>
      <c r="Q159" s="106">
        <v>0.43422879176901702</v>
      </c>
      <c r="R159" s="106">
        <v>0.479655948169525</v>
      </c>
      <c r="S159" s="106">
        <v>0.41908640630218102</v>
      </c>
      <c r="AA159" s="106">
        <v>1419.5</v>
      </c>
      <c r="AB159" s="106">
        <v>1518.7677403729717</v>
      </c>
    </row>
    <row r="160" spans="1:28" x14ac:dyDescent="0.2">
      <c r="A160" s="14">
        <v>43700</v>
      </c>
      <c r="B160" s="106">
        <v>675.1</v>
      </c>
      <c r="C160" s="106">
        <v>674.9</v>
      </c>
      <c r="D160" s="106">
        <v>1420.5</v>
      </c>
      <c r="E160" s="106">
        <v>1432.5</v>
      </c>
      <c r="F160" s="106">
        <v>0.471134380453752</v>
      </c>
      <c r="G160" s="106">
        <v>0.44933757596158502</v>
      </c>
      <c r="H160" s="106">
        <v>1.5103797983940801E-2</v>
      </c>
      <c r="I160" s="106">
        <v>1.44313400611831</v>
      </c>
      <c r="J160" s="106">
        <v>4.63</v>
      </c>
      <c r="K160" s="106">
        <v>0.83388969808119895</v>
      </c>
      <c r="L160" s="106">
        <v>0.58835276651749302</v>
      </c>
      <c r="M160" s="106">
        <v>0.93763264648480704</v>
      </c>
      <c r="N160" s="106">
        <v>0.17974715308790001</v>
      </c>
      <c r="P160" s="106">
        <v>0.46444137394552581</v>
      </c>
      <c r="Q160" s="106">
        <v>0.43423377797764423</v>
      </c>
      <c r="R160" s="106">
        <v>0.47954517192946661</v>
      </c>
      <c r="S160" s="106">
        <v>0.41912997999370344</v>
      </c>
      <c r="AA160" s="106">
        <v>1432.5</v>
      </c>
      <c r="AB160" s="106">
        <v>1543.002179704529</v>
      </c>
    </row>
    <row r="161" spans="1:28" x14ac:dyDescent="0.2">
      <c r="A161" s="14">
        <v>43699</v>
      </c>
      <c r="B161" s="106">
        <v>669.7</v>
      </c>
      <c r="C161" s="106">
        <v>681.2</v>
      </c>
      <c r="D161" s="106">
        <v>1404</v>
      </c>
      <c r="E161" s="106">
        <v>1411.5</v>
      </c>
      <c r="F161" s="106">
        <v>0.482607155508324</v>
      </c>
      <c r="G161" s="106">
        <v>0.44949351198211601</v>
      </c>
      <c r="H161" s="106">
        <v>1.5385769873172399E-2</v>
      </c>
      <c r="I161" s="106">
        <v>2.1522253224355499</v>
      </c>
      <c r="J161" s="106">
        <v>6.86</v>
      </c>
      <c r="K161" s="106">
        <v>0.83283867471337003</v>
      </c>
      <c r="L161" s="106">
        <v>0.32066567600564</v>
      </c>
      <c r="M161" s="106">
        <v>0.93741709373334803</v>
      </c>
      <c r="N161" s="106">
        <v>0.17785762392415799</v>
      </c>
      <c r="P161" s="106">
        <v>0.46487928185528843</v>
      </c>
      <c r="Q161" s="106">
        <v>0.4341077421089436</v>
      </c>
      <c r="R161" s="106">
        <v>0.48026505172846079</v>
      </c>
      <c r="S161" s="106">
        <v>0.41872197223577123</v>
      </c>
      <c r="AA161" s="106">
        <v>1411.5</v>
      </c>
      <c r="AB161" s="106">
        <v>1557.4056672317754</v>
      </c>
    </row>
    <row r="162" spans="1:28" x14ac:dyDescent="0.2">
      <c r="A162" s="14">
        <v>43698</v>
      </c>
      <c r="B162" s="106">
        <v>670.1</v>
      </c>
      <c r="C162" s="106">
        <v>674.9</v>
      </c>
      <c r="D162" s="106">
        <v>1361</v>
      </c>
      <c r="E162" s="106">
        <v>1395</v>
      </c>
      <c r="F162" s="106">
        <v>0.48379928315412102</v>
      </c>
      <c r="G162" s="106">
        <v>0.449599118630859</v>
      </c>
      <c r="H162" s="106">
        <v>1.5637815096306702E-2</v>
      </c>
      <c r="I162" s="106">
        <v>2.18701681230006</v>
      </c>
      <c r="J162" s="106">
        <v>7.07</v>
      </c>
      <c r="K162" s="106">
        <v>0.831535912761311</v>
      </c>
      <c r="L162" s="106">
        <v>0.203746175054559</v>
      </c>
      <c r="M162" s="106">
        <v>0.93714539680310704</v>
      </c>
      <c r="N162" s="106">
        <v>0.18147921000964401</v>
      </c>
      <c r="P162" s="106">
        <v>0.46523693372716568</v>
      </c>
      <c r="Q162" s="106">
        <v>0.43396130353455231</v>
      </c>
      <c r="R162" s="106">
        <v>0.48087474882347242</v>
      </c>
      <c r="S162" s="106">
        <v>0.41832348843824557</v>
      </c>
      <c r="AA162" s="106">
        <v>1395</v>
      </c>
      <c r="AB162" s="106">
        <v>1543.002179704529</v>
      </c>
    </row>
    <row r="163" spans="1:28" x14ac:dyDescent="0.2">
      <c r="A163" s="14">
        <v>43697</v>
      </c>
      <c r="B163" s="106">
        <v>674.5</v>
      </c>
      <c r="C163" s="106">
        <v>679.8</v>
      </c>
      <c r="D163" s="106">
        <v>1378</v>
      </c>
      <c r="E163" s="106">
        <v>1388</v>
      </c>
      <c r="F163" s="106">
        <v>0.48976945244956699</v>
      </c>
      <c r="G163" s="106">
        <v>0.44979506549287901</v>
      </c>
      <c r="H163" s="106">
        <v>1.6148849296669099E-2</v>
      </c>
      <c r="I163" s="106">
        <v>2.4753706113867202</v>
      </c>
      <c r="J163" s="106">
        <v>8.16</v>
      </c>
      <c r="K163" s="106">
        <v>0.83608099209930697</v>
      </c>
      <c r="L163" s="106">
        <v>0.17169831168727201</v>
      </c>
      <c r="M163" s="106">
        <v>0.93684969827345199</v>
      </c>
      <c r="N163" s="106">
        <v>0.169135152376297</v>
      </c>
      <c r="P163" s="106">
        <v>0.46594391478954811</v>
      </c>
      <c r="Q163" s="106">
        <v>0.43364621619620991</v>
      </c>
      <c r="R163" s="106">
        <v>0.48209276408621721</v>
      </c>
      <c r="S163" s="106">
        <v>0.41749736689954081</v>
      </c>
      <c r="AA163" s="106">
        <v>1388</v>
      </c>
      <c r="AB163" s="106">
        <v>1554.2048922257206</v>
      </c>
    </row>
    <row r="164" spans="1:28" x14ac:dyDescent="0.2">
      <c r="A164" s="14">
        <v>43696</v>
      </c>
      <c r="B164" s="106">
        <v>665.9</v>
      </c>
      <c r="C164" s="106">
        <v>675.5</v>
      </c>
      <c r="D164" s="106">
        <v>1368</v>
      </c>
      <c r="E164" s="106">
        <v>1373</v>
      </c>
      <c r="F164" s="106">
        <v>0.49198834668608799</v>
      </c>
      <c r="G164" s="106">
        <v>0.44983960438883402</v>
      </c>
      <c r="H164" s="106">
        <v>1.6263239483887901E-2</v>
      </c>
      <c r="I164" s="106">
        <v>2.5916572364940702</v>
      </c>
      <c r="J164" s="106">
        <v>8.57</v>
      </c>
      <c r="K164" s="106">
        <v>0.84284687303339201</v>
      </c>
      <c r="L164" s="106">
        <v>0.23719039460612601</v>
      </c>
      <c r="M164" s="106">
        <v>0.93653810556734396</v>
      </c>
      <c r="N164" s="106">
        <v>0.17259318670110599</v>
      </c>
      <c r="P164" s="106">
        <v>0.46610284387272194</v>
      </c>
      <c r="Q164" s="106">
        <v>0.43357636490494611</v>
      </c>
      <c r="R164" s="106">
        <v>0.4823660833566098</v>
      </c>
      <c r="S164" s="106">
        <v>0.41731312542105825</v>
      </c>
      <c r="AA164" s="106">
        <v>1373</v>
      </c>
      <c r="AB164" s="106">
        <v>1544.3739404214098</v>
      </c>
    </row>
    <row r="165" spans="1:28" x14ac:dyDescent="0.2">
      <c r="A165" s="14">
        <v>43693</v>
      </c>
      <c r="B165" s="106">
        <v>656.3</v>
      </c>
      <c r="C165" s="106">
        <v>660.5</v>
      </c>
      <c r="D165" s="106">
        <v>1355</v>
      </c>
      <c r="E165" s="106">
        <v>1362</v>
      </c>
      <c r="F165" s="106">
        <v>0.48494860499265702</v>
      </c>
      <c r="G165" s="106">
        <v>0.44990579390605301</v>
      </c>
      <c r="H165" s="106">
        <v>1.6443745503395599E-2</v>
      </c>
      <c r="I165" s="106">
        <v>2.1310723326001102</v>
      </c>
      <c r="J165" s="106">
        <v>7.23</v>
      </c>
      <c r="K165" s="106">
        <v>0.83902573704961603</v>
      </c>
      <c r="L165" s="106">
        <v>0.21500021936182201</v>
      </c>
      <c r="M165" s="106">
        <v>0.93599902387154099</v>
      </c>
      <c r="N165" s="106">
        <v>0.179914184150679</v>
      </c>
      <c r="P165" s="106">
        <v>0.46634953940944862</v>
      </c>
      <c r="Q165" s="106">
        <v>0.4334620484026574</v>
      </c>
      <c r="R165" s="106">
        <v>0.48279328491284423</v>
      </c>
      <c r="S165" s="106">
        <v>0.41701830289926178</v>
      </c>
      <c r="AA165" s="106">
        <v>1362</v>
      </c>
      <c r="AB165" s="106">
        <v>1510.0799224993946</v>
      </c>
    </row>
    <row r="166" spans="1:28" x14ac:dyDescent="0.2">
      <c r="A166" s="14">
        <v>43692</v>
      </c>
      <c r="B166" s="106">
        <v>641.29999999999995</v>
      </c>
      <c r="C166" s="106">
        <v>656.5</v>
      </c>
      <c r="D166" s="106">
        <v>1352</v>
      </c>
      <c r="E166" s="106">
        <v>1369</v>
      </c>
      <c r="F166" s="106">
        <v>0.47954711468224898</v>
      </c>
      <c r="G166" s="106">
        <v>0.450169497414941</v>
      </c>
      <c r="H166" s="106">
        <v>1.7147143105323E-2</v>
      </c>
      <c r="I166" s="106">
        <v>1.71326599928993</v>
      </c>
      <c r="J166" s="106">
        <v>6.13</v>
      </c>
      <c r="K166" s="106">
        <v>0.83026512616514903</v>
      </c>
      <c r="L166" s="106">
        <v>0.24143367660417001</v>
      </c>
      <c r="M166" s="106">
        <v>0.93537890485003805</v>
      </c>
      <c r="N166" s="106">
        <v>0.17016759271714599</v>
      </c>
      <c r="P166" s="106">
        <v>0.467316640520264</v>
      </c>
      <c r="Q166" s="106">
        <v>0.433022354309618</v>
      </c>
      <c r="R166" s="106">
        <v>0.48446378362558701</v>
      </c>
      <c r="S166" s="106">
        <v>0.41587521120429499</v>
      </c>
      <c r="AA166" s="106">
        <v>1369</v>
      </c>
      <c r="AB166" s="106">
        <v>1500.934851053524</v>
      </c>
    </row>
    <row r="167" spans="1:28" x14ac:dyDescent="0.2">
      <c r="A167" s="14">
        <v>43691</v>
      </c>
      <c r="B167" s="106">
        <v>650.5</v>
      </c>
      <c r="C167" s="106">
        <v>656.5</v>
      </c>
      <c r="D167" s="106">
        <v>1386</v>
      </c>
      <c r="E167" s="106">
        <v>1391</v>
      </c>
      <c r="F167" s="106">
        <v>0.47196261682242902</v>
      </c>
      <c r="G167" s="106">
        <v>0.45047936718347398</v>
      </c>
      <c r="H167" s="106">
        <v>1.7869986397173899E-2</v>
      </c>
      <c r="I167" s="106">
        <v>1.2021973134995001</v>
      </c>
      <c r="J167" s="106">
        <v>4.55</v>
      </c>
      <c r="K167" s="106">
        <v>0.812823884084377</v>
      </c>
      <c r="L167" s="106">
        <v>0.32742178089796098</v>
      </c>
      <c r="M167" s="106">
        <v>0.93467523845191103</v>
      </c>
      <c r="N167" s="106">
        <v>0.18054072575505301</v>
      </c>
      <c r="P167" s="106">
        <v>0.46834935358064789</v>
      </c>
      <c r="Q167" s="106">
        <v>0.43260938078630007</v>
      </c>
      <c r="R167" s="106">
        <v>0.4862193399778218</v>
      </c>
      <c r="S167" s="106">
        <v>0.41473939438912616</v>
      </c>
      <c r="AA167" s="106">
        <v>1391</v>
      </c>
      <c r="AB167" s="106">
        <v>1500.934851053524</v>
      </c>
    </row>
    <row r="168" spans="1:28" x14ac:dyDescent="0.2">
      <c r="A168" s="14">
        <v>43690</v>
      </c>
      <c r="B168" s="106">
        <v>650</v>
      </c>
      <c r="C168" s="106">
        <v>640.5</v>
      </c>
      <c r="D168" s="106">
        <v>1403.5</v>
      </c>
      <c r="E168" s="106">
        <v>1365</v>
      </c>
      <c r="F168" s="106">
        <v>0.46923076923076901</v>
      </c>
      <c r="G168" s="106">
        <v>0.45070696770018998</v>
      </c>
      <c r="H168" s="106">
        <v>1.8246889020262301E-2</v>
      </c>
      <c r="I168" s="106">
        <v>1.01517587518668</v>
      </c>
      <c r="J168" s="106">
        <v>3.95</v>
      </c>
      <c r="K168" s="106">
        <v>0.76745231109980905</v>
      </c>
      <c r="L168" s="106">
        <v>0.38670239744641499</v>
      </c>
      <c r="M168" s="106">
        <v>0.93386041997625102</v>
      </c>
      <c r="N168" s="106">
        <v>0.173204827382515</v>
      </c>
      <c r="P168" s="106">
        <v>0.46895385672045226</v>
      </c>
      <c r="Q168" s="106">
        <v>0.4324600786799277</v>
      </c>
      <c r="R168" s="106">
        <v>0.48720074574071459</v>
      </c>
      <c r="S168" s="106">
        <v>0.41421318965966536</v>
      </c>
      <c r="AA168" s="106">
        <v>1365</v>
      </c>
      <c r="AB168" s="106">
        <v>1464.3545652700413</v>
      </c>
    </row>
    <row r="169" spans="1:28" x14ac:dyDescent="0.2">
      <c r="A169" s="14">
        <v>43686</v>
      </c>
      <c r="B169" s="106">
        <v>658.9</v>
      </c>
      <c r="C169" s="106">
        <v>657.5</v>
      </c>
      <c r="D169" s="106">
        <v>1449</v>
      </c>
      <c r="E169" s="106">
        <v>1431</v>
      </c>
      <c r="F169" s="106">
        <v>0.45946890286512898</v>
      </c>
      <c r="G169" s="106">
        <v>0.45088302827077098</v>
      </c>
      <c r="H169" s="106">
        <v>1.8486897605205901E-2</v>
      </c>
      <c r="I169" s="106">
        <v>0.46443025637466601</v>
      </c>
      <c r="J169" s="106">
        <v>1.87</v>
      </c>
      <c r="K169" s="106">
        <v>0.70621541554087797</v>
      </c>
      <c r="L169" s="106">
        <v>0.45870032973403302</v>
      </c>
      <c r="M169" s="106">
        <v>0.93368940287279101</v>
      </c>
      <c r="N169" s="106">
        <v>0.13151931010585799</v>
      </c>
      <c r="P169" s="106">
        <v>0.46936992587597687</v>
      </c>
      <c r="Q169" s="106">
        <v>0.43239613066556509</v>
      </c>
      <c r="R169" s="106">
        <v>0.48785682348118276</v>
      </c>
      <c r="S169" s="106">
        <v>0.41390923306035921</v>
      </c>
      <c r="AA169" s="106">
        <v>1431</v>
      </c>
      <c r="AB169" s="106">
        <v>1503.2211189149916</v>
      </c>
    </row>
    <row r="170" spans="1:28" x14ac:dyDescent="0.2">
      <c r="A170" s="14">
        <v>43685</v>
      </c>
      <c r="B170" s="106">
        <v>659.3</v>
      </c>
      <c r="C170" s="106">
        <v>654.29999999999995</v>
      </c>
      <c r="D170" s="106">
        <v>1453.5</v>
      </c>
      <c r="E170" s="106">
        <v>1437</v>
      </c>
      <c r="F170" s="106">
        <v>0.45532359081419599</v>
      </c>
      <c r="G170" s="106">
        <v>0.45123135250375601</v>
      </c>
      <c r="H170" s="106">
        <v>1.88871681971008E-2</v>
      </c>
      <c r="I170" s="106">
        <v>0.21666764798909</v>
      </c>
      <c r="J170" s="106">
        <v>0.9</v>
      </c>
      <c r="K170" s="106">
        <v>0.63320713426705899</v>
      </c>
      <c r="L170" s="106">
        <v>0.46902766657445</v>
      </c>
      <c r="M170" s="106">
        <v>0.93344769450920195</v>
      </c>
      <c r="N170" s="106">
        <v>0.12664762958113601</v>
      </c>
      <c r="P170" s="106">
        <v>0.4701185207008568</v>
      </c>
      <c r="Q170" s="106">
        <v>0.43234418430665522</v>
      </c>
      <c r="R170" s="106">
        <v>0.48900568889795759</v>
      </c>
      <c r="S170" s="106">
        <v>0.41345701610955443</v>
      </c>
      <c r="AA170" s="106">
        <v>1437</v>
      </c>
      <c r="AB170" s="106">
        <v>1495.905061758295</v>
      </c>
    </row>
    <row r="171" spans="1:28" x14ac:dyDescent="0.2">
      <c r="A171" s="14">
        <v>43684</v>
      </c>
      <c r="B171" s="106">
        <v>673.9</v>
      </c>
      <c r="C171" s="106">
        <v>664</v>
      </c>
      <c r="D171" s="106">
        <v>1465.5</v>
      </c>
      <c r="E171" s="106">
        <v>1465.5</v>
      </c>
      <c r="F171" s="106">
        <v>0.45308768338451</v>
      </c>
      <c r="G171" s="106">
        <v>0.451674422574951</v>
      </c>
      <c r="H171" s="106">
        <v>1.93617778020479E-2</v>
      </c>
      <c r="I171" s="106">
        <v>7.29923059756174E-2</v>
      </c>
      <c r="J171" s="106">
        <v>0.31</v>
      </c>
      <c r="K171" s="106">
        <v>0.51023393129716299</v>
      </c>
      <c r="L171" s="106">
        <v>0.84919867632671997</v>
      </c>
      <c r="M171" s="106">
        <v>0.93327271465847805</v>
      </c>
      <c r="N171" s="106">
        <v>0.14615494730992001</v>
      </c>
      <c r="P171" s="106">
        <v>0.47103620037699889</v>
      </c>
      <c r="Q171" s="106">
        <v>0.4323126447729031</v>
      </c>
      <c r="R171" s="106">
        <v>0.49039797817904679</v>
      </c>
      <c r="S171" s="106">
        <v>0.4129508669708552</v>
      </c>
      <c r="AA171" s="106">
        <v>1465.5</v>
      </c>
      <c r="AB171" s="106">
        <v>1518.0818600145315</v>
      </c>
    </row>
    <row r="172" spans="1:28" x14ac:dyDescent="0.2">
      <c r="A172" s="14">
        <v>43683</v>
      </c>
      <c r="B172" s="106">
        <v>654</v>
      </c>
      <c r="C172" s="106">
        <v>677.3</v>
      </c>
      <c r="D172" s="106">
        <v>1420</v>
      </c>
      <c r="E172" s="106">
        <v>1465.5</v>
      </c>
      <c r="F172" s="106">
        <v>0.46216308427157898</v>
      </c>
      <c r="G172" s="106">
        <v>0.45223043714082201</v>
      </c>
      <c r="H172" s="106">
        <v>1.99831751595928E-2</v>
      </c>
      <c r="I172" s="15">
        <v>0.49705049630157899</v>
      </c>
      <c r="J172" s="106">
        <v>2.15</v>
      </c>
      <c r="K172" s="106">
        <v>0.38070344771407399</v>
      </c>
      <c r="L172" s="106">
        <v>0.95415105381084098</v>
      </c>
      <c r="M172" s="106">
        <v>0.93289212952221601</v>
      </c>
      <c r="N172" s="106">
        <v>0.13768367278638699</v>
      </c>
      <c r="P172" s="106">
        <v>0.47221361230041481</v>
      </c>
      <c r="Q172" s="106">
        <v>0.4322472619812292</v>
      </c>
      <c r="R172" s="106">
        <v>0.49219678746000761</v>
      </c>
      <c r="S172" s="106">
        <v>0.4122640868216364</v>
      </c>
      <c r="AA172" s="106">
        <v>1465.5</v>
      </c>
      <c r="AB172" s="106">
        <v>1548.4892225720514</v>
      </c>
    </row>
    <row r="173" spans="1:28" x14ac:dyDescent="0.2">
      <c r="A173" s="14">
        <v>43682</v>
      </c>
      <c r="B173" s="106">
        <v>678</v>
      </c>
      <c r="C173" s="106">
        <v>672.7</v>
      </c>
      <c r="D173" s="106">
        <v>1513</v>
      </c>
      <c r="E173" s="106">
        <v>1485.5</v>
      </c>
      <c r="F173" s="106">
        <v>0.45284416021541501</v>
      </c>
      <c r="G173" s="106">
        <v>0.45270792513112501</v>
      </c>
      <c r="H173" s="106">
        <v>2.0632119199880099E-2</v>
      </c>
      <c r="I173" s="15">
        <v>6.6030582205489699E-3</v>
      </c>
      <c r="J173" s="106">
        <v>0.03</v>
      </c>
      <c r="K173" s="106">
        <v>0.303906294573839</v>
      </c>
      <c r="L173" s="106">
        <v>0.93840563942555799</v>
      </c>
      <c r="M173" s="106">
        <v>0.932564601401631</v>
      </c>
      <c r="N173" s="106">
        <v>0.127773268949748</v>
      </c>
      <c r="P173" s="106">
        <v>0.47334004433100513</v>
      </c>
      <c r="Q173" s="106">
        <v>0.43207580593124489</v>
      </c>
      <c r="R173" s="106">
        <v>0.49397216353088519</v>
      </c>
      <c r="S173" s="106">
        <v>0.41144368673136483</v>
      </c>
      <c r="AA173" s="106">
        <v>1485.5</v>
      </c>
      <c r="AB173" s="106">
        <v>1537.9723904093003</v>
      </c>
    </row>
    <row r="174" spans="1:28" x14ac:dyDescent="0.2">
      <c r="A174" s="14">
        <v>43679</v>
      </c>
      <c r="B174" s="106">
        <v>697.3</v>
      </c>
      <c r="C174" s="106">
        <v>687.2</v>
      </c>
      <c r="D174" s="106">
        <v>1550</v>
      </c>
      <c r="E174" s="106">
        <v>1542.5</v>
      </c>
      <c r="F174" s="106">
        <v>0.44551053484602898</v>
      </c>
      <c r="G174" s="106">
        <v>0.45325704880850598</v>
      </c>
      <c r="H174" s="106">
        <v>2.1169498970581301E-2</v>
      </c>
      <c r="I174" s="106">
        <v>-0.365928072895919</v>
      </c>
      <c r="J174" s="106">
        <v>-1.74</v>
      </c>
      <c r="K174" s="106">
        <v>0.27106882772935598</v>
      </c>
      <c r="L174" s="106">
        <v>0.95156583930653504</v>
      </c>
      <c r="M174" s="106">
        <v>0.93244919983020602</v>
      </c>
      <c r="N174" s="106">
        <v>0.13933002824461399</v>
      </c>
      <c r="P174" s="106">
        <v>0.47442654777908727</v>
      </c>
      <c r="Q174" s="106">
        <v>0.43208754983792469</v>
      </c>
      <c r="R174" s="106">
        <v>0.49559604674966856</v>
      </c>
      <c r="S174" s="106">
        <v>0.4109180508673434</v>
      </c>
      <c r="AA174" s="106">
        <v>1542.5</v>
      </c>
      <c r="AB174" s="106">
        <v>1571.1232744005815</v>
      </c>
    </row>
    <row r="175" spans="1:28" x14ac:dyDescent="0.2">
      <c r="A175" s="14">
        <v>43678</v>
      </c>
      <c r="B175" s="106">
        <v>703</v>
      </c>
      <c r="C175" s="106">
        <v>711</v>
      </c>
      <c r="D175" s="106">
        <v>1584.5</v>
      </c>
      <c r="E175" s="106">
        <v>1595.5</v>
      </c>
      <c r="F175" s="106">
        <v>0.44562832967721699</v>
      </c>
      <c r="G175" s="106">
        <v>0.45381593007182902</v>
      </c>
      <c r="H175" s="106">
        <v>2.15082006538579E-2</v>
      </c>
      <c r="I175" s="106">
        <v>-0.38067342435473001</v>
      </c>
      <c r="J175" s="106">
        <v>-1.84</v>
      </c>
      <c r="K175" s="106">
        <v>0.27043373441403701</v>
      </c>
      <c r="L175" s="106">
        <v>0.95119095377911</v>
      </c>
      <c r="M175" s="106">
        <v>0.93179023285561602</v>
      </c>
      <c r="N175" s="106">
        <v>0.17298955631933799</v>
      </c>
      <c r="P175" s="106">
        <v>0.47532413072568691</v>
      </c>
      <c r="Q175" s="106">
        <v>0.43230772941797113</v>
      </c>
      <c r="R175" s="106">
        <v>0.4968323313795448</v>
      </c>
      <c r="S175" s="106">
        <v>0.41079952876411324</v>
      </c>
      <c r="AA175" s="106">
        <v>1595.5</v>
      </c>
      <c r="AB175" s="106">
        <v>1625.5364495035119</v>
      </c>
    </row>
    <row r="176" spans="1:28" x14ac:dyDescent="0.2">
      <c r="A176" s="14">
        <v>43677</v>
      </c>
      <c r="B176" s="106">
        <v>711</v>
      </c>
      <c r="C176" s="106">
        <v>710</v>
      </c>
      <c r="D176" s="106">
        <v>1575.5</v>
      </c>
      <c r="E176" s="106">
        <v>1607</v>
      </c>
      <c r="F176" s="106">
        <v>0.44181705040447999</v>
      </c>
      <c r="G176" s="106">
        <v>0.45439527539776098</v>
      </c>
      <c r="H176" s="106">
        <v>2.18621415653267E-2</v>
      </c>
      <c r="I176" s="106">
        <v>-0.57534276574394105</v>
      </c>
      <c r="J176" s="106">
        <v>-2.85</v>
      </c>
      <c r="K176" s="106">
        <v>0.27094361819540203</v>
      </c>
      <c r="L176" s="106">
        <v>0.95457664426576405</v>
      </c>
      <c r="M176" s="106">
        <v>0.93065804614053405</v>
      </c>
      <c r="N176" s="106">
        <v>0.24580135707891601</v>
      </c>
      <c r="P176" s="106">
        <v>0.47625741696308765</v>
      </c>
      <c r="Q176" s="106">
        <v>0.4325331338324343</v>
      </c>
      <c r="R176" s="106">
        <v>0.49811955852841439</v>
      </c>
      <c r="S176" s="106">
        <v>0.41067099226710757</v>
      </c>
      <c r="AA176" s="106">
        <v>1607</v>
      </c>
      <c r="AB176" s="106">
        <v>1623.2501816420443</v>
      </c>
    </row>
    <row r="177" spans="1:28" x14ac:dyDescent="0.2">
      <c r="A177" s="14">
        <v>43676</v>
      </c>
      <c r="B177" s="106">
        <v>718.4</v>
      </c>
      <c r="C177" s="106">
        <v>717.7</v>
      </c>
      <c r="D177" s="106">
        <v>1586</v>
      </c>
      <c r="E177" s="106">
        <v>1600.5</v>
      </c>
      <c r="F177" s="106">
        <v>0.44842236800999602</v>
      </c>
      <c r="G177" s="106">
        <v>0.45509218402797902</v>
      </c>
      <c r="H177" s="106">
        <v>2.2279181492992E-2</v>
      </c>
      <c r="I177" s="106">
        <v>-0.299374374237241</v>
      </c>
      <c r="J177" s="106">
        <v>-1.49</v>
      </c>
      <c r="K177" s="106">
        <v>0.27139121367105701</v>
      </c>
      <c r="L177" s="106">
        <v>0.95576514299530801</v>
      </c>
      <c r="M177" s="106">
        <v>0.92967696894423302</v>
      </c>
      <c r="N177" s="106">
        <v>0.212493726371038</v>
      </c>
      <c r="P177" s="106">
        <v>0.47737136552097104</v>
      </c>
      <c r="Q177" s="106">
        <v>0.432813002534987</v>
      </c>
      <c r="R177" s="106">
        <v>0.499650547013963</v>
      </c>
      <c r="S177" s="106">
        <v>0.41053382104199504</v>
      </c>
      <c r="AA177" s="106">
        <v>1600.5</v>
      </c>
      <c r="AB177" s="106">
        <v>1640.8544441753454</v>
      </c>
    </row>
    <row r="178" spans="1:28" x14ac:dyDescent="0.2">
      <c r="A178" s="14">
        <v>43675</v>
      </c>
      <c r="B178" s="106">
        <v>713.6</v>
      </c>
      <c r="C178" s="106">
        <v>713.5</v>
      </c>
      <c r="D178" s="106">
        <v>1587.5</v>
      </c>
      <c r="E178" s="106">
        <v>1581</v>
      </c>
      <c r="F178" s="106">
        <v>0.45129664769133399</v>
      </c>
      <c r="G178" s="106">
        <v>0.45559171700125201</v>
      </c>
      <c r="H178" s="106">
        <v>2.2542488729219899E-2</v>
      </c>
      <c r="I178" s="106">
        <v>-0.19053217067156</v>
      </c>
      <c r="J178" s="106">
        <v>-0.95</v>
      </c>
      <c r="K178" s="106">
        <v>0.27189994075106899</v>
      </c>
      <c r="L178" s="106">
        <v>0.95697779543981198</v>
      </c>
      <c r="M178" s="106">
        <v>0.92844688904188599</v>
      </c>
      <c r="N178" s="106">
        <v>0.23565179191732899</v>
      </c>
      <c r="P178" s="106">
        <v>0.47813420573047188</v>
      </c>
      <c r="Q178" s="106">
        <v>0.43304922827203213</v>
      </c>
      <c r="R178" s="106">
        <v>0.50067669445969176</v>
      </c>
      <c r="S178" s="106">
        <v>0.41050673954281219</v>
      </c>
      <c r="AA178" s="106">
        <v>1581</v>
      </c>
      <c r="AB178" s="106">
        <v>1631.2521191571811</v>
      </c>
    </row>
    <row r="179" spans="1:28" x14ac:dyDescent="0.2">
      <c r="A179" s="14">
        <v>43672</v>
      </c>
      <c r="B179" s="106">
        <v>714.6</v>
      </c>
      <c r="C179" s="106">
        <v>714.3</v>
      </c>
      <c r="D179" s="106">
        <v>1605</v>
      </c>
      <c r="E179" s="106">
        <v>1592.5</v>
      </c>
      <c r="F179" s="106">
        <v>0.44854003139717402</v>
      </c>
      <c r="G179" s="106">
        <v>0.45607919319782902</v>
      </c>
      <c r="H179" s="106">
        <v>2.2837713439168E-2</v>
      </c>
      <c r="I179" s="106">
        <v>-0.33011894210589199</v>
      </c>
      <c r="J179" s="106">
        <v>-1.68</v>
      </c>
      <c r="K179" s="106">
        <v>0.27214196489963899</v>
      </c>
      <c r="L179" s="106">
        <v>0.95642634353886702</v>
      </c>
      <c r="M179" s="106">
        <v>0.92709919060835599</v>
      </c>
      <c r="N179" s="106">
        <v>0.27370682286054099</v>
      </c>
      <c r="P179" s="106">
        <v>0.47891690663699704</v>
      </c>
      <c r="Q179" s="106">
        <v>0.43324147975866101</v>
      </c>
      <c r="R179" s="106">
        <v>0.501754620076165</v>
      </c>
      <c r="S179" s="106">
        <v>0.41040376631949305</v>
      </c>
      <c r="AA179" s="106">
        <v>1592.5</v>
      </c>
      <c r="AB179" s="106">
        <v>1633.0811334463551</v>
      </c>
    </row>
    <row r="180" spans="1:28" x14ac:dyDescent="0.2">
      <c r="A180" s="14">
        <v>43671</v>
      </c>
      <c r="B180" s="106">
        <v>722.6</v>
      </c>
      <c r="C180" s="106">
        <v>722.6</v>
      </c>
      <c r="D180" s="106">
        <v>1599.5</v>
      </c>
      <c r="E180" s="106">
        <v>1596.5</v>
      </c>
      <c r="F180" s="106">
        <v>0.45261509552145301</v>
      </c>
      <c r="G180" s="106">
        <v>0.45656352872691303</v>
      </c>
      <c r="H180" s="106">
        <v>2.3056824895041999E-2</v>
      </c>
      <c r="I180" s="106">
        <v>-0.171247915679371</v>
      </c>
      <c r="J180" s="106">
        <v>-0.87</v>
      </c>
      <c r="K180" s="106">
        <v>0.21777717253899401</v>
      </c>
      <c r="L180" s="106">
        <v>0.99073111114816503</v>
      </c>
      <c r="M180" s="106">
        <v>0.92586375231816898</v>
      </c>
      <c r="N180" s="106">
        <v>0.26283902860814101</v>
      </c>
      <c r="P180" s="106">
        <v>0.47962035362195504</v>
      </c>
      <c r="Q180" s="106">
        <v>0.43350670383187101</v>
      </c>
      <c r="R180" s="106">
        <v>0.502677178516997</v>
      </c>
      <c r="S180" s="106">
        <v>0.41044987893682905</v>
      </c>
      <c r="AA180" s="106">
        <v>1596.5</v>
      </c>
      <c r="AB180" s="106">
        <v>1652.0571566965368</v>
      </c>
    </row>
    <row r="181" spans="1:28" x14ac:dyDescent="0.2">
      <c r="A181" s="14">
        <v>43670</v>
      </c>
      <c r="B181" s="106">
        <v>726.8</v>
      </c>
      <c r="C181" s="106">
        <v>725.4</v>
      </c>
      <c r="D181" s="106">
        <v>1611.5</v>
      </c>
      <c r="E181" s="106">
        <v>1600</v>
      </c>
      <c r="F181" s="106">
        <v>0.45337499999999997</v>
      </c>
      <c r="G181" s="106">
        <v>0.45703094389165</v>
      </c>
      <c r="H181" s="106">
        <v>2.3325808719248699E-2</v>
      </c>
      <c r="I181" s="106">
        <v>-0.156733853717717</v>
      </c>
      <c r="J181" s="106">
        <v>-0.81</v>
      </c>
      <c r="K181" s="106">
        <v>0.20764092545749199</v>
      </c>
      <c r="L181" s="106">
        <v>0.98777443803141696</v>
      </c>
      <c r="M181" s="106">
        <v>0.92440750321759002</v>
      </c>
      <c r="N181" s="106">
        <v>0.28486362324869302</v>
      </c>
      <c r="P181" s="106">
        <v>0.48035675261089872</v>
      </c>
      <c r="Q181" s="106">
        <v>0.43370513517240128</v>
      </c>
      <c r="R181" s="106">
        <v>0.50368256133014744</v>
      </c>
      <c r="S181" s="106">
        <v>0.41037932645315262</v>
      </c>
      <c r="AA181" s="106">
        <v>1600</v>
      </c>
      <c r="AB181" s="106">
        <v>1658.4587067086463</v>
      </c>
    </row>
    <row r="182" spans="1:28" x14ac:dyDescent="0.2">
      <c r="A182" s="14">
        <v>43669</v>
      </c>
      <c r="B182" s="106">
        <v>715.4</v>
      </c>
      <c r="C182" s="106">
        <v>721</v>
      </c>
      <c r="D182" s="106">
        <v>1595</v>
      </c>
      <c r="E182" s="106">
        <v>1600.5</v>
      </c>
      <c r="F182" s="106">
        <v>0.45048422368009999</v>
      </c>
      <c r="G182" s="106">
        <v>0.45773922389165</v>
      </c>
      <c r="H182" s="106">
        <v>2.4000778525902499E-2</v>
      </c>
      <c r="I182" s="106">
        <v>-0.30228186988685501</v>
      </c>
      <c r="J182" s="106">
        <v>-1.61</v>
      </c>
      <c r="K182" s="106">
        <v>0.17125846545550899</v>
      </c>
      <c r="L182" s="106">
        <v>0.985138632245112</v>
      </c>
      <c r="M182" s="106">
        <v>0.92257704284713304</v>
      </c>
      <c r="N182" s="106">
        <v>0.32276252693829199</v>
      </c>
      <c r="P182" s="106">
        <v>0.48174000241755249</v>
      </c>
      <c r="Q182" s="106">
        <v>0.43373844536574752</v>
      </c>
      <c r="R182" s="106">
        <v>0.50574078094345498</v>
      </c>
      <c r="S182" s="106">
        <v>0.40973766683984503</v>
      </c>
      <c r="AA182" s="106">
        <v>1600.5</v>
      </c>
      <c r="AB182" s="106">
        <v>1648.3991281181886</v>
      </c>
    </row>
    <row r="183" spans="1:28" x14ac:dyDescent="0.2">
      <c r="A183" s="14">
        <v>43668</v>
      </c>
      <c r="B183" s="106">
        <v>715.9</v>
      </c>
      <c r="C183" s="106">
        <v>714.6</v>
      </c>
      <c r="D183" s="106">
        <v>1603</v>
      </c>
      <c r="E183" s="106">
        <v>1604.5</v>
      </c>
      <c r="F183" s="106">
        <v>0.44537239015269497</v>
      </c>
      <c r="G183" s="106">
        <v>0.45836475717279401</v>
      </c>
      <c r="H183" s="106">
        <v>2.44114006403971E-2</v>
      </c>
      <c r="I183" s="106">
        <v>-0.53222538155383703</v>
      </c>
      <c r="J183" s="106">
        <v>-2.92</v>
      </c>
      <c r="K183" s="106">
        <v>0.15952502365367499</v>
      </c>
      <c r="L183" s="106">
        <v>0.99317387573504601</v>
      </c>
      <c r="M183" s="106">
        <v>0.92144991280949196</v>
      </c>
      <c r="N183" s="106">
        <v>0.23558886950048399</v>
      </c>
      <c r="P183" s="106">
        <v>0.48277615781319111</v>
      </c>
      <c r="Q183" s="106">
        <v>0.43395335653239692</v>
      </c>
      <c r="R183" s="106">
        <v>0.50718755845358821</v>
      </c>
      <c r="S183" s="106">
        <v>0.40954195589199982</v>
      </c>
      <c r="AA183" s="106">
        <v>1604.5</v>
      </c>
      <c r="AB183" s="106">
        <v>1633.7670138047956</v>
      </c>
    </row>
    <row r="184" spans="1:28" x14ac:dyDescent="0.2">
      <c r="A184" s="14">
        <v>43665</v>
      </c>
      <c r="B184" s="106">
        <v>698.4</v>
      </c>
      <c r="C184" s="106">
        <v>713.7</v>
      </c>
      <c r="D184" s="106">
        <v>1604</v>
      </c>
      <c r="E184" s="106">
        <v>1614</v>
      </c>
      <c r="F184" s="106">
        <v>0.44219330855018502</v>
      </c>
      <c r="G184" s="106">
        <v>0.45913605127868601</v>
      </c>
      <c r="H184" s="106">
        <v>2.4897726989699699E-2</v>
      </c>
      <c r="I184" s="106">
        <v>-0.68049355411078505</v>
      </c>
      <c r="J184" s="106">
        <v>-3.83</v>
      </c>
      <c r="K184" s="106">
        <v>0.137956360337435</v>
      </c>
      <c r="L184" s="106">
        <v>0.98776229148940298</v>
      </c>
      <c r="M184" s="106">
        <v>0.92121780560945099</v>
      </c>
      <c r="N184" s="106">
        <v>0.129090233071226</v>
      </c>
      <c r="P184" s="106">
        <v>0.48403377826838573</v>
      </c>
      <c r="Q184" s="106">
        <v>0.43423832428898629</v>
      </c>
      <c r="R184" s="106">
        <v>0.50893150525808539</v>
      </c>
      <c r="S184" s="106">
        <v>0.40934059729928662</v>
      </c>
      <c r="AA184" s="106">
        <v>1614</v>
      </c>
      <c r="AB184" s="106">
        <v>1631.7093727294748</v>
      </c>
    </row>
    <row r="185" spans="1:28" x14ac:dyDescent="0.2">
      <c r="A185" s="14">
        <v>43664</v>
      </c>
      <c r="B185" s="106">
        <v>710</v>
      </c>
      <c r="C185" s="106">
        <v>699.7</v>
      </c>
      <c r="D185" s="106">
        <v>1616</v>
      </c>
      <c r="E185" s="106">
        <v>1591.5</v>
      </c>
      <c r="F185" s="106">
        <v>0.43964813069431302</v>
      </c>
      <c r="G185" s="106">
        <v>0.45999310705680901</v>
      </c>
      <c r="H185" s="106">
        <v>2.54010109848486E-2</v>
      </c>
      <c r="I185" s="106">
        <v>-0.80095144144582398</v>
      </c>
      <c r="J185" s="106">
        <v>-4.63</v>
      </c>
      <c r="K185" s="106">
        <v>0.14860610009653399</v>
      </c>
      <c r="L185" s="106">
        <v>0.97690010596033505</v>
      </c>
      <c r="M185" s="106">
        <v>0.92108048098031003</v>
      </c>
      <c r="N185" s="106">
        <v>0.13447920374528499</v>
      </c>
      <c r="P185" s="106">
        <v>0.48539411804165761</v>
      </c>
      <c r="Q185" s="106">
        <v>0.43459209607196042</v>
      </c>
      <c r="R185" s="106">
        <v>0.51079512902650626</v>
      </c>
      <c r="S185" s="106">
        <v>0.40919108508711183</v>
      </c>
      <c r="AA185" s="106">
        <v>1591.5</v>
      </c>
      <c r="AB185" s="106">
        <v>1599.7016226689273</v>
      </c>
    </row>
    <row r="186" spans="1:28" x14ac:dyDescent="0.2">
      <c r="A186" s="14">
        <v>43663</v>
      </c>
      <c r="B186" s="106">
        <v>721</v>
      </c>
      <c r="C186" s="106">
        <v>718.5</v>
      </c>
      <c r="D186" s="106">
        <v>1627.5</v>
      </c>
      <c r="E186" s="106">
        <v>1635.5</v>
      </c>
      <c r="F186" s="106">
        <v>0.43931519413023501</v>
      </c>
      <c r="G186" s="106">
        <v>0.46085417196418099</v>
      </c>
      <c r="H186" s="106">
        <v>2.57883829273318E-2</v>
      </c>
      <c r="I186" s="106">
        <v>-0.83522018013461596</v>
      </c>
      <c r="J186" s="106">
        <v>-4.9000000000000004</v>
      </c>
      <c r="K186" s="106">
        <v>0.186162439400409</v>
      </c>
      <c r="L186" s="106">
        <v>0.97075264381923998</v>
      </c>
      <c r="M186" s="106">
        <v>0.92100519955150895</v>
      </c>
      <c r="N186" s="106">
        <v>0.13784350342087801</v>
      </c>
      <c r="P186" s="106">
        <v>0.48664255489151281</v>
      </c>
      <c r="Q186" s="106">
        <v>0.43506578903684917</v>
      </c>
      <c r="R186" s="106">
        <v>0.51243093781884463</v>
      </c>
      <c r="S186" s="106">
        <v>0.40927740610951741</v>
      </c>
      <c r="AA186" s="106">
        <v>1635.5</v>
      </c>
      <c r="AB186" s="106">
        <v>1642.6834584645194</v>
      </c>
    </row>
    <row r="187" spans="1:28" x14ac:dyDescent="0.2">
      <c r="A187" s="14">
        <v>43662</v>
      </c>
      <c r="B187" s="106">
        <v>728.7</v>
      </c>
      <c r="C187" s="106">
        <v>722</v>
      </c>
      <c r="D187" s="106">
        <v>1649.5</v>
      </c>
      <c r="E187" s="106">
        <v>1632.5</v>
      </c>
      <c r="F187" s="106">
        <v>0.44226646248085699</v>
      </c>
      <c r="G187" s="106">
        <v>0.46172455123679101</v>
      </c>
      <c r="H187" s="106">
        <v>2.61458597118727E-2</v>
      </c>
      <c r="I187" s="106">
        <v>-0.74421300237828003</v>
      </c>
      <c r="J187" s="106">
        <v>-4.4000000000000004</v>
      </c>
      <c r="K187" s="106">
        <v>0.231772686174429</v>
      </c>
      <c r="L187" s="106">
        <v>0.97878873109829001</v>
      </c>
      <c r="M187" s="106">
        <v>0.92080932140712002</v>
      </c>
      <c r="N187" s="106">
        <v>0.14456265248602801</v>
      </c>
      <c r="P187" s="106">
        <v>0.48787041094866374</v>
      </c>
      <c r="Q187" s="106">
        <v>0.43557869152491829</v>
      </c>
      <c r="R187" s="106">
        <v>0.51401627066053646</v>
      </c>
      <c r="S187" s="106">
        <v>0.40943283181304563</v>
      </c>
      <c r="AA187" s="106">
        <v>1632.5</v>
      </c>
      <c r="AB187" s="106">
        <v>1650.6853959796563</v>
      </c>
    </row>
    <row r="188" spans="1:28" x14ac:dyDescent="0.2">
      <c r="A188" s="14">
        <v>43658</v>
      </c>
      <c r="B188" s="106">
        <v>727.8</v>
      </c>
      <c r="C188" s="106">
        <v>730</v>
      </c>
      <c r="D188" s="106">
        <v>1651.5</v>
      </c>
      <c r="E188" s="106">
        <v>1646</v>
      </c>
      <c r="F188" s="106">
        <v>0.44349939246658499</v>
      </c>
      <c r="G188" s="106">
        <v>0.46252675068966498</v>
      </c>
      <c r="H188" s="106">
        <v>2.6457668396272099E-2</v>
      </c>
      <c r="I188" s="106">
        <v>-0.71916232141456105</v>
      </c>
      <c r="J188" s="106">
        <v>-4.29</v>
      </c>
      <c r="K188" s="106">
        <v>0.25175728724290802</v>
      </c>
      <c r="L188" s="106">
        <v>0.98238793771317701</v>
      </c>
      <c r="M188" s="106">
        <v>0.92058924778096496</v>
      </c>
      <c r="N188" s="106">
        <v>0.135780463728433</v>
      </c>
      <c r="P188" s="106">
        <v>0.48898441908593709</v>
      </c>
      <c r="Q188" s="106">
        <v>0.43606908229339286</v>
      </c>
      <c r="R188" s="106">
        <v>0.51544208748220921</v>
      </c>
      <c r="S188" s="106">
        <v>0.4096114138971208</v>
      </c>
      <c r="AA188" s="106">
        <v>1646</v>
      </c>
      <c r="AB188" s="106">
        <v>1668.9755388713975</v>
      </c>
    </row>
    <row r="189" spans="1:28" x14ac:dyDescent="0.2">
      <c r="A189" s="14">
        <v>43657</v>
      </c>
      <c r="B189" s="106">
        <v>721</v>
      </c>
      <c r="C189" s="106">
        <v>722.1</v>
      </c>
      <c r="D189" s="106">
        <v>1630.5</v>
      </c>
      <c r="E189" s="106">
        <v>1637.5</v>
      </c>
      <c r="F189" s="106">
        <v>0.44097709923664102</v>
      </c>
      <c r="G189" s="106">
        <v>0.46312364001380402</v>
      </c>
      <c r="H189" s="106">
        <v>2.65265574663829E-2</v>
      </c>
      <c r="I189" s="106">
        <v>-0.83488182758843199</v>
      </c>
      <c r="J189" s="106">
        <v>-5.0199999999999996</v>
      </c>
      <c r="K189" s="106">
        <v>0.229815513310792</v>
      </c>
      <c r="L189" s="106">
        <v>0.977647167379326</v>
      </c>
      <c r="M189" s="106">
        <v>0.92035272730892304</v>
      </c>
      <c r="N189" s="106">
        <v>0.144279606401674</v>
      </c>
      <c r="P189" s="106">
        <v>0.4896501974801869</v>
      </c>
      <c r="Q189" s="106">
        <v>0.43659708254742113</v>
      </c>
      <c r="R189" s="106">
        <v>0.51617675494656978</v>
      </c>
      <c r="S189" s="106">
        <v>0.4100705250810382</v>
      </c>
      <c r="AA189" s="106">
        <v>1637.5</v>
      </c>
      <c r="AB189" s="106">
        <v>1650.9140227658031</v>
      </c>
    </row>
    <row r="190" spans="1:28" x14ac:dyDescent="0.2">
      <c r="A190" s="14">
        <v>43656</v>
      </c>
      <c r="B190" s="106">
        <v>724.9</v>
      </c>
      <c r="C190" s="106">
        <v>725.8</v>
      </c>
      <c r="D190" s="106">
        <v>1630</v>
      </c>
      <c r="E190" s="106">
        <v>1634</v>
      </c>
      <c r="F190" s="106">
        <v>0.44418604651162702</v>
      </c>
      <c r="G190" s="106">
        <v>0.463624926765423</v>
      </c>
      <c r="H190" s="106">
        <v>2.6458459104595398E-2</v>
      </c>
      <c r="I190" s="106">
        <v>-0.73469434395063604</v>
      </c>
      <c r="J190" s="106">
        <v>-4.38</v>
      </c>
      <c r="K190" s="106">
        <v>0.21280787504902801</v>
      </c>
      <c r="L190" s="106">
        <v>0.97074818814868002</v>
      </c>
      <c r="M190" s="106">
        <v>0.92009815670016404</v>
      </c>
      <c r="N190" s="106">
        <v>0.14934755969501101</v>
      </c>
      <c r="P190" s="106">
        <v>0.49008338587001837</v>
      </c>
      <c r="Q190" s="106">
        <v>0.43716646766082762</v>
      </c>
      <c r="R190" s="106">
        <v>0.51654184497461375</v>
      </c>
      <c r="S190" s="106">
        <v>0.41070800855623218</v>
      </c>
      <c r="AA190" s="106">
        <v>1634</v>
      </c>
      <c r="AB190" s="106">
        <v>1659.3732138532332</v>
      </c>
    </row>
    <row r="191" spans="1:28" x14ac:dyDescent="0.2">
      <c r="A191" s="14">
        <v>43655</v>
      </c>
      <c r="B191" s="106">
        <v>737.9</v>
      </c>
      <c r="C191" s="106">
        <v>733.8</v>
      </c>
      <c r="D191" s="106">
        <v>1630.5</v>
      </c>
      <c r="E191" s="106">
        <v>1637.5</v>
      </c>
      <c r="F191" s="106">
        <v>0.44812213740458001</v>
      </c>
      <c r="G191" s="106">
        <v>0.46411841815308902</v>
      </c>
      <c r="H191" s="106">
        <v>2.6436446729565601E-2</v>
      </c>
      <c r="I191" s="106">
        <v>-0.60508437129033299</v>
      </c>
      <c r="J191" s="106">
        <v>-3.57</v>
      </c>
      <c r="K191" s="106">
        <v>0.22075591320365601</v>
      </c>
      <c r="L191" s="106">
        <v>0.968024108684999</v>
      </c>
      <c r="M191" s="106">
        <v>0.91976610927142399</v>
      </c>
      <c r="N191" s="106">
        <v>0.15395171485450501</v>
      </c>
      <c r="P191" s="106">
        <v>0.4905548648826546</v>
      </c>
      <c r="Q191" s="106">
        <v>0.43768197142352344</v>
      </c>
      <c r="R191" s="106">
        <v>0.51699131161222023</v>
      </c>
      <c r="S191" s="106">
        <v>0.41124552469395781</v>
      </c>
      <c r="AA191" s="106">
        <v>1637.5</v>
      </c>
      <c r="AB191" s="106">
        <v>1677.6633567449746</v>
      </c>
    </row>
    <row r="192" spans="1:28" x14ac:dyDescent="0.2">
      <c r="A192" s="14">
        <v>43654</v>
      </c>
      <c r="B192" s="106">
        <v>736.2</v>
      </c>
      <c r="C192" s="106">
        <v>734.9</v>
      </c>
      <c r="D192" s="106">
        <v>1642.5</v>
      </c>
      <c r="E192" s="106">
        <v>1634</v>
      </c>
      <c r="F192" s="106">
        <v>0.44975520195838398</v>
      </c>
      <c r="G192" s="106">
        <v>0.464595282875928</v>
      </c>
      <c r="H192" s="106">
        <v>2.6466151761102501E-2</v>
      </c>
      <c r="I192" s="106">
        <v>-0.56071925573082304</v>
      </c>
      <c r="J192" s="106">
        <v>-3.3</v>
      </c>
      <c r="K192" s="106">
        <v>0.2420373035026</v>
      </c>
      <c r="L192" s="106">
        <v>0.97352531577524304</v>
      </c>
      <c r="M192" s="106">
        <v>0.919389377823978</v>
      </c>
      <c r="N192" s="106">
        <v>0.155322495826822</v>
      </c>
      <c r="P192" s="106">
        <v>0.4910614346370305</v>
      </c>
      <c r="Q192" s="106">
        <v>0.43812913111482549</v>
      </c>
      <c r="R192" s="106">
        <v>0.51752758639813301</v>
      </c>
      <c r="S192" s="106">
        <v>0.41166297935372298</v>
      </c>
      <c r="AA192" s="106">
        <v>1634</v>
      </c>
      <c r="AB192" s="106">
        <v>1680.1782513925891</v>
      </c>
    </row>
    <row r="193" spans="1:28" x14ac:dyDescent="0.2">
      <c r="A193" s="14">
        <v>43651</v>
      </c>
      <c r="B193" s="106">
        <v>737.3</v>
      </c>
      <c r="C193" s="106">
        <v>734.8</v>
      </c>
      <c r="D193" s="106">
        <v>1635.5</v>
      </c>
      <c r="E193" s="106">
        <v>1630.5</v>
      </c>
      <c r="F193" s="106">
        <v>0.450659306961054</v>
      </c>
      <c r="G193" s="106">
        <v>0.46503030659475098</v>
      </c>
      <c r="H193" s="106">
        <v>2.6486785228192498E-2</v>
      </c>
      <c r="I193" s="106">
        <v>-0.54257243791142795</v>
      </c>
      <c r="J193" s="106">
        <v>-3.19</v>
      </c>
      <c r="K193" s="106">
        <v>0.26125304361734802</v>
      </c>
      <c r="L193" s="106">
        <v>0.97855307872612396</v>
      </c>
      <c r="M193" s="106">
        <v>0.91904305558524302</v>
      </c>
      <c r="N193" s="106">
        <v>0.14856413971718899</v>
      </c>
      <c r="P193" s="106">
        <v>0.49151709182294345</v>
      </c>
      <c r="Q193" s="106">
        <v>0.4385435213665585</v>
      </c>
      <c r="R193" s="106">
        <v>0.51800387705113593</v>
      </c>
      <c r="S193" s="106">
        <v>0.41205673613836596</v>
      </c>
      <c r="AA193" s="106">
        <v>1630.5</v>
      </c>
      <c r="AB193" s="106">
        <v>1679.9496246064423</v>
      </c>
    </row>
    <row r="194" spans="1:28" x14ac:dyDescent="0.2">
      <c r="A194" s="14">
        <v>43650</v>
      </c>
      <c r="B194" s="106">
        <v>739.3</v>
      </c>
      <c r="C194" s="106">
        <v>737.2</v>
      </c>
      <c r="D194" s="106">
        <v>1649.5</v>
      </c>
      <c r="E194" s="106">
        <v>1644.5</v>
      </c>
      <c r="F194" s="106">
        <v>0.448282152629978</v>
      </c>
      <c r="G194" s="106">
        <v>0.465432898452035</v>
      </c>
      <c r="H194" s="106">
        <v>2.6494762348813001E-2</v>
      </c>
      <c r="I194" s="106">
        <v>-0.64732589770993898</v>
      </c>
      <c r="J194" s="106">
        <v>-3.83</v>
      </c>
      <c r="K194" s="106">
        <v>0.293432718035534</v>
      </c>
      <c r="L194" s="106">
        <v>0.95818044636710298</v>
      </c>
      <c r="M194" s="106">
        <v>0.91861624870414105</v>
      </c>
      <c r="N194" s="106">
        <v>0.14879824821009899</v>
      </c>
      <c r="P194" s="106">
        <v>0.49192766080084799</v>
      </c>
      <c r="Q194" s="106">
        <v>0.43893813610322202</v>
      </c>
      <c r="R194" s="106">
        <v>0.51842242314966103</v>
      </c>
      <c r="S194" s="106">
        <v>0.41244337375440898</v>
      </c>
      <c r="AA194" s="106">
        <v>1644.5</v>
      </c>
      <c r="AB194" s="106">
        <v>1685.4366674739649</v>
      </c>
    </row>
    <row r="195" spans="1:28" x14ac:dyDescent="0.2">
      <c r="A195" s="14">
        <v>43649</v>
      </c>
      <c r="B195" s="106">
        <v>736.5</v>
      </c>
      <c r="C195" s="106">
        <v>729.7</v>
      </c>
      <c r="D195" s="106">
        <v>1665.5</v>
      </c>
      <c r="E195" s="106">
        <v>1641</v>
      </c>
      <c r="F195" s="106">
        <v>0.44466788543570901</v>
      </c>
      <c r="G195" s="106">
        <v>0.465819088696388</v>
      </c>
      <c r="H195" s="106">
        <v>2.64530169439713E-2</v>
      </c>
      <c r="I195" s="106">
        <v>-0.79957621867772599</v>
      </c>
      <c r="J195" s="106">
        <v>-4.76</v>
      </c>
      <c r="K195" s="106">
        <v>0.31029162460071702</v>
      </c>
      <c r="L195" s="106">
        <v>0.95411521976648905</v>
      </c>
      <c r="M195" s="106">
        <v>0.91833697527968905</v>
      </c>
      <c r="N195" s="106">
        <v>0.15160066512974699</v>
      </c>
      <c r="P195" s="106">
        <v>0.49227210564035928</v>
      </c>
      <c r="Q195" s="106">
        <v>0.43936607175241671</v>
      </c>
      <c r="R195" s="106">
        <v>0.51872512258433057</v>
      </c>
      <c r="S195" s="106">
        <v>0.41291305480844542</v>
      </c>
      <c r="AA195" s="106">
        <v>1641</v>
      </c>
      <c r="AB195" s="106">
        <v>1668.2896585129574</v>
      </c>
    </row>
    <row r="196" spans="1:28" x14ac:dyDescent="0.2">
      <c r="A196" s="14">
        <v>43648</v>
      </c>
      <c r="B196" s="106">
        <v>738.1</v>
      </c>
      <c r="C196" s="106">
        <v>745.4</v>
      </c>
      <c r="D196" s="106">
        <v>1669</v>
      </c>
      <c r="E196" s="106">
        <v>1659.5</v>
      </c>
      <c r="F196" s="106">
        <v>0.44917143717987301</v>
      </c>
      <c r="G196" s="106">
        <v>0.46629616114130501</v>
      </c>
      <c r="H196" s="106">
        <v>2.6389828601996498E-2</v>
      </c>
      <c r="I196" s="106">
        <v>-0.64891380007433497</v>
      </c>
      <c r="J196" s="106">
        <v>-3.81</v>
      </c>
      <c r="K196" s="106">
        <v>0.32575515514979297</v>
      </c>
      <c r="L196" s="106">
        <v>0.92656176764438902</v>
      </c>
      <c r="M196" s="106">
        <v>0.91771175902670898</v>
      </c>
      <c r="N196" s="106">
        <v>0.17012538014646</v>
      </c>
      <c r="P196" s="106">
        <v>0.49268598974330152</v>
      </c>
      <c r="Q196" s="106">
        <v>0.4399063325393085</v>
      </c>
      <c r="R196" s="106">
        <v>0.51907581834529803</v>
      </c>
      <c r="S196" s="106">
        <v>0.41351650393731199</v>
      </c>
      <c r="AA196" s="106">
        <v>1659.5</v>
      </c>
      <c r="AB196" s="106">
        <v>1704.1840639379996</v>
      </c>
    </row>
    <row r="197" spans="1:28" x14ac:dyDescent="0.2">
      <c r="A197" s="14">
        <v>43647</v>
      </c>
      <c r="B197" s="106">
        <v>725.3</v>
      </c>
      <c r="C197" s="106">
        <v>741.7</v>
      </c>
      <c r="D197" s="106">
        <v>1672</v>
      </c>
      <c r="E197" s="106">
        <v>1656</v>
      </c>
      <c r="F197" s="106">
        <v>0.44788647342995103</v>
      </c>
      <c r="G197" s="106">
        <v>0.46666816399344402</v>
      </c>
      <c r="H197" s="106">
        <v>2.6342413222012102E-2</v>
      </c>
      <c r="I197" s="106">
        <v>-0.71298291486062404</v>
      </c>
      <c r="J197" s="106">
        <v>-4.1900000000000004</v>
      </c>
      <c r="K197" s="106">
        <v>0.32976082385739802</v>
      </c>
      <c r="L197" s="106">
        <v>0.94378316448105204</v>
      </c>
      <c r="M197" s="106">
        <v>0.91722735189361804</v>
      </c>
      <c r="N197" s="106">
        <v>0.132464776724599</v>
      </c>
      <c r="P197" s="106">
        <v>0.4930105772154561</v>
      </c>
      <c r="Q197" s="106">
        <v>0.44032575077143193</v>
      </c>
      <c r="R197" s="106">
        <v>0.51935299043746819</v>
      </c>
      <c r="S197" s="106">
        <v>0.41398333754941979</v>
      </c>
      <c r="AA197" s="106">
        <v>1656</v>
      </c>
      <c r="AB197" s="106">
        <v>1695.7248728505695</v>
      </c>
    </row>
    <row r="198" spans="1:28" x14ac:dyDescent="0.2">
      <c r="A198" s="14">
        <v>43644</v>
      </c>
      <c r="B198" s="106">
        <v>715</v>
      </c>
      <c r="C198" s="106">
        <v>713</v>
      </c>
      <c r="D198" s="106">
        <v>1612</v>
      </c>
      <c r="E198" s="106">
        <v>1625</v>
      </c>
      <c r="F198" s="106">
        <v>0.43876923076923002</v>
      </c>
      <c r="G198" s="106">
        <v>0.466887187816514</v>
      </c>
      <c r="H198" s="106">
        <v>2.6253482534945999E-2</v>
      </c>
      <c r="I198" s="106">
        <v>-1.07101817863044</v>
      </c>
      <c r="J198" s="106">
        <v>-6.41</v>
      </c>
      <c r="K198" s="106">
        <v>0.27413560281238197</v>
      </c>
      <c r="L198" s="106">
        <v>0.95632185945705495</v>
      </c>
      <c r="M198" s="106">
        <v>0.91701625851118296</v>
      </c>
      <c r="N198" s="106">
        <v>0.13833753099336801</v>
      </c>
      <c r="P198" s="106">
        <v>0.49314067035146003</v>
      </c>
      <c r="Q198" s="106">
        <v>0.44063370528156798</v>
      </c>
      <c r="R198" s="106">
        <v>0.519394152886406</v>
      </c>
      <c r="S198" s="106">
        <v>0.41438022274662201</v>
      </c>
      <c r="AA198" s="106">
        <v>1625</v>
      </c>
      <c r="AB198" s="106">
        <v>1630.1089852264472</v>
      </c>
    </row>
    <row r="199" spans="1:28" x14ac:dyDescent="0.2">
      <c r="A199" s="14">
        <v>43643</v>
      </c>
      <c r="B199" s="106">
        <v>714.3</v>
      </c>
      <c r="C199" s="106">
        <v>720.9</v>
      </c>
      <c r="D199" s="106">
        <v>1590</v>
      </c>
      <c r="E199" s="106">
        <v>1612</v>
      </c>
      <c r="F199" s="106">
        <v>0.44720843672456501</v>
      </c>
      <c r="G199" s="106">
        <v>0.46710565794394199</v>
      </c>
      <c r="H199" s="106">
        <v>2.60862308208996E-2</v>
      </c>
      <c r="I199" s="106">
        <v>-0.76274803194011398</v>
      </c>
      <c r="J199" s="106">
        <v>-4.45</v>
      </c>
      <c r="K199" s="106">
        <v>0.24065252764723299</v>
      </c>
      <c r="L199" s="106">
        <v>0.96351767350218698</v>
      </c>
      <c r="M199" s="106">
        <v>0.91645286135470705</v>
      </c>
      <c r="N199" s="106">
        <v>0.15918667525579</v>
      </c>
      <c r="P199" s="106">
        <v>0.4931918887648416</v>
      </c>
      <c r="Q199" s="106">
        <v>0.44101942712304237</v>
      </c>
      <c r="R199" s="106">
        <v>0.51927811958574122</v>
      </c>
      <c r="S199" s="106">
        <v>0.41493319630214276</v>
      </c>
      <c r="AA199" s="106">
        <v>1612</v>
      </c>
      <c r="AB199" s="106">
        <v>1648.1705013320418</v>
      </c>
    </row>
    <row r="200" spans="1:28" x14ac:dyDescent="0.2">
      <c r="A200" s="14">
        <v>43642</v>
      </c>
      <c r="B200" s="106">
        <v>722</v>
      </c>
      <c r="C200" s="106">
        <v>720.3</v>
      </c>
      <c r="D200" s="106">
        <v>1583</v>
      </c>
      <c r="E200" s="106">
        <v>1583</v>
      </c>
      <c r="F200" s="106">
        <v>0.455022109917877</v>
      </c>
      <c r="G200" s="106">
        <v>0.46727721724320498</v>
      </c>
      <c r="H200" s="106">
        <v>2.5996967970823001E-2</v>
      </c>
      <c r="I200" s="106">
        <v>-0.471405255377574</v>
      </c>
      <c r="J200" s="106">
        <v>-2.69</v>
      </c>
      <c r="K200" s="106">
        <v>0.206002640513121</v>
      </c>
      <c r="L200" s="106">
        <v>0.96988518648259403</v>
      </c>
      <c r="M200" s="106">
        <v>0.915627846922759</v>
      </c>
      <c r="N200" s="106">
        <v>0.172772919782722</v>
      </c>
      <c r="P200" s="106">
        <v>0.49327418521402799</v>
      </c>
      <c r="Q200" s="106">
        <v>0.44128024927238196</v>
      </c>
      <c r="R200" s="106">
        <v>0.51927115318485095</v>
      </c>
      <c r="S200" s="106">
        <v>0.415283281301559</v>
      </c>
      <c r="AA200" s="106">
        <v>1583</v>
      </c>
      <c r="AB200" s="106">
        <v>1646.798740615161</v>
      </c>
    </row>
    <row r="201" spans="1:28" x14ac:dyDescent="0.2">
      <c r="A201" s="14">
        <v>43641</v>
      </c>
      <c r="B201" s="106">
        <v>730</v>
      </c>
      <c r="C201" s="106">
        <v>725.6</v>
      </c>
      <c r="D201" s="106">
        <v>1592.5</v>
      </c>
      <c r="E201" s="106">
        <v>1585.5</v>
      </c>
      <c r="F201" s="106">
        <v>0.45764742983286</v>
      </c>
      <c r="G201" s="106">
        <v>0.46732443202284402</v>
      </c>
      <c r="H201" s="106">
        <v>2.5977876408844001E-2</v>
      </c>
      <c r="I201" s="106">
        <v>-0.37250936287810399</v>
      </c>
      <c r="J201" s="106">
        <v>-2.11</v>
      </c>
      <c r="K201" s="106">
        <v>0.199780761303164</v>
      </c>
      <c r="L201" s="106">
        <v>0.97628211509672203</v>
      </c>
      <c r="M201" s="106">
        <v>0.91461592378977297</v>
      </c>
      <c r="N201" s="106">
        <v>0.18692723133463199</v>
      </c>
      <c r="P201" s="106">
        <v>0.49330230843168804</v>
      </c>
      <c r="Q201" s="106">
        <v>0.44134655561399999</v>
      </c>
      <c r="R201" s="106">
        <v>0.51928018484053207</v>
      </c>
      <c r="S201" s="106">
        <v>0.41536867920515602</v>
      </c>
      <c r="AA201" s="106">
        <v>1585.5</v>
      </c>
      <c r="AB201" s="106">
        <v>1658.91596028094</v>
      </c>
    </row>
    <row r="202" spans="1:28" x14ac:dyDescent="0.2">
      <c r="A202" s="14">
        <v>43640</v>
      </c>
      <c r="B202" s="106">
        <v>725.5</v>
      </c>
      <c r="C202" s="106">
        <v>729.2</v>
      </c>
      <c r="D202" s="106">
        <v>1592</v>
      </c>
      <c r="E202" s="106">
        <v>1600.5</v>
      </c>
      <c r="F202" s="106">
        <v>0.45560762261793097</v>
      </c>
      <c r="G202" s="106">
        <v>0.46741277569045497</v>
      </c>
      <c r="H202" s="106">
        <v>2.5956074426812002E-2</v>
      </c>
      <c r="I202" s="106">
        <v>-0.45481273009178502</v>
      </c>
      <c r="J202" s="106">
        <v>-2.59</v>
      </c>
      <c r="K202" s="106">
        <v>0.17737334262476401</v>
      </c>
      <c r="L202" s="106">
        <v>0.96322376701465595</v>
      </c>
      <c r="M202" s="106">
        <v>0.91385582547342503</v>
      </c>
      <c r="N202" s="106">
        <v>0.16806810535234901</v>
      </c>
      <c r="P202" s="106">
        <v>0.493368850117267</v>
      </c>
      <c r="Q202" s="106">
        <v>0.44145670126364295</v>
      </c>
      <c r="R202" s="106">
        <v>0.51932492454407897</v>
      </c>
      <c r="S202" s="106">
        <v>0.41550062683683098</v>
      </c>
      <c r="AA202" s="106">
        <v>1600.5</v>
      </c>
      <c r="AB202" s="106">
        <v>1667.1465245822235</v>
      </c>
    </row>
    <row r="203" spans="1:28" x14ac:dyDescent="0.2">
      <c r="A203" s="14">
        <v>43637</v>
      </c>
      <c r="B203" s="106">
        <v>725</v>
      </c>
      <c r="C203" s="106">
        <v>728.5</v>
      </c>
      <c r="D203" s="106">
        <v>1614.5</v>
      </c>
      <c r="E203" s="106">
        <v>1603.5</v>
      </c>
      <c r="F203" s="106">
        <v>0.454318677892111</v>
      </c>
      <c r="G203" s="106">
        <v>0.46762456923996598</v>
      </c>
      <c r="H203" s="106">
        <v>2.5923670084889001E-2</v>
      </c>
      <c r="I203" s="106">
        <v>-0.51327189800996698</v>
      </c>
      <c r="J203" s="106">
        <v>-2.93</v>
      </c>
      <c r="K203" s="106">
        <v>0.180364678825196</v>
      </c>
      <c r="L203" s="106">
        <v>0.967012003008349</v>
      </c>
      <c r="M203" s="106">
        <v>0.91323646027891703</v>
      </c>
      <c r="N203" s="106">
        <v>0.14043403555505901</v>
      </c>
      <c r="P203" s="106">
        <v>0.49354823932485498</v>
      </c>
      <c r="Q203" s="106">
        <v>0.44170089915507699</v>
      </c>
      <c r="R203" s="106">
        <v>0.51947190940974397</v>
      </c>
      <c r="S203" s="106">
        <v>0.41577722907018799</v>
      </c>
      <c r="AA203" s="106">
        <v>1603.5</v>
      </c>
      <c r="AB203" s="106">
        <v>1665.5461370791961</v>
      </c>
    </row>
    <row r="204" spans="1:28" x14ac:dyDescent="0.2">
      <c r="A204" s="14">
        <v>43636</v>
      </c>
      <c r="B204" s="106">
        <v>725.1</v>
      </c>
      <c r="C204" s="106">
        <v>720.7</v>
      </c>
      <c r="D204" s="106">
        <v>1613.5</v>
      </c>
      <c r="E204" s="106">
        <v>1623</v>
      </c>
      <c r="F204" s="106">
        <v>0.44405422057917399</v>
      </c>
      <c r="G204" s="106">
        <v>0.46781857022576401</v>
      </c>
      <c r="H204" s="106">
        <v>2.5877771366515701E-2</v>
      </c>
      <c r="I204" s="106">
        <v>-0.91833061317402598</v>
      </c>
      <c r="J204" s="106">
        <v>-5.35</v>
      </c>
      <c r="K204" s="106">
        <v>0.18850150600156901</v>
      </c>
      <c r="L204" s="106">
        <v>0.97263182317517904</v>
      </c>
      <c r="M204" s="106">
        <v>0.91277793516135897</v>
      </c>
      <c r="N204" s="106">
        <v>0.15772713867535201</v>
      </c>
      <c r="P204" s="106">
        <v>0.49369634159227971</v>
      </c>
      <c r="Q204" s="106">
        <v>0.44194079885924831</v>
      </c>
      <c r="R204" s="106">
        <v>0.51957411295879541</v>
      </c>
      <c r="S204" s="106">
        <v>0.41606302749273261</v>
      </c>
      <c r="AA204" s="106">
        <v>1623</v>
      </c>
      <c r="AB204" s="106">
        <v>1647.7132477597484</v>
      </c>
    </row>
    <row r="205" spans="1:28" x14ac:dyDescent="0.2">
      <c r="A205" s="14">
        <v>43635</v>
      </c>
      <c r="B205" s="106">
        <v>719</v>
      </c>
      <c r="C205" s="106">
        <v>731</v>
      </c>
      <c r="D205" s="106">
        <v>1635.5</v>
      </c>
      <c r="E205" s="106">
        <v>1616.5</v>
      </c>
      <c r="F205" s="106">
        <v>0.45221156820290698</v>
      </c>
      <c r="G205" s="106">
        <v>0.46810639826168599</v>
      </c>
      <c r="H205" s="106">
        <v>2.5731488241483701E-2</v>
      </c>
      <c r="I205" s="106">
        <v>-0.61771903395597905</v>
      </c>
      <c r="J205" s="106">
        <v>-3.51</v>
      </c>
      <c r="K205" s="106">
        <v>0.20313602264762201</v>
      </c>
      <c r="L205" s="106">
        <v>0.92120609173775603</v>
      </c>
      <c r="M205" s="106">
        <v>0.91219111520445195</v>
      </c>
      <c r="N205" s="106">
        <v>0.12007406788661</v>
      </c>
      <c r="P205" s="106">
        <v>0.49383788650316968</v>
      </c>
      <c r="Q205" s="106">
        <v>0.44237491002020229</v>
      </c>
      <c r="R205" s="106">
        <v>0.51956937474465337</v>
      </c>
      <c r="S205" s="106">
        <v>0.4166434217787186</v>
      </c>
      <c r="AA205" s="106">
        <v>1616.5</v>
      </c>
      <c r="AB205" s="106">
        <v>1671.2618067328654</v>
      </c>
    </row>
    <row r="206" spans="1:28" x14ac:dyDescent="0.2">
      <c r="A206" s="14">
        <v>43634</v>
      </c>
      <c r="B206" s="106">
        <v>710</v>
      </c>
      <c r="C206" s="106">
        <v>699.9</v>
      </c>
      <c r="D206" s="106">
        <v>1619</v>
      </c>
      <c r="E206" s="106">
        <v>1602</v>
      </c>
      <c r="F206" s="106">
        <v>0.43689138576779002</v>
      </c>
      <c r="G206" s="106">
        <v>0.46826604007477701</v>
      </c>
      <c r="H206" s="106">
        <v>2.56694459576155E-2</v>
      </c>
      <c r="I206" s="106">
        <v>-1.2222567779137701</v>
      </c>
      <c r="J206" s="106">
        <v>-7.18</v>
      </c>
      <c r="K206" s="106">
        <v>0.22108512991714199</v>
      </c>
      <c r="L206" s="106">
        <v>0.91174922898149302</v>
      </c>
      <c r="M206" s="106">
        <v>0.91188303720027697</v>
      </c>
      <c r="N206" s="106">
        <v>0.13111281206591099</v>
      </c>
      <c r="P206" s="106">
        <v>0.49393548603239251</v>
      </c>
      <c r="Q206" s="106">
        <v>0.44259659411716151</v>
      </c>
      <c r="R206" s="106">
        <v>0.51960493199000801</v>
      </c>
      <c r="S206" s="106">
        <v>0.41692714815954601</v>
      </c>
      <c r="AA206" s="106">
        <v>1602</v>
      </c>
      <c r="AB206" s="106">
        <v>1600.1588762412207</v>
      </c>
    </row>
    <row r="207" spans="1:28" x14ac:dyDescent="0.2">
      <c r="A207" s="14">
        <v>43633</v>
      </c>
      <c r="B207" s="106">
        <v>712.2</v>
      </c>
      <c r="C207" s="106">
        <v>714.1</v>
      </c>
      <c r="D207" s="106">
        <v>1625</v>
      </c>
      <c r="E207" s="106">
        <v>1623</v>
      </c>
      <c r="F207" s="106">
        <v>0.43998767714109599</v>
      </c>
      <c r="G207" s="106">
        <v>0.46877395873736699</v>
      </c>
      <c r="H207" s="106">
        <v>2.5419274814184201E-2</v>
      </c>
      <c r="I207" s="106">
        <v>-1.1324588056386</v>
      </c>
      <c r="J207" s="106">
        <v>-6.54</v>
      </c>
      <c r="K207" s="106">
        <v>0.23806400009061501</v>
      </c>
      <c r="L207" s="106">
        <v>0.90634894656430098</v>
      </c>
      <c r="M207" s="106">
        <v>0.91164918860039901</v>
      </c>
      <c r="N207" s="106">
        <v>0.122745145231669</v>
      </c>
      <c r="P207" s="106">
        <v>0.4941932335515512</v>
      </c>
      <c r="Q207" s="106">
        <v>0.44335468392318278</v>
      </c>
      <c r="R207" s="106">
        <v>0.51961250836573536</v>
      </c>
      <c r="S207" s="106">
        <v>0.41793540910899857</v>
      </c>
      <c r="AA207" s="106">
        <v>1623</v>
      </c>
      <c r="AB207" s="106">
        <v>1632.6238798740617</v>
      </c>
    </row>
    <row r="208" spans="1:28" x14ac:dyDescent="0.2">
      <c r="A208" s="14">
        <v>43630</v>
      </c>
      <c r="B208" s="106">
        <v>715</v>
      </c>
      <c r="C208" s="106">
        <v>715.2</v>
      </c>
      <c r="D208" s="106">
        <v>1625</v>
      </c>
      <c r="E208" s="106">
        <v>1625</v>
      </c>
      <c r="F208" s="106">
        <v>0.44012307692307601</v>
      </c>
      <c r="G208" s="106">
        <v>0.46930199029447001</v>
      </c>
      <c r="H208" s="106">
        <v>2.5226412427493801E-2</v>
      </c>
      <c r="I208" s="106">
        <v>-1.1566810562247101</v>
      </c>
      <c r="J208" s="106">
        <v>-6.63</v>
      </c>
      <c r="K208" s="106">
        <v>0.25363225508107201</v>
      </c>
      <c r="L208" s="106">
        <v>0.90707447686693199</v>
      </c>
      <c r="M208" s="106">
        <v>0.91144028582532999</v>
      </c>
      <c r="N208" s="106">
        <v>0.12340046755593399</v>
      </c>
      <c r="P208" s="106">
        <v>0.4945284027219638</v>
      </c>
      <c r="Q208" s="106">
        <v>0.44407557786697621</v>
      </c>
      <c r="R208" s="106">
        <v>0.51975481514945765</v>
      </c>
      <c r="S208" s="106">
        <v>0.41884916543948242</v>
      </c>
      <c r="AA208" s="106">
        <v>1625</v>
      </c>
      <c r="AB208" s="106">
        <v>1635.1387745216762</v>
      </c>
    </row>
    <row r="209" spans="1:28" x14ac:dyDescent="0.2">
      <c r="A209" s="14">
        <v>43629</v>
      </c>
      <c r="B209" s="106">
        <v>720.4</v>
      </c>
      <c r="C209" s="106">
        <v>714.5</v>
      </c>
      <c r="D209" s="106">
        <v>1618</v>
      </c>
      <c r="E209" s="106">
        <v>1617.5</v>
      </c>
      <c r="F209" s="106">
        <v>0.44173106646058702</v>
      </c>
      <c r="G209" s="106">
        <v>0.46985557898534902</v>
      </c>
      <c r="H209" s="106">
        <v>2.5034850179588501E-2</v>
      </c>
      <c r="I209" s="106">
        <v>-1.12341445317267</v>
      </c>
      <c r="J209" s="106">
        <v>-6.37</v>
      </c>
      <c r="K209" s="106">
        <v>0.26930311544410401</v>
      </c>
      <c r="L209" s="106">
        <v>0.92527499573605299</v>
      </c>
      <c r="M209" s="106">
        <v>0.911051422150019</v>
      </c>
      <c r="N209" s="106">
        <v>0.149810963219734</v>
      </c>
      <c r="P209" s="106">
        <v>0.49489042916493753</v>
      </c>
      <c r="Q209" s="106">
        <v>0.44482072880576051</v>
      </c>
      <c r="R209" s="106">
        <v>0.51992527934452604</v>
      </c>
      <c r="S209" s="106">
        <v>0.419785878626172</v>
      </c>
      <c r="AA209" s="106">
        <v>1617.5</v>
      </c>
      <c r="AB209" s="106">
        <v>1633.5383870186488</v>
      </c>
    </row>
    <row r="210" spans="1:28" x14ac:dyDescent="0.2">
      <c r="A210" s="14">
        <v>43628</v>
      </c>
      <c r="B210" s="106">
        <v>721.2</v>
      </c>
      <c r="C210" s="106">
        <v>729.6</v>
      </c>
      <c r="D210" s="106">
        <v>1631</v>
      </c>
      <c r="E210" s="106">
        <v>1625</v>
      </c>
      <c r="F210" s="106">
        <v>0.44898461538461498</v>
      </c>
      <c r="G210" s="106">
        <v>0.470232808537702</v>
      </c>
      <c r="H210" s="106">
        <v>2.4820461054887399E-2</v>
      </c>
      <c r="I210" s="106">
        <v>-0.85607568312690596</v>
      </c>
      <c r="J210" s="106">
        <v>-4.7300000000000004</v>
      </c>
      <c r="K210" s="106">
        <v>0.28172618452339598</v>
      </c>
      <c r="L210" s="106">
        <v>0.87841929107146699</v>
      </c>
      <c r="M210" s="106">
        <v>0.91062034009299198</v>
      </c>
      <c r="N210" s="106">
        <v>0.12297995848700601</v>
      </c>
      <c r="P210" s="106">
        <v>0.49505326959258938</v>
      </c>
      <c r="Q210" s="106">
        <v>0.44541234748281461</v>
      </c>
      <c r="R210" s="106">
        <v>0.51987373064747677</v>
      </c>
      <c r="S210" s="106">
        <v>0.42059188642792722</v>
      </c>
      <c r="AA210" s="106">
        <v>1625</v>
      </c>
      <c r="AB210" s="106">
        <v>1668.0610317268106</v>
      </c>
    </row>
    <row r="211" spans="1:28" x14ac:dyDescent="0.2">
      <c r="A211" s="14">
        <v>43627</v>
      </c>
      <c r="B211" s="106">
        <v>710.8</v>
      </c>
      <c r="C211" s="106">
        <v>721.2</v>
      </c>
      <c r="D211" s="106">
        <v>1635</v>
      </c>
      <c r="E211" s="106">
        <v>1646.5</v>
      </c>
      <c r="F211" s="106">
        <v>0.438020042514424</v>
      </c>
      <c r="G211" s="106">
        <v>0.47052071944524199</v>
      </c>
      <c r="H211" s="106">
        <v>2.4697250311299001E-2</v>
      </c>
      <c r="I211" s="106">
        <v>-1.31596337734605</v>
      </c>
      <c r="J211" s="106">
        <v>-7.42</v>
      </c>
      <c r="K211" s="106">
        <v>0.31410858982648998</v>
      </c>
      <c r="L211" s="106">
        <v>0.81014512474808498</v>
      </c>
      <c r="M211" s="106">
        <v>0.91041405770193795</v>
      </c>
      <c r="N211" s="106">
        <v>0.102618733462572</v>
      </c>
      <c r="P211" s="106">
        <v>0.49521796975654098</v>
      </c>
      <c r="Q211" s="106">
        <v>0.445823469133943</v>
      </c>
      <c r="R211" s="106">
        <v>0.51991522006783997</v>
      </c>
      <c r="S211" s="106">
        <v>0.42112621882264401</v>
      </c>
      <c r="AA211" s="106">
        <v>1646.5</v>
      </c>
      <c r="AB211" s="106">
        <v>1648.8563816904823</v>
      </c>
    </row>
    <row r="212" spans="1:28" x14ac:dyDescent="0.2">
      <c r="A212" s="14">
        <v>43626</v>
      </c>
      <c r="B212" s="106">
        <v>708.6</v>
      </c>
      <c r="C212" s="106">
        <v>705.5</v>
      </c>
      <c r="D212" s="106">
        <v>1652</v>
      </c>
      <c r="E212" s="106">
        <v>1627</v>
      </c>
      <c r="F212" s="106">
        <v>0.43362015980331797</v>
      </c>
      <c r="G212" s="106">
        <v>0.47098188235473099</v>
      </c>
      <c r="H212" s="106">
        <v>2.4407286420738E-2</v>
      </c>
      <c r="I212" s="106">
        <v>-1.5307610156804301</v>
      </c>
      <c r="J212" s="106">
        <v>-8.6199999999999992</v>
      </c>
      <c r="K212" s="106">
        <v>0.33613026991156097</v>
      </c>
      <c r="L212" s="106">
        <v>0.68003691856736403</v>
      </c>
      <c r="M212" s="106">
        <v>0.91028994378561001</v>
      </c>
      <c r="N212" s="106">
        <v>8.0328908720484704E-2</v>
      </c>
      <c r="P212" s="106">
        <v>0.49538916877546901</v>
      </c>
      <c r="Q212" s="106">
        <v>0.44657459593399296</v>
      </c>
      <c r="R212" s="106">
        <v>0.51979645519620699</v>
      </c>
      <c r="S212" s="106">
        <v>0.42216730951325498</v>
      </c>
      <c r="AA212" s="106">
        <v>1627</v>
      </c>
      <c r="AB212" s="106">
        <v>1612.9619762654397</v>
      </c>
    </row>
    <row r="213" spans="1:28" x14ac:dyDescent="0.2">
      <c r="A213" s="14">
        <v>43623</v>
      </c>
      <c r="B213" s="106">
        <v>693.1</v>
      </c>
      <c r="C213" s="106">
        <v>698.4</v>
      </c>
      <c r="D213" s="106">
        <v>1627.5</v>
      </c>
      <c r="E213" s="106">
        <v>1637</v>
      </c>
      <c r="F213" s="106">
        <v>0.42663408674404302</v>
      </c>
      <c r="G213" s="106">
        <v>0.47121706130716201</v>
      </c>
      <c r="H213" s="106">
        <v>2.41295487984736E-2</v>
      </c>
      <c r="I213" s="106">
        <v>-1.84765056883032</v>
      </c>
      <c r="J213" s="106">
        <v>-10.45</v>
      </c>
      <c r="K213" s="106">
        <v>0.370957671051173</v>
      </c>
      <c r="L213" s="106">
        <v>0.54620328736712698</v>
      </c>
      <c r="M213" s="106">
        <v>0.91049883711736901</v>
      </c>
      <c r="N213" s="106">
        <v>6.4668435313701894E-2</v>
      </c>
      <c r="P213" s="106">
        <v>0.49534661010563563</v>
      </c>
      <c r="Q213" s="106">
        <v>0.44708751250868839</v>
      </c>
      <c r="R213" s="106">
        <v>0.51947615890410925</v>
      </c>
      <c r="S213" s="106">
        <v>0.42295796371021482</v>
      </c>
      <c r="AA213" s="106">
        <v>1637</v>
      </c>
      <c r="AB213" s="106">
        <v>1596.7294744490191</v>
      </c>
    </row>
    <row r="214" spans="1:28" x14ac:dyDescent="0.2">
      <c r="A214" s="14">
        <v>43622</v>
      </c>
      <c r="B214" s="106">
        <v>693.9</v>
      </c>
      <c r="C214" s="106">
        <v>691.7</v>
      </c>
      <c r="D214" s="106">
        <v>1620</v>
      </c>
      <c r="E214" s="106">
        <v>1632</v>
      </c>
      <c r="F214" s="106">
        <v>0.42383578431372498</v>
      </c>
      <c r="G214" s="106">
        <v>0.47149819215775401</v>
      </c>
      <c r="H214" s="106">
        <v>2.3727966267206399E-2</v>
      </c>
      <c r="I214" s="106">
        <v>-2.0087017701934702</v>
      </c>
      <c r="J214" s="106">
        <v>-11.25</v>
      </c>
      <c r="K214" s="106">
        <v>0.40944939243312101</v>
      </c>
      <c r="L214" s="106">
        <v>0.61413659581983204</v>
      </c>
      <c r="M214" s="106">
        <v>0.91106235127923496</v>
      </c>
      <c r="N214" s="106">
        <v>6.08606661569829E-2</v>
      </c>
      <c r="P214" s="106">
        <v>0.49522615842496043</v>
      </c>
      <c r="Q214" s="106">
        <v>0.4477702258905476</v>
      </c>
      <c r="R214" s="106">
        <v>0.51895412469216684</v>
      </c>
      <c r="S214" s="106">
        <v>0.42404225962334119</v>
      </c>
      <c r="AA214" s="106">
        <v>1632</v>
      </c>
      <c r="AB214" s="106">
        <v>1581.4114797771861</v>
      </c>
    </row>
    <row r="215" spans="1:28" x14ac:dyDescent="0.2">
      <c r="A215" s="14">
        <v>43621</v>
      </c>
      <c r="B215" s="106">
        <v>693.6</v>
      </c>
      <c r="C215" s="106">
        <v>693</v>
      </c>
      <c r="D215" s="106">
        <v>1620</v>
      </c>
      <c r="E215" s="106">
        <v>1620.5</v>
      </c>
      <c r="F215" s="106">
        <v>0.42764578833693301</v>
      </c>
      <c r="G215" s="106">
        <v>0.47177078760429603</v>
      </c>
      <c r="H215" s="106">
        <v>2.3292275221880099E-2</v>
      </c>
      <c r="I215" s="106">
        <v>-1.89440485513042</v>
      </c>
      <c r="J215" s="106">
        <v>-10.32</v>
      </c>
      <c r="K215" s="106">
        <v>0.428633436387023</v>
      </c>
      <c r="L215" s="106">
        <v>0.70475360837728596</v>
      </c>
      <c r="M215" s="106">
        <v>0.91139257715064104</v>
      </c>
      <c r="N215" s="106">
        <v>5.9647332200367602E-2</v>
      </c>
      <c r="P215" s="106">
        <v>0.49506306282617613</v>
      </c>
      <c r="Q215" s="106">
        <v>0.44847851238241593</v>
      </c>
      <c r="R215" s="106">
        <v>0.51835533804805622</v>
      </c>
      <c r="S215" s="106">
        <v>0.42518623716053583</v>
      </c>
      <c r="AA215" s="106">
        <v>1620.5</v>
      </c>
      <c r="AB215" s="106">
        <v>1584.3836279970938</v>
      </c>
    </row>
    <row r="216" spans="1:28" x14ac:dyDescent="0.2">
      <c r="A216" s="14">
        <v>43620</v>
      </c>
      <c r="B216" s="106">
        <v>674</v>
      </c>
      <c r="C216" s="106">
        <v>683.6</v>
      </c>
      <c r="D216" s="106">
        <v>1560.5</v>
      </c>
      <c r="E216" s="106">
        <v>1580</v>
      </c>
      <c r="F216" s="106">
        <v>0.43265822784810098</v>
      </c>
      <c r="G216" s="106">
        <v>0.47211701047562099</v>
      </c>
      <c r="H216" s="106">
        <v>2.2822057698534501E-2</v>
      </c>
      <c r="I216" s="106">
        <v>-1.7289756755830701</v>
      </c>
      <c r="J216" s="106">
        <v>-9.1199999999999992</v>
      </c>
      <c r="K216" s="106">
        <v>0.430904053095024</v>
      </c>
      <c r="L216" s="106">
        <v>0.66498498889151603</v>
      </c>
      <c r="M216" s="106">
        <v>0.91136646263951104</v>
      </c>
      <c r="N216" s="106">
        <v>4.8777719018125797E-2</v>
      </c>
      <c r="P216" s="106">
        <v>0.49493906817415551</v>
      </c>
      <c r="Q216" s="106">
        <v>0.44929495277708648</v>
      </c>
      <c r="R216" s="106">
        <v>0.51776112587268996</v>
      </c>
      <c r="S216" s="106">
        <v>0.42647289507855202</v>
      </c>
      <c r="AA216" s="106">
        <v>1580</v>
      </c>
      <c r="AB216" s="106">
        <v>1562.8927100992978</v>
      </c>
    </row>
    <row r="217" spans="1:28" x14ac:dyDescent="0.2">
      <c r="A217" s="14">
        <v>43619</v>
      </c>
      <c r="B217" s="106">
        <v>668.4</v>
      </c>
      <c r="C217" s="106">
        <v>672.1</v>
      </c>
      <c r="D217" s="106">
        <v>1538</v>
      </c>
      <c r="E217" s="106">
        <v>1557</v>
      </c>
      <c r="F217" s="106">
        <v>0.43166345536287698</v>
      </c>
      <c r="G217" s="106">
        <v>0.47270362415491901</v>
      </c>
      <c r="H217" s="106">
        <v>2.2361054298187001E-2</v>
      </c>
      <c r="I217" s="106">
        <v>-1.8353414040664999</v>
      </c>
      <c r="J217" s="106">
        <v>-9.51</v>
      </c>
      <c r="K217" s="106">
        <v>0.421776832386909</v>
      </c>
      <c r="L217" s="106">
        <v>0.650424259916075</v>
      </c>
      <c r="M217" s="106">
        <v>0.91138115611385195</v>
      </c>
      <c r="N217" s="106">
        <v>5.3396853780166398E-2</v>
      </c>
      <c r="P217" s="106">
        <v>0.49506467845310603</v>
      </c>
      <c r="Q217" s="106">
        <v>0.45034256985673199</v>
      </c>
      <c r="R217" s="106">
        <v>0.517425732751293</v>
      </c>
      <c r="S217" s="106">
        <v>0.42798151555854502</v>
      </c>
      <c r="AA217" s="106">
        <v>1557</v>
      </c>
      <c r="AB217" s="106">
        <v>1536.6006296924197</v>
      </c>
    </row>
    <row r="218" spans="1:28" x14ac:dyDescent="0.2">
      <c r="A218" s="14">
        <v>43616</v>
      </c>
      <c r="B218" s="106">
        <v>689.1</v>
      </c>
      <c r="C218" s="106">
        <v>683.4</v>
      </c>
      <c r="D218" s="106">
        <v>1597</v>
      </c>
      <c r="E218" s="106">
        <v>1574</v>
      </c>
      <c r="F218" s="106">
        <v>0.43418043202033002</v>
      </c>
      <c r="G218" s="106">
        <v>0.47335038092029302</v>
      </c>
      <c r="H218" s="106">
        <v>2.1860569866611598E-2</v>
      </c>
      <c r="I218" s="106">
        <v>-1.7918082254474399</v>
      </c>
      <c r="J218" s="106">
        <v>-9.02</v>
      </c>
      <c r="K218" s="106">
        <v>0.42393941943638003</v>
      </c>
      <c r="L218" s="106">
        <v>0.58498300315252705</v>
      </c>
      <c r="M218" s="106">
        <v>0.91113761306093999</v>
      </c>
      <c r="N218" s="106">
        <v>5.7343587919750402E-2</v>
      </c>
      <c r="P218" s="106">
        <v>0.49521095078690464</v>
      </c>
      <c r="Q218" s="106">
        <v>0.45148981105368141</v>
      </c>
      <c r="R218" s="106">
        <v>0.51707152065351625</v>
      </c>
      <c r="S218" s="106">
        <v>0.4296292411870698</v>
      </c>
      <c r="AA218" s="106">
        <v>1574</v>
      </c>
      <c r="AB218" s="106">
        <v>1562.4354565270041</v>
      </c>
    </row>
    <row r="219" spans="1:28" x14ac:dyDescent="0.2">
      <c r="A219" s="14">
        <v>43615</v>
      </c>
      <c r="B219" s="106">
        <v>680</v>
      </c>
      <c r="C219" s="106">
        <v>697.6</v>
      </c>
      <c r="D219" s="106">
        <v>1596.5</v>
      </c>
      <c r="E219" s="106">
        <v>1612.5</v>
      </c>
      <c r="F219" s="106">
        <v>0.432620155038759</v>
      </c>
      <c r="G219" s="106">
        <v>0.47394701606270201</v>
      </c>
      <c r="H219" s="106">
        <v>2.1388927446379501E-2</v>
      </c>
      <c r="I219" s="106">
        <v>-1.9321614479055</v>
      </c>
      <c r="J219" s="106">
        <v>-9.5500000000000007</v>
      </c>
      <c r="K219" s="106">
        <v>0.43786696662936803</v>
      </c>
      <c r="L219" s="106">
        <v>0.43836931551373998</v>
      </c>
      <c r="M219" s="106">
        <v>0.91089807254670796</v>
      </c>
      <c r="N219" s="106">
        <v>4.5173327139136799E-2</v>
      </c>
      <c r="P219" s="106">
        <v>0.4953359435090815</v>
      </c>
      <c r="Q219" s="106">
        <v>0.45255808861632252</v>
      </c>
      <c r="R219" s="106">
        <v>0.51672487095546105</v>
      </c>
      <c r="S219" s="106">
        <v>0.43116916116994303</v>
      </c>
      <c r="AA219" s="106">
        <v>1612.5</v>
      </c>
      <c r="AB219" s="106">
        <v>1594.9004601598451</v>
      </c>
    </row>
    <row r="220" spans="1:28" x14ac:dyDescent="0.2">
      <c r="A220" s="14">
        <v>43614</v>
      </c>
      <c r="B220" s="106">
        <v>688</v>
      </c>
      <c r="C220" s="106">
        <v>685.5</v>
      </c>
      <c r="D220" s="106">
        <v>1585</v>
      </c>
      <c r="E220" s="106">
        <v>1596.5</v>
      </c>
      <c r="F220" s="106">
        <v>0.42937676166614402</v>
      </c>
      <c r="G220" s="106">
        <v>0.47453876618787999</v>
      </c>
      <c r="H220" s="106">
        <v>2.0844383284861E-2</v>
      </c>
      <c r="I220" s="106">
        <v>-2.1666270431007</v>
      </c>
      <c r="J220" s="106">
        <v>-10.52</v>
      </c>
      <c r="K220" s="106">
        <v>0.44671177221346198</v>
      </c>
      <c r="L220" s="106">
        <v>0.36158504527576402</v>
      </c>
      <c r="M220" s="106">
        <v>0.91052995154312499</v>
      </c>
      <c r="N220" s="106">
        <v>5.0843937296416203E-2</v>
      </c>
      <c r="P220" s="106">
        <v>0.49538314947274098</v>
      </c>
      <c r="Q220" s="106">
        <v>0.453694382903019</v>
      </c>
      <c r="R220" s="106">
        <v>0.51622753275760203</v>
      </c>
      <c r="S220" s="106">
        <v>0.43284999961815801</v>
      </c>
      <c r="AA220" s="106">
        <v>1596.5</v>
      </c>
      <c r="AB220" s="106">
        <v>1567.2366190360863</v>
      </c>
    </row>
    <row r="221" spans="1:28" x14ac:dyDescent="0.2">
      <c r="A221" s="14">
        <v>43613</v>
      </c>
      <c r="B221" s="106">
        <v>697.7</v>
      </c>
      <c r="C221" s="106">
        <v>694.7</v>
      </c>
      <c r="D221" s="106">
        <v>1607</v>
      </c>
      <c r="E221" s="106">
        <v>1624</v>
      </c>
      <c r="F221" s="106">
        <v>0.42777093596059101</v>
      </c>
      <c r="G221" s="106">
        <v>0.47524793668410598</v>
      </c>
      <c r="H221" s="106">
        <v>2.01903313215211E-2</v>
      </c>
      <c r="I221" s="106">
        <v>-2.3514720965925502</v>
      </c>
      <c r="J221" s="106">
        <v>-11.1</v>
      </c>
      <c r="K221" s="106">
        <v>0.47419484347638402</v>
      </c>
      <c r="L221" s="106">
        <v>0.40968714302467002</v>
      </c>
      <c r="M221" s="106">
        <v>0.91013932087505101</v>
      </c>
      <c r="N221" s="106">
        <v>6.0124848249350098E-2</v>
      </c>
      <c r="P221" s="106">
        <v>0.49543826800562707</v>
      </c>
      <c r="Q221" s="106">
        <v>0.45505760536258488</v>
      </c>
      <c r="R221" s="106">
        <v>0.51562859932714822</v>
      </c>
      <c r="S221" s="106">
        <v>0.43486727404106379</v>
      </c>
      <c r="AA221" s="106">
        <v>1624</v>
      </c>
      <c r="AB221" s="106">
        <v>1588.270283361589</v>
      </c>
    </row>
    <row r="222" spans="1:28" x14ac:dyDescent="0.2">
      <c r="A222" s="14">
        <v>43612</v>
      </c>
      <c r="B222" s="106">
        <v>694.8</v>
      </c>
      <c r="C222" s="106">
        <v>696.3</v>
      </c>
      <c r="D222" s="106">
        <v>1612</v>
      </c>
      <c r="E222" s="106">
        <v>1610</v>
      </c>
      <c r="F222" s="106">
        <v>0.43248447204968898</v>
      </c>
      <c r="G222" s="106">
        <v>0.47595978314183002</v>
      </c>
      <c r="H222" s="106">
        <v>1.9430761368759999E-2</v>
      </c>
      <c r="I222" s="106">
        <v>-2.2374476360992599</v>
      </c>
      <c r="J222" s="106">
        <v>-10.050000000000001</v>
      </c>
      <c r="K222" s="106">
        <v>0.49948723379703303</v>
      </c>
      <c r="L222" s="106">
        <v>0.28083111959898499</v>
      </c>
      <c r="M222" s="106">
        <v>0.90921016081764905</v>
      </c>
      <c r="N222" s="106">
        <v>6.1125468188491898E-2</v>
      </c>
      <c r="P222" s="106">
        <v>0.49539054451059</v>
      </c>
      <c r="Q222" s="106">
        <v>0.45652902177307003</v>
      </c>
      <c r="R222" s="106">
        <v>0.51482130587935004</v>
      </c>
      <c r="S222" s="106">
        <v>0.43709826040430999</v>
      </c>
      <c r="AA222" s="106">
        <v>1610</v>
      </c>
      <c r="AB222" s="106">
        <v>1591.928311939937</v>
      </c>
    </row>
    <row r="223" spans="1:28" x14ac:dyDescent="0.2">
      <c r="A223" s="14">
        <v>43609</v>
      </c>
      <c r="B223" s="106">
        <v>685</v>
      </c>
      <c r="C223" s="106">
        <v>692.6</v>
      </c>
      <c r="D223" s="106">
        <v>1593</v>
      </c>
      <c r="E223" s="106">
        <v>1605</v>
      </c>
      <c r="F223" s="106">
        <v>0.43152647975077801</v>
      </c>
      <c r="G223" s="106">
        <v>0.47668849539553598</v>
      </c>
      <c r="H223" s="106">
        <v>1.8801279161816099E-2</v>
      </c>
      <c r="I223" s="106">
        <v>-2.40207143652639</v>
      </c>
      <c r="J223" s="106">
        <v>-10.47</v>
      </c>
      <c r="K223" s="106">
        <v>0.54285738039013898</v>
      </c>
      <c r="L223" s="106">
        <v>0.27154498665756099</v>
      </c>
      <c r="M223" s="106">
        <v>0.90854653166578803</v>
      </c>
      <c r="N223" s="106">
        <v>5.9969421094917097E-2</v>
      </c>
      <c r="P223" s="106">
        <v>0.4954897745573521</v>
      </c>
      <c r="Q223" s="106">
        <v>0.45788721623371986</v>
      </c>
      <c r="R223" s="106">
        <v>0.51429105371916817</v>
      </c>
      <c r="S223" s="106">
        <v>0.4390859370719038</v>
      </c>
      <c r="AA223" s="106">
        <v>1605</v>
      </c>
      <c r="AB223" s="106">
        <v>1583.4691208525069</v>
      </c>
    </row>
    <row r="224" spans="1:28" x14ac:dyDescent="0.2">
      <c r="A224" s="14">
        <v>43608</v>
      </c>
      <c r="B224" s="106">
        <v>700.1</v>
      </c>
      <c r="C224" s="106">
        <v>699</v>
      </c>
      <c r="D224" s="106">
        <v>1597.5</v>
      </c>
      <c r="E224" s="106">
        <v>1609</v>
      </c>
      <c r="F224" s="106">
        <v>0.434431323803604</v>
      </c>
      <c r="G224" s="106">
        <v>0.47721763149480101</v>
      </c>
      <c r="H224" s="106">
        <v>1.8066911285232901E-2</v>
      </c>
      <c r="I224" s="106">
        <v>-2.3682137480891901</v>
      </c>
      <c r="J224" s="106">
        <v>-9.85</v>
      </c>
      <c r="K224" s="106">
        <v>0.56205946094848902</v>
      </c>
      <c r="L224" s="106">
        <v>0.30246808487918603</v>
      </c>
      <c r="M224" s="106">
        <v>0.90768778843723696</v>
      </c>
      <c r="N224" s="106">
        <v>6.8319049529404902E-2</v>
      </c>
      <c r="P224" s="106">
        <v>0.49528454278003392</v>
      </c>
      <c r="Q224" s="106">
        <v>0.4591507202095681</v>
      </c>
      <c r="R224" s="106">
        <v>0.51335145406526683</v>
      </c>
      <c r="S224" s="106">
        <v>0.44108380892433519</v>
      </c>
      <c r="AA224" s="106">
        <v>1609</v>
      </c>
      <c r="AB224" s="106">
        <v>1598.1012351658999</v>
      </c>
    </row>
    <row r="225" spans="1:28" x14ac:dyDescent="0.2">
      <c r="A225" s="14">
        <v>43607</v>
      </c>
      <c r="B225" s="106">
        <v>698.1</v>
      </c>
      <c r="C225" s="106">
        <v>702.8</v>
      </c>
      <c r="D225" s="106">
        <v>1606.5</v>
      </c>
      <c r="E225" s="106">
        <v>1602</v>
      </c>
      <c r="F225" s="106">
        <v>0.43870162297128501</v>
      </c>
      <c r="G225" s="106">
        <v>0.47766291486226098</v>
      </c>
      <c r="H225" s="106">
        <v>1.74063706605238E-2</v>
      </c>
      <c r="I225" s="106">
        <v>-2.2383351849065498</v>
      </c>
      <c r="J225" s="106">
        <v>-8.8800000000000008</v>
      </c>
      <c r="K225" s="106">
        <v>0.57758608232874598</v>
      </c>
      <c r="L225" s="106">
        <v>0.171088949546503</v>
      </c>
      <c r="M225" s="106">
        <v>0.90664870430153799</v>
      </c>
      <c r="N225" s="106">
        <v>5.8224692897840997E-2</v>
      </c>
      <c r="P225" s="106">
        <v>0.49506928552278479</v>
      </c>
      <c r="Q225" s="106">
        <v>0.46025654420173717</v>
      </c>
      <c r="R225" s="106">
        <v>0.51247565618330859</v>
      </c>
      <c r="S225" s="106">
        <v>0.44285017354121337</v>
      </c>
      <c r="AA225" s="106">
        <v>1602</v>
      </c>
      <c r="AB225" s="106">
        <v>1606.7890530394768</v>
      </c>
    </row>
    <row r="226" spans="1:28" x14ac:dyDescent="0.2">
      <c r="A226" s="14">
        <v>43606</v>
      </c>
      <c r="B226" s="106">
        <v>690.2</v>
      </c>
      <c r="C226" s="106">
        <v>696.4</v>
      </c>
      <c r="D226" s="106">
        <v>1581</v>
      </c>
      <c r="E226" s="106">
        <v>1593</v>
      </c>
      <c r="F226" s="106">
        <v>0.437162586315128</v>
      </c>
      <c r="G226" s="106">
        <v>0.47807089623242599</v>
      </c>
      <c r="H226" s="106">
        <v>1.68376954526182E-2</v>
      </c>
      <c r="I226" s="106">
        <v>-2.4295670409537098</v>
      </c>
      <c r="J226" s="106">
        <v>-9.36</v>
      </c>
      <c r="K226" s="106">
        <v>0.60265484249504697</v>
      </c>
      <c r="L226" s="106">
        <v>0.104852295237208</v>
      </c>
      <c r="M226" s="106">
        <v>0.906158464070139</v>
      </c>
      <c r="N226" s="106">
        <v>4.6505584629190001E-2</v>
      </c>
      <c r="P226" s="106">
        <v>0.4949085916850442</v>
      </c>
      <c r="Q226" s="106">
        <v>0.46123320077980778</v>
      </c>
      <c r="R226" s="106">
        <v>0.51174628713766235</v>
      </c>
      <c r="S226" s="106">
        <v>0.44439550532718958</v>
      </c>
      <c r="AA226" s="106">
        <v>1593</v>
      </c>
      <c r="AB226" s="106">
        <v>1592.1569387260838</v>
      </c>
    </row>
    <row r="227" spans="1:28" x14ac:dyDescent="0.2">
      <c r="A227" s="14">
        <v>43605</v>
      </c>
      <c r="B227" s="106">
        <v>703.9</v>
      </c>
      <c r="C227" s="106">
        <v>697.2</v>
      </c>
      <c r="D227" s="106">
        <v>1574.5</v>
      </c>
      <c r="E227" s="106">
        <v>1588.5</v>
      </c>
      <c r="F227" s="106">
        <v>0.43890462700660998</v>
      </c>
      <c r="G227" s="106">
        <v>0.47856401296773599</v>
      </c>
      <c r="H227" s="106">
        <v>1.6160352352957701E-2</v>
      </c>
      <c r="I227" s="106">
        <v>-2.4541164137345</v>
      </c>
      <c r="J227" s="106">
        <v>-9.0399999999999991</v>
      </c>
      <c r="K227" s="106">
        <v>0.633352289503468</v>
      </c>
      <c r="L227" s="106">
        <v>0.19421046150059099</v>
      </c>
      <c r="M227" s="106">
        <v>0.90439863657342401</v>
      </c>
      <c r="N227" s="106">
        <v>9.7275346302566401E-2</v>
      </c>
      <c r="P227" s="106">
        <v>0.49472436532069369</v>
      </c>
      <c r="Q227" s="106">
        <v>0.46240366061477828</v>
      </c>
      <c r="R227" s="106">
        <v>0.5108847176736514</v>
      </c>
      <c r="S227" s="106">
        <v>0.44624330826182057</v>
      </c>
      <c r="AA227" s="106">
        <v>1588.5</v>
      </c>
      <c r="AB227" s="106">
        <v>1593.9859530152582</v>
      </c>
    </row>
    <row r="228" spans="1:28" x14ac:dyDescent="0.2">
      <c r="A228" s="14">
        <v>43602</v>
      </c>
      <c r="B228" s="106">
        <v>710</v>
      </c>
      <c r="C228" s="106">
        <v>708.2</v>
      </c>
      <c r="D228" s="106">
        <v>1567</v>
      </c>
      <c r="E228" s="106">
        <v>1582.5</v>
      </c>
      <c r="F228" s="106">
        <v>0.44751974723538701</v>
      </c>
      <c r="G228" s="106">
        <v>0.47906204874020197</v>
      </c>
      <c r="H228" s="106">
        <v>1.54922023932985E-2</v>
      </c>
      <c r="I228" s="106">
        <v>-2.0360114529912998</v>
      </c>
      <c r="J228" s="106">
        <v>-7.05</v>
      </c>
      <c r="K228" s="106">
        <v>0.66609979767653504</v>
      </c>
      <c r="L228" s="106">
        <v>0.108833985439593</v>
      </c>
      <c r="M228" s="106">
        <v>0.90186292901235898</v>
      </c>
      <c r="N228" s="106">
        <v>0.11383598967627</v>
      </c>
      <c r="P228" s="106">
        <v>0.49455425113350049</v>
      </c>
      <c r="Q228" s="106">
        <v>0.46356984634690346</v>
      </c>
      <c r="R228" s="106">
        <v>0.510046453526799</v>
      </c>
      <c r="S228" s="106">
        <v>0.448077643953605</v>
      </c>
      <c r="AA228" s="106">
        <v>1582.5</v>
      </c>
      <c r="AB228" s="106">
        <v>1619.1348994914026</v>
      </c>
    </row>
    <row r="229" spans="1:28" x14ac:dyDescent="0.2">
      <c r="A229" s="14">
        <v>43601</v>
      </c>
      <c r="B229" s="106">
        <v>701.4</v>
      </c>
      <c r="C229" s="106">
        <v>700.5</v>
      </c>
      <c r="D229" s="106">
        <v>1559</v>
      </c>
      <c r="E229" s="106">
        <v>1552</v>
      </c>
      <c r="F229" s="106">
        <v>0.45135309278350499</v>
      </c>
      <c r="G229" s="106">
        <v>0.479364205495588</v>
      </c>
      <c r="H229" s="106">
        <v>1.50898310193253E-2</v>
      </c>
      <c r="I229" s="106">
        <v>-1.85629068186449</v>
      </c>
      <c r="J229" s="106">
        <v>-6.21</v>
      </c>
      <c r="K229" s="106">
        <v>0.66415634553979297</v>
      </c>
      <c r="L229" s="106">
        <v>0.124956280309981</v>
      </c>
      <c r="M229" s="106">
        <v>0.899418623008579</v>
      </c>
      <c r="N229" s="106">
        <v>0.11574354463021599</v>
      </c>
      <c r="P229" s="106">
        <v>0.49445403651491332</v>
      </c>
      <c r="Q229" s="106">
        <v>0.46427437447626269</v>
      </c>
      <c r="R229" s="106">
        <v>0.50954386753423864</v>
      </c>
      <c r="S229" s="106">
        <v>0.44918454345693742</v>
      </c>
      <c r="AA229" s="106">
        <v>1552</v>
      </c>
      <c r="AB229" s="106">
        <v>1601.5306369581015</v>
      </c>
    </row>
    <row r="230" spans="1:28" x14ac:dyDescent="0.2">
      <c r="A230" s="14">
        <v>43600</v>
      </c>
      <c r="B230" s="106">
        <v>709</v>
      </c>
      <c r="C230" s="106">
        <v>706.1</v>
      </c>
      <c r="D230" s="106">
        <v>1530.5</v>
      </c>
      <c r="E230" s="106">
        <v>1541</v>
      </c>
      <c r="F230" s="106">
        <v>0.45820895522388</v>
      </c>
      <c r="G230" s="106">
        <v>0.47956065050215801</v>
      </c>
      <c r="H230" s="106">
        <v>1.4817335157009301E-2</v>
      </c>
      <c r="I230" s="106">
        <v>-1.4409942848716299</v>
      </c>
      <c r="J230" s="106">
        <v>-4.66</v>
      </c>
      <c r="K230" s="106">
        <v>0.654134910043218</v>
      </c>
      <c r="L230" s="106">
        <v>7.1183782796652703E-2</v>
      </c>
      <c r="M230" s="106">
        <v>0.89625616976515998</v>
      </c>
      <c r="N230" s="106">
        <v>0.13922441004198899</v>
      </c>
      <c r="P230" s="106">
        <v>0.4943779856591673</v>
      </c>
      <c r="Q230" s="106">
        <v>0.46474331534514873</v>
      </c>
      <c r="R230" s="106">
        <v>0.50919532081617658</v>
      </c>
      <c r="S230" s="106">
        <v>0.4499259801881394</v>
      </c>
      <c r="AA230" s="106">
        <v>1541</v>
      </c>
      <c r="AB230" s="106">
        <v>1614.3337369823203</v>
      </c>
    </row>
    <row r="231" spans="1:28" x14ac:dyDescent="0.2">
      <c r="A231" s="14">
        <v>43599</v>
      </c>
      <c r="B231" s="106">
        <v>691</v>
      </c>
      <c r="C231" s="106">
        <v>703.2</v>
      </c>
      <c r="D231" s="106">
        <v>1495</v>
      </c>
      <c r="E231" s="106">
        <v>1520.5</v>
      </c>
      <c r="F231" s="106">
        <v>0.46247944755014803</v>
      </c>
      <c r="G231" s="106">
        <v>0.479621679069409</v>
      </c>
      <c r="H231" s="106">
        <v>1.4738483856158301E-2</v>
      </c>
      <c r="I231" s="106">
        <v>-1.1630932792384301</v>
      </c>
      <c r="J231" s="106">
        <v>-3.71</v>
      </c>
      <c r="K231" s="106">
        <v>0.62813622752584697</v>
      </c>
      <c r="L231" s="106">
        <v>3.1284542352793203E-2</v>
      </c>
      <c r="M231" s="106">
        <v>0.89369857574105105</v>
      </c>
      <c r="N231" s="106">
        <v>0.10628112822421</v>
      </c>
      <c r="P231" s="106">
        <v>0.49436016292556728</v>
      </c>
      <c r="Q231" s="106">
        <v>0.46488319521325072</v>
      </c>
      <c r="R231" s="106">
        <v>0.50909864678172556</v>
      </c>
      <c r="S231" s="106">
        <v>0.45014471135709239</v>
      </c>
      <c r="AA231" s="106">
        <v>1520.5</v>
      </c>
      <c r="AB231" s="106">
        <v>1607.7035601840641</v>
      </c>
    </row>
    <row r="232" spans="1:28" x14ac:dyDescent="0.2">
      <c r="A232" s="14">
        <v>43598</v>
      </c>
      <c r="B232" s="106">
        <v>707.2</v>
      </c>
      <c r="C232" s="106">
        <v>709.6</v>
      </c>
      <c r="D232" s="106">
        <v>1514.5</v>
      </c>
      <c r="E232" s="106">
        <v>1528</v>
      </c>
      <c r="F232" s="106">
        <v>0.46439790575916201</v>
      </c>
      <c r="G232" s="106">
        <v>0.47953129324198701</v>
      </c>
      <c r="H232" s="106">
        <v>1.48635892763093E-2</v>
      </c>
      <c r="I232" s="106">
        <v>-1.0181516187981601</v>
      </c>
      <c r="J232" s="106">
        <v>-3.26</v>
      </c>
      <c r="K232" s="106">
        <v>0.58306885696842803</v>
      </c>
      <c r="L232" s="106">
        <v>8.7957819768025094E-3</v>
      </c>
      <c r="M232" s="106">
        <v>0.89170454973735402</v>
      </c>
      <c r="N232" s="106">
        <v>8.4418973875141398E-2</v>
      </c>
      <c r="P232" s="106">
        <v>0.49439488251829633</v>
      </c>
      <c r="Q232" s="106">
        <v>0.46466770396567769</v>
      </c>
      <c r="R232" s="106">
        <v>0.50925847179460559</v>
      </c>
      <c r="S232" s="106">
        <v>0.44980411468936843</v>
      </c>
      <c r="AA232" s="106">
        <v>1528</v>
      </c>
      <c r="AB232" s="106">
        <v>1622.3356744974571</v>
      </c>
    </row>
    <row r="233" spans="1:28" x14ac:dyDescent="0.2">
      <c r="A233" s="14">
        <v>43595</v>
      </c>
      <c r="B233" s="106">
        <v>723.9</v>
      </c>
      <c r="C233" s="106">
        <v>713.9</v>
      </c>
      <c r="D233" s="106">
        <v>1527</v>
      </c>
      <c r="E233" s="106">
        <v>1533.5</v>
      </c>
      <c r="F233" s="106">
        <v>0.46553635474404897</v>
      </c>
      <c r="G233" s="106">
        <v>0.47934424820707799</v>
      </c>
      <c r="H233" s="106">
        <v>1.51385761778006E-2</v>
      </c>
      <c r="I233" s="106">
        <v>-0.91209987655756397</v>
      </c>
      <c r="J233" s="106">
        <v>-2.97</v>
      </c>
      <c r="K233" s="106">
        <v>0.498213786028812</v>
      </c>
      <c r="L233" s="106">
        <v>6.0154080532369598E-4</v>
      </c>
      <c r="M233" s="106">
        <v>0.89011412969339099</v>
      </c>
      <c r="N233" s="106">
        <v>7.2384150452451501E-2</v>
      </c>
      <c r="P233" s="106">
        <v>0.49448282438487862</v>
      </c>
      <c r="Q233" s="106">
        <v>0.46420567202927737</v>
      </c>
      <c r="R233" s="106">
        <v>0.50962140056267924</v>
      </c>
      <c r="S233" s="106">
        <v>0.44906709585147681</v>
      </c>
      <c r="AA233" s="106">
        <v>1533.5</v>
      </c>
      <c r="AB233" s="106">
        <v>1632.166626301768</v>
      </c>
    </row>
    <row r="234" spans="1:28" x14ac:dyDescent="0.2">
      <c r="A234" s="14">
        <v>43594</v>
      </c>
      <c r="B234" s="106">
        <v>741.3</v>
      </c>
      <c r="C234" s="106">
        <v>721</v>
      </c>
      <c r="D234" s="106">
        <v>1535</v>
      </c>
      <c r="E234" s="106">
        <v>1549</v>
      </c>
      <c r="F234" s="106">
        <v>0.46546158812136801</v>
      </c>
      <c r="G234" s="106">
        <v>0.47917842146376</v>
      </c>
      <c r="H234" s="106">
        <v>1.5355481573443099E-2</v>
      </c>
      <c r="I234" s="106">
        <v>-0.89328578050686303</v>
      </c>
      <c r="J234" s="106">
        <v>-2.95</v>
      </c>
      <c r="K234" s="106">
        <v>0.478283673338944</v>
      </c>
      <c r="L234" s="106">
        <v>1.6773769332597801E-2</v>
      </c>
      <c r="M234" s="106">
        <v>0.88818537492892802</v>
      </c>
      <c r="N234" s="106">
        <v>0.111316925708665</v>
      </c>
      <c r="P234" s="106">
        <v>0.49453390303720307</v>
      </c>
      <c r="Q234" s="106">
        <v>0.46382293989031692</v>
      </c>
      <c r="R234" s="106">
        <v>0.50988938461064615</v>
      </c>
      <c r="S234" s="106">
        <v>0.44846745831687379</v>
      </c>
      <c r="AA234" s="106">
        <v>1549</v>
      </c>
      <c r="AB234" s="106">
        <v>1648.3991281181886</v>
      </c>
    </row>
    <row r="235" spans="1:28" x14ac:dyDescent="0.2">
      <c r="A235" s="14">
        <v>43593</v>
      </c>
      <c r="B235" s="106">
        <v>761</v>
      </c>
      <c r="C235" s="106">
        <v>750.8</v>
      </c>
      <c r="D235" s="106">
        <v>1543</v>
      </c>
      <c r="E235" s="106">
        <v>1555</v>
      </c>
      <c r="F235" s="106">
        <v>0.48282958199356901</v>
      </c>
      <c r="G235" s="106">
        <v>0.47908661306866801</v>
      </c>
      <c r="H235" s="106">
        <v>1.5457463733952501E-2</v>
      </c>
      <c r="I235" s="106">
        <v>0.242146382441707</v>
      </c>
      <c r="J235" s="106">
        <v>0.78</v>
      </c>
      <c r="K235" s="106">
        <v>0.44604856487963701</v>
      </c>
      <c r="L235" s="106">
        <v>5.7779313931868102E-2</v>
      </c>
      <c r="M235" s="106">
        <v>0.88638816681060695</v>
      </c>
      <c r="N235" s="106">
        <v>0.114109406204101</v>
      </c>
      <c r="P235" s="106">
        <v>0.49454407680262052</v>
      </c>
      <c r="Q235" s="106">
        <v>0.4636291493347155</v>
      </c>
      <c r="R235" s="106">
        <v>0.51000154053657298</v>
      </c>
      <c r="S235" s="106">
        <v>0.44817168560076304</v>
      </c>
      <c r="AA235" s="106">
        <v>1555</v>
      </c>
      <c r="AB235" s="106">
        <v>1716.5299103899249</v>
      </c>
    </row>
    <row r="236" spans="1:28" x14ac:dyDescent="0.2">
      <c r="A236" s="14">
        <v>43592</v>
      </c>
      <c r="B236" s="106">
        <v>794.1</v>
      </c>
      <c r="C236" s="106">
        <v>771.6</v>
      </c>
      <c r="D236" s="106">
        <v>1613</v>
      </c>
      <c r="E236" s="106">
        <v>1573</v>
      </c>
      <c r="F236" s="106">
        <v>0.490527654164017</v>
      </c>
      <c r="G236" s="106">
        <v>0.47883366160160701</v>
      </c>
      <c r="H236" s="106">
        <v>1.5549098206390201E-2</v>
      </c>
      <c r="I236" s="106">
        <v>0.75206886001945805</v>
      </c>
      <c r="J236" s="106">
        <v>2.38</v>
      </c>
      <c r="K236" s="106">
        <v>0.38144754012252702</v>
      </c>
      <c r="L236" s="106">
        <v>0.19755175307615699</v>
      </c>
      <c r="M236" s="106">
        <v>0.88471712355679699</v>
      </c>
      <c r="N236" s="106">
        <v>0.116555399946546</v>
      </c>
      <c r="P236" s="106">
        <v>0.49438275980799723</v>
      </c>
      <c r="Q236" s="106">
        <v>0.46328456339521679</v>
      </c>
      <c r="R236" s="106">
        <v>0.50993185801438745</v>
      </c>
      <c r="S236" s="106">
        <v>0.44773546518882662</v>
      </c>
      <c r="AA236" s="106">
        <v>1573</v>
      </c>
      <c r="AB236" s="106">
        <v>1764.0842819084526</v>
      </c>
    </row>
    <row r="237" spans="1:28" x14ac:dyDescent="0.2">
      <c r="A237" s="14">
        <v>43581</v>
      </c>
      <c r="B237" s="106">
        <v>786.8</v>
      </c>
      <c r="C237" s="106">
        <v>795.1</v>
      </c>
      <c r="D237" s="106">
        <v>1585</v>
      </c>
      <c r="E237" s="106">
        <v>1595</v>
      </c>
      <c r="F237" s="106">
        <v>0.498495297805642</v>
      </c>
      <c r="G237" s="106">
        <v>0.478459191496931</v>
      </c>
      <c r="H237" s="106">
        <v>1.56010645592537E-2</v>
      </c>
      <c r="I237" s="106">
        <v>1.2842781486232799</v>
      </c>
      <c r="J237" s="106">
        <v>4.0199999999999996</v>
      </c>
      <c r="K237" s="106">
        <v>0.627503594047782</v>
      </c>
      <c r="L237" s="106">
        <v>6.6460483434060302E-2</v>
      </c>
      <c r="M237" s="106">
        <v>0.87093846157070098</v>
      </c>
      <c r="N237" s="106">
        <v>0.30703822756139298</v>
      </c>
      <c r="P237" s="106">
        <v>0.4940602560561847</v>
      </c>
      <c r="Q237" s="106">
        <v>0.46285812693767731</v>
      </c>
      <c r="R237" s="106">
        <v>0.50966132061543845</v>
      </c>
      <c r="S237" s="106">
        <v>0.44725706237842361</v>
      </c>
      <c r="AA237" s="106">
        <v>1595</v>
      </c>
      <c r="AB237" s="106">
        <v>1817.8115766529429</v>
      </c>
    </row>
    <row r="238" spans="1:28" x14ac:dyDescent="0.2">
      <c r="A238" s="14">
        <v>43580</v>
      </c>
      <c r="B238" s="106">
        <v>789</v>
      </c>
      <c r="C238" s="106">
        <v>794.4</v>
      </c>
      <c r="D238" s="106">
        <v>1598.5</v>
      </c>
      <c r="E238" s="106">
        <v>1611</v>
      </c>
      <c r="F238" s="106">
        <v>0.49310986964618198</v>
      </c>
      <c r="G238" s="106">
        <v>0.47799114503106299</v>
      </c>
      <c r="H238" s="106">
        <v>1.5519296132833401E-2</v>
      </c>
      <c r="I238" s="106">
        <v>0.97418880893271798</v>
      </c>
      <c r="J238" s="106">
        <v>3.07</v>
      </c>
      <c r="K238" s="106">
        <v>0.62814446610819497</v>
      </c>
      <c r="L238" s="106">
        <v>0.144425546606995</v>
      </c>
      <c r="M238" s="106">
        <v>0.86627498121698698</v>
      </c>
      <c r="N238" s="106">
        <v>0.371945266287174</v>
      </c>
      <c r="P238" s="106">
        <v>0.49351044116389642</v>
      </c>
      <c r="Q238" s="106">
        <v>0.46247184889822956</v>
      </c>
      <c r="R238" s="106">
        <v>0.50902973729672985</v>
      </c>
      <c r="S238" s="106">
        <v>0.44695255276539619</v>
      </c>
      <c r="AA238" s="106">
        <v>1611</v>
      </c>
      <c r="AB238" s="106">
        <v>1816.2111891499153</v>
      </c>
    </row>
    <row r="239" spans="1:28" x14ac:dyDescent="0.2">
      <c r="A239" s="14">
        <v>43579</v>
      </c>
      <c r="B239" s="106">
        <v>811.5</v>
      </c>
      <c r="C239" s="106">
        <v>790.9</v>
      </c>
      <c r="D239" s="106">
        <v>1610.5</v>
      </c>
      <c r="E239" s="106">
        <v>1591.5</v>
      </c>
      <c r="F239" s="106">
        <v>0.496952560477536</v>
      </c>
      <c r="G239" s="106">
        <v>0.477638306627437</v>
      </c>
      <c r="H239" s="106">
        <v>1.5472305731011E-2</v>
      </c>
      <c r="I239" s="106">
        <v>1.2483112850716001</v>
      </c>
      <c r="J239" s="106">
        <v>3.89</v>
      </c>
      <c r="K239" s="106">
        <v>0.64336253096460905</v>
      </c>
      <c r="L239" s="106">
        <v>0.11197078804911501</v>
      </c>
      <c r="M239" s="106">
        <v>0.86221958454821002</v>
      </c>
      <c r="N239" s="106">
        <v>0.298626933688736</v>
      </c>
      <c r="P239" s="106">
        <v>0.493110612358448</v>
      </c>
      <c r="Q239" s="106">
        <v>0.46216600089642601</v>
      </c>
      <c r="R239" s="106">
        <v>0.50858291808945899</v>
      </c>
      <c r="S239" s="106">
        <v>0.44669369516541502</v>
      </c>
      <c r="AA239" s="106">
        <v>1591.5</v>
      </c>
      <c r="AB239" s="106">
        <v>1808.2092516347784</v>
      </c>
    </row>
    <row r="240" spans="1:28" x14ac:dyDescent="0.2">
      <c r="A240" s="14">
        <v>43578</v>
      </c>
      <c r="B240" s="106">
        <v>805</v>
      </c>
      <c r="C240" s="106">
        <v>811.6</v>
      </c>
      <c r="D240" s="106">
        <v>1603.5</v>
      </c>
      <c r="E240" s="106">
        <v>1608</v>
      </c>
      <c r="F240" s="106">
        <v>0.50472636815920402</v>
      </c>
      <c r="G240" s="106">
        <v>0.47716431927136199</v>
      </c>
      <c r="H240" s="106">
        <v>1.54177805606103E-2</v>
      </c>
      <c r="I240" s="106">
        <v>1.7876794120586399</v>
      </c>
      <c r="J240" s="106">
        <v>5.46</v>
      </c>
      <c r="K240" s="106">
        <v>0.66554767017896399</v>
      </c>
      <c r="L240" s="106">
        <v>0.13307515150931201</v>
      </c>
      <c r="M240" s="106">
        <v>0.85888192681870101</v>
      </c>
      <c r="N240" s="106">
        <v>0.34304395815054201</v>
      </c>
      <c r="P240" s="106">
        <v>0.49258209983197232</v>
      </c>
      <c r="Q240" s="106">
        <v>0.46174653871075166</v>
      </c>
      <c r="R240" s="106">
        <v>0.50799988039258259</v>
      </c>
      <c r="S240" s="106">
        <v>0.44632875815014139</v>
      </c>
      <c r="AA240" s="106">
        <v>1608</v>
      </c>
      <c r="AB240" s="106">
        <v>1855.5349963671592</v>
      </c>
    </row>
    <row r="241" spans="1:28" x14ac:dyDescent="0.2">
      <c r="A241" s="14">
        <v>43577</v>
      </c>
      <c r="B241" s="106">
        <v>795</v>
      </c>
      <c r="C241" s="106">
        <v>802.7</v>
      </c>
      <c r="D241" s="106">
        <v>1615</v>
      </c>
      <c r="E241" s="106">
        <v>1596.5</v>
      </c>
      <c r="F241" s="106">
        <v>0.50278734732226704</v>
      </c>
      <c r="G241" s="106">
        <v>0.476429201688922</v>
      </c>
      <c r="H241" s="106">
        <v>1.5400477446009799E-2</v>
      </c>
      <c r="I241" s="106">
        <v>1.7115148361958401</v>
      </c>
      <c r="J241" s="106">
        <v>5.24</v>
      </c>
      <c r="K241" s="106">
        <v>0.67673362811307503</v>
      </c>
      <c r="L241" s="106">
        <v>8.8047412448905099E-2</v>
      </c>
      <c r="M241" s="106">
        <v>0.85489077544006298</v>
      </c>
      <c r="N241" s="106">
        <v>0.42654866142112102</v>
      </c>
      <c r="P241" s="106">
        <v>0.49182967913493181</v>
      </c>
      <c r="Q241" s="106">
        <v>0.46102872424291219</v>
      </c>
      <c r="R241" s="106">
        <v>0.50723015658094162</v>
      </c>
      <c r="S241" s="106">
        <v>0.44562824679690238</v>
      </c>
      <c r="AA241" s="106">
        <v>1596.5</v>
      </c>
      <c r="AB241" s="106">
        <v>1835.1872124000972</v>
      </c>
    </row>
    <row r="242" spans="1:28" x14ac:dyDescent="0.2">
      <c r="A242" s="14">
        <v>43574</v>
      </c>
      <c r="B242" s="106">
        <v>797.1</v>
      </c>
      <c r="C242" s="106">
        <v>793.7</v>
      </c>
      <c r="D242" s="106">
        <v>1646.5</v>
      </c>
      <c r="E242" s="106">
        <v>1623</v>
      </c>
      <c r="F242" s="106">
        <v>0.48903265557609299</v>
      </c>
      <c r="G242" s="106">
        <v>0.47570641121156598</v>
      </c>
      <c r="H242" s="106">
        <v>1.54185408428789E-2</v>
      </c>
      <c r="I242" s="106">
        <v>0.86429996848125101</v>
      </c>
      <c r="J242" s="106">
        <v>2.73</v>
      </c>
      <c r="K242" s="106">
        <v>0.69158885401917602</v>
      </c>
      <c r="L242" s="106">
        <v>7.91008830071111E-2</v>
      </c>
      <c r="M242" s="106">
        <v>0.851536289411299</v>
      </c>
      <c r="N242" s="106">
        <v>0.36476757467634002</v>
      </c>
      <c r="P242" s="106">
        <v>0.4911249520544449</v>
      </c>
      <c r="Q242" s="106">
        <v>0.46028787036868707</v>
      </c>
      <c r="R242" s="106">
        <v>0.50654349289732381</v>
      </c>
      <c r="S242" s="106">
        <v>0.44486932952580815</v>
      </c>
      <c r="AA242" s="106">
        <v>1623</v>
      </c>
      <c r="AB242" s="106">
        <v>1814.6108016468881</v>
      </c>
    </row>
    <row r="243" spans="1:28" x14ac:dyDescent="0.2">
      <c r="A243" s="14">
        <v>43573</v>
      </c>
      <c r="B243" s="106">
        <v>798.4</v>
      </c>
      <c r="C243" s="106">
        <v>792.4</v>
      </c>
      <c r="D243" s="106">
        <v>1665.5</v>
      </c>
      <c r="E243" s="106">
        <v>1642.5</v>
      </c>
      <c r="F243" s="106">
        <v>0.48243531202435302</v>
      </c>
      <c r="G243" s="106">
        <v>0.47505898200118202</v>
      </c>
      <c r="H243" s="106">
        <v>1.5858561759907699E-2</v>
      </c>
      <c r="I243" s="106">
        <v>0.46513234521799401</v>
      </c>
      <c r="J243" s="106">
        <v>1.53</v>
      </c>
      <c r="K243" s="106">
        <v>0.69075203302770105</v>
      </c>
      <c r="L243" s="106">
        <v>0.173945338015701</v>
      </c>
      <c r="M243" s="106">
        <v>0.84838560126695295</v>
      </c>
      <c r="N243" s="106">
        <v>0.35197077613179301</v>
      </c>
      <c r="P243" s="106">
        <v>0.4909175437610897</v>
      </c>
      <c r="Q243" s="106">
        <v>0.45920042024127433</v>
      </c>
      <c r="R243" s="106">
        <v>0.50677610552099739</v>
      </c>
      <c r="S243" s="106">
        <v>0.44334185848136665</v>
      </c>
      <c r="AA243" s="106">
        <v>1642.5</v>
      </c>
      <c r="AB243" s="106">
        <v>1811.63865342698</v>
      </c>
    </row>
    <row r="244" spans="1:28" x14ac:dyDescent="0.2">
      <c r="A244" s="14">
        <v>43572</v>
      </c>
      <c r="B244" s="106">
        <v>794.9</v>
      </c>
      <c r="C244" s="106">
        <v>802.2</v>
      </c>
      <c r="D244" s="106">
        <v>1611.5</v>
      </c>
      <c r="E244" s="106">
        <v>1652</v>
      </c>
      <c r="F244" s="106">
        <v>0.485593220338983</v>
      </c>
      <c r="G244" s="106">
        <v>0.474371033036253</v>
      </c>
      <c r="H244" s="106">
        <v>1.6624294375451799E-2</v>
      </c>
      <c r="I244" s="106">
        <v>0.67504743655771104</v>
      </c>
      <c r="J244" s="106">
        <v>2.31</v>
      </c>
      <c r="K244" s="106">
        <v>0.69604327660854004</v>
      </c>
      <c r="L244" s="106">
        <v>6.8295405378551804E-2</v>
      </c>
      <c r="M244" s="106">
        <v>0.84573442612199301</v>
      </c>
      <c r="N244" s="106">
        <v>0.36013034704881203</v>
      </c>
      <c r="P244" s="106">
        <v>0.49099532741170482</v>
      </c>
      <c r="Q244" s="106">
        <v>0.45774673866080118</v>
      </c>
      <c r="R244" s="106">
        <v>0.50761962178715658</v>
      </c>
      <c r="S244" s="106">
        <v>0.44112244428534941</v>
      </c>
      <c r="AA244" s="106">
        <v>1652</v>
      </c>
      <c r="AB244" s="106">
        <v>1834.0440784693633</v>
      </c>
    </row>
    <row r="245" spans="1:28" x14ac:dyDescent="0.2">
      <c r="A245" s="14">
        <v>43571</v>
      </c>
      <c r="B245" s="106">
        <v>801.4</v>
      </c>
      <c r="C245" s="106">
        <v>793.9</v>
      </c>
      <c r="D245" s="106">
        <v>1623.5</v>
      </c>
      <c r="E245" s="106">
        <v>1625</v>
      </c>
      <c r="F245" s="106">
        <v>0.48855384615384601</v>
      </c>
      <c r="G245" s="106">
        <v>0.47378159385020402</v>
      </c>
      <c r="H245" s="106">
        <v>1.6995529488150401E-2</v>
      </c>
      <c r="I245" s="106">
        <v>0.86918458844965396</v>
      </c>
      <c r="J245" s="106">
        <v>3.02</v>
      </c>
      <c r="K245" s="106">
        <v>0.68946760120668704</v>
      </c>
      <c r="L245" s="106">
        <v>7.6816149923311802E-2</v>
      </c>
      <c r="M245" s="106">
        <v>0.84249550647953297</v>
      </c>
      <c r="N245" s="106">
        <v>0.39284188588206997</v>
      </c>
      <c r="P245" s="106">
        <v>0.49077712333835444</v>
      </c>
      <c r="Q245" s="106">
        <v>0.4567860643620536</v>
      </c>
      <c r="R245" s="106">
        <v>0.50777265282650486</v>
      </c>
      <c r="S245" s="106">
        <v>0.43979053487390324</v>
      </c>
      <c r="AA245" s="106">
        <v>1625</v>
      </c>
      <c r="AB245" s="106">
        <v>1815.0680552191816</v>
      </c>
    </row>
    <row r="246" spans="1:28" x14ac:dyDescent="0.2">
      <c r="A246" s="14">
        <v>43570</v>
      </c>
      <c r="B246" s="106">
        <v>796.6</v>
      </c>
      <c r="C246" s="106">
        <v>802.3</v>
      </c>
      <c r="D246" s="106">
        <v>1612.5</v>
      </c>
      <c r="E246" s="106">
        <v>1621.5</v>
      </c>
      <c r="F246" s="106">
        <v>0.49478877582485298</v>
      </c>
      <c r="G246" s="106">
        <v>0.47308572438633401</v>
      </c>
      <c r="H246" s="106">
        <v>1.74391009801661E-2</v>
      </c>
      <c r="I246" s="106">
        <v>1.2445051762245101</v>
      </c>
      <c r="J246" s="106">
        <v>4.3899999999999997</v>
      </c>
      <c r="K246" s="106">
        <v>0.67837831600398601</v>
      </c>
      <c r="L246" s="106">
        <v>0.101231225176034</v>
      </c>
      <c r="M246" s="106">
        <v>0.83968251701742103</v>
      </c>
      <c r="N246" s="106">
        <v>0.40960536578012802</v>
      </c>
      <c r="P246" s="106">
        <v>0.49052482536650011</v>
      </c>
      <c r="Q246" s="106">
        <v>0.45564662340616791</v>
      </c>
      <c r="R246" s="106">
        <v>0.50796392634666621</v>
      </c>
      <c r="S246" s="106">
        <v>0.43820752242600181</v>
      </c>
      <c r="AA246" s="106">
        <v>1621.5</v>
      </c>
      <c r="AB246" s="106">
        <v>1834.2727052555099</v>
      </c>
    </row>
    <row r="247" spans="1:28" x14ac:dyDescent="0.2">
      <c r="A247" s="14">
        <v>43567</v>
      </c>
      <c r="B247" s="106">
        <v>787.9</v>
      </c>
      <c r="C247" s="106">
        <v>786.8</v>
      </c>
      <c r="D247" s="106">
        <v>1588</v>
      </c>
      <c r="E247" s="106">
        <v>1580</v>
      </c>
      <c r="F247" s="106">
        <v>0.49797468354430302</v>
      </c>
      <c r="G247" s="106">
        <v>0.472235009444612</v>
      </c>
      <c r="H247" s="106">
        <v>1.7909522612569801E-2</v>
      </c>
      <c r="I247" s="106">
        <v>1.43720604152932</v>
      </c>
      <c r="J247" s="106">
        <v>5.17</v>
      </c>
      <c r="K247" s="106">
        <v>0.66812829819541197</v>
      </c>
      <c r="L247" s="106">
        <v>8.2959882516632499E-2</v>
      </c>
      <c r="M247" s="106">
        <v>0.83648125380084204</v>
      </c>
      <c r="N247" s="106">
        <v>0.420224641529378</v>
      </c>
      <c r="P247" s="106">
        <v>0.49014453205718178</v>
      </c>
      <c r="Q247" s="106">
        <v>0.45432548683204221</v>
      </c>
      <c r="R247" s="106">
        <v>0.50805405466975162</v>
      </c>
      <c r="S247" s="106">
        <v>0.43641596421947237</v>
      </c>
      <c r="AA247" s="106">
        <v>1580</v>
      </c>
      <c r="AB247" s="106">
        <v>1798.835553402761</v>
      </c>
    </row>
    <row r="248" spans="1:28" x14ac:dyDescent="0.2">
      <c r="A248" s="14">
        <v>43566</v>
      </c>
      <c r="B248" s="106">
        <v>780.4</v>
      </c>
      <c r="C248" s="106">
        <v>781.8</v>
      </c>
      <c r="D248" s="106">
        <v>1610.5</v>
      </c>
      <c r="E248" s="106">
        <v>1582.5</v>
      </c>
      <c r="F248" s="106">
        <v>0.49402843601895702</v>
      </c>
      <c r="G248" s="106">
        <v>0.47146936700276099</v>
      </c>
      <c r="H248" s="106">
        <v>1.8019868039426599E-2</v>
      </c>
      <c r="I248" s="106">
        <v>1.2518997901004201</v>
      </c>
      <c r="J248" s="106">
        <v>4.57</v>
      </c>
      <c r="K248" s="106">
        <v>0.66242195470973098</v>
      </c>
      <c r="L248" s="106">
        <v>8.4260431443855005E-2</v>
      </c>
      <c r="M248" s="106">
        <v>0.83325294764111202</v>
      </c>
      <c r="N248" s="106">
        <v>0.42232299334030299</v>
      </c>
      <c r="P248" s="106">
        <v>0.48948923504218761</v>
      </c>
      <c r="Q248" s="106">
        <v>0.45344949896333436</v>
      </c>
      <c r="R248" s="106">
        <v>0.50750910308161423</v>
      </c>
      <c r="S248" s="106">
        <v>0.4354296309239078</v>
      </c>
      <c r="AA248" s="106">
        <v>1582.5</v>
      </c>
      <c r="AB248" s="106">
        <v>1787.4042140954227</v>
      </c>
    </row>
    <row r="249" spans="1:28" x14ac:dyDescent="0.2">
      <c r="A249" s="14">
        <v>43565</v>
      </c>
      <c r="B249" s="106">
        <v>793.5</v>
      </c>
      <c r="C249" s="106">
        <v>788.9</v>
      </c>
      <c r="D249" s="106">
        <v>1601</v>
      </c>
      <c r="E249" s="106">
        <v>1618.5</v>
      </c>
      <c r="F249" s="106">
        <v>0.48742662959530397</v>
      </c>
      <c r="G249" s="106">
        <v>0.47071424209313001</v>
      </c>
      <c r="H249" s="106">
        <v>1.82439475665407E-2</v>
      </c>
      <c r="I249" s="106">
        <v>0.91605105974017698</v>
      </c>
      <c r="J249" s="106">
        <v>3.43</v>
      </c>
      <c r="K249" s="106">
        <v>0.65358143627058596</v>
      </c>
      <c r="L249" s="106">
        <v>8.3195441926295605E-2</v>
      </c>
      <c r="M249" s="106">
        <v>0.83014655502986001</v>
      </c>
      <c r="N249" s="106">
        <v>0.412392432018925</v>
      </c>
      <c r="P249" s="106">
        <v>0.48895818965967069</v>
      </c>
      <c r="Q249" s="106">
        <v>0.45247029452658932</v>
      </c>
      <c r="R249" s="106">
        <v>0.50720213722621144</v>
      </c>
      <c r="S249" s="106">
        <v>0.43422634696004858</v>
      </c>
      <c r="AA249" s="106">
        <v>1618.5</v>
      </c>
      <c r="AB249" s="106">
        <v>1803.6367159118431</v>
      </c>
    </row>
    <row r="250" spans="1:28" x14ac:dyDescent="0.2">
      <c r="A250" s="14">
        <v>43564</v>
      </c>
      <c r="B250" s="106">
        <v>801.1</v>
      </c>
      <c r="C250" s="106">
        <v>799.4</v>
      </c>
      <c r="D250" s="106">
        <v>1624.5</v>
      </c>
      <c r="E250" s="106">
        <v>1634.5</v>
      </c>
      <c r="F250" s="106">
        <v>0.48907922912205498</v>
      </c>
      <c r="G250" s="106">
        <v>0.47015546012185699</v>
      </c>
      <c r="H250" s="106">
        <v>1.8364912760735801E-2</v>
      </c>
      <c r="I250" s="106">
        <v>1.03043065037895</v>
      </c>
      <c r="J250" s="106">
        <v>3.87</v>
      </c>
      <c r="K250" s="106">
        <v>0.65290699969770205</v>
      </c>
      <c r="L250" s="106">
        <v>8.5261598742603306E-2</v>
      </c>
      <c r="M250" s="106">
        <v>0.82781767721107302</v>
      </c>
      <c r="N250" s="106">
        <v>0.38722785990602399</v>
      </c>
      <c r="P250" s="106">
        <v>0.48852037288259281</v>
      </c>
      <c r="Q250" s="106">
        <v>0.45179054736112118</v>
      </c>
      <c r="R250" s="106">
        <v>0.50688528564332858</v>
      </c>
      <c r="S250" s="106">
        <v>0.43342563460038541</v>
      </c>
      <c r="AA250" s="106">
        <v>1634.5</v>
      </c>
      <c r="AB250" s="106">
        <v>1827.6425284572538</v>
      </c>
    </row>
    <row r="251" spans="1:28" x14ac:dyDescent="0.2">
      <c r="A251" s="14">
        <v>43563</v>
      </c>
      <c r="B251" s="106">
        <v>808</v>
      </c>
      <c r="C251" s="106">
        <v>806.1</v>
      </c>
      <c r="D251" s="106">
        <v>1664</v>
      </c>
      <c r="E251" s="106">
        <v>1631.5</v>
      </c>
      <c r="F251" s="106">
        <v>0.49408519767085501</v>
      </c>
      <c r="G251" s="106">
        <v>0.46952358765992203</v>
      </c>
      <c r="H251" s="106">
        <v>1.8517576825767601E-2</v>
      </c>
      <c r="I251" s="106">
        <v>1.3263943896133601</v>
      </c>
      <c r="J251" s="106">
        <v>4.97</v>
      </c>
      <c r="K251" s="106">
        <v>0.65801969235199698</v>
      </c>
      <c r="L251" s="106">
        <v>8.8656454292440706E-2</v>
      </c>
      <c r="M251" s="106">
        <v>0.82554143669364399</v>
      </c>
      <c r="N251" s="106">
        <v>0.46960888638595899</v>
      </c>
      <c r="P251" s="106">
        <v>0.48804116448568963</v>
      </c>
      <c r="Q251" s="106">
        <v>0.45100601083415442</v>
      </c>
      <c r="R251" s="106">
        <v>0.50655874131145717</v>
      </c>
      <c r="S251" s="106">
        <v>0.43248843400838682</v>
      </c>
      <c r="AA251" s="106">
        <v>1631.5</v>
      </c>
      <c r="AB251" s="106">
        <v>1842.9605231290871</v>
      </c>
    </row>
    <row r="252" spans="1:28" x14ac:dyDescent="0.2">
      <c r="A252" s="14">
        <v>43560</v>
      </c>
      <c r="B252" s="106">
        <v>792.4</v>
      </c>
      <c r="C252" s="106">
        <v>802.2</v>
      </c>
      <c r="D252" s="106">
        <v>1621</v>
      </c>
      <c r="E252" s="106">
        <v>1651</v>
      </c>
      <c r="F252" s="106">
        <v>0.485887341005451</v>
      </c>
      <c r="G252" s="106">
        <v>0.46876297191189298</v>
      </c>
      <c r="H252" s="106">
        <v>1.8664095053089601E-2</v>
      </c>
      <c r="I252" s="106">
        <v>0.91750331558256104</v>
      </c>
      <c r="J252" s="106">
        <v>3.52</v>
      </c>
      <c r="K252" s="106">
        <v>0.65501087226212595</v>
      </c>
      <c r="L252" s="106">
        <v>9.6390639172713399E-2</v>
      </c>
      <c r="M252" s="106">
        <v>0.82317816783166498</v>
      </c>
      <c r="N252" s="106">
        <v>0.47418319160788402</v>
      </c>
      <c r="P252" s="106">
        <v>0.48742706696498256</v>
      </c>
      <c r="Q252" s="106">
        <v>0.4500988768588034</v>
      </c>
      <c r="R252" s="106">
        <v>0.50609116201807214</v>
      </c>
      <c r="S252" s="106">
        <v>0.43143478180571376</v>
      </c>
      <c r="AA252" s="106">
        <v>1651</v>
      </c>
      <c r="AB252" s="106">
        <v>1834.0440784693633</v>
      </c>
    </row>
    <row r="253" spans="1:28" x14ac:dyDescent="0.2">
      <c r="A253" s="14">
        <v>43559</v>
      </c>
      <c r="B253" s="106">
        <v>789</v>
      </c>
      <c r="C253" s="106">
        <v>793.5</v>
      </c>
      <c r="D253" s="106">
        <v>1643</v>
      </c>
      <c r="E253" s="106">
        <v>1626.5</v>
      </c>
      <c r="F253" s="106">
        <v>0.48785736243467498</v>
      </c>
      <c r="G253" s="106">
        <v>0.46799524103354101</v>
      </c>
      <c r="H253" s="106">
        <v>1.9122526564669499E-2</v>
      </c>
      <c r="I253" s="106">
        <v>1.0386766274824399</v>
      </c>
      <c r="J253" s="106">
        <v>4.07</v>
      </c>
      <c r="K253" s="106">
        <v>0.65489832521888103</v>
      </c>
      <c r="L253" s="106">
        <v>0.10323765965029701</v>
      </c>
      <c r="M253" s="106">
        <v>0.82041271050612197</v>
      </c>
      <c r="N253" s="106">
        <v>0.50830939267901099</v>
      </c>
      <c r="P253" s="106">
        <v>0.48711776759821052</v>
      </c>
      <c r="Q253" s="106">
        <v>0.4488727144688715</v>
      </c>
      <c r="R253" s="106">
        <v>0.50624029416287997</v>
      </c>
      <c r="S253" s="106">
        <v>0.429750187904202</v>
      </c>
      <c r="AA253" s="106">
        <v>1626.5</v>
      </c>
      <c r="AB253" s="106">
        <v>1814.1535480745945</v>
      </c>
    </row>
    <row r="254" spans="1:28" x14ac:dyDescent="0.2">
      <c r="A254" s="14">
        <v>43558</v>
      </c>
      <c r="B254" s="106">
        <v>785</v>
      </c>
      <c r="C254" s="106">
        <v>791.3</v>
      </c>
      <c r="D254" s="106">
        <v>1620</v>
      </c>
      <c r="E254" s="106">
        <v>1632</v>
      </c>
      <c r="F254" s="106">
        <v>0.48486519607843098</v>
      </c>
      <c r="G254" s="106">
        <v>0.46725421638665998</v>
      </c>
      <c r="H254" s="106">
        <v>1.9413116087851401E-2</v>
      </c>
      <c r="I254" s="106">
        <v>0.90716913307861002</v>
      </c>
      <c r="J254" s="106">
        <v>3.63</v>
      </c>
      <c r="K254" s="106">
        <v>0.65157426524050299</v>
      </c>
      <c r="L254" s="106">
        <v>0.159000210518009</v>
      </c>
      <c r="M254" s="106">
        <v>0.81797354457614502</v>
      </c>
      <c r="N254" s="106">
        <v>0.49294134878010798</v>
      </c>
      <c r="P254" s="106">
        <v>0.48666733247451138</v>
      </c>
      <c r="Q254" s="106">
        <v>0.44784110029880858</v>
      </c>
      <c r="R254" s="106">
        <v>0.50608044856236278</v>
      </c>
      <c r="S254" s="106">
        <v>0.42842798421095718</v>
      </c>
      <c r="AA254" s="106">
        <v>1632</v>
      </c>
      <c r="AB254" s="106">
        <v>1809.1237587793655</v>
      </c>
    </row>
    <row r="255" spans="1:28" x14ac:dyDescent="0.2">
      <c r="A255" s="14">
        <v>43557</v>
      </c>
      <c r="B255" s="106">
        <v>797</v>
      </c>
      <c r="C255" s="106">
        <v>783.2</v>
      </c>
      <c r="D255" s="106">
        <v>1610</v>
      </c>
      <c r="E255" s="106">
        <v>1606</v>
      </c>
      <c r="F255" s="106">
        <v>0.48767123287671199</v>
      </c>
      <c r="G255" s="106">
        <v>0.466681315833404</v>
      </c>
      <c r="H255" s="106">
        <v>1.95186656683537E-2</v>
      </c>
      <c r="I255" s="106">
        <v>1.0753766369050199</v>
      </c>
      <c r="J255" s="106">
        <v>4.3</v>
      </c>
      <c r="K255" s="106">
        <v>0.64670538276994005</v>
      </c>
      <c r="L255" s="106">
        <v>0.186418154857004</v>
      </c>
      <c r="M255" s="106">
        <v>0.81541845459796203</v>
      </c>
      <c r="N255" s="106">
        <v>0.45646672236306801</v>
      </c>
      <c r="P255" s="106">
        <v>0.48619998150175769</v>
      </c>
      <c r="Q255" s="106">
        <v>0.4471626501650503</v>
      </c>
      <c r="R255" s="106">
        <v>0.50571864717011139</v>
      </c>
      <c r="S255" s="106">
        <v>0.42764398449669661</v>
      </c>
      <c r="AA255" s="106">
        <v>1606</v>
      </c>
      <c r="AB255" s="106">
        <v>1790.6049891014777</v>
      </c>
    </row>
    <row r="256" spans="1:28" x14ac:dyDescent="0.2">
      <c r="A256" s="14">
        <v>43556</v>
      </c>
      <c r="B256" s="106">
        <v>779</v>
      </c>
      <c r="C256" s="106">
        <v>791.4</v>
      </c>
      <c r="D256" s="106">
        <v>1553</v>
      </c>
      <c r="E256" s="106">
        <v>1562.5</v>
      </c>
      <c r="F256" s="106">
        <v>0.50649599999999995</v>
      </c>
      <c r="G256" s="106">
        <v>0.46599240835618999</v>
      </c>
      <c r="H256" s="106">
        <v>1.9676839374717901E-2</v>
      </c>
      <c r="I256" s="106">
        <v>2.0584399187529598</v>
      </c>
      <c r="J256" s="106">
        <v>8</v>
      </c>
      <c r="K256" s="106">
        <v>0.65428191001714298</v>
      </c>
      <c r="L256" s="106">
        <v>0.161930451722338</v>
      </c>
      <c r="M256" s="106">
        <v>0.81397723874789096</v>
      </c>
      <c r="N256" s="106">
        <v>0.49047426641550101</v>
      </c>
      <c r="P256" s="106">
        <v>0.48566924773090792</v>
      </c>
      <c r="Q256" s="106">
        <v>0.44631556898147207</v>
      </c>
      <c r="R256" s="106">
        <v>0.50534608710562579</v>
      </c>
      <c r="S256" s="106">
        <v>0.4266387296067542</v>
      </c>
      <c r="AA256" s="106">
        <v>1562.5</v>
      </c>
      <c r="AB256" s="106">
        <v>1809.3523855655123</v>
      </c>
    </row>
    <row r="257" spans="1:28" x14ac:dyDescent="0.2">
      <c r="A257" s="14">
        <v>43553</v>
      </c>
      <c r="B257" s="106">
        <v>768.4</v>
      </c>
      <c r="C257" s="106">
        <v>765</v>
      </c>
      <c r="D257" s="106">
        <v>1551</v>
      </c>
      <c r="E257" s="106">
        <v>1538</v>
      </c>
      <c r="F257" s="106">
        <v>0.49739921976592899</v>
      </c>
      <c r="G257" s="106">
        <v>0.46511547668557701</v>
      </c>
      <c r="H257" s="106">
        <v>1.9314422607750101E-2</v>
      </c>
      <c r="I257" s="106">
        <v>1.67148372674614</v>
      </c>
      <c r="J257" s="106">
        <v>6.49</v>
      </c>
      <c r="K257" s="106">
        <v>0.63252535934041199</v>
      </c>
      <c r="L257" s="106">
        <v>0.16212643110282701</v>
      </c>
      <c r="M257" s="106">
        <v>0.81111516377329096</v>
      </c>
      <c r="N257" s="106">
        <v>0.47589497273272002</v>
      </c>
      <c r="P257" s="106">
        <v>0.48442989929332714</v>
      </c>
      <c r="Q257" s="106">
        <v>0.44580105407782689</v>
      </c>
      <c r="R257" s="106">
        <v>0.50374432190107721</v>
      </c>
      <c r="S257" s="106">
        <v>0.42648663147007682</v>
      </c>
      <c r="AA257" s="106">
        <v>1538</v>
      </c>
      <c r="AB257" s="106">
        <v>1748.9949140227659</v>
      </c>
    </row>
    <row r="258" spans="1:28" x14ac:dyDescent="0.2">
      <c r="A258" s="14">
        <v>43552</v>
      </c>
      <c r="B258" s="106">
        <v>779.9</v>
      </c>
      <c r="C258" s="106">
        <v>765.9</v>
      </c>
      <c r="D258" s="106">
        <v>1538</v>
      </c>
      <c r="E258" s="106">
        <v>1522</v>
      </c>
      <c r="F258" s="106">
        <v>0.50321944809461205</v>
      </c>
      <c r="G258" s="106">
        <v>0.46422310492309299</v>
      </c>
      <c r="H258" s="106">
        <v>1.9348305974162702E-2</v>
      </c>
      <c r="I258" s="106">
        <v>2.01549134190837</v>
      </c>
      <c r="J258" s="106">
        <v>7.75</v>
      </c>
      <c r="K258" s="106">
        <v>0.60801663173915399</v>
      </c>
      <c r="L258" s="106">
        <v>0.134999816068191</v>
      </c>
      <c r="M258" s="106">
        <v>0.80828333160834298</v>
      </c>
      <c r="N258" s="106">
        <v>0.47160252088785298</v>
      </c>
      <c r="P258" s="106">
        <v>0.48357141089725569</v>
      </c>
      <c r="Q258" s="106">
        <v>0.44487479894893028</v>
      </c>
      <c r="R258" s="106">
        <v>0.50291971687141834</v>
      </c>
      <c r="S258" s="106">
        <v>0.42552649297476758</v>
      </c>
      <c r="AA258" s="106">
        <v>1522</v>
      </c>
      <c r="AB258" s="106">
        <v>1751.0525550980867</v>
      </c>
    </row>
    <row r="259" spans="1:28" x14ac:dyDescent="0.2">
      <c r="A259" s="14">
        <v>43551</v>
      </c>
      <c r="B259" s="106">
        <v>785.2</v>
      </c>
      <c r="C259" s="106">
        <v>782.5</v>
      </c>
      <c r="D259" s="106">
        <v>1549</v>
      </c>
      <c r="E259" s="106">
        <v>1545</v>
      </c>
      <c r="F259" s="106">
        <v>0.50647249190938504</v>
      </c>
      <c r="G259" s="106">
        <v>0.46327269359733803</v>
      </c>
      <c r="H259" s="106">
        <v>1.9159192482054901E-2</v>
      </c>
      <c r="I259" s="106">
        <v>2.2547817896035101</v>
      </c>
      <c r="J259" s="106">
        <v>8.5299999999999994</v>
      </c>
      <c r="K259" s="106">
        <v>0.59048858407568805</v>
      </c>
      <c r="L259" s="106">
        <v>0.18289100485034601</v>
      </c>
      <c r="M259" s="106">
        <v>0.80645947746037205</v>
      </c>
      <c r="N259" s="106">
        <v>0.44190857102117198</v>
      </c>
      <c r="P259" s="106">
        <v>0.48243188607939291</v>
      </c>
      <c r="Q259" s="106">
        <v>0.44411350111528314</v>
      </c>
      <c r="R259" s="106">
        <v>0.5015910785614478</v>
      </c>
      <c r="S259" s="106">
        <v>0.42495430863322825</v>
      </c>
      <c r="AA259" s="106">
        <v>1545</v>
      </c>
      <c r="AB259" s="106">
        <v>1789.0046015984501</v>
      </c>
    </row>
    <row r="260" spans="1:28" x14ac:dyDescent="0.2">
      <c r="A260" s="14">
        <v>43550</v>
      </c>
      <c r="B260" s="106">
        <v>789.7</v>
      </c>
      <c r="C260" s="106">
        <v>805</v>
      </c>
      <c r="D260" s="106">
        <v>1574</v>
      </c>
      <c r="E260" s="106">
        <v>1596.5</v>
      </c>
      <c r="F260" s="106">
        <v>0.50422799874725899</v>
      </c>
      <c r="G260" s="106">
        <v>0.462232568292338</v>
      </c>
      <c r="H260" s="106">
        <v>1.8901479780203099E-2</v>
      </c>
      <c r="I260" s="106">
        <v>2.22180649045825</v>
      </c>
      <c r="J260" s="106">
        <v>8.33</v>
      </c>
      <c r="K260" s="106">
        <v>0.59907355255764605</v>
      </c>
      <c r="L260" s="106">
        <v>7.6176690869849198E-2</v>
      </c>
      <c r="M260" s="106">
        <v>0.80546896677482105</v>
      </c>
      <c r="N260" s="106">
        <v>0.48071085274334602</v>
      </c>
      <c r="P260" s="106">
        <v>0.48113404807254112</v>
      </c>
      <c r="Q260" s="106">
        <v>0.44333108851213487</v>
      </c>
      <c r="R260" s="106">
        <v>0.50003552785274419</v>
      </c>
      <c r="S260" s="106">
        <v>0.42442960873193181</v>
      </c>
      <c r="AA260" s="106">
        <v>1596.5</v>
      </c>
      <c r="AB260" s="106">
        <v>1840.4456284814726</v>
      </c>
    </row>
    <row r="261" spans="1:28" x14ac:dyDescent="0.2">
      <c r="A261" s="14">
        <v>43549</v>
      </c>
      <c r="B261" s="106">
        <v>793.6</v>
      </c>
      <c r="C261" s="106">
        <v>785.4</v>
      </c>
      <c r="D261" s="106">
        <v>1567.5</v>
      </c>
      <c r="E261" s="106">
        <v>1556.5</v>
      </c>
      <c r="F261" s="106">
        <v>0.50459363957597103</v>
      </c>
      <c r="G261" s="106">
        <v>0.46127974251613701</v>
      </c>
      <c r="H261" s="106">
        <v>1.8558560711055699E-2</v>
      </c>
      <c r="I261" s="106">
        <v>2.3339038912662802</v>
      </c>
      <c r="J261" s="106">
        <v>8.58</v>
      </c>
      <c r="K261" s="106">
        <v>0.61747267678229001</v>
      </c>
      <c r="L261" s="106">
        <v>0.53994858405592805</v>
      </c>
      <c r="M261" s="106">
        <v>0.80376164738473999</v>
      </c>
      <c r="N261" s="106">
        <v>0.49621644818389998</v>
      </c>
      <c r="P261" s="106">
        <v>0.47983830322719273</v>
      </c>
      <c r="Q261" s="106">
        <v>0.4427211818050813</v>
      </c>
      <c r="R261" s="106">
        <v>0.49839686393824839</v>
      </c>
      <c r="S261" s="106">
        <v>0.42416262109402564</v>
      </c>
      <c r="AA261" s="106">
        <v>1556.5</v>
      </c>
      <c r="AB261" s="106">
        <v>1795.6347783967062</v>
      </c>
    </row>
    <row r="262" spans="1:28" x14ac:dyDescent="0.2">
      <c r="A262" s="14">
        <v>43546</v>
      </c>
      <c r="B262" s="106">
        <v>795</v>
      </c>
      <c r="C262" s="106">
        <v>805.9</v>
      </c>
      <c r="D262" s="106">
        <v>1600</v>
      </c>
      <c r="E262" s="106">
        <v>1604</v>
      </c>
      <c r="F262" s="106">
        <v>0.50243142144638397</v>
      </c>
      <c r="G262" s="106">
        <v>0.46017680656111898</v>
      </c>
      <c r="H262" s="106">
        <v>1.84090705406844E-2</v>
      </c>
      <c r="I262" s="106">
        <v>2.2953149531303301</v>
      </c>
      <c r="J262" s="106">
        <v>8.41</v>
      </c>
      <c r="K262" s="106">
        <v>0.64765944807447795</v>
      </c>
      <c r="L262" s="106">
        <v>0.63364933364224496</v>
      </c>
      <c r="M262" s="106">
        <v>0.80264119448739402</v>
      </c>
      <c r="N262" s="106">
        <v>0.57561140879320605</v>
      </c>
      <c r="P262" s="106">
        <v>0.47858587710180339</v>
      </c>
      <c r="Q262" s="106">
        <v>0.44176773602043456</v>
      </c>
      <c r="R262" s="106">
        <v>0.49699494764248775</v>
      </c>
      <c r="S262" s="106">
        <v>0.42335866547975021</v>
      </c>
      <c r="AA262" s="106">
        <v>1604</v>
      </c>
      <c r="AB262" s="106">
        <v>1842.5032695567936</v>
      </c>
    </row>
    <row r="263" spans="1:28" x14ac:dyDescent="0.2">
      <c r="A263" s="14">
        <v>43544</v>
      </c>
      <c r="B263" s="106">
        <v>785.2</v>
      </c>
      <c r="C263" s="106">
        <v>792.7</v>
      </c>
      <c r="D263" s="106">
        <v>1630</v>
      </c>
      <c r="E263" s="106">
        <v>1623.5</v>
      </c>
      <c r="F263" s="106">
        <v>0.48826609177702401</v>
      </c>
      <c r="G263" s="106">
        <v>0.459117727565447</v>
      </c>
      <c r="H263" s="106">
        <v>1.8231673088143899E-2</v>
      </c>
      <c r="I263" s="106">
        <v>1.5987761556854601</v>
      </c>
      <c r="J263" s="106">
        <v>5.97</v>
      </c>
      <c r="K263" s="106">
        <v>0.63894859478879396</v>
      </c>
      <c r="L263" s="106">
        <v>0.15494987673464</v>
      </c>
      <c r="M263" s="106">
        <v>0.80043455400735297</v>
      </c>
      <c r="N263" s="106">
        <v>0.54294559150036104</v>
      </c>
      <c r="P263" s="106">
        <v>0.47734940065359088</v>
      </c>
      <c r="Q263" s="106">
        <v>0.44088605447730311</v>
      </c>
      <c r="R263" s="106">
        <v>0.49558107374173477</v>
      </c>
      <c r="S263" s="106">
        <v>0.42265438138915923</v>
      </c>
      <c r="AA263" s="106">
        <v>1623.5</v>
      </c>
      <c r="AB263" s="106">
        <v>1812.3245337854205</v>
      </c>
    </row>
    <row r="264" spans="1:28" x14ac:dyDescent="0.2">
      <c r="A264" s="14">
        <v>43543</v>
      </c>
      <c r="B264" s="106">
        <v>781</v>
      </c>
      <c r="C264" s="106">
        <v>785.1</v>
      </c>
      <c r="D264" s="106">
        <v>1631</v>
      </c>
      <c r="E264" s="106">
        <v>1640.5</v>
      </c>
      <c r="F264" s="106">
        <v>0.47857360560804602</v>
      </c>
      <c r="G264" s="106">
        <v>0.45840787042481101</v>
      </c>
      <c r="H264" s="106">
        <v>1.8119049216070399E-2</v>
      </c>
      <c r="I264" s="106">
        <v>1.11295769125399</v>
      </c>
      <c r="J264" s="106">
        <v>4.21</v>
      </c>
      <c r="K264" s="106">
        <v>0.60577773638155497</v>
      </c>
      <c r="L264" s="106">
        <v>0.40943885423357501</v>
      </c>
      <c r="M264" s="106">
        <v>0.79695532558541804</v>
      </c>
      <c r="N264" s="106">
        <v>0.60035691736431995</v>
      </c>
      <c r="P264" s="106">
        <v>0.4765269196408814</v>
      </c>
      <c r="Q264" s="106">
        <v>0.44028882120874063</v>
      </c>
      <c r="R264" s="106">
        <v>0.49464596885695183</v>
      </c>
      <c r="S264" s="106">
        <v>0.4221697719926702</v>
      </c>
      <c r="AA264" s="106">
        <v>1640.5</v>
      </c>
      <c r="AB264" s="106">
        <v>1794.9488980382662</v>
      </c>
    </row>
    <row r="265" spans="1:28" x14ac:dyDescent="0.2">
      <c r="A265" s="14">
        <v>43542</v>
      </c>
      <c r="B265" s="106">
        <v>778.6</v>
      </c>
      <c r="C265" s="106">
        <v>779.3</v>
      </c>
      <c r="D265" s="106">
        <v>1619</v>
      </c>
      <c r="E265" s="106">
        <v>1619.5</v>
      </c>
      <c r="F265" s="106">
        <v>0.4811979005866</v>
      </c>
      <c r="G265" s="106">
        <v>0.457824848200377</v>
      </c>
      <c r="H265" s="106">
        <v>1.8164236966529398E-2</v>
      </c>
      <c r="I265" s="106">
        <v>1.28676213756142</v>
      </c>
      <c r="J265" s="106">
        <v>4.8600000000000003</v>
      </c>
      <c r="K265" s="106">
        <v>0.56410881609893004</v>
      </c>
      <c r="L265" s="106">
        <v>0.456014152335388</v>
      </c>
      <c r="M265" s="106">
        <v>0.79333105062530695</v>
      </c>
      <c r="N265" s="106">
        <v>0.61792305273340598</v>
      </c>
      <c r="P265" s="106">
        <v>0.47598908516690641</v>
      </c>
      <c r="Q265" s="106">
        <v>0.43966061123384759</v>
      </c>
      <c r="R265" s="106">
        <v>0.49415332213343577</v>
      </c>
      <c r="S265" s="106">
        <v>0.42149637426731823</v>
      </c>
      <c r="AA265" s="106">
        <v>1619.5</v>
      </c>
      <c r="AB265" s="106">
        <v>1781.6885444417535</v>
      </c>
    </row>
    <row r="266" spans="1:28" x14ac:dyDescent="0.2">
      <c r="A266" s="14">
        <v>43539</v>
      </c>
      <c r="B266" s="106">
        <v>781.6</v>
      </c>
      <c r="C266" s="106">
        <v>779.3</v>
      </c>
      <c r="D266" s="106">
        <v>1630</v>
      </c>
      <c r="E266" s="106">
        <v>1610.5</v>
      </c>
      <c r="F266" s="106">
        <v>0.48388699161750998</v>
      </c>
      <c r="G266" s="106">
        <v>0.45711332963385098</v>
      </c>
      <c r="H266" s="106">
        <v>1.82795493581129E-2</v>
      </c>
      <c r="I266" s="106">
        <v>1.4646784479824</v>
      </c>
      <c r="J266" s="106">
        <v>5.53</v>
      </c>
      <c r="K266" s="106">
        <v>0.55580925935946601</v>
      </c>
      <c r="L266" s="106">
        <v>0.32973253793127599</v>
      </c>
      <c r="M266" s="106">
        <v>0.790394272337262</v>
      </c>
      <c r="N266" s="106">
        <v>0.56519323888634199</v>
      </c>
      <c r="P266" s="106">
        <v>0.47539287899196386</v>
      </c>
      <c r="Q266" s="106">
        <v>0.43883378027573811</v>
      </c>
      <c r="R266" s="106">
        <v>0.4936724283500768</v>
      </c>
      <c r="S266" s="106">
        <v>0.42055423091762517</v>
      </c>
      <c r="AA266" s="106">
        <v>1610.5</v>
      </c>
      <c r="AB266" s="106">
        <v>1781.6885444417535</v>
      </c>
    </row>
    <row r="267" spans="1:28" x14ac:dyDescent="0.2">
      <c r="A267" s="14">
        <v>43538</v>
      </c>
      <c r="B267" s="106">
        <v>786.5</v>
      </c>
      <c r="C267" s="106">
        <v>781.7</v>
      </c>
      <c r="D267" s="106">
        <v>1638</v>
      </c>
      <c r="E267" s="106">
        <v>1620.5</v>
      </c>
      <c r="F267" s="106">
        <v>0.48238198087010098</v>
      </c>
      <c r="G267" s="106">
        <v>0.45641874765586699</v>
      </c>
      <c r="H267" s="106">
        <v>1.8238689199749601E-2</v>
      </c>
      <c r="I267" s="106">
        <v>1.4235251738699699</v>
      </c>
      <c r="J267" s="106">
        <v>5.38</v>
      </c>
      <c r="K267" s="106">
        <v>0.55358063116835599</v>
      </c>
      <c r="L267" s="106">
        <v>0.34441832746460299</v>
      </c>
      <c r="M267" s="106">
        <v>0.78760052119712098</v>
      </c>
      <c r="N267" s="106">
        <v>0.56844858561620604</v>
      </c>
      <c r="P267" s="106">
        <v>0.47465743685561657</v>
      </c>
      <c r="Q267" s="106">
        <v>0.43818005845611741</v>
      </c>
      <c r="R267" s="106">
        <v>0.4928961260553662</v>
      </c>
      <c r="S267" s="106">
        <v>0.41994136925636777</v>
      </c>
      <c r="AA267" s="106">
        <v>1620.5</v>
      </c>
      <c r="AB267" s="106">
        <v>1787.1755873092761</v>
      </c>
    </row>
    <row r="268" spans="1:28" x14ac:dyDescent="0.2">
      <c r="A268" s="14">
        <v>43537</v>
      </c>
      <c r="B268" s="106">
        <v>779.7</v>
      </c>
      <c r="C268" s="106">
        <v>777.3</v>
      </c>
      <c r="D268" s="106">
        <v>1637</v>
      </c>
      <c r="E268" s="106">
        <v>1616.5</v>
      </c>
      <c r="F268" s="106">
        <v>0.48085369625734597</v>
      </c>
      <c r="G268" s="106">
        <v>0.45564438848493799</v>
      </c>
      <c r="H268" s="106">
        <v>1.8352461020984999E-2</v>
      </c>
      <c r="I268" s="106">
        <v>1.3736200144264901</v>
      </c>
      <c r="J268" s="106">
        <v>5.24</v>
      </c>
      <c r="K268" s="106">
        <v>0.55848459170508702</v>
      </c>
      <c r="L268" s="106">
        <v>0.302775491454644</v>
      </c>
      <c r="M268" s="106">
        <v>0.78409775136565496</v>
      </c>
      <c r="N268" s="106">
        <v>0.59837855880771795</v>
      </c>
      <c r="P268" s="106">
        <v>0.47399684950592297</v>
      </c>
      <c r="Q268" s="106">
        <v>0.43729192746395301</v>
      </c>
      <c r="R268" s="106">
        <v>0.492349310526908</v>
      </c>
      <c r="S268" s="106">
        <v>0.41893946644296798</v>
      </c>
      <c r="AA268" s="106">
        <v>1616.5</v>
      </c>
      <c r="AB268" s="106">
        <v>1777.1160087188182</v>
      </c>
    </row>
    <row r="269" spans="1:28" x14ac:dyDescent="0.2">
      <c r="A269" s="14">
        <v>43536</v>
      </c>
      <c r="B269" s="106">
        <v>782</v>
      </c>
      <c r="C269" s="106">
        <v>783.4</v>
      </c>
      <c r="D269" s="106">
        <v>1618</v>
      </c>
      <c r="E269" s="106">
        <v>1641.5</v>
      </c>
      <c r="F269" s="106">
        <v>0.47724642095644199</v>
      </c>
      <c r="G269" s="106">
        <v>0.45479594547525598</v>
      </c>
      <c r="H269" s="106">
        <v>1.8636115840489801E-2</v>
      </c>
      <c r="I269" s="106">
        <v>1.20467567777232</v>
      </c>
      <c r="J269" s="106">
        <v>4.7</v>
      </c>
      <c r="K269" s="106">
        <v>0.56541606467175498</v>
      </c>
      <c r="L269" s="106">
        <v>0.33350678704078301</v>
      </c>
      <c r="M269" s="106">
        <v>0.78117183040977101</v>
      </c>
      <c r="N269" s="106">
        <v>0.58053717571917596</v>
      </c>
      <c r="P269" s="106">
        <v>0.47343206131574578</v>
      </c>
      <c r="Q269" s="106">
        <v>0.43615982963476618</v>
      </c>
      <c r="R269" s="106">
        <v>0.49206817715623558</v>
      </c>
      <c r="S269" s="106">
        <v>0.41752371379427639</v>
      </c>
      <c r="AA269" s="106">
        <v>1641.5</v>
      </c>
      <c r="AB269" s="106">
        <v>1791.0622426737709</v>
      </c>
    </row>
    <row r="270" spans="1:28" x14ac:dyDescent="0.2">
      <c r="A270" s="14">
        <v>43535</v>
      </c>
      <c r="B270" s="106">
        <v>766</v>
      </c>
      <c r="C270" s="106">
        <v>771.6</v>
      </c>
      <c r="D270" s="106">
        <v>1590.5</v>
      </c>
      <c r="E270" s="106">
        <v>1606</v>
      </c>
      <c r="F270" s="106">
        <v>0.48044831880448302</v>
      </c>
      <c r="G270" s="106">
        <v>0.45396347625488798</v>
      </c>
      <c r="H270" s="106">
        <v>1.9005486686490498E-2</v>
      </c>
      <c r="I270" s="106">
        <v>1.3935366658313599</v>
      </c>
      <c r="J270" s="106">
        <v>5.51</v>
      </c>
      <c r="K270" s="106">
        <v>0.54684853461816896</v>
      </c>
      <c r="L270" s="106">
        <v>0.353054217885444</v>
      </c>
      <c r="M270" s="106">
        <v>0.77757943966831</v>
      </c>
      <c r="N270" s="106">
        <v>0.60039699148667502</v>
      </c>
      <c r="P270" s="106">
        <v>0.47296896294137847</v>
      </c>
      <c r="Q270" s="106">
        <v>0.43495798956839749</v>
      </c>
      <c r="R270" s="106">
        <v>0.49197444962786896</v>
      </c>
      <c r="S270" s="106">
        <v>0.41595250288190699</v>
      </c>
      <c r="AA270" s="106">
        <v>1606</v>
      </c>
      <c r="AB270" s="106">
        <v>1764.0842819084526</v>
      </c>
    </row>
    <row r="271" spans="1:28" x14ac:dyDescent="0.2">
      <c r="A271" s="14">
        <v>43532</v>
      </c>
      <c r="B271" s="106">
        <v>774</v>
      </c>
      <c r="C271" s="106">
        <v>765.7</v>
      </c>
      <c r="D271" s="106">
        <v>1636.5</v>
      </c>
      <c r="E271" s="106">
        <v>1605</v>
      </c>
      <c r="F271" s="106">
        <v>0.477071651090342</v>
      </c>
      <c r="G271" s="106">
        <v>0.45284436360267499</v>
      </c>
      <c r="H271" s="106">
        <v>1.9864743917543299E-2</v>
      </c>
      <c r="I271" s="106">
        <v>1.2196123739743401</v>
      </c>
      <c r="J271" s="106">
        <v>5.08</v>
      </c>
      <c r="K271" s="106">
        <v>0.47741885062877898</v>
      </c>
      <c r="L271" s="106">
        <v>0.286398742877853</v>
      </c>
      <c r="M271" s="106">
        <v>0.77344154898691997</v>
      </c>
      <c r="N271" s="106">
        <v>0.65897433867205801</v>
      </c>
      <c r="P271" s="106">
        <v>0.47270910752021827</v>
      </c>
      <c r="Q271" s="106">
        <v>0.43297961968513171</v>
      </c>
      <c r="R271" s="106">
        <v>0.49257385143776161</v>
      </c>
      <c r="S271" s="106">
        <v>0.41311487576758837</v>
      </c>
      <c r="AA271" s="106">
        <v>1605</v>
      </c>
      <c r="AB271" s="106">
        <v>1750.5953015257935</v>
      </c>
    </row>
    <row r="272" spans="1:28" x14ac:dyDescent="0.2">
      <c r="A272" s="14">
        <v>43531</v>
      </c>
      <c r="B272" s="106">
        <v>790.1</v>
      </c>
      <c r="C272" s="106">
        <v>782.6</v>
      </c>
      <c r="D272" s="106">
        <v>1711</v>
      </c>
      <c r="E272" s="106">
        <v>1685.5</v>
      </c>
      <c r="F272" s="106">
        <v>0.46431326016018898</v>
      </c>
      <c r="G272" s="106">
        <v>0.45190558905629502</v>
      </c>
      <c r="H272" s="106">
        <v>2.0355248838763201E-2</v>
      </c>
      <c r="I272" s="106">
        <v>0.60955634599103004</v>
      </c>
      <c r="J272" s="106">
        <v>2.67</v>
      </c>
      <c r="K272" s="106">
        <v>0.469977961692364</v>
      </c>
      <c r="L272" s="106">
        <v>0.30458677007822499</v>
      </c>
      <c r="M272" s="106">
        <v>0.77004305405605</v>
      </c>
      <c r="N272" s="106">
        <v>0.66054117599748896</v>
      </c>
      <c r="P272" s="106">
        <v>0.47226083789505824</v>
      </c>
      <c r="Q272" s="106">
        <v>0.4315503402175318</v>
      </c>
      <c r="R272" s="106">
        <v>0.4926160867338214</v>
      </c>
      <c r="S272" s="106">
        <v>0.41119509137876864</v>
      </c>
      <c r="AA272" s="106">
        <v>1685.5</v>
      </c>
      <c r="AB272" s="106">
        <v>1789.2332283845969</v>
      </c>
    </row>
    <row r="273" spans="1:28" x14ac:dyDescent="0.2">
      <c r="A273" s="14">
        <v>43530</v>
      </c>
      <c r="B273" s="106">
        <v>792.4</v>
      </c>
      <c r="C273" s="106">
        <v>788.1</v>
      </c>
      <c r="D273" s="106">
        <v>1734</v>
      </c>
      <c r="E273" s="106">
        <v>1731.5</v>
      </c>
      <c r="F273" s="106">
        <v>0.455154490326306</v>
      </c>
      <c r="G273" s="106">
        <v>0.45107694025115203</v>
      </c>
      <c r="H273" s="106">
        <v>2.1085201112292101E-2</v>
      </c>
      <c r="I273" s="106">
        <v>0.19338445260437101</v>
      </c>
      <c r="J273" s="106">
        <v>0.9</v>
      </c>
      <c r="K273" s="106">
        <v>0.48087824953312103</v>
      </c>
      <c r="L273" s="106">
        <v>0.22118573214185899</v>
      </c>
      <c r="M273" s="106">
        <v>0.76689780873737901</v>
      </c>
      <c r="N273" s="106">
        <v>0.64509734147234299</v>
      </c>
      <c r="P273" s="106">
        <v>0.47216214136344414</v>
      </c>
      <c r="Q273" s="106">
        <v>0.42999173913885991</v>
      </c>
      <c r="R273" s="106">
        <v>0.49324734247573621</v>
      </c>
      <c r="S273" s="106">
        <v>0.40890653802656785</v>
      </c>
      <c r="AA273" s="106">
        <v>1731.5</v>
      </c>
      <c r="AB273" s="106">
        <v>1801.8077016226691</v>
      </c>
    </row>
    <row r="274" spans="1:28" x14ac:dyDescent="0.2">
      <c r="A274" s="14">
        <v>43529</v>
      </c>
      <c r="B274" s="106">
        <v>791.4</v>
      </c>
      <c r="C274" s="106">
        <v>793.4</v>
      </c>
      <c r="D274" s="106">
        <v>1725</v>
      </c>
      <c r="E274" s="106">
        <v>1724.5</v>
      </c>
      <c r="F274" s="106">
        <v>0.46007538416932398</v>
      </c>
      <c r="G274" s="106">
        <v>0.450329537739589</v>
      </c>
      <c r="H274" s="106">
        <v>2.19049707068741E-2</v>
      </c>
      <c r="I274" s="106">
        <v>0.44491483509160301</v>
      </c>
      <c r="J274" s="106">
        <v>2.12</v>
      </c>
      <c r="K274" s="106">
        <v>0.48449258806282502</v>
      </c>
      <c r="L274" s="106">
        <v>0.32953660618278902</v>
      </c>
      <c r="M274" s="106">
        <v>0.76411959059573598</v>
      </c>
      <c r="N274" s="106">
        <v>0.636907814015228</v>
      </c>
      <c r="P274" s="106">
        <v>0.47223450844646309</v>
      </c>
      <c r="Q274" s="106">
        <v>0.42842456703271492</v>
      </c>
      <c r="R274" s="106">
        <v>0.49413947915333722</v>
      </c>
      <c r="S274" s="106">
        <v>0.40651959632584078</v>
      </c>
      <c r="AA274" s="106">
        <v>1724.5</v>
      </c>
      <c r="AB274" s="106">
        <v>1813.9249212884476</v>
      </c>
    </row>
    <row r="275" spans="1:28" x14ac:dyDescent="0.2">
      <c r="A275" s="14">
        <v>43528</v>
      </c>
      <c r="B275" s="106">
        <v>799.5</v>
      </c>
      <c r="C275" s="106">
        <v>797.9</v>
      </c>
      <c r="D275" s="106">
        <v>1741.5</v>
      </c>
      <c r="E275" s="106">
        <v>1740</v>
      </c>
      <c r="F275" s="106">
        <v>0.45856321839080399</v>
      </c>
      <c r="G275" s="106">
        <v>0.449575442856393</v>
      </c>
      <c r="H275" s="106">
        <v>2.2521321646179201E-2</v>
      </c>
      <c r="I275" s="106">
        <v>0.39907851215899098</v>
      </c>
      <c r="J275" s="106">
        <v>1.96</v>
      </c>
      <c r="K275" s="106">
        <v>0.50303003310553296</v>
      </c>
      <c r="L275" s="106">
        <v>0.25122168558836999</v>
      </c>
      <c r="M275" s="106">
        <v>0.76132928780326303</v>
      </c>
      <c r="N275" s="106">
        <v>0.65248237604799497</v>
      </c>
      <c r="P275" s="106">
        <v>0.47209676450257221</v>
      </c>
      <c r="Q275" s="106">
        <v>0.4270541212102138</v>
      </c>
      <c r="R275" s="106">
        <v>0.49461808614875141</v>
      </c>
      <c r="S275" s="106">
        <v>0.4045327995640346</v>
      </c>
      <c r="AA275" s="106">
        <v>1740</v>
      </c>
      <c r="AB275" s="106">
        <v>1824.2131266650522</v>
      </c>
    </row>
    <row r="276" spans="1:28" x14ac:dyDescent="0.2">
      <c r="A276" s="14">
        <v>43525</v>
      </c>
      <c r="B276" s="106">
        <v>799.3</v>
      </c>
      <c r="C276" s="106">
        <v>795.3</v>
      </c>
      <c r="D276" s="106">
        <v>1711</v>
      </c>
      <c r="E276" s="106">
        <v>1713</v>
      </c>
      <c r="F276" s="106">
        <v>0.46427320490367702</v>
      </c>
      <c r="G276" s="106">
        <v>0.448757944732602</v>
      </c>
      <c r="H276" s="106">
        <v>2.3280235929119299E-2</v>
      </c>
      <c r="I276" s="106">
        <v>0.66645631162475005</v>
      </c>
      <c r="J276" s="106">
        <v>3.34</v>
      </c>
      <c r="K276" s="106">
        <v>0.58164592546173099</v>
      </c>
      <c r="L276" s="106">
        <v>0.45392002384079999</v>
      </c>
      <c r="M276" s="106">
        <v>0.75914586843100995</v>
      </c>
      <c r="N276" s="106">
        <v>0.58641812922809999</v>
      </c>
      <c r="P276" s="106">
        <v>0.47203818066172132</v>
      </c>
      <c r="Q276" s="106">
        <v>0.42547770880348268</v>
      </c>
      <c r="R276" s="106">
        <v>0.49531841659084058</v>
      </c>
      <c r="S276" s="106">
        <v>0.40219747287436342</v>
      </c>
      <c r="AA276" s="106">
        <v>1713</v>
      </c>
      <c r="AB276" s="106">
        <v>1818.2688302252361</v>
      </c>
    </row>
    <row r="277" spans="1:28" x14ac:dyDescent="0.2">
      <c r="A277" s="14">
        <v>43524</v>
      </c>
      <c r="B277" s="106">
        <v>798.2</v>
      </c>
      <c r="C277" s="106">
        <v>794.7</v>
      </c>
      <c r="D277" s="106">
        <v>1712.5</v>
      </c>
      <c r="E277" s="106">
        <v>1685.5</v>
      </c>
      <c r="F277" s="106">
        <v>0.471492138831207</v>
      </c>
      <c r="G277" s="106">
        <v>0.44786072602777599</v>
      </c>
      <c r="H277" s="106">
        <v>2.3952000450096801E-2</v>
      </c>
      <c r="I277" s="106">
        <v>0.98661541246484996</v>
      </c>
      <c r="J277" s="106">
        <v>5.01</v>
      </c>
      <c r="K277" s="106">
        <v>0.61614760258259305</v>
      </c>
      <c r="L277" s="106">
        <v>0.41226035995094801</v>
      </c>
      <c r="M277" s="106">
        <v>0.75700013648652298</v>
      </c>
      <c r="N277" s="106">
        <v>0.56982717016085205</v>
      </c>
      <c r="P277" s="106">
        <v>0.47181272647787281</v>
      </c>
      <c r="Q277" s="106">
        <v>0.42390872557767917</v>
      </c>
      <c r="R277" s="106">
        <v>0.49576472692796958</v>
      </c>
      <c r="S277" s="106">
        <v>0.3999567251275824</v>
      </c>
      <c r="AA277" s="106">
        <v>1685.5</v>
      </c>
      <c r="AB277" s="106">
        <v>1816.8970695083558</v>
      </c>
    </row>
    <row r="278" spans="1:28" x14ac:dyDescent="0.2">
      <c r="A278" s="14">
        <v>43523</v>
      </c>
      <c r="B278" s="106">
        <v>800.6</v>
      </c>
      <c r="C278" s="106">
        <v>802</v>
      </c>
      <c r="D278" s="106">
        <v>1720.5</v>
      </c>
      <c r="E278" s="106">
        <v>1710.5</v>
      </c>
      <c r="F278" s="106">
        <v>0.46886875182695098</v>
      </c>
      <c r="G278" s="106">
        <v>0.446810583224313</v>
      </c>
      <c r="H278" s="106">
        <v>2.4610420608887601E-2</v>
      </c>
      <c r="I278" s="106">
        <v>0.89629384857697703</v>
      </c>
      <c r="J278" s="106">
        <v>4.7</v>
      </c>
      <c r="K278" s="106">
        <v>0.62703841383775805</v>
      </c>
      <c r="L278" s="106">
        <v>0.412867837112466</v>
      </c>
      <c r="M278" s="106">
        <v>0.75482581648927405</v>
      </c>
      <c r="N278" s="106">
        <v>0.57009816360626098</v>
      </c>
      <c r="P278" s="106">
        <v>0.47142100383320062</v>
      </c>
      <c r="Q278" s="106">
        <v>0.42220016261542537</v>
      </c>
      <c r="R278" s="106">
        <v>0.4960314244420882</v>
      </c>
      <c r="S278" s="106">
        <v>0.39758974200653779</v>
      </c>
      <c r="AA278" s="106">
        <v>1710.5</v>
      </c>
      <c r="AB278" s="106">
        <v>1833.5868248970696</v>
      </c>
    </row>
    <row r="279" spans="1:28" x14ac:dyDescent="0.2">
      <c r="A279" s="14">
        <v>43522</v>
      </c>
      <c r="B279" s="106">
        <v>805</v>
      </c>
      <c r="C279" s="106">
        <v>802.3</v>
      </c>
      <c r="D279" s="106">
        <v>1734</v>
      </c>
      <c r="E279" s="106">
        <v>1723</v>
      </c>
      <c r="F279" s="106">
        <v>0.46564132327336</v>
      </c>
      <c r="G279" s="106">
        <v>0.44613266091957099</v>
      </c>
      <c r="H279" s="106">
        <v>2.46936059283593E-2</v>
      </c>
      <c r="I279" s="106">
        <v>0.79002890101944201</v>
      </c>
      <c r="J279" s="106">
        <v>4.1900000000000004</v>
      </c>
      <c r="K279" s="106">
        <v>0.64079330171392301</v>
      </c>
      <c r="L279" s="106">
        <v>0.40128884784833102</v>
      </c>
      <c r="M279" s="106">
        <v>0.75259906260894405</v>
      </c>
      <c r="N279" s="106">
        <v>0.56114352980256499</v>
      </c>
      <c r="P279" s="106">
        <v>0.47082626684793027</v>
      </c>
      <c r="Q279" s="106">
        <v>0.4214390549912117</v>
      </c>
      <c r="R279" s="106">
        <v>0.49551987277628962</v>
      </c>
      <c r="S279" s="106">
        <v>0.39674544906285236</v>
      </c>
      <c r="AA279" s="106">
        <v>1723</v>
      </c>
      <c r="AB279" s="106">
        <v>1834.2727052555099</v>
      </c>
    </row>
    <row r="280" spans="1:28" x14ac:dyDescent="0.2">
      <c r="A280" s="14">
        <v>43521</v>
      </c>
      <c r="B280" s="106">
        <v>812.1</v>
      </c>
      <c r="C280" s="106">
        <v>804.2</v>
      </c>
      <c r="D280" s="106">
        <v>1717.5</v>
      </c>
      <c r="E280" s="106">
        <v>1732.5</v>
      </c>
      <c r="F280" s="106">
        <v>0.46418470418470398</v>
      </c>
      <c r="G280" s="106">
        <v>0.44546847003767798</v>
      </c>
      <c r="H280" s="106">
        <v>2.4829504374436099E-2</v>
      </c>
      <c r="I280" s="106">
        <v>0.753790082346385</v>
      </c>
      <c r="J280" s="106">
        <v>4.03</v>
      </c>
      <c r="K280" s="106">
        <v>0.653809509660776</v>
      </c>
      <c r="L280" s="106">
        <v>0.37767262783327299</v>
      </c>
      <c r="M280" s="106">
        <v>0.75100507010064999</v>
      </c>
      <c r="N280" s="106">
        <v>0.50471196223286297</v>
      </c>
      <c r="P280" s="106">
        <v>0.47029797441211407</v>
      </c>
      <c r="Q280" s="106">
        <v>0.42063896566324188</v>
      </c>
      <c r="R280" s="106">
        <v>0.49512747878655017</v>
      </c>
      <c r="S280" s="106">
        <v>0.39580946128880579</v>
      </c>
      <c r="AA280" s="106">
        <v>1732.5</v>
      </c>
      <c r="AB280" s="106">
        <v>1838.6166141922986</v>
      </c>
    </row>
    <row r="281" spans="1:28" x14ac:dyDescent="0.2">
      <c r="A281" s="14">
        <v>43518</v>
      </c>
      <c r="B281" s="106">
        <v>793</v>
      </c>
      <c r="C281" s="106">
        <v>807</v>
      </c>
      <c r="D281" s="106">
        <v>1699</v>
      </c>
      <c r="E281" s="106">
        <v>1699</v>
      </c>
      <c r="F281" s="106">
        <v>0.474985285462036</v>
      </c>
      <c r="G281" s="106">
        <v>0.444999065991869</v>
      </c>
      <c r="H281" s="106">
        <v>2.4804001836935499E-2</v>
      </c>
      <c r="I281" s="106">
        <v>1.2089266751107299</v>
      </c>
      <c r="J281" s="106">
        <v>6.31</v>
      </c>
      <c r="K281" s="106">
        <v>0.65638980313969697</v>
      </c>
      <c r="L281" s="106">
        <v>0.34521595673185601</v>
      </c>
      <c r="M281" s="106">
        <v>0.74868725043190198</v>
      </c>
      <c r="N281" s="106">
        <v>0.55300706708406999</v>
      </c>
      <c r="P281" s="106">
        <v>0.46980306782880449</v>
      </c>
      <c r="Q281" s="106">
        <v>0.42019506415493352</v>
      </c>
      <c r="R281" s="106">
        <v>0.49460706966573997</v>
      </c>
      <c r="S281" s="106">
        <v>0.39539106231799803</v>
      </c>
      <c r="AA281" s="106">
        <v>1699</v>
      </c>
      <c r="AB281" s="106">
        <v>1845.0181642044081</v>
      </c>
    </row>
    <row r="282" spans="1:28" x14ac:dyDescent="0.2">
      <c r="A282" s="14">
        <v>43517</v>
      </c>
      <c r="B282" s="106">
        <v>816.1</v>
      </c>
      <c r="C282" s="106">
        <v>818.9</v>
      </c>
      <c r="D282" s="106">
        <v>1705</v>
      </c>
      <c r="E282" s="106">
        <v>1707.5</v>
      </c>
      <c r="F282" s="106">
        <v>0.47959004392386501</v>
      </c>
      <c r="G282" s="106">
        <v>0.44445964796603699</v>
      </c>
      <c r="H282" s="106">
        <v>2.4584958942349699E-2</v>
      </c>
      <c r="I282" s="106">
        <v>1.4289385652506601</v>
      </c>
      <c r="J282" s="106">
        <v>7.33</v>
      </c>
      <c r="K282" s="106">
        <v>0.67600434183508795</v>
      </c>
      <c r="L282" s="106">
        <v>0.31659683692121698</v>
      </c>
      <c r="M282" s="106">
        <v>0.746220920765021</v>
      </c>
      <c r="N282" s="106">
        <v>0.91182856617777497</v>
      </c>
      <c r="P282" s="106">
        <v>0.46904460690838667</v>
      </c>
      <c r="Q282" s="106">
        <v>0.4198746890236873</v>
      </c>
      <c r="R282" s="106">
        <v>0.49362956585073636</v>
      </c>
      <c r="S282" s="106">
        <v>0.39528973008133761</v>
      </c>
      <c r="AA282" s="106">
        <v>1707.5</v>
      </c>
      <c r="AB282" s="106">
        <v>1872.2247517558733</v>
      </c>
    </row>
    <row r="283" spans="1:28" x14ac:dyDescent="0.2">
      <c r="A283" s="14">
        <v>43516</v>
      </c>
      <c r="B283" s="106">
        <v>812</v>
      </c>
      <c r="C283" s="106">
        <v>821.2</v>
      </c>
      <c r="D283" s="106">
        <v>1698</v>
      </c>
      <c r="E283" s="106">
        <v>1705</v>
      </c>
      <c r="F283" s="106">
        <v>0.48164222873900298</v>
      </c>
      <c r="G283" s="106">
        <v>0.44373609726048102</v>
      </c>
      <c r="H283" s="106">
        <v>2.43377044269441E-2</v>
      </c>
      <c r="I283" s="106">
        <v>1.5575064440570401</v>
      </c>
      <c r="J283" s="106">
        <v>7.87</v>
      </c>
      <c r="K283" s="106">
        <v>0.69256384122539805</v>
      </c>
      <c r="L283" s="106">
        <v>0.39040933096883401</v>
      </c>
      <c r="M283" s="106">
        <v>0.74493184216800901</v>
      </c>
      <c r="N283" s="106">
        <v>0.88378063583015898</v>
      </c>
      <c r="P283" s="106">
        <v>0.46807380168742513</v>
      </c>
      <c r="Q283" s="106">
        <v>0.41939839283353691</v>
      </c>
      <c r="R283" s="106">
        <v>0.49241150611436924</v>
      </c>
      <c r="S283" s="106">
        <v>0.39506068840659281</v>
      </c>
      <c r="AA283" s="106">
        <v>1705</v>
      </c>
      <c r="AB283" s="106">
        <v>1877.4831678372491</v>
      </c>
    </row>
    <row r="284" spans="1:28" x14ac:dyDescent="0.2">
      <c r="A284" s="14">
        <v>43515</v>
      </c>
      <c r="B284" s="106">
        <v>800</v>
      </c>
      <c r="C284" s="106">
        <v>807.5</v>
      </c>
      <c r="D284" s="106">
        <v>1708</v>
      </c>
      <c r="E284" s="106">
        <v>1718</v>
      </c>
      <c r="F284" s="106">
        <v>0.47002328288707801</v>
      </c>
      <c r="G284" s="106">
        <v>0.44287876261150799</v>
      </c>
      <c r="H284" s="106">
        <v>2.4118852724530699E-2</v>
      </c>
      <c r="I284" s="106">
        <v>1.1254482369288501</v>
      </c>
      <c r="J284" s="106">
        <v>5.78</v>
      </c>
      <c r="K284" s="106">
        <v>0.71213063038948399</v>
      </c>
      <c r="L284" s="106">
        <v>0.38216396390041302</v>
      </c>
      <c r="M284" s="106">
        <v>0.74116138970533996</v>
      </c>
      <c r="N284" s="106">
        <v>0.89913992396362796</v>
      </c>
      <c r="P284" s="106">
        <v>0.46699761533603867</v>
      </c>
      <c r="Q284" s="106">
        <v>0.41875990988697731</v>
      </c>
      <c r="R284" s="106">
        <v>0.49111646806056941</v>
      </c>
      <c r="S284" s="106">
        <v>0.39464105716244657</v>
      </c>
      <c r="AA284" s="106">
        <v>1718</v>
      </c>
      <c r="AB284" s="106">
        <v>1846.1612981351418</v>
      </c>
    </row>
    <row r="285" spans="1:28" x14ac:dyDescent="0.2">
      <c r="A285" s="14">
        <v>43514</v>
      </c>
      <c r="B285" s="106">
        <v>802</v>
      </c>
      <c r="C285" s="106">
        <v>806.1</v>
      </c>
      <c r="D285" s="106">
        <v>1710</v>
      </c>
      <c r="E285" s="106">
        <v>1713</v>
      </c>
      <c r="F285" s="106">
        <v>0.47057793345008703</v>
      </c>
      <c r="G285" s="106">
        <v>0.44218357551267201</v>
      </c>
      <c r="H285" s="106">
        <v>2.4077813723944599E-2</v>
      </c>
      <c r="I285" s="106">
        <v>1.1792747573745901</v>
      </c>
      <c r="J285" s="106">
        <v>6.03</v>
      </c>
      <c r="K285" s="106">
        <v>0.72589541792554202</v>
      </c>
      <c r="L285" s="106">
        <v>0.386298844357571</v>
      </c>
      <c r="M285" s="106">
        <v>0.73711097620145405</v>
      </c>
      <c r="N285" s="106">
        <v>0.90949177877865806</v>
      </c>
      <c r="P285" s="106">
        <v>0.46626138923661659</v>
      </c>
      <c r="Q285" s="106">
        <v>0.41810576178872744</v>
      </c>
      <c r="R285" s="106">
        <v>0.49033920296056122</v>
      </c>
      <c r="S285" s="106">
        <v>0.39402794806478281</v>
      </c>
      <c r="AA285" s="106">
        <v>1713</v>
      </c>
      <c r="AB285" s="106">
        <v>1842.9605231290871</v>
      </c>
    </row>
    <row r="286" spans="1:28" x14ac:dyDescent="0.2">
      <c r="A286" s="14">
        <v>43511</v>
      </c>
      <c r="B286" s="106">
        <v>780.9</v>
      </c>
      <c r="C286" s="106">
        <v>787.6</v>
      </c>
      <c r="D286" s="106">
        <v>1681</v>
      </c>
      <c r="E286" s="106">
        <v>1666.5</v>
      </c>
      <c r="F286" s="106">
        <v>0.47260726072607201</v>
      </c>
      <c r="G286" s="106">
        <v>0.44134304190104501</v>
      </c>
      <c r="H286" s="106">
        <v>2.4172071672477299E-2</v>
      </c>
      <c r="I286" s="106">
        <v>1.29340253697102</v>
      </c>
      <c r="J286" s="106">
        <v>6.62</v>
      </c>
      <c r="K286" s="106">
        <v>0.73090268583794704</v>
      </c>
      <c r="L286" s="106">
        <v>0.39360578295510501</v>
      </c>
      <c r="M286" s="106">
        <v>0.73029017571569199</v>
      </c>
      <c r="N286" s="106">
        <v>0.82283935814359099</v>
      </c>
      <c r="P286" s="106">
        <v>0.46551511357352232</v>
      </c>
      <c r="Q286" s="106">
        <v>0.41717097022856769</v>
      </c>
      <c r="R286" s="106">
        <v>0.48968718524599963</v>
      </c>
      <c r="S286" s="106">
        <v>0.39299889855609038</v>
      </c>
      <c r="AA286" s="106">
        <v>1666.5</v>
      </c>
      <c r="AB286" s="106">
        <v>1800.6645676919352</v>
      </c>
    </row>
    <row r="287" spans="1:28" x14ac:dyDescent="0.2">
      <c r="A287" s="14">
        <v>43510</v>
      </c>
      <c r="B287" s="106">
        <v>800.4</v>
      </c>
      <c r="C287" s="106">
        <v>788.8</v>
      </c>
      <c r="D287" s="106">
        <v>1769</v>
      </c>
      <c r="E287" s="106">
        <v>1748</v>
      </c>
      <c r="F287" s="106">
        <v>0.45125858123569701</v>
      </c>
      <c r="G287" s="106">
        <v>0.440398879708994</v>
      </c>
      <c r="H287" s="106">
        <v>2.4314991020041001E-2</v>
      </c>
      <c r="I287" s="106">
        <v>0.44662576752559902</v>
      </c>
      <c r="J287" s="106">
        <v>2.41</v>
      </c>
      <c r="K287" s="106">
        <v>0.734515908888972</v>
      </c>
      <c r="L287" s="106">
        <v>0.38349022188646797</v>
      </c>
      <c r="M287" s="106">
        <v>0.72220414080182305</v>
      </c>
      <c r="N287" s="106">
        <v>0.85644750016763604</v>
      </c>
      <c r="P287" s="106">
        <v>0.46471387072903497</v>
      </c>
      <c r="Q287" s="106">
        <v>0.41608388868895302</v>
      </c>
      <c r="R287" s="106">
        <v>0.489028861749076</v>
      </c>
      <c r="S287" s="106">
        <v>0.39176889766891199</v>
      </c>
      <c r="AA287" s="106">
        <v>1748</v>
      </c>
      <c r="AB287" s="106">
        <v>1803.4080891256963</v>
      </c>
    </row>
    <row r="288" spans="1:28" x14ac:dyDescent="0.2">
      <c r="A288" s="14">
        <v>43509</v>
      </c>
      <c r="B288" s="106">
        <v>799.8</v>
      </c>
      <c r="C288" s="106">
        <v>790</v>
      </c>
      <c r="D288" s="106">
        <v>1761.5</v>
      </c>
      <c r="E288" s="106">
        <v>1764.5</v>
      </c>
      <c r="F288" s="106">
        <v>0.44771890053839603</v>
      </c>
      <c r="G288" s="106">
        <v>0.43978882645459699</v>
      </c>
      <c r="H288" s="106">
        <v>2.4607092550831301E-2</v>
      </c>
      <c r="I288" s="106">
        <v>0.32226782044312402</v>
      </c>
      <c r="J288" s="106">
        <v>1.77</v>
      </c>
      <c r="K288" s="106">
        <v>0.72795994247991402</v>
      </c>
      <c r="L288" s="106">
        <v>0.39918748746748101</v>
      </c>
      <c r="M288" s="106">
        <v>0.71787100855533204</v>
      </c>
      <c r="N288" s="106">
        <v>0.74262853123831496</v>
      </c>
      <c r="P288" s="106">
        <v>0.46439591900542831</v>
      </c>
      <c r="Q288" s="106">
        <v>0.41518173390376567</v>
      </c>
      <c r="R288" s="106">
        <v>0.48900301155625958</v>
      </c>
      <c r="S288" s="106">
        <v>0.3905746413529344</v>
      </c>
      <c r="AA288" s="106">
        <v>1764.5</v>
      </c>
      <c r="AB288" s="106">
        <v>1806.1516105594576</v>
      </c>
    </row>
    <row r="289" spans="1:28" x14ac:dyDescent="0.2">
      <c r="A289" s="14">
        <v>43508</v>
      </c>
      <c r="B289" s="106">
        <v>776</v>
      </c>
      <c r="C289" s="106">
        <v>782.6</v>
      </c>
      <c r="D289" s="106">
        <v>1701.5</v>
      </c>
      <c r="E289" s="106">
        <v>1761.5</v>
      </c>
      <c r="F289" s="106">
        <v>0.44428044280442802</v>
      </c>
      <c r="G289" s="106">
        <v>0.43930100914904502</v>
      </c>
      <c r="H289" s="106">
        <v>2.4806886394840699E-2</v>
      </c>
      <c r="I289" s="106">
        <v>0.20072787757913299</v>
      </c>
      <c r="J289" s="106">
        <v>1.1200000000000001</v>
      </c>
      <c r="K289" s="106">
        <v>0.73937768585161701</v>
      </c>
      <c r="L289" s="106">
        <v>0.27876086886190898</v>
      </c>
      <c r="M289" s="106">
        <v>0.71297200993009202</v>
      </c>
      <c r="N289" s="106">
        <v>0.72981198128802405</v>
      </c>
      <c r="P289" s="106">
        <v>0.46410789554388571</v>
      </c>
      <c r="Q289" s="106">
        <v>0.41449412275420433</v>
      </c>
      <c r="R289" s="106">
        <v>0.48891478193872639</v>
      </c>
      <c r="S289" s="106">
        <v>0.38968723635936364</v>
      </c>
      <c r="AA289" s="106">
        <v>1761.5</v>
      </c>
      <c r="AB289" s="106">
        <v>1789.2332283845969</v>
      </c>
    </row>
    <row r="290" spans="1:28" x14ac:dyDescent="0.2">
      <c r="A290" s="14">
        <v>43504</v>
      </c>
      <c r="B290" s="106">
        <v>799.9</v>
      </c>
      <c r="C290" s="106">
        <v>769.1</v>
      </c>
      <c r="D290" s="106">
        <v>1705.5</v>
      </c>
      <c r="E290" s="106">
        <v>1695.5</v>
      </c>
      <c r="F290" s="106">
        <v>0.45361250368622802</v>
      </c>
      <c r="G290" s="106">
        <v>0.43894769143373502</v>
      </c>
      <c r="H290" s="106">
        <v>2.4921890790018799E-2</v>
      </c>
      <c r="I290" s="106">
        <v>0.58843096521254801</v>
      </c>
      <c r="J290" s="106">
        <v>3.23</v>
      </c>
      <c r="K290" s="106">
        <v>0.76948342157577398</v>
      </c>
      <c r="L290" s="106">
        <v>0.36629522897287897</v>
      </c>
      <c r="M290" s="106">
        <v>0.70707577836934898</v>
      </c>
      <c r="N290" s="106">
        <v>0.68208050956527999</v>
      </c>
      <c r="P290" s="106">
        <v>0.4638695822237538</v>
      </c>
      <c r="Q290" s="106">
        <v>0.41402580064371625</v>
      </c>
      <c r="R290" s="106">
        <v>0.48879147301377263</v>
      </c>
      <c r="S290" s="106">
        <v>0.38910390985369742</v>
      </c>
      <c r="AA290" s="106">
        <v>1695.5</v>
      </c>
      <c r="AB290" s="106">
        <v>1758.3686122547836</v>
      </c>
    </row>
    <row r="291" spans="1:28" x14ac:dyDescent="0.2">
      <c r="A291" s="14">
        <v>43503</v>
      </c>
      <c r="B291" s="106">
        <v>849.2</v>
      </c>
      <c r="C291" s="106">
        <v>832</v>
      </c>
      <c r="D291" s="106">
        <v>1759</v>
      </c>
      <c r="E291" s="106">
        <v>1745.5</v>
      </c>
      <c r="F291" s="106">
        <v>0.47665425379547399</v>
      </c>
      <c r="G291" s="106">
        <v>0.43855588061957002</v>
      </c>
      <c r="H291" s="106">
        <v>2.4919252383174099E-2</v>
      </c>
      <c r="I291" s="106">
        <v>1.52887304121644</v>
      </c>
      <c r="J291" s="106">
        <v>7.99</v>
      </c>
      <c r="K291" s="106">
        <v>0.79276080858030396</v>
      </c>
      <c r="L291" s="106">
        <v>0.24667271429613799</v>
      </c>
      <c r="M291" s="106">
        <v>0.70400442815225905</v>
      </c>
      <c r="N291" s="106">
        <v>0.69634972485413105</v>
      </c>
      <c r="P291" s="106">
        <v>0.46347513300274412</v>
      </c>
      <c r="Q291" s="106">
        <v>0.41363662823639591</v>
      </c>
      <c r="R291" s="106">
        <v>0.48839438538591823</v>
      </c>
      <c r="S291" s="106">
        <v>0.3887173758532218</v>
      </c>
      <c r="AA291" s="106">
        <v>1745.5</v>
      </c>
      <c r="AB291" s="106">
        <v>1902.1748607410998</v>
      </c>
    </row>
    <row r="292" spans="1:28" x14ac:dyDescent="0.2">
      <c r="A292" s="14">
        <v>43502</v>
      </c>
      <c r="B292" s="106">
        <v>853.8</v>
      </c>
      <c r="C292" s="106">
        <v>846.3</v>
      </c>
      <c r="D292" s="106">
        <v>1768.5</v>
      </c>
      <c r="E292" s="106">
        <v>1762.5</v>
      </c>
      <c r="F292" s="106">
        <v>0.48017021276595701</v>
      </c>
      <c r="G292" s="106">
        <v>0.43795641682006098</v>
      </c>
      <c r="H292" s="106">
        <v>2.4533331508995299E-2</v>
      </c>
      <c r="I292" s="106">
        <v>1.7206711583552201</v>
      </c>
      <c r="J292" s="106">
        <v>8.7899999999999991</v>
      </c>
      <c r="K292" s="106">
        <v>0.80697228870174798</v>
      </c>
      <c r="L292" s="106">
        <v>0.21471875432609899</v>
      </c>
      <c r="M292" s="106">
        <v>0.70004422522291299</v>
      </c>
      <c r="N292" s="106">
        <v>0.78422591733041003</v>
      </c>
      <c r="P292" s="106">
        <v>0.46248974832905626</v>
      </c>
      <c r="Q292" s="106">
        <v>0.4134230853110657</v>
      </c>
      <c r="R292" s="106">
        <v>0.4870230798380516</v>
      </c>
      <c r="S292" s="106">
        <v>0.38888975380207036</v>
      </c>
      <c r="AA292" s="106">
        <v>1762.5</v>
      </c>
      <c r="AB292" s="106">
        <v>1934.8684911600872</v>
      </c>
    </row>
    <row r="293" spans="1:28" x14ac:dyDescent="0.2">
      <c r="A293" s="14">
        <v>43501</v>
      </c>
      <c r="B293" s="106">
        <v>845</v>
      </c>
      <c r="C293" s="106">
        <v>848.9</v>
      </c>
      <c r="D293" s="106">
        <v>1767</v>
      </c>
      <c r="E293" s="106">
        <v>1772.5</v>
      </c>
      <c r="F293" s="106">
        <v>0.478928067700987</v>
      </c>
      <c r="G293" s="106">
        <v>0.43723003664457799</v>
      </c>
      <c r="H293" s="106">
        <v>2.4074931146465601E-2</v>
      </c>
      <c r="I293" s="106">
        <v>1.7320103971524701</v>
      </c>
      <c r="J293" s="106">
        <v>8.7100000000000009</v>
      </c>
      <c r="K293" s="106">
        <v>0.83072626246936498</v>
      </c>
      <c r="L293" s="106">
        <v>0.17815256566489299</v>
      </c>
      <c r="M293" s="106">
        <v>0.69964562151215304</v>
      </c>
      <c r="N293" s="106">
        <v>0.61123335662662603</v>
      </c>
      <c r="P293" s="106">
        <v>0.46130496779104357</v>
      </c>
      <c r="Q293" s="106">
        <v>0.41315510549811241</v>
      </c>
      <c r="R293" s="106">
        <v>0.48537989893750921</v>
      </c>
      <c r="S293" s="106">
        <v>0.38908017435164677</v>
      </c>
      <c r="AA293" s="106">
        <v>1772.5</v>
      </c>
      <c r="AB293" s="106">
        <v>1940.8127875999032</v>
      </c>
    </row>
    <row r="294" spans="1:28" x14ac:dyDescent="0.2">
      <c r="A294" s="14">
        <v>43500</v>
      </c>
      <c r="B294" s="106">
        <v>835.2</v>
      </c>
      <c r="C294" s="106">
        <v>843.1</v>
      </c>
      <c r="D294" s="106">
        <v>1743</v>
      </c>
      <c r="E294" s="106">
        <v>1767.5</v>
      </c>
      <c r="F294" s="106">
        <v>0.47700141442715699</v>
      </c>
      <c r="G294" s="106">
        <v>0.43652673000763298</v>
      </c>
      <c r="H294" s="106">
        <v>2.3612553492163801E-2</v>
      </c>
      <c r="I294" s="106">
        <v>1.71411721451285</v>
      </c>
      <c r="J294" s="106">
        <v>8.49</v>
      </c>
      <c r="K294" s="106">
        <v>0.83836602833534202</v>
      </c>
      <c r="L294" s="106">
        <v>0.19977144919266299</v>
      </c>
      <c r="M294" s="106">
        <v>0.69405626182624303</v>
      </c>
      <c r="N294" s="106">
        <v>0.82773894037514495</v>
      </c>
      <c r="P294" s="106">
        <v>0.46013928349979677</v>
      </c>
      <c r="Q294" s="106">
        <v>0.41291417651546919</v>
      </c>
      <c r="R294" s="106">
        <v>0.48375183699196056</v>
      </c>
      <c r="S294" s="106">
        <v>0.3893016230233054</v>
      </c>
      <c r="AA294" s="106">
        <v>1767.5</v>
      </c>
      <c r="AB294" s="106">
        <v>1927.5524340033908</v>
      </c>
    </row>
    <row r="295" spans="1:28" x14ac:dyDescent="0.2">
      <c r="A295" s="14">
        <v>43497</v>
      </c>
      <c r="B295" s="106">
        <v>841.9</v>
      </c>
      <c r="C295" s="106">
        <v>831.7</v>
      </c>
      <c r="D295" s="106">
        <v>1740.5</v>
      </c>
      <c r="E295" s="106">
        <v>1723.5</v>
      </c>
      <c r="F295" s="106">
        <v>0.48256454888308598</v>
      </c>
      <c r="G295" s="106">
        <v>0.43575509230340398</v>
      </c>
      <c r="H295" s="106">
        <v>2.32196151677421E-2</v>
      </c>
      <c r="I295" s="106">
        <v>2.0159445469497799</v>
      </c>
      <c r="J295" s="106">
        <v>9.6999999999999993</v>
      </c>
      <c r="K295" s="106">
        <v>0.856696884701174</v>
      </c>
      <c r="L295" s="106">
        <v>5.7503837271873699E-2</v>
      </c>
      <c r="M295" s="106">
        <v>0.69079453607244101</v>
      </c>
      <c r="N295" s="106">
        <v>0.76531096943273402</v>
      </c>
      <c r="P295" s="106">
        <v>0.4589747074711461</v>
      </c>
      <c r="Q295" s="106">
        <v>0.41253547713566185</v>
      </c>
      <c r="R295" s="106">
        <v>0.48219432263888817</v>
      </c>
      <c r="S295" s="106">
        <v>0.38931586196791979</v>
      </c>
      <c r="AA295" s="106">
        <v>1723.5</v>
      </c>
      <c r="AB295" s="106">
        <v>1901.4889803826595</v>
      </c>
    </row>
    <row r="296" spans="1:28" x14ac:dyDescent="0.2">
      <c r="A296" s="14">
        <v>43496</v>
      </c>
      <c r="B296" s="106">
        <v>850</v>
      </c>
      <c r="C296" s="106">
        <v>846.6</v>
      </c>
      <c r="D296" s="106">
        <v>1758.5</v>
      </c>
      <c r="E296" s="106">
        <v>1759.5</v>
      </c>
      <c r="F296" s="106">
        <v>0.48115942028985498</v>
      </c>
      <c r="G296" s="106">
        <v>0.43507312282206101</v>
      </c>
      <c r="H296" s="106">
        <v>2.2577010043949901E-2</v>
      </c>
      <c r="I296" s="106">
        <v>2.0412932172187102</v>
      </c>
      <c r="J296" s="106">
        <v>9.58</v>
      </c>
      <c r="K296" s="106">
        <v>0.87545374012688104</v>
      </c>
      <c r="L296" s="106">
        <v>2.40031031413597E-2</v>
      </c>
      <c r="M296" s="106">
        <v>0.68892237914921095</v>
      </c>
      <c r="N296" s="106">
        <v>0.79926136441252205</v>
      </c>
      <c r="P296" s="106">
        <v>0.45765013286601092</v>
      </c>
      <c r="Q296" s="106">
        <v>0.4124961127781111</v>
      </c>
      <c r="R296" s="106">
        <v>0.48022714290996082</v>
      </c>
      <c r="S296" s="106">
        <v>0.38991910273416119</v>
      </c>
      <c r="AA296" s="106">
        <v>1759.5</v>
      </c>
      <c r="AB296" s="106">
        <v>1935.5543715185277</v>
      </c>
    </row>
    <row r="297" spans="1:28" x14ac:dyDescent="0.2">
      <c r="A297" s="14">
        <v>43495</v>
      </c>
      <c r="B297" s="106">
        <v>831.1</v>
      </c>
      <c r="C297" s="106">
        <v>840.8</v>
      </c>
      <c r="D297" s="106">
        <v>1724</v>
      </c>
      <c r="E297" s="106">
        <v>1726</v>
      </c>
      <c r="F297" s="106">
        <v>0.487137891077636</v>
      </c>
      <c r="G297" s="106">
        <v>0.43447090855097498</v>
      </c>
      <c r="H297" s="106">
        <v>2.19328684978858E-2</v>
      </c>
      <c r="I297" s="106">
        <v>2.4012810969863398</v>
      </c>
      <c r="J297" s="106">
        <v>10.81</v>
      </c>
      <c r="K297" s="106">
        <v>0.89001715662060998</v>
      </c>
      <c r="L297" s="15">
        <v>0.109843233076191</v>
      </c>
      <c r="M297" s="106">
        <v>0.68717796127075104</v>
      </c>
      <c r="N297" s="106">
        <v>0.83061726670951996</v>
      </c>
      <c r="P297" s="106">
        <v>0.45640377704886076</v>
      </c>
      <c r="Q297" s="106">
        <v>0.41253804005308919</v>
      </c>
      <c r="R297" s="106">
        <v>0.4783366455467466</v>
      </c>
      <c r="S297" s="106">
        <v>0.39060517155520336</v>
      </c>
      <c r="AA297" s="106">
        <v>1726</v>
      </c>
      <c r="AB297" s="106">
        <v>1922.294017922015</v>
      </c>
    </row>
    <row r="298" spans="1:28" x14ac:dyDescent="0.2">
      <c r="A298" s="14">
        <v>43494</v>
      </c>
      <c r="B298" s="106">
        <v>821.8</v>
      </c>
      <c r="C298" s="106">
        <v>822.5</v>
      </c>
      <c r="D298" s="106">
        <v>1746</v>
      </c>
      <c r="E298" s="106">
        <v>1745.5</v>
      </c>
      <c r="F298" s="106">
        <v>0.47121168719564499</v>
      </c>
      <c r="G298" s="106">
        <v>0.433658886104622</v>
      </c>
      <c r="H298" s="106">
        <v>2.10786937476946E-2</v>
      </c>
      <c r="I298" s="106">
        <v>1.78155257344306</v>
      </c>
      <c r="J298" s="106">
        <v>7.97</v>
      </c>
      <c r="K298" s="106">
        <v>0.89299611129143797</v>
      </c>
      <c r="L298" s="106">
        <v>0.145436660630753</v>
      </c>
      <c r="M298" s="106">
        <v>0.68329755108058499</v>
      </c>
      <c r="N298" s="106">
        <v>0.81007430749996001</v>
      </c>
      <c r="P298" s="106">
        <v>0.45473757985231661</v>
      </c>
      <c r="Q298" s="106">
        <v>0.41258019235692739</v>
      </c>
      <c r="R298" s="106">
        <v>0.47581627360001122</v>
      </c>
      <c r="S298" s="106">
        <v>0.39150149860923278</v>
      </c>
      <c r="AA298" s="106">
        <v>1745.5</v>
      </c>
      <c r="AB298" s="106">
        <v>1880.4553160571568</v>
      </c>
    </row>
    <row r="299" spans="1:28" x14ac:dyDescent="0.2">
      <c r="A299" s="14">
        <v>43493</v>
      </c>
      <c r="B299" s="106">
        <v>833.2</v>
      </c>
      <c r="C299" s="106">
        <v>819.4</v>
      </c>
      <c r="D299" s="106">
        <v>1755.5</v>
      </c>
      <c r="E299" s="106">
        <v>1751.5</v>
      </c>
      <c r="F299" s="106">
        <v>0.467827576363117</v>
      </c>
      <c r="G299" s="106">
        <v>0.433182958266007</v>
      </c>
      <c r="H299" s="106">
        <v>2.0623482343067299E-2</v>
      </c>
      <c r="I299" s="106">
        <v>1.6798626692041501</v>
      </c>
      <c r="J299" s="106">
        <v>7.41</v>
      </c>
      <c r="K299" s="106">
        <v>0.89734279052183596</v>
      </c>
      <c r="L299" s="106">
        <v>5.5604527867246803E-2</v>
      </c>
      <c r="M299" s="106">
        <v>0.67922430262987199</v>
      </c>
      <c r="N299" s="106">
        <v>0.79286830610065995</v>
      </c>
      <c r="P299" s="106">
        <v>0.45380644060907432</v>
      </c>
      <c r="Q299" s="106">
        <v>0.41255947592293968</v>
      </c>
      <c r="R299" s="106">
        <v>0.47442992295214159</v>
      </c>
      <c r="S299" s="106">
        <v>0.39193599357987241</v>
      </c>
      <c r="AA299" s="106">
        <v>1751.5</v>
      </c>
      <c r="AB299" s="106">
        <v>1873.367885686607</v>
      </c>
    </row>
    <row r="300" spans="1:28" x14ac:dyDescent="0.2">
      <c r="A300" s="14">
        <v>43490</v>
      </c>
      <c r="B300" s="106">
        <v>821.2</v>
      </c>
      <c r="C300" s="106">
        <v>831.6</v>
      </c>
      <c r="D300" s="106">
        <v>1743</v>
      </c>
      <c r="E300" s="106">
        <v>1772</v>
      </c>
      <c r="F300" s="106">
        <v>0.469300225733634</v>
      </c>
      <c r="G300" s="106">
        <v>0.43283963544204002</v>
      </c>
      <c r="H300" s="106">
        <v>2.0254922099625199E-2</v>
      </c>
      <c r="I300" s="106">
        <v>1.8000854366291801</v>
      </c>
      <c r="J300" s="106">
        <v>7.77</v>
      </c>
      <c r="K300" s="106">
        <v>0.90468959300625096</v>
      </c>
      <c r="L300" s="106">
        <v>3.3660745634517902E-2</v>
      </c>
      <c r="M300" s="106">
        <v>0.67606870235262995</v>
      </c>
      <c r="N300" s="106">
        <v>0.79432674798957903</v>
      </c>
      <c r="P300" s="106">
        <v>0.45309455754166522</v>
      </c>
      <c r="Q300" s="106">
        <v>0.41258471334241481</v>
      </c>
      <c r="R300" s="106">
        <v>0.47334947964129043</v>
      </c>
      <c r="S300" s="106">
        <v>0.39232979124278961</v>
      </c>
      <c r="AA300" s="106">
        <v>1772</v>
      </c>
      <c r="AB300" s="106">
        <v>1901.2603535965127</v>
      </c>
    </row>
    <row r="301" spans="1:28" x14ac:dyDescent="0.2">
      <c r="A301" s="14">
        <v>43489</v>
      </c>
      <c r="B301" s="106">
        <v>813.6</v>
      </c>
      <c r="C301" s="106">
        <v>826.2</v>
      </c>
      <c r="D301" s="106">
        <v>1709.5</v>
      </c>
      <c r="E301" s="106">
        <v>1742.5</v>
      </c>
      <c r="F301" s="106">
        <v>0.474146341463414</v>
      </c>
      <c r="G301" s="106">
        <v>0.432436832018608</v>
      </c>
      <c r="H301" s="106">
        <v>1.9821592073518801E-2</v>
      </c>
      <c r="I301" s="106">
        <v>2.1042461821484699</v>
      </c>
      <c r="J301" s="106">
        <v>8.8000000000000007</v>
      </c>
      <c r="K301" s="106">
        <v>0.91202519566645701</v>
      </c>
      <c r="L301" s="106">
        <v>2.86626897497495E-2</v>
      </c>
      <c r="M301" s="106">
        <v>0.67224764134224402</v>
      </c>
      <c r="N301" s="106">
        <v>0.82723857838778603</v>
      </c>
      <c r="P301" s="106">
        <v>0.4522584240921268</v>
      </c>
      <c r="Q301" s="106">
        <v>0.4126152399450892</v>
      </c>
      <c r="R301" s="106">
        <v>0.4720800161656456</v>
      </c>
      <c r="S301" s="106">
        <v>0.39279364787157039</v>
      </c>
      <c r="AA301" s="106">
        <v>1742.5</v>
      </c>
      <c r="AB301" s="106">
        <v>1888.9145071445873</v>
      </c>
    </row>
    <row r="302" spans="1:28" x14ac:dyDescent="0.2">
      <c r="A302" s="14">
        <v>43488</v>
      </c>
      <c r="B302" s="106">
        <v>813</v>
      </c>
      <c r="C302" s="106">
        <v>814.4</v>
      </c>
      <c r="D302" s="106">
        <v>1712</v>
      </c>
      <c r="E302" s="106">
        <v>1710</v>
      </c>
      <c r="F302" s="106">
        <v>0.47625730994151999</v>
      </c>
      <c r="G302" s="106">
        <v>0.43190104432110799</v>
      </c>
      <c r="H302" s="106">
        <v>1.9220918138139E-2</v>
      </c>
      <c r="I302" s="106">
        <v>2.3077079513906198</v>
      </c>
      <c r="J302" s="106">
        <v>9.31</v>
      </c>
      <c r="K302" s="106">
        <v>0.92060909713258099</v>
      </c>
      <c r="L302" s="106">
        <v>2.54832870850186E-2</v>
      </c>
      <c r="M302" s="106">
        <v>0.66703162677046002</v>
      </c>
      <c r="N302" s="106">
        <v>0.84789733401822098</v>
      </c>
      <c r="P302" s="106">
        <v>0.45112196245924696</v>
      </c>
      <c r="Q302" s="106">
        <v>0.41268012618296901</v>
      </c>
      <c r="R302" s="106">
        <v>0.47034288059738599</v>
      </c>
      <c r="S302" s="106">
        <v>0.39345920804482998</v>
      </c>
      <c r="AA302" s="106">
        <v>1710</v>
      </c>
      <c r="AB302" s="106">
        <v>1861.9365463792687</v>
      </c>
    </row>
    <row r="303" spans="1:28" x14ac:dyDescent="0.2">
      <c r="A303" s="14">
        <v>43487</v>
      </c>
      <c r="B303" s="106">
        <v>833.4</v>
      </c>
      <c r="C303" s="106">
        <v>816</v>
      </c>
      <c r="D303" s="106">
        <v>1772.5</v>
      </c>
      <c r="E303" s="106">
        <v>1735.5</v>
      </c>
      <c r="F303" s="106">
        <v>0.47018150388936902</v>
      </c>
      <c r="G303" s="106">
        <v>0.43141299152512902</v>
      </c>
      <c r="H303" s="106">
        <v>1.8541137087720299E-2</v>
      </c>
      <c r="I303" s="106">
        <v>2.0909457807696099</v>
      </c>
      <c r="J303" s="106">
        <v>8.25</v>
      </c>
      <c r="K303" s="106">
        <v>0.92790609873710606</v>
      </c>
      <c r="L303" s="106">
        <v>1.44173012289141E-2</v>
      </c>
      <c r="M303" s="106">
        <v>0.66001724068087697</v>
      </c>
      <c r="N303" s="106">
        <v>0.88762209684525695</v>
      </c>
      <c r="P303" s="106">
        <v>0.44995412861284934</v>
      </c>
      <c r="Q303" s="106">
        <v>0.4128718544374087</v>
      </c>
      <c r="R303" s="106">
        <v>0.4684952657005696</v>
      </c>
      <c r="S303" s="106">
        <v>0.39433071734968844</v>
      </c>
      <c r="AA303" s="106">
        <v>1735.5</v>
      </c>
      <c r="AB303" s="106">
        <v>1865.5945749576169</v>
      </c>
    </row>
    <row r="304" spans="1:28" x14ac:dyDescent="0.2">
      <c r="A304" s="14">
        <v>43486</v>
      </c>
      <c r="B304" s="106">
        <v>831.9</v>
      </c>
      <c r="C304" s="106">
        <v>830.1</v>
      </c>
      <c r="D304" s="106">
        <v>1795</v>
      </c>
      <c r="E304" s="106">
        <v>1781</v>
      </c>
      <c r="F304" s="106">
        <v>0.466086468276249</v>
      </c>
      <c r="G304" s="106">
        <v>0.43086061748445498</v>
      </c>
      <c r="H304" s="106">
        <v>1.79867448092896E-2</v>
      </c>
      <c r="I304" s="106">
        <v>1.9584339003687301</v>
      </c>
      <c r="J304" s="106">
        <v>7.56</v>
      </c>
      <c r="K304" s="106">
        <v>0.93752624948605601</v>
      </c>
      <c r="L304" s="106">
        <v>1.6515310947426601E-2</v>
      </c>
      <c r="M304" s="106">
        <v>0.65439605248178101</v>
      </c>
      <c r="N304" s="106">
        <v>0.89346592787110002</v>
      </c>
      <c r="P304" s="106">
        <v>0.44884736229374456</v>
      </c>
      <c r="Q304" s="106">
        <v>0.4128738726751654</v>
      </c>
      <c r="R304" s="106">
        <v>0.46683410710303419</v>
      </c>
      <c r="S304" s="106">
        <v>0.39488712786587576</v>
      </c>
      <c r="AA304" s="106">
        <v>1781</v>
      </c>
      <c r="AB304" s="106">
        <v>1897.8309518043111</v>
      </c>
    </row>
    <row r="305" spans="1:28" x14ac:dyDescent="0.2">
      <c r="A305" s="14">
        <v>43483</v>
      </c>
      <c r="B305" s="106">
        <v>805</v>
      </c>
      <c r="C305" s="106">
        <v>818.9</v>
      </c>
      <c r="D305" s="106">
        <v>1776</v>
      </c>
      <c r="E305" s="106">
        <v>1769.5</v>
      </c>
      <c r="F305" s="106">
        <v>0.462786097767731</v>
      </c>
      <c r="G305" s="106">
        <v>0.43018320250797198</v>
      </c>
      <c r="H305" s="106">
        <v>1.75998832038727E-2</v>
      </c>
      <c r="I305" s="106">
        <v>1.8524495237891301</v>
      </c>
      <c r="J305" s="106">
        <v>7.04</v>
      </c>
      <c r="K305" s="106">
        <v>0.94321276433982104</v>
      </c>
      <c r="L305" s="106">
        <v>3.3481280283222302E-2</v>
      </c>
      <c r="M305" s="106">
        <v>0.64925064758904505</v>
      </c>
      <c r="N305" s="106">
        <v>0.881311755496334</v>
      </c>
      <c r="P305" s="106">
        <v>0.44778308571184466</v>
      </c>
      <c r="Q305" s="106">
        <v>0.41258331930409931</v>
      </c>
      <c r="R305" s="106">
        <v>0.4653829689157174</v>
      </c>
      <c r="S305" s="106">
        <v>0.39498343610022657</v>
      </c>
      <c r="AA305" s="106">
        <v>1769.5</v>
      </c>
      <c r="AB305" s="106">
        <v>1872.2247517558733</v>
      </c>
    </row>
    <row r="306" spans="1:28" x14ac:dyDescent="0.2">
      <c r="A306" s="14">
        <v>43482</v>
      </c>
      <c r="B306" s="106">
        <v>795.7</v>
      </c>
      <c r="C306" s="106">
        <v>803.4</v>
      </c>
      <c r="D306" s="106">
        <v>1783</v>
      </c>
      <c r="E306" s="106">
        <v>1763</v>
      </c>
      <c r="F306" s="106">
        <v>0.45570051049347698</v>
      </c>
      <c r="G306" s="106">
        <v>0.42966402657052499</v>
      </c>
      <c r="H306" s="106">
        <v>1.7200257026213101E-2</v>
      </c>
      <c r="I306" s="106">
        <v>1.5137264450916099</v>
      </c>
      <c r="J306" s="106">
        <v>5.71</v>
      </c>
      <c r="K306" s="106">
        <v>0.94467935408000303</v>
      </c>
      <c r="L306" s="106">
        <v>7.3742987692710496E-2</v>
      </c>
      <c r="M306" s="106">
        <v>0.64196396710320303</v>
      </c>
      <c r="N306" s="106">
        <v>0.89207811131273895</v>
      </c>
      <c r="P306" s="106">
        <v>0.44686428359673808</v>
      </c>
      <c r="Q306" s="106">
        <v>0.41246376954431191</v>
      </c>
      <c r="R306" s="106">
        <v>0.46406454062295122</v>
      </c>
      <c r="S306" s="106">
        <v>0.39526351251809877</v>
      </c>
      <c r="AA306" s="106">
        <v>1763</v>
      </c>
      <c r="AB306" s="106">
        <v>1836.7875999031244</v>
      </c>
    </row>
    <row r="307" spans="1:28" x14ac:dyDescent="0.2">
      <c r="A307" s="14">
        <v>43481</v>
      </c>
      <c r="B307" s="106">
        <v>797.8</v>
      </c>
      <c r="C307" s="106">
        <v>792.2</v>
      </c>
      <c r="D307" s="106">
        <v>1768</v>
      </c>
      <c r="E307" s="106">
        <v>1759</v>
      </c>
      <c r="F307" s="106">
        <v>0.45036952814098902</v>
      </c>
      <c r="G307" s="106">
        <v>0.42916903111585403</v>
      </c>
      <c r="H307" s="106">
        <v>1.6976586122762101E-2</v>
      </c>
      <c r="I307" s="106">
        <v>1.2488080272339901</v>
      </c>
      <c r="J307" s="106">
        <v>4.71</v>
      </c>
      <c r="K307" s="106">
        <v>0.94320130754767595</v>
      </c>
      <c r="L307" s="106">
        <v>0.12498956111319701</v>
      </c>
      <c r="M307" s="106">
        <v>0.63285921100403797</v>
      </c>
      <c r="N307" s="106">
        <v>0.90389693046540798</v>
      </c>
      <c r="P307" s="106">
        <v>0.44614561723861612</v>
      </c>
      <c r="Q307" s="106">
        <v>0.41219244499309193</v>
      </c>
      <c r="R307" s="106">
        <v>0.46312220336137822</v>
      </c>
      <c r="S307" s="106">
        <v>0.39521585887032984</v>
      </c>
      <c r="AA307" s="106">
        <v>1759</v>
      </c>
      <c r="AB307" s="106">
        <v>1811.1813998546866</v>
      </c>
    </row>
    <row r="308" spans="1:28" x14ac:dyDescent="0.2">
      <c r="A308" s="14">
        <v>43480</v>
      </c>
      <c r="B308" s="106">
        <v>785.5</v>
      </c>
      <c r="C308" s="106">
        <v>800.4</v>
      </c>
      <c r="D308" s="106">
        <v>1732.5</v>
      </c>
      <c r="E308" s="106">
        <v>1766.5</v>
      </c>
      <c r="F308" s="106">
        <v>0.453099348995188</v>
      </c>
      <c r="G308" s="106">
        <v>0.42883411760384699</v>
      </c>
      <c r="H308" s="106">
        <v>1.68019098031277E-2</v>
      </c>
      <c r="I308" s="106">
        <v>1.4441948371145099</v>
      </c>
      <c r="J308" s="106">
        <v>5.36</v>
      </c>
      <c r="K308" s="106">
        <v>0.94003684599945203</v>
      </c>
      <c r="L308" s="106">
        <v>0.203151821493917</v>
      </c>
      <c r="M308" s="106">
        <v>0.62568150318386195</v>
      </c>
      <c r="N308" s="106">
        <v>0.88120582917935497</v>
      </c>
      <c r="P308" s="106">
        <v>0.44563602740697467</v>
      </c>
      <c r="Q308" s="106">
        <v>0.41203220780071931</v>
      </c>
      <c r="R308" s="106">
        <v>0.4624379372101024</v>
      </c>
      <c r="S308" s="106">
        <v>0.39523029799759157</v>
      </c>
      <c r="AA308" s="106">
        <v>1766.5</v>
      </c>
      <c r="AB308" s="106">
        <v>1829.9287963187214</v>
      </c>
    </row>
    <row r="309" spans="1:28" x14ac:dyDescent="0.2">
      <c r="A309" s="14">
        <v>43476</v>
      </c>
      <c r="B309" s="106">
        <v>797.1</v>
      </c>
      <c r="C309" s="106">
        <v>795.4</v>
      </c>
      <c r="D309" s="106">
        <v>1747</v>
      </c>
      <c r="E309" s="106">
        <v>1734.5</v>
      </c>
      <c r="F309" s="106">
        <v>0.45857595848947802</v>
      </c>
      <c r="G309" s="106">
        <v>0.42857105350528801</v>
      </c>
      <c r="H309" s="106">
        <v>1.65728257054799E-2</v>
      </c>
      <c r="I309" s="106">
        <v>1.8104881760910501</v>
      </c>
      <c r="J309" s="106">
        <v>6.54</v>
      </c>
      <c r="K309" s="106">
        <v>0.94026459603033297</v>
      </c>
      <c r="L309" s="106">
        <v>0.157630290566835</v>
      </c>
      <c r="M309" s="106">
        <v>0.61326060016072703</v>
      </c>
      <c r="N309" s="106">
        <v>0.866678198500758</v>
      </c>
      <c r="P309" s="106">
        <v>0.44514387921076792</v>
      </c>
      <c r="Q309" s="106">
        <v>0.4119982277998081</v>
      </c>
      <c r="R309" s="106">
        <v>0.46171670491624783</v>
      </c>
      <c r="S309" s="106">
        <v>0.39542540209432819</v>
      </c>
      <c r="AA309" s="106">
        <v>1734.5</v>
      </c>
      <c r="AB309" s="106">
        <v>1818.4974570113829</v>
      </c>
    </row>
    <row r="310" spans="1:28" x14ac:dyDescent="0.2">
      <c r="A310" s="14">
        <v>43475</v>
      </c>
      <c r="B310" s="106">
        <v>799.2</v>
      </c>
      <c r="C310" s="106">
        <v>798.3</v>
      </c>
      <c r="D310" s="106">
        <v>1713</v>
      </c>
      <c r="E310" s="106">
        <v>1721</v>
      </c>
      <c r="F310" s="106">
        <v>0.46385822196397403</v>
      </c>
      <c r="G310" s="106">
        <v>0.42835331896857998</v>
      </c>
      <c r="H310" s="106">
        <v>1.6281908978986199E-2</v>
      </c>
      <c r="I310" s="106">
        <v>2.1806351479557402</v>
      </c>
      <c r="J310" s="106">
        <v>7.65</v>
      </c>
      <c r="K310" s="106">
        <v>0.943132817366511</v>
      </c>
      <c r="L310" s="106">
        <v>0.11512135122869099</v>
      </c>
      <c r="M310" s="106">
        <v>0.60633079592535499</v>
      </c>
      <c r="N310" s="106">
        <v>0.87931379919665698</v>
      </c>
      <c r="P310" s="106">
        <v>0.44463522794756616</v>
      </c>
      <c r="Q310" s="106">
        <v>0.4120714099895938</v>
      </c>
      <c r="R310" s="106">
        <v>0.4609171369265524</v>
      </c>
      <c r="S310" s="106">
        <v>0.39578950101060756</v>
      </c>
      <c r="AA310" s="106">
        <v>1721</v>
      </c>
      <c r="AB310" s="106">
        <v>1825.1276338096393</v>
      </c>
    </row>
    <row r="311" spans="1:28" x14ac:dyDescent="0.2">
      <c r="A311" s="14">
        <v>43474</v>
      </c>
      <c r="B311" s="106">
        <v>800.5</v>
      </c>
      <c r="C311" s="106">
        <v>802.8</v>
      </c>
      <c r="D311" s="106">
        <v>1741</v>
      </c>
      <c r="E311" s="106">
        <v>1736</v>
      </c>
      <c r="F311" s="106">
        <v>0.46244239631336398</v>
      </c>
      <c r="G311" s="106">
        <v>0.42818615273861999</v>
      </c>
      <c r="H311" s="106">
        <v>1.5978047910392999E-2</v>
      </c>
      <c r="I311" s="106">
        <v>2.1439567440814198</v>
      </c>
      <c r="J311" s="106">
        <v>7.41</v>
      </c>
      <c r="K311" s="106">
        <v>0.94342222192904801</v>
      </c>
      <c r="L311" s="106">
        <v>0.353967228365414</v>
      </c>
      <c r="M311" s="106">
        <v>0.59977134303388702</v>
      </c>
      <c r="N311" s="106">
        <v>0.87829746264379305</v>
      </c>
      <c r="P311" s="106">
        <v>0.44416420064901296</v>
      </c>
      <c r="Q311" s="106">
        <v>0.41220810482822701</v>
      </c>
      <c r="R311" s="106">
        <v>0.460142248559406</v>
      </c>
      <c r="S311" s="106">
        <v>0.39623005691783397</v>
      </c>
      <c r="AA311" s="106">
        <v>1736</v>
      </c>
      <c r="AB311" s="106">
        <v>1835.4158391862436</v>
      </c>
    </row>
    <row r="312" spans="1:28" x14ac:dyDescent="0.2">
      <c r="A312" s="14">
        <v>43473</v>
      </c>
      <c r="B312" s="106">
        <v>787</v>
      </c>
      <c r="C312" s="106">
        <v>792.4</v>
      </c>
      <c r="D312" s="106">
        <v>1711</v>
      </c>
      <c r="E312" s="106">
        <v>1710</v>
      </c>
      <c r="F312" s="106">
        <v>0.46339181286549702</v>
      </c>
      <c r="G312" s="106">
        <v>0.42800357554117102</v>
      </c>
      <c r="H312" s="106">
        <v>1.56606495771048E-2</v>
      </c>
      <c r="I312" s="106">
        <v>2.2596915377036302</v>
      </c>
      <c r="J312" s="106">
        <v>7.64</v>
      </c>
      <c r="K312" s="106">
        <v>0.94264044402416403</v>
      </c>
      <c r="L312" s="106">
        <v>0.40498791239874798</v>
      </c>
      <c r="M312" s="106">
        <v>0.59302117910852103</v>
      </c>
      <c r="N312" s="106">
        <v>0.88196776916851305</v>
      </c>
      <c r="P312" s="106">
        <v>0.4436642251182758</v>
      </c>
      <c r="Q312" s="106">
        <v>0.41234292596406624</v>
      </c>
      <c r="R312" s="106">
        <v>0.45932487469538064</v>
      </c>
      <c r="S312" s="106">
        <v>0.39668227638696141</v>
      </c>
      <c r="AA312" s="106">
        <v>1710</v>
      </c>
      <c r="AB312" s="106">
        <v>1811.63865342698</v>
      </c>
    </row>
    <row r="313" spans="1:28" x14ac:dyDescent="0.2">
      <c r="A313" s="14">
        <v>43472</v>
      </c>
      <c r="B313" s="106">
        <v>795</v>
      </c>
      <c r="C313" s="106">
        <v>790.5</v>
      </c>
      <c r="D313" s="106">
        <v>1705</v>
      </c>
      <c r="E313" s="106">
        <v>1694</v>
      </c>
      <c r="F313" s="106">
        <v>0.46664698937426202</v>
      </c>
      <c r="G313" s="106">
        <v>0.42771379977850299</v>
      </c>
      <c r="H313" s="106">
        <v>1.5197381936083901E-2</v>
      </c>
      <c r="I313" s="106">
        <v>2.56183530554812</v>
      </c>
      <c r="J313" s="106">
        <v>8.34</v>
      </c>
      <c r="K313" s="106">
        <v>0.94379598917075103</v>
      </c>
      <c r="L313" s="106">
        <v>0.46190548158043898</v>
      </c>
      <c r="M313" s="106">
        <v>0.59152029571696096</v>
      </c>
      <c r="N313" s="106">
        <v>0.88695088903140995</v>
      </c>
      <c r="P313" s="106">
        <v>0.44291118171458688</v>
      </c>
      <c r="Q313" s="106">
        <v>0.4125164178424191</v>
      </c>
      <c r="R313" s="106">
        <v>0.45810856365067076</v>
      </c>
      <c r="S313" s="106">
        <v>0.39731903590633522</v>
      </c>
      <c r="AA313" s="106">
        <v>1694</v>
      </c>
      <c r="AB313" s="106">
        <v>1807.2947444901915</v>
      </c>
    </row>
    <row r="314" spans="1:28" x14ac:dyDescent="0.2">
      <c r="A314" s="14">
        <v>43469</v>
      </c>
      <c r="B314" s="106">
        <v>757.4</v>
      </c>
      <c r="C314" s="106">
        <v>762.7</v>
      </c>
      <c r="D314" s="106">
        <v>1658</v>
      </c>
      <c r="E314" s="106">
        <v>1653</v>
      </c>
      <c r="F314" s="106">
        <v>0.46140350877192898</v>
      </c>
      <c r="G314" s="106">
        <v>0.42734324650830102</v>
      </c>
      <c r="H314" s="106">
        <v>1.45694095965233E-2</v>
      </c>
      <c r="I314" s="106">
        <v>2.33779289668374</v>
      </c>
      <c r="J314" s="106">
        <v>7.38</v>
      </c>
      <c r="K314" s="106">
        <v>0.94527047077327198</v>
      </c>
      <c r="L314" s="106">
        <v>0.30231335915408297</v>
      </c>
      <c r="M314" s="106">
        <v>0.58190235924033396</v>
      </c>
      <c r="N314" s="106">
        <v>0.88085876403831498</v>
      </c>
      <c r="P314" s="106">
        <v>0.44191265610482433</v>
      </c>
      <c r="Q314" s="106">
        <v>0.41277383691177771</v>
      </c>
      <c r="R314" s="106">
        <v>0.45648206570134764</v>
      </c>
      <c r="S314" s="106">
        <v>0.39820442731525441</v>
      </c>
      <c r="AA314" s="106">
        <v>1653</v>
      </c>
      <c r="AB314" s="106">
        <v>1743.7364979413903</v>
      </c>
    </row>
    <row r="315" spans="1:28" x14ac:dyDescent="0.2">
      <c r="A315" s="14">
        <v>43462</v>
      </c>
      <c r="B315" s="106">
        <v>758.1</v>
      </c>
      <c r="C315" s="106">
        <v>772.4</v>
      </c>
      <c r="D315" s="106">
        <v>1706</v>
      </c>
      <c r="E315" s="106">
        <v>1718</v>
      </c>
      <c r="F315" s="106">
        <v>0.44959254947613497</v>
      </c>
      <c r="G315" s="106">
        <v>0.426981219684755</v>
      </c>
      <c r="H315" s="106">
        <v>1.4046527401102399E-2</v>
      </c>
      <c r="I315" s="106">
        <v>1.6097451808341201</v>
      </c>
      <c r="J315" s="106">
        <v>5.03</v>
      </c>
      <c r="K315" s="106">
        <v>0.94420286680353205</v>
      </c>
      <c r="L315" s="106">
        <v>0.418317931501694</v>
      </c>
      <c r="M315" s="106">
        <v>0.56654430672091804</v>
      </c>
      <c r="N315" s="106">
        <v>0.89928052672464798</v>
      </c>
      <c r="P315" s="106">
        <v>0.4410277470858574</v>
      </c>
      <c r="Q315" s="106">
        <v>0.41293469228365259</v>
      </c>
      <c r="R315" s="106">
        <v>0.45507427448695981</v>
      </c>
      <c r="S315" s="106">
        <v>0.39888816488255019</v>
      </c>
      <c r="AA315" s="106">
        <v>1718</v>
      </c>
      <c r="AB315" s="106">
        <v>1765.9132961976266</v>
      </c>
    </row>
    <row r="316" spans="1:28" x14ac:dyDescent="0.2">
      <c r="A316" s="14">
        <v>43461</v>
      </c>
      <c r="B316" s="106">
        <v>760</v>
      </c>
      <c r="C316" s="106">
        <v>772.9</v>
      </c>
      <c r="D316" s="106">
        <v>1714.5</v>
      </c>
      <c r="E316" s="106">
        <v>1723</v>
      </c>
      <c r="F316" s="106">
        <v>0.44857806152060298</v>
      </c>
      <c r="G316" s="106">
        <v>0.42695216678187697</v>
      </c>
      <c r="H316" s="106">
        <v>1.40019121465394E-2</v>
      </c>
      <c r="I316" s="106">
        <v>1.54449581688535</v>
      </c>
      <c r="J316" s="106">
        <v>4.82</v>
      </c>
      <c r="K316" s="106">
        <v>0.94294196168426103</v>
      </c>
      <c r="L316" s="106">
        <v>0.53767549820900196</v>
      </c>
      <c r="M316" s="106">
        <v>0.55665888060171198</v>
      </c>
      <c r="N316" s="106">
        <v>0.89967878548414504</v>
      </c>
      <c r="P316" s="106">
        <v>0.44095407892841637</v>
      </c>
      <c r="Q316" s="106">
        <v>0.41295025463533758</v>
      </c>
      <c r="R316" s="106">
        <v>0.45495599107495577</v>
      </c>
      <c r="S316" s="106">
        <v>0.39894834248879818</v>
      </c>
      <c r="AA316" s="106">
        <v>1723</v>
      </c>
      <c r="AB316" s="106">
        <v>1767.0564301283605</v>
      </c>
    </row>
    <row r="317" spans="1:28" x14ac:dyDescent="0.2">
      <c r="A317" s="14">
        <v>43460</v>
      </c>
      <c r="B317" s="106">
        <v>719</v>
      </c>
      <c r="C317" s="106">
        <v>722.6</v>
      </c>
      <c r="D317" s="106">
        <v>1646.5</v>
      </c>
      <c r="E317" s="106">
        <v>1640.5</v>
      </c>
      <c r="F317" s="106">
        <v>0.44047546479731697</v>
      </c>
      <c r="G317" s="106">
        <v>0.42689734337429203</v>
      </c>
      <c r="H317" s="106">
        <v>1.39249685142035E-2</v>
      </c>
      <c r="I317" s="106">
        <v>0.97509171451089105</v>
      </c>
      <c r="J317" s="106">
        <v>3.08</v>
      </c>
      <c r="K317" s="106">
        <v>0.94003291758583096</v>
      </c>
      <c r="L317" s="106">
        <v>0.380949174282322</v>
      </c>
      <c r="M317" s="106">
        <v>0.53967436985428296</v>
      </c>
      <c r="N317" s="106">
        <v>0.92165629887327205</v>
      </c>
      <c r="P317" s="106">
        <v>0.44082231188849552</v>
      </c>
      <c r="Q317" s="106">
        <v>0.41297237486008853</v>
      </c>
      <c r="R317" s="106">
        <v>0.45474728040269902</v>
      </c>
      <c r="S317" s="106">
        <v>0.39904740634588504</v>
      </c>
      <c r="AA317" s="106">
        <v>1640.5</v>
      </c>
      <c r="AB317" s="106">
        <v>1652.0571566965368</v>
      </c>
    </row>
    <row r="318" spans="1:28" x14ac:dyDescent="0.2">
      <c r="A318" s="14">
        <v>43459</v>
      </c>
      <c r="B318" s="106">
        <v>734.7</v>
      </c>
      <c r="C318" s="106">
        <v>711.1</v>
      </c>
      <c r="D318" s="106">
        <v>1671.5</v>
      </c>
      <c r="E318" s="106">
        <v>1650.5</v>
      </c>
      <c r="F318" s="106">
        <v>0.43083913965464998</v>
      </c>
      <c r="G318" s="106">
        <v>0.426845278486432</v>
      </c>
      <c r="H318" s="106">
        <v>1.38813348447337E-2</v>
      </c>
      <c r="I318" s="106">
        <v>0.28771448948459599</v>
      </c>
      <c r="J318" s="106">
        <v>0.93</v>
      </c>
      <c r="K318" s="106">
        <v>0.93644316877962597</v>
      </c>
      <c r="L318" s="106">
        <v>0.34110383986611598</v>
      </c>
      <c r="M318" s="106">
        <v>0.51924987728988203</v>
      </c>
      <c r="N318" s="106">
        <v>0.94130107965625798</v>
      </c>
      <c r="P318" s="106">
        <v>0.4407266133311657</v>
      </c>
      <c r="Q318" s="106">
        <v>0.41296394364169831</v>
      </c>
      <c r="R318" s="106">
        <v>0.45460794817589939</v>
      </c>
      <c r="S318" s="106">
        <v>0.39908260879696461</v>
      </c>
      <c r="AA318" s="106">
        <v>1650.5</v>
      </c>
      <c r="AB318" s="106">
        <v>1625.7650762896587</v>
      </c>
    </row>
    <row r="319" spans="1:28" x14ac:dyDescent="0.2">
      <c r="A319" s="14">
        <v>43455</v>
      </c>
      <c r="B319" s="106">
        <v>778.2</v>
      </c>
      <c r="C319" s="106">
        <v>764.7</v>
      </c>
      <c r="D319" s="106">
        <v>1770.5</v>
      </c>
      <c r="E319" s="106">
        <v>1732.5</v>
      </c>
      <c r="F319" s="106">
        <v>0.44138528138528099</v>
      </c>
      <c r="G319" s="106">
        <v>0.42689164984981898</v>
      </c>
      <c r="H319" s="106">
        <v>1.3900394997770399E-2</v>
      </c>
      <c r="I319" s="106">
        <v>1.04267767482774</v>
      </c>
      <c r="J319" s="106">
        <v>3.28</v>
      </c>
      <c r="K319" s="106">
        <v>0.93566037003913305</v>
      </c>
      <c r="L319" s="106">
        <v>0.33561481510234897</v>
      </c>
      <c r="M319" s="106">
        <v>0.49790584849357999</v>
      </c>
      <c r="N319" s="106">
        <v>0.93525992880899</v>
      </c>
      <c r="P319" s="106">
        <v>0.44079204484758938</v>
      </c>
      <c r="Q319" s="106">
        <v>0.41299125485204857</v>
      </c>
      <c r="R319" s="106">
        <v>0.45469243984535979</v>
      </c>
      <c r="S319" s="106">
        <v>0.39909085985427817</v>
      </c>
      <c r="AA319" s="106">
        <v>1732.5</v>
      </c>
      <c r="AB319" s="106">
        <v>1748.3090336643259</v>
      </c>
    </row>
    <row r="320" spans="1:28" x14ac:dyDescent="0.2">
      <c r="A320" s="14">
        <v>43454</v>
      </c>
      <c r="B320" s="106">
        <v>798</v>
      </c>
      <c r="C320" s="106">
        <v>780</v>
      </c>
      <c r="D320" s="106">
        <v>1800</v>
      </c>
      <c r="E320" s="106">
        <v>1787.5</v>
      </c>
      <c r="F320" s="106">
        <v>0.43636363636363601</v>
      </c>
      <c r="G320" s="106">
        <v>0.42681637695338798</v>
      </c>
      <c r="H320" s="106">
        <v>1.3836846118405501E-2</v>
      </c>
      <c r="I320" s="106">
        <v>0.68998811785213199</v>
      </c>
      <c r="J320" s="106">
        <v>2.19</v>
      </c>
      <c r="K320" s="106">
        <v>0.93485875630744197</v>
      </c>
      <c r="L320" s="106">
        <v>0.32399207728261598</v>
      </c>
      <c r="M320" s="106">
        <v>0.483197312102572</v>
      </c>
      <c r="N320" s="106">
        <v>0.954273989523447</v>
      </c>
      <c r="P320" s="106">
        <v>0.4406532230717935</v>
      </c>
      <c r="Q320" s="106">
        <v>0.41297953083498246</v>
      </c>
      <c r="R320" s="106">
        <v>0.45449006919019896</v>
      </c>
      <c r="S320" s="106">
        <v>0.39914268471657699</v>
      </c>
      <c r="AA320" s="106">
        <v>1787.5</v>
      </c>
      <c r="AB320" s="106">
        <v>1783.2889319447809</v>
      </c>
    </row>
    <row r="321" spans="1:28" x14ac:dyDescent="0.2">
      <c r="A321" s="14">
        <v>43453</v>
      </c>
      <c r="B321" s="106">
        <v>811.3</v>
      </c>
      <c r="C321" s="106">
        <v>798.4</v>
      </c>
      <c r="D321" s="106">
        <v>1842</v>
      </c>
      <c r="E321" s="106">
        <v>1852.5</v>
      </c>
      <c r="F321" s="106">
        <v>0.43098515519568098</v>
      </c>
      <c r="G321" s="106">
        <v>0.42673965317330997</v>
      </c>
      <c r="H321" s="106">
        <v>1.37995982073949E-2</v>
      </c>
      <c r="I321" s="106">
        <v>0.30765403155694199</v>
      </c>
      <c r="J321" s="106">
        <v>0.99</v>
      </c>
      <c r="K321" s="106">
        <v>0.93363111017195199</v>
      </c>
      <c r="L321" s="106">
        <v>0.31104980994238002</v>
      </c>
      <c r="M321" s="106">
        <v>0.46972639951521</v>
      </c>
      <c r="N321" s="106">
        <v>0.95748582054864295</v>
      </c>
      <c r="P321" s="106">
        <v>0.44053925138070488</v>
      </c>
      <c r="Q321" s="106">
        <v>0.41294005496591507</v>
      </c>
      <c r="R321" s="106">
        <v>0.45433884958809978</v>
      </c>
      <c r="S321" s="106">
        <v>0.39914045675852017</v>
      </c>
      <c r="AA321" s="106">
        <v>1852.5</v>
      </c>
      <c r="AB321" s="106">
        <v>1825.3562605957861</v>
      </c>
    </row>
    <row r="322" spans="1:28" x14ac:dyDescent="0.2">
      <c r="A322" s="14">
        <v>43452</v>
      </c>
      <c r="B322" s="106">
        <v>817.6</v>
      </c>
      <c r="C322" s="106">
        <v>814.8</v>
      </c>
      <c r="D322" s="106">
        <v>1856</v>
      </c>
      <c r="E322" s="106">
        <v>1849.5</v>
      </c>
      <c r="F322" s="106">
        <v>0.440551500405515</v>
      </c>
      <c r="G322" s="106">
        <v>0.42671775407743001</v>
      </c>
      <c r="H322" s="106">
        <v>1.3794145627166301E-2</v>
      </c>
      <c r="I322" s="106">
        <v>1.0028708339021699</v>
      </c>
      <c r="J322" s="106">
        <v>3.14</v>
      </c>
      <c r="K322" s="106">
        <v>0.93248142091908204</v>
      </c>
      <c r="L322" s="106">
        <v>0.34661926109207802</v>
      </c>
      <c r="M322" s="106">
        <v>0.45843480197094699</v>
      </c>
      <c r="N322" s="106">
        <v>0.96055583399965405</v>
      </c>
      <c r="P322" s="106">
        <v>0.44051189970459631</v>
      </c>
      <c r="Q322" s="106">
        <v>0.41292360845026371</v>
      </c>
      <c r="R322" s="106">
        <v>0.45430604533176261</v>
      </c>
      <c r="S322" s="106">
        <v>0.39912946282309741</v>
      </c>
      <c r="AA322" s="106">
        <v>1849.5</v>
      </c>
      <c r="AB322" s="106">
        <v>1862.8510535238556</v>
      </c>
    </row>
    <row r="323" spans="1:28" x14ac:dyDescent="0.2">
      <c r="A323" s="14">
        <v>43451</v>
      </c>
      <c r="B323" s="106">
        <v>825.7</v>
      </c>
      <c r="C323" s="106">
        <v>825.8</v>
      </c>
      <c r="D323" s="106">
        <v>1881.5</v>
      </c>
      <c r="E323" s="106">
        <v>1888</v>
      </c>
      <c r="F323" s="106">
        <v>0.43739406779661</v>
      </c>
      <c r="G323" s="106">
        <v>0.42666276829612099</v>
      </c>
      <c r="H323" s="106">
        <v>1.37470312852528E-2</v>
      </c>
      <c r="I323" s="106">
        <v>0.78062668788721301</v>
      </c>
      <c r="J323" s="106">
        <v>2.4500000000000002</v>
      </c>
      <c r="K323" s="106">
        <v>0.929246961572333</v>
      </c>
      <c r="L323" s="106">
        <v>0.374583700196017</v>
      </c>
      <c r="M323" s="106">
        <v>0.447445627990114</v>
      </c>
      <c r="N323" s="106">
        <v>0.96479195621210301</v>
      </c>
      <c r="P323" s="106">
        <v>0.44040979958137377</v>
      </c>
      <c r="Q323" s="106">
        <v>0.4129157370108682</v>
      </c>
      <c r="R323" s="106">
        <v>0.45415683086662662</v>
      </c>
      <c r="S323" s="106">
        <v>0.39916870572561536</v>
      </c>
      <c r="AA323" s="106">
        <v>1888</v>
      </c>
      <c r="AB323" s="106">
        <v>1888</v>
      </c>
    </row>
    <row r="324" spans="1:28" x14ac:dyDescent="0.2">
      <c r="A324" s="14"/>
    </row>
    <row r="325" spans="1:28" x14ac:dyDescent="0.2">
      <c r="A325" s="14"/>
    </row>
    <row r="326" spans="1:28" x14ac:dyDescent="0.2">
      <c r="A326" s="14"/>
    </row>
    <row r="327" spans="1:28" x14ac:dyDescent="0.2">
      <c r="A327" s="14"/>
    </row>
    <row r="328" spans="1:28" x14ac:dyDescent="0.2">
      <c r="A328" s="14"/>
    </row>
    <row r="329" spans="1:28" x14ac:dyDescent="0.2">
      <c r="A329" s="14"/>
    </row>
    <row r="330" spans="1:28" x14ac:dyDescent="0.2">
      <c r="A330" s="14"/>
    </row>
    <row r="331" spans="1:28" x14ac:dyDescent="0.2">
      <c r="A331" s="14"/>
    </row>
    <row r="332" spans="1:28" x14ac:dyDescent="0.2">
      <c r="A332" s="14"/>
    </row>
    <row r="333" spans="1:28" x14ac:dyDescent="0.2">
      <c r="A333" s="14"/>
    </row>
    <row r="334" spans="1:28" x14ac:dyDescent="0.2">
      <c r="A334" s="14"/>
    </row>
    <row r="335" spans="1:28" x14ac:dyDescent="0.2">
      <c r="A335" s="14"/>
    </row>
    <row r="336" spans="1:28" x14ac:dyDescent="0.2">
      <c r="A336" s="14"/>
    </row>
    <row r="337" spans="1:9" x14ac:dyDescent="0.2">
      <c r="A337" s="14"/>
    </row>
    <row r="338" spans="1:9" x14ac:dyDescent="0.2">
      <c r="A338" s="14"/>
    </row>
    <row r="339" spans="1:9" x14ac:dyDescent="0.2">
      <c r="A339" s="14"/>
    </row>
    <row r="340" spans="1:9" x14ac:dyDescent="0.2">
      <c r="A340" s="14"/>
    </row>
    <row r="341" spans="1:9" x14ac:dyDescent="0.2">
      <c r="A341" s="14"/>
    </row>
    <row r="342" spans="1:9" x14ac:dyDescent="0.2">
      <c r="A342" s="14"/>
    </row>
    <row r="343" spans="1:9" x14ac:dyDescent="0.2">
      <c r="A343" s="14"/>
    </row>
    <row r="344" spans="1:9" x14ac:dyDescent="0.2">
      <c r="A344" s="14"/>
    </row>
    <row r="345" spans="1:9" x14ac:dyDescent="0.2">
      <c r="A345" s="14"/>
    </row>
    <row r="346" spans="1:9" x14ac:dyDescent="0.2">
      <c r="A346" s="14"/>
    </row>
    <row r="347" spans="1:9" x14ac:dyDescent="0.2">
      <c r="A347" s="14"/>
      <c r="I347" s="15"/>
    </row>
    <row r="348" spans="1:9" x14ac:dyDescent="0.2">
      <c r="A348" s="14"/>
    </row>
    <row r="349" spans="1:9" x14ac:dyDescent="0.2">
      <c r="A349" s="14"/>
    </row>
    <row r="350" spans="1:9" x14ac:dyDescent="0.2">
      <c r="A350" s="14"/>
    </row>
    <row r="351" spans="1:9" x14ac:dyDescent="0.2">
      <c r="A351" s="14"/>
    </row>
    <row r="352" spans="1:9" x14ac:dyDescent="0.2">
      <c r="A352" s="14"/>
    </row>
    <row r="353" spans="1:1" x14ac:dyDescent="0.2">
      <c r="A353" s="14"/>
    </row>
    <row r="354" spans="1:1" x14ac:dyDescent="0.2">
      <c r="A354" s="14"/>
    </row>
    <row r="355" spans="1:1" x14ac:dyDescent="0.2">
      <c r="A355" s="14"/>
    </row>
    <row r="356" spans="1:1" x14ac:dyDescent="0.2">
      <c r="A356" s="14"/>
    </row>
    <row r="357" spans="1:1" x14ac:dyDescent="0.2">
      <c r="A357" s="14"/>
    </row>
    <row r="358" spans="1:1" x14ac:dyDescent="0.2">
      <c r="A358" s="14"/>
    </row>
    <row r="359" spans="1:1" x14ac:dyDescent="0.2">
      <c r="A359" s="14"/>
    </row>
    <row r="360" spans="1:1" x14ac:dyDescent="0.2">
      <c r="A360" s="14"/>
    </row>
    <row r="361" spans="1:1" x14ac:dyDescent="0.2">
      <c r="A361" s="14"/>
    </row>
    <row r="362" spans="1:1" x14ac:dyDescent="0.2">
      <c r="A362" s="14"/>
    </row>
    <row r="363" spans="1:1" x14ac:dyDescent="0.2">
      <c r="A363" s="14"/>
    </row>
    <row r="364" spans="1:1" x14ac:dyDescent="0.2">
      <c r="A364" s="14"/>
    </row>
    <row r="365" spans="1:1" x14ac:dyDescent="0.2">
      <c r="A365" s="14"/>
    </row>
    <row r="366" spans="1:1" x14ac:dyDescent="0.2">
      <c r="A366" s="14"/>
    </row>
    <row r="367" spans="1:1" x14ac:dyDescent="0.2">
      <c r="A367" s="14"/>
    </row>
    <row r="368" spans="1:1" x14ac:dyDescent="0.2">
      <c r="A368" s="14"/>
    </row>
    <row r="369" spans="1:12" x14ac:dyDescent="0.2">
      <c r="A369" s="14"/>
    </row>
    <row r="370" spans="1:12" x14ac:dyDescent="0.2">
      <c r="A370" s="14"/>
    </row>
    <row r="371" spans="1:12" x14ac:dyDescent="0.2">
      <c r="A371" s="14"/>
    </row>
    <row r="372" spans="1:12" x14ac:dyDescent="0.2">
      <c r="A372" s="14"/>
    </row>
    <row r="373" spans="1:12" x14ac:dyDescent="0.2">
      <c r="A373" s="14"/>
    </row>
    <row r="374" spans="1:12" x14ac:dyDescent="0.2">
      <c r="A374" s="14"/>
    </row>
    <row r="375" spans="1:12" x14ac:dyDescent="0.2">
      <c r="A375" s="14"/>
    </row>
    <row r="376" spans="1:12" x14ac:dyDescent="0.2">
      <c r="A376" s="14"/>
    </row>
    <row r="377" spans="1:12" x14ac:dyDescent="0.2">
      <c r="A377" s="14"/>
      <c r="I377" s="15"/>
    </row>
    <row r="378" spans="1:12" x14ac:dyDescent="0.2">
      <c r="A378" s="14"/>
    </row>
    <row r="379" spans="1:12" x14ac:dyDescent="0.2">
      <c r="A379" s="14"/>
    </row>
    <row r="380" spans="1:12" x14ac:dyDescent="0.2">
      <c r="A380" s="14"/>
    </row>
    <row r="381" spans="1:12" x14ac:dyDescent="0.2">
      <c r="A381" s="14"/>
    </row>
    <row r="382" spans="1:12" x14ac:dyDescent="0.2">
      <c r="A382" s="14"/>
    </row>
    <row r="383" spans="1:12" x14ac:dyDescent="0.2">
      <c r="A383" s="14"/>
    </row>
    <row r="384" spans="1:12" x14ac:dyDescent="0.2">
      <c r="A384" s="14"/>
      <c r="L384" s="15"/>
    </row>
    <row r="385" spans="1:1" x14ac:dyDescent="0.2">
      <c r="A385" s="14"/>
    </row>
    <row r="386" spans="1:1" x14ac:dyDescent="0.2">
      <c r="A386" s="14"/>
    </row>
    <row r="387" spans="1:1" x14ac:dyDescent="0.2">
      <c r="A387" s="14"/>
    </row>
    <row r="388" spans="1:1" x14ac:dyDescent="0.2">
      <c r="A388" s="14"/>
    </row>
    <row r="389" spans="1:1" x14ac:dyDescent="0.2">
      <c r="A389" s="14"/>
    </row>
    <row r="390" spans="1:1" x14ac:dyDescent="0.2">
      <c r="A390" s="14"/>
    </row>
    <row r="391" spans="1:1" x14ac:dyDescent="0.2">
      <c r="A391" s="14"/>
    </row>
    <row r="392" spans="1:1" x14ac:dyDescent="0.2">
      <c r="A392" s="14"/>
    </row>
    <row r="393" spans="1:1" x14ac:dyDescent="0.2">
      <c r="A393" s="14"/>
    </row>
    <row r="394" spans="1:1" x14ac:dyDescent="0.2">
      <c r="A394" s="14"/>
    </row>
    <row r="395" spans="1:1" x14ac:dyDescent="0.2">
      <c r="A395" s="14"/>
    </row>
    <row r="396" spans="1:1" x14ac:dyDescent="0.2">
      <c r="A396" s="14"/>
    </row>
    <row r="397" spans="1:1" x14ac:dyDescent="0.2">
      <c r="A397" s="14"/>
    </row>
    <row r="398" spans="1:1" x14ac:dyDescent="0.2">
      <c r="A398" s="14"/>
    </row>
    <row r="399" spans="1:1" x14ac:dyDescent="0.2">
      <c r="A399" s="14"/>
    </row>
    <row r="400" spans="1:1" x14ac:dyDescent="0.2">
      <c r="A400" s="14"/>
    </row>
    <row r="401" spans="1:12" x14ac:dyDescent="0.2">
      <c r="A401" s="14"/>
    </row>
    <row r="402" spans="1:12" x14ac:dyDescent="0.2">
      <c r="A402" s="14"/>
    </row>
    <row r="403" spans="1:12" x14ac:dyDescent="0.2">
      <c r="A403" s="14"/>
    </row>
    <row r="404" spans="1:12" x14ac:dyDescent="0.2">
      <c r="A404" s="14"/>
    </row>
    <row r="405" spans="1:12" x14ac:dyDescent="0.2">
      <c r="A405" s="14"/>
    </row>
    <row r="406" spans="1:12" x14ac:dyDescent="0.2">
      <c r="A406" s="14"/>
    </row>
    <row r="407" spans="1:12" x14ac:dyDescent="0.2">
      <c r="A407" s="14"/>
    </row>
    <row r="408" spans="1:12" x14ac:dyDescent="0.2">
      <c r="A408" s="14"/>
    </row>
    <row r="409" spans="1:12" x14ac:dyDescent="0.2">
      <c r="A409" s="14"/>
    </row>
    <row r="410" spans="1:12" x14ac:dyDescent="0.2">
      <c r="A410" s="14"/>
    </row>
    <row r="411" spans="1:12" x14ac:dyDescent="0.2">
      <c r="A411" s="14"/>
    </row>
    <row r="412" spans="1:12" x14ac:dyDescent="0.2">
      <c r="A412" s="14"/>
    </row>
    <row r="413" spans="1:12" x14ac:dyDescent="0.2">
      <c r="A413" s="14"/>
    </row>
    <row r="414" spans="1:12" x14ac:dyDescent="0.2">
      <c r="A414" s="14"/>
      <c r="L414" s="15"/>
    </row>
    <row r="415" spans="1:12" x14ac:dyDescent="0.2">
      <c r="A415" s="14"/>
      <c r="L415" s="15"/>
    </row>
    <row r="416" spans="1:12" x14ac:dyDescent="0.2">
      <c r="A416" s="14"/>
    </row>
    <row r="417" spans="1:1" x14ac:dyDescent="0.2">
      <c r="A417" s="14"/>
    </row>
    <row r="418" spans="1:1" x14ac:dyDescent="0.2">
      <c r="A418" s="14"/>
    </row>
    <row r="419" spans="1:1" x14ac:dyDescent="0.2">
      <c r="A419" s="14"/>
    </row>
    <row r="420" spans="1:1" x14ac:dyDescent="0.2">
      <c r="A420" s="14"/>
    </row>
    <row r="421" spans="1:1" x14ac:dyDescent="0.2">
      <c r="A421" s="14"/>
    </row>
    <row r="422" spans="1:1" x14ac:dyDescent="0.2">
      <c r="A422" s="14"/>
    </row>
    <row r="423" spans="1:1" x14ac:dyDescent="0.2">
      <c r="A423" s="14"/>
    </row>
    <row r="424" spans="1:1" x14ac:dyDescent="0.2">
      <c r="A424" s="14"/>
    </row>
    <row r="425" spans="1:1" x14ac:dyDescent="0.2">
      <c r="A425" s="14"/>
    </row>
    <row r="426" spans="1:1" x14ac:dyDescent="0.2">
      <c r="A426" s="14"/>
    </row>
    <row r="427" spans="1:1" x14ac:dyDescent="0.2">
      <c r="A427" s="14"/>
    </row>
    <row r="428" spans="1:1" x14ac:dyDescent="0.2">
      <c r="A428" s="14"/>
    </row>
    <row r="429" spans="1:1" x14ac:dyDescent="0.2">
      <c r="A429" s="14"/>
    </row>
    <row r="430" spans="1:1" x14ac:dyDescent="0.2">
      <c r="A430" s="14"/>
    </row>
    <row r="431" spans="1:1" x14ac:dyDescent="0.2">
      <c r="A431" s="14"/>
    </row>
    <row r="432" spans="1:1" x14ac:dyDescent="0.2">
      <c r="A432" s="14"/>
    </row>
    <row r="433" spans="1:1" x14ac:dyDescent="0.2">
      <c r="A433" s="14"/>
    </row>
    <row r="434" spans="1:1" x14ac:dyDescent="0.2">
      <c r="A434" s="14"/>
    </row>
    <row r="435" spans="1:1" x14ac:dyDescent="0.2">
      <c r="A435" s="14"/>
    </row>
    <row r="436" spans="1:1" x14ac:dyDescent="0.2">
      <c r="A436" s="14"/>
    </row>
    <row r="437" spans="1:1" x14ac:dyDescent="0.2">
      <c r="A437" s="14"/>
    </row>
    <row r="438" spans="1:1" x14ac:dyDescent="0.2">
      <c r="A438" s="14"/>
    </row>
    <row r="439" spans="1:1" x14ac:dyDescent="0.2">
      <c r="A439" s="14"/>
    </row>
    <row r="440" spans="1:1" x14ac:dyDescent="0.2">
      <c r="A440" s="14"/>
    </row>
    <row r="441" spans="1:1" x14ac:dyDescent="0.2">
      <c r="A441" s="14"/>
    </row>
    <row r="442" spans="1:1" x14ac:dyDescent="0.2">
      <c r="A442" s="14"/>
    </row>
    <row r="443" spans="1:1" x14ac:dyDescent="0.2">
      <c r="A443" s="14"/>
    </row>
    <row r="444" spans="1:1" x14ac:dyDescent="0.2">
      <c r="A444" s="14"/>
    </row>
    <row r="445" spans="1:1" x14ac:dyDescent="0.2">
      <c r="A445" s="14"/>
    </row>
    <row r="446" spans="1:1" x14ac:dyDescent="0.2">
      <c r="A446" s="14"/>
    </row>
    <row r="447" spans="1:1" x14ac:dyDescent="0.2">
      <c r="A447" s="14"/>
    </row>
    <row r="448" spans="1:1" x14ac:dyDescent="0.2">
      <c r="A448" s="14"/>
    </row>
    <row r="449" spans="1:1" x14ac:dyDescent="0.2">
      <c r="A449" s="14"/>
    </row>
    <row r="450" spans="1:1" x14ac:dyDescent="0.2">
      <c r="A450" s="14"/>
    </row>
    <row r="451" spans="1:1" x14ac:dyDescent="0.2">
      <c r="A451" s="14"/>
    </row>
    <row r="452" spans="1:1" x14ac:dyDescent="0.2">
      <c r="A452" s="14"/>
    </row>
    <row r="453" spans="1:1" x14ac:dyDescent="0.2">
      <c r="A453" s="14"/>
    </row>
    <row r="454" spans="1:1" x14ac:dyDescent="0.2">
      <c r="A454" s="14"/>
    </row>
    <row r="455" spans="1:1" x14ac:dyDescent="0.2">
      <c r="A455" s="14"/>
    </row>
    <row r="456" spans="1:1" x14ac:dyDescent="0.2">
      <c r="A456" s="14"/>
    </row>
    <row r="457" spans="1:1" x14ac:dyDescent="0.2">
      <c r="A457" s="14"/>
    </row>
    <row r="458" spans="1:1" x14ac:dyDescent="0.2">
      <c r="A458" s="14"/>
    </row>
    <row r="459" spans="1:1" x14ac:dyDescent="0.2">
      <c r="A459" s="14"/>
    </row>
    <row r="460" spans="1:1" x14ac:dyDescent="0.2">
      <c r="A460" s="14"/>
    </row>
    <row r="461" spans="1:1" x14ac:dyDescent="0.2">
      <c r="A461" s="14"/>
    </row>
    <row r="462" spans="1:1" x14ac:dyDescent="0.2">
      <c r="A462" s="14"/>
    </row>
    <row r="463" spans="1:1" x14ac:dyDescent="0.2">
      <c r="A463" s="14"/>
    </row>
    <row r="464" spans="1:1" x14ac:dyDescent="0.2">
      <c r="A464" s="14"/>
    </row>
    <row r="465" spans="1:1" x14ac:dyDescent="0.2">
      <c r="A465" s="14"/>
    </row>
    <row r="466" spans="1:1" x14ac:dyDescent="0.2">
      <c r="A466" s="14"/>
    </row>
    <row r="467" spans="1:1" x14ac:dyDescent="0.2">
      <c r="A467" s="14"/>
    </row>
    <row r="468" spans="1:1" x14ac:dyDescent="0.2">
      <c r="A468" s="14"/>
    </row>
    <row r="469" spans="1:1" x14ac:dyDescent="0.2">
      <c r="A469" s="14"/>
    </row>
    <row r="470" spans="1:1" x14ac:dyDescent="0.2">
      <c r="A470" s="14"/>
    </row>
    <row r="471" spans="1:1" x14ac:dyDescent="0.2">
      <c r="A471" s="14"/>
    </row>
    <row r="472" spans="1:1" x14ac:dyDescent="0.2">
      <c r="A472" s="14"/>
    </row>
    <row r="473" spans="1:1" x14ac:dyDescent="0.2">
      <c r="A473" s="14"/>
    </row>
    <row r="474" spans="1:1" x14ac:dyDescent="0.2">
      <c r="A474" s="14"/>
    </row>
    <row r="475" spans="1:1" x14ac:dyDescent="0.2">
      <c r="A475" s="14"/>
    </row>
    <row r="476" spans="1:1" x14ac:dyDescent="0.2">
      <c r="A476" s="14"/>
    </row>
    <row r="477" spans="1:1" x14ac:dyDescent="0.2">
      <c r="A477" s="14"/>
    </row>
    <row r="478" spans="1:1" x14ac:dyDescent="0.2">
      <c r="A478" s="14"/>
    </row>
    <row r="479" spans="1:1" x14ac:dyDescent="0.2">
      <c r="A479" s="14"/>
    </row>
    <row r="480" spans="1:1" x14ac:dyDescent="0.2">
      <c r="A480" s="14"/>
    </row>
    <row r="481" spans="1:12" x14ac:dyDescent="0.2">
      <c r="A481" s="14"/>
    </row>
    <row r="482" spans="1:12" x14ac:dyDescent="0.2">
      <c r="A482" s="14"/>
    </row>
    <row r="483" spans="1:12" x14ac:dyDescent="0.2">
      <c r="A483" s="14"/>
    </row>
    <row r="484" spans="1:12" x14ac:dyDescent="0.2">
      <c r="A484" s="14"/>
    </row>
    <row r="485" spans="1:12" x14ac:dyDescent="0.2">
      <c r="A485" s="14"/>
    </row>
    <row r="486" spans="1:12" x14ac:dyDescent="0.2">
      <c r="A486" s="14"/>
      <c r="L486" s="15"/>
    </row>
    <row r="487" spans="1:12" x14ac:dyDescent="0.2">
      <c r="A487" s="14"/>
    </row>
    <row r="488" spans="1:12" x14ac:dyDescent="0.2">
      <c r="A488" s="14"/>
      <c r="L488" s="15"/>
    </row>
    <row r="489" spans="1:12" x14ac:dyDescent="0.2">
      <c r="A489" s="14"/>
      <c r="L489" s="15"/>
    </row>
    <row r="490" spans="1:12" x14ac:dyDescent="0.2">
      <c r="A490" s="14"/>
    </row>
    <row r="491" spans="1:12" x14ac:dyDescent="0.2">
      <c r="A491" s="14"/>
    </row>
    <row r="492" spans="1:12" x14ac:dyDescent="0.2">
      <c r="A492" s="14"/>
    </row>
    <row r="493" spans="1:12" x14ac:dyDescent="0.2">
      <c r="A493" s="14"/>
    </row>
    <row r="494" spans="1:12" x14ac:dyDescent="0.2">
      <c r="A494" s="14"/>
    </row>
    <row r="495" spans="1:12" x14ac:dyDescent="0.2">
      <c r="A495" s="14"/>
    </row>
    <row r="496" spans="1:12" x14ac:dyDescent="0.2">
      <c r="A496" s="14"/>
    </row>
    <row r="497" spans="1:1" x14ac:dyDescent="0.2">
      <c r="A497" s="14"/>
    </row>
    <row r="498" spans="1:1" x14ac:dyDescent="0.2">
      <c r="A498" s="14"/>
    </row>
    <row r="499" spans="1:1" x14ac:dyDescent="0.2">
      <c r="A499" s="14"/>
    </row>
    <row r="500" spans="1:1" x14ac:dyDescent="0.2">
      <c r="A500" s="14"/>
    </row>
    <row r="501" spans="1:1" x14ac:dyDescent="0.2">
      <c r="A501" s="14"/>
    </row>
    <row r="502" spans="1:1" x14ac:dyDescent="0.2">
      <c r="A502" s="14"/>
    </row>
    <row r="503" spans="1:1" x14ac:dyDescent="0.2">
      <c r="A503" s="14"/>
    </row>
    <row r="504" spans="1:1" x14ac:dyDescent="0.2">
      <c r="A504" s="14"/>
    </row>
    <row r="505" spans="1:1" x14ac:dyDescent="0.2">
      <c r="A505" s="14"/>
    </row>
    <row r="506" spans="1:1" x14ac:dyDescent="0.2">
      <c r="A506" s="14"/>
    </row>
    <row r="507" spans="1:1" x14ac:dyDescent="0.2">
      <c r="A507" s="14"/>
    </row>
    <row r="508" spans="1:1" x14ac:dyDescent="0.2">
      <c r="A508" s="14"/>
    </row>
    <row r="509" spans="1:1" x14ac:dyDescent="0.2">
      <c r="A509" s="14"/>
    </row>
    <row r="510" spans="1:1" x14ac:dyDescent="0.2">
      <c r="A510" s="14"/>
    </row>
    <row r="511" spans="1:1" x14ac:dyDescent="0.2">
      <c r="A511" s="14"/>
    </row>
    <row r="512" spans="1:1" x14ac:dyDescent="0.2">
      <c r="A512" s="14"/>
    </row>
    <row r="513" spans="1:1" x14ac:dyDescent="0.2">
      <c r="A513" s="14"/>
    </row>
    <row r="514" spans="1:1" x14ac:dyDescent="0.2">
      <c r="A514" s="14"/>
    </row>
    <row r="515" spans="1:1" x14ac:dyDescent="0.2">
      <c r="A515" s="14"/>
    </row>
    <row r="516" spans="1:1" x14ac:dyDescent="0.2">
      <c r="A516" s="14"/>
    </row>
    <row r="517" spans="1:1" x14ac:dyDescent="0.2">
      <c r="A517" s="14"/>
    </row>
    <row r="518" spans="1:1" x14ac:dyDescent="0.2">
      <c r="A518" s="14"/>
    </row>
    <row r="519" spans="1:1" x14ac:dyDescent="0.2">
      <c r="A519" s="14"/>
    </row>
    <row r="520" spans="1:1" x14ac:dyDescent="0.2">
      <c r="A520" s="14"/>
    </row>
    <row r="521" spans="1:1" x14ac:dyDescent="0.2">
      <c r="A521" s="14"/>
    </row>
    <row r="522" spans="1:1" x14ac:dyDescent="0.2">
      <c r="A522" s="14"/>
    </row>
    <row r="523" spans="1:1" x14ac:dyDescent="0.2">
      <c r="A523" s="14"/>
    </row>
    <row r="524" spans="1:1" x14ac:dyDescent="0.2">
      <c r="A524" s="14"/>
    </row>
    <row r="525" spans="1:1" x14ac:dyDescent="0.2">
      <c r="A525" s="14"/>
    </row>
    <row r="526" spans="1:1" x14ac:dyDescent="0.2">
      <c r="A526" s="14"/>
    </row>
    <row r="527" spans="1:1" x14ac:dyDescent="0.2">
      <c r="A527" s="14"/>
    </row>
    <row r="528" spans="1:1" x14ac:dyDescent="0.2">
      <c r="A528" s="14"/>
    </row>
    <row r="529" spans="1:12" x14ac:dyDescent="0.2">
      <c r="A529" s="14"/>
    </row>
    <row r="530" spans="1:12" x14ac:dyDescent="0.2">
      <c r="A530" s="14"/>
      <c r="L530" s="15"/>
    </row>
    <row r="531" spans="1:12" x14ac:dyDescent="0.2">
      <c r="A531" s="14"/>
      <c r="L531" s="15"/>
    </row>
    <row r="532" spans="1:12" x14ac:dyDescent="0.2">
      <c r="A532" s="14"/>
      <c r="L532" s="15"/>
    </row>
    <row r="533" spans="1:12" x14ac:dyDescent="0.2">
      <c r="A533" s="14"/>
      <c r="L533" s="15"/>
    </row>
    <row r="534" spans="1:12" x14ac:dyDescent="0.2">
      <c r="A534" s="14"/>
      <c r="L534" s="15"/>
    </row>
    <row r="535" spans="1:12" x14ac:dyDescent="0.2">
      <c r="A535" s="14"/>
      <c r="L535" s="15"/>
    </row>
    <row r="536" spans="1:12" x14ac:dyDescent="0.2">
      <c r="A536" s="14"/>
      <c r="L536" s="15"/>
    </row>
    <row r="537" spans="1:12" x14ac:dyDescent="0.2">
      <c r="A537" s="14"/>
      <c r="L537" s="15"/>
    </row>
    <row r="538" spans="1:12" x14ac:dyDescent="0.2">
      <c r="A538" s="14"/>
    </row>
    <row r="539" spans="1:12" x14ac:dyDescent="0.2">
      <c r="A539" s="14"/>
    </row>
    <row r="540" spans="1:12" x14ac:dyDescent="0.2">
      <c r="A540" s="14"/>
    </row>
    <row r="541" spans="1:12" x14ac:dyDescent="0.2">
      <c r="A541" s="14"/>
    </row>
    <row r="542" spans="1:12" x14ac:dyDescent="0.2">
      <c r="A542" s="14"/>
    </row>
    <row r="543" spans="1:12" x14ac:dyDescent="0.2">
      <c r="A543" s="14"/>
    </row>
    <row r="544" spans="1:12" x14ac:dyDescent="0.2">
      <c r="A544" s="14"/>
    </row>
    <row r="545" spans="1:1" x14ac:dyDescent="0.2">
      <c r="A545" s="14"/>
    </row>
    <row r="546" spans="1:1" x14ac:dyDescent="0.2">
      <c r="A546" s="14"/>
    </row>
    <row r="547" spans="1:1" x14ac:dyDescent="0.2">
      <c r="A547" s="14"/>
    </row>
    <row r="548" spans="1:1" x14ac:dyDescent="0.2">
      <c r="A548" s="14"/>
    </row>
    <row r="549" spans="1:1" x14ac:dyDescent="0.2">
      <c r="A549" s="14"/>
    </row>
    <row r="550" spans="1:1" x14ac:dyDescent="0.2">
      <c r="A550" s="14"/>
    </row>
    <row r="551" spans="1:1" x14ac:dyDescent="0.2">
      <c r="A551" s="14"/>
    </row>
    <row r="552" spans="1:1" x14ac:dyDescent="0.2">
      <c r="A552" s="14"/>
    </row>
    <row r="553" spans="1:1" x14ac:dyDescent="0.2">
      <c r="A553" s="14"/>
    </row>
    <row r="554" spans="1:1" x14ac:dyDescent="0.2">
      <c r="A554" s="14"/>
    </row>
    <row r="555" spans="1:1" x14ac:dyDescent="0.2">
      <c r="A555" s="14"/>
    </row>
    <row r="556" spans="1:1" x14ac:dyDescent="0.2">
      <c r="A556" s="14"/>
    </row>
    <row r="557" spans="1:1" x14ac:dyDescent="0.2">
      <c r="A557" s="14"/>
    </row>
    <row r="558" spans="1:1" x14ac:dyDescent="0.2">
      <c r="A558" s="14"/>
    </row>
    <row r="559" spans="1:1" x14ac:dyDescent="0.2">
      <c r="A559" s="14"/>
    </row>
    <row r="560" spans="1:1" x14ac:dyDescent="0.2">
      <c r="A560" s="14"/>
    </row>
    <row r="561" spans="1:1" x14ac:dyDescent="0.2">
      <c r="A561" s="14"/>
    </row>
    <row r="562" spans="1:1" x14ac:dyDescent="0.2">
      <c r="A562" s="14"/>
    </row>
    <row r="563" spans="1:1" x14ac:dyDescent="0.2">
      <c r="A563" s="14"/>
    </row>
    <row r="564" spans="1:1" x14ac:dyDescent="0.2">
      <c r="A564" s="14"/>
    </row>
    <row r="565" spans="1:1" x14ac:dyDescent="0.2">
      <c r="A565" s="14"/>
    </row>
    <row r="566" spans="1:1" x14ac:dyDescent="0.2">
      <c r="A566" s="14"/>
    </row>
    <row r="567" spans="1:1" x14ac:dyDescent="0.2">
      <c r="A567" s="14"/>
    </row>
    <row r="568" spans="1:1" x14ac:dyDescent="0.2">
      <c r="A568" s="14"/>
    </row>
    <row r="569" spans="1:1" x14ac:dyDescent="0.2">
      <c r="A569" s="14"/>
    </row>
    <row r="570" spans="1:1" x14ac:dyDescent="0.2">
      <c r="A570" s="14"/>
    </row>
    <row r="571" spans="1:1" x14ac:dyDescent="0.2">
      <c r="A571" s="14"/>
    </row>
    <row r="572" spans="1:1" x14ac:dyDescent="0.2">
      <c r="A572" s="14"/>
    </row>
    <row r="573" spans="1:1" x14ac:dyDescent="0.2">
      <c r="A573" s="14"/>
    </row>
    <row r="574" spans="1:1" x14ac:dyDescent="0.2">
      <c r="A574" s="14"/>
    </row>
    <row r="575" spans="1:1" x14ac:dyDescent="0.2">
      <c r="A575" s="14"/>
    </row>
    <row r="576" spans="1:1" x14ac:dyDescent="0.2">
      <c r="A576" s="14"/>
    </row>
    <row r="577" spans="1:12" x14ac:dyDescent="0.2">
      <c r="A577" s="14"/>
    </row>
    <row r="578" spans="1:12" x14ac:dyDescent="0.2">
      <c r="A578" s="14"/>
    </row>
    <row r="579" spans="1:12" x14ac:dyDescent="0.2">
      <c r="A579" s="14"/>
    </row>
    <row r="580" spans="1:12" x14ac:dyDescent="0.2">
      <c r="A580" s="14"/>
    </row>
    <row r="581" spans="1:12" x14ac:dyDescent="0.2">
      <c r="A581" s="14"/>
    </row>
    <row r="582" spans="1:12" x14ac:dyDescent="0.2">
      <c r="A582" s="14"/>
    </row>
    <row r="583" spans="1:12" x14ac:dyDescent="0.2">
      <c r="A583" s="14"/>
    </row>
    <row r="584" spans="1:12" x14ac:dyDescent="0.2">
      <c r="A584" s="14"/>
    </row>
    <row r="585" spans="1:12" x14ac:dyDescent="0.2">
      <c r="A585" s="14"/>
    </row>
    <row r="586" spans="1:12" x14ac:dyDescent="0.2">
      <c r="A586" s="14"/>
    </row>
    <row r="587" spans="1:12" x14ac:dyDescent="0.2">
      <c r="A587" s="14"/>
    </row>
    <row r="588" spans="1:12" x14ac:dyDescent="0.2">
      <c r="A588" s="14"/>
    </row>
    <row r="589" spans="1:12" x14ac:dyDescent="0.2">
      <c r="A589" s="14"/>
    </row>
    <row r="590" spans="1:12" x14ac:dyDescent="0.2">
      <c r="A590" s="14"/>
    </row>
    <row r="591" spans="1:12" x14ac:dyDescent="0.2">
      <c r="A591" s="14"/>
    </row>
    <row r="592" spans="1:12" x14ac:dyDescent="0.2">
      <c r="A592" s="14"/>
      <c r="L592" s="15"/>
    </row>
    <row r="593" spans="1:12" x14ac:dyDescent="0.2">
      <c r="A593" s="14"/>
      <c r="L593" s="15"/>
    </row>
    <row r="594" spans="1:12" x14ac:dyDescent="0.2">
      <c r="A594" s="14"/>
      <c r="L594" s="15"/>
    </row>
    <row r="595" spans="1:12" x14ac:dyDescent="0.2">
      <c r="A595" s="14"/>
      <c r="L595" s="15"/>
    </row>
    <row r="596" spans="1:12" x14ac:dyDescent="0.2">
      <c r="A596" s="14"/>
      <c r="L596" s="15"/>
    </row>
    <row r="597" spans="1:12" x14ac:dyDescent="0.2">
      <c r="A597" s="14"/>
    </row>
    <row r="598" spans="1:12" x14ac:dyDescent="0.2">
      <c r="A598" s="14"/>
    </row>
    <row r="599" spans="1:12" x14ac:dyDescent="0.2">
      <c r="A599" s="14"/>
    </row>
    <row r="600" spans="1:12" x14ac:dyDescent="0.2">
      <c r="A600" s="14"/>
    </row>
    <row r="601" spans="1:12" x14ac:dyDescent="0.2">
      <c r="A601" s="14"/>
    </row>
    <row r="602" spans="1:12" x14ac:dyDescent="0.2">
      <c r="A602" s="14"/>
    </row>
    <row r="603" spans="1:12" x14ac:dyDescent="0.2">
      <c r="A603" s="14"/>
    </row>
    <row r="604" spans="1:12" x14ac:dyDescent="0.2">
      <c r="A604" s="14"/>
    </row>
    <row r="605" spans="1:12" x14ac:dyDescent="0.2">
      <c r="A605" s="14"/>
    </row>
    <row r="606" spans="1:12" x14ac:dyDescent="0.2">
      <c r="A606" s="14"/>
    </row>
    <row r="607" spans="1:12" x14ac:dyDescent="0.2">
      <c r="A607" s="14"/>
    </row>
    <row r="608" spans="1:12" x14ac:dyDescent="0.2">
      <c r="A608" s="14"/>
    </row>
    <row r="609" spans="1:1" x14ac:dyDescent="0.2">
      <c r="A609" s="14"/>
    </row>
    <row r="610" spans="1:1" x14ac:dyDescent="0.2">
      <c r="A610" s="14"/>
    </row>
    <row r="611" spans="1:1" x14ac:dyDescent="0.2">
      <c r="A611" s="14"/>
    </row>
    <row r="612" spans="1:1" x14ac:dyDescent="0.2">
      <c r="A612" s="14"/>
    </row>
    <row r="613" spans="1:1" x14ac:dyDescent="0.2">
      <c r="A613" s="14"/>
    </row>
    <row r="614" spans="1:1" x14ac:dyDescent="0.2">
      <c r="A614" s="14"/>
    </row>
    <row r="615" spans="1:1" x14ac:dyDescent="0.2">
      <c r="A615" s="14"/>
    </row>
    <row r="616" spans="1:1" x14ac:dyDescent="0.2">
      <c r="A616" s="14"/>
    </row>
    <row r="617" spans="1:1" x14ac:dyDescent="0.2">
      <c r="A617" s="14"/>
    </row>
    <row r="618" spans="1:1" x14ac:dyDescent="0.2">
      <c r="A618" s="14"/>
    </row>
    <row r="619" spans="1:1" x14ac:dyDescent="0.2">
      <c r="A619" s="14"/>
    </row>
    <row r="620" spans="1:1" x14ac:dyDescent="0.2">
      <c r="A620" s="14"/>
    </row>
    <row r="621" spans="1:1" x14ac:dyDescent="0.2">
      <c r="A621" s="14"/>
    </row>
    <row r="622" spans="1:1" x14ac:dyDescent="0.2">
      <c r="A622" s="14"/>
    </row>
    <row r="623" spans="1:1" x14ac:dyDescent="0.2">
      <c r="A623" s="14"/>
    </row>
    <row r="624" spans="1:1" x14ac:dyDescent="0.2">
      <c r="A624" s="14"/>
    </row>
    <row r="625" spans="1:1" x14ac:dyDescent="0.2">
      <c r="A625" s="14"/>
    </row>
    <row r="626" spans="1:1" x14ac:dyDescent="0.2">
      <c r="A626" s="14"/>
    </row>
    <row r="627" spans="1:1" x14ac:dyDescent="0.2">
      <c r="A627" s="14"/>
    </row>
    <row r="628" spans="1:1" x14ac:dyDescent="0.2">
      <c r="A628" s="14"/>
    </row>
    <row r="629" spans="1:1" x14ac:dyDescent="0.2">
      <c r="A629" s="14"/>
    </row>
    <row r="630" spans="1:1" x14ac:dyDescent="0.2">
      <c r="A630" s="14"/>
    </row>
    <row r="631" spans="1:1" x14ac:dyDescent="0.2">
      <c r="A631" s="14"/>
    </row>
    <row r="632" spans="1:1" x14ac:dyDescent="0.2">
      <c r="A632" s="14"/>
    </row>
    <row r="633" spans="1:1" x14ac:dyDescent="0.2">
      <c r="A633" s="14"/>
    </row>
    <row r="634" spans="1:1" x14ac:dyDescent="0.2">
      <c r="A634" s="14"/>
    </row>
    <row r="635" spans="1:1" x14ac:dyDescent="0.2">
      <c r="A635" s="14"/>
    </row>
    <row r="636" spans="1:1" x14ac:dyDescent="0.2">
      <c r="A636" s="14"/>
    </row>
    <row r="637" spans="1:1" x14ac:dyDescent="0.2">
      <c r="A637" s="14"/>
    </row>
    <row r="638" spans="1:1" x14ac:dyDescent="0.2">
      <c r="A638" s="14"/>
    </row>
    <row r="639" spans="1:1" x14ac:dyDescent="0.2">
      <c r="A639" s="14"/>
    </row>
    <row r="640" spans="1:1" x14ac:dyDescent="0.2">
      <c r="A640" s="14"/>
    </row>
    <row r="641" spans="1:1" x14ac:dyDescent="0.2">
      <c r="A641" s="14"/>
    </row>
    <row r="642" spans="1:1" x14ac:dyDescent="0.2">
      <c r="A642" s="14"/>
    </row>
    <row r="643" spans="1:1" x14ac:dyDescent="0.2">
      <c r="A643" s="14"/>
    </row>
    <row r="644" spans="1:1" x14ac:dyDescent="0.2">
      <c r="A644" s="14"/>
    </row>
    <row r="645" spans="1:1" x14ac:dyDescent="0.2">
      <c r="A645" s="14"/>
    </row>
    <row r="646" spans="1:1" x14ac:dyDescent="0.2">
      <c r="A646" s="14"/>
    </row>
    <row r="647" spans="1:1" x14ac:dyDescent="0.2">
      <c r="A647" s="14"/>
    </row>
    <row r="648" spans="1:1" x14ac:dyDescent="0.2">
      <c r="A648" s="14"/>
    </row>
    <row r="649" spans="1:1" x14ac:dyDescent="0.2">
      <c r="A649" s="14"/>
    </row>
    <row r="650" spans="1:1" x14ac:dyDescent="0.2">
      <c r="A650" s="14"/>
    </row>
    <row r="651" spans="1:1" x14ac:dyDescent="0.2">
      <c r="A651" s="14"/>
    </row>
    <row r="652" spans="1:1" x14ac:dyDescent="0.2">
      <c r="A652" s="14"/>
    </row>
    <row r="653" spans="1:1" x14ac:dyDescent="0.2">
      <c r="A653" s="14"/>
    </row>
    <row r="654" spans="1:1" x14ac:dyDescent="0.2">
      <c r="A654" s="14"/>
    </row>
    <row r="655" spans="1:1" x14ac:dyDescent="0.2">
      <c r="A655" s="14"/>
    </row>
    <row r="656" spans="1:1" x14ac:dyDescent="0.2">
      <c r="A656" s="14"/>
    </row>
    <row r="657" spans="1:1" x14ac:dyDescent="0.2">
      <c r="A657" s="14"/>
    </row>
    <row r="658" spans="1:1" x14ac:dyDescent="0.2">
      <c r="A658" s="14"/>
    </row>
    <row r="659" spans="1:1" x14ac:dyDescent="0.2">
      <c r="A659" s="14"/>
    </row>
    <row r="660" spans="1:1" x14ac:dyDescent="0.2">
      <c r="A660" s="14"/>
    </row>
    <row r="661" spans="1:1" x14ac:dyDescent="0.2">
      <c r="A661" s="14"/>
    </row>
    <row r="662" spans="1:1" x14ac:dyDescent="0.2">
      <c r="A662" s="14"/>
    </row>
    <row r="663" spans="1:1" x14ac:dyDescent="0.2">
      <c r="A663" s="14"/>
    </row>
    <row r="664" spans="1:1" x14ac:dyDescent="0.2">
      <c r="A664" s="14"/>
    </row>
    <row r="665" spans="1:1" x14ac:dyDescent="0.2">
      <c r="A665" s="14"/>
    </row>
    <row r="666" spans="1:1" x14ac:dyDescent="0.2">
      <c r="A666" s="14"/>
    </row>
    <row r="667" spans="1:1" x14ac:dyDescent="0.2">
      <c r="A667" s="14"/>
    </row>
    <row r="668" spans="1:1" x14ac:dyDescent="0.2">
      <c r="A668" s="14"/>
    </row>
    <row r="669" spans="1:1" x14ac:dyDescent="0.2">
      <c r="A669" s="14"/>
    </row>
    <row r="670" spans="1:1" x14ac:dyDescent="0.2">
      <c r="A670" s="14"/>
    </row>
    <row r="671" spans="1:1" x14ac:dyDescent="0.2">
      <c r="A671" s="14"/>
    </row>
    <row r="672" spans="1:1" x14ac:dyDescent="0.2">
      <c r="A672" s="14"/>
    </row>
    <row r="673" spans="1:1" x14ac:dyDescent="0.2">
      <c r="A673" s="14"/>
    </row>
    <row r="674" spans="1:1" x14ac:dyDescent="0.2">
      <c r="A674" s="14"/>
    </row>
    <row r="675" spans="1:1" x14ac:dyDescent="0.2">
      <c r="A675" s="14"/>
    </row>
    <row r="676" spans="1:1" x14ac:dyDescent="0.2">
      <c r="A676" s="14"/>
    </row>
    <row r="677" spans="1:1" x14ac:dyDescent="0.2">
      <c r="A677" s="14"/>
    </row>
    <row r="678" spans="1:1" x14ac:dyDescent="0.2">
      <c r="A678" s="14"/>
    </row>
    <row r="679" spans="1:1" x14ac:dyDescent="0.2">
      <c r="A679" s="14"/>
    </row>
    <row r="680" spans="1:1" x14ac:dyDescent="0.2">
      <c r="A680" s="14"/>
    </row>
    <row r="681" spans="1:1" x14ac:dyDescent="0.2">
      <c r="A681" s="14"/>
    </row>
    <row r="682" spans="1:1" x14ac:dyDescent="0.2">
      <c r="A682" s="14"/>
    </row>
    <row r="683" spans="1:1" x14ac:dyDescent="0.2">
      <c r="A683" s="14"/>
    </row>
    <row r="684" spans="1:1" x14ac:dyDescent="0.2">
      <c r="A684" s="14"/>
    </row>
    <row r="685" spans="1:1" x14ac:dyDescent="0.2">
      <c r="A685" s="14"/>
    </row>
    <row r="686" spans="1:1" x14ac:dyDescent="0.2">
      <c r="A686" s="14"/>
    </row>
    <row r="687" spans="1:1" x14ac:dyDescent="0.2">
      <c r="A687" s="14"/>
    </row>
    <row r="688" spans="1:1" x14ac:dyDescent="0.2">
      <c r="A688" s="14"/>
    </row>
    <row r="689" spans="1:1" x14ac:dyDescent="0.2">
      <c r="A689" s="14"/>
    </row>
    <row r="690" spans="1:1" x14ac:dyDescent="0.2">
      <c r="A690" s="14"/>
    </row>
    <row r="691" spans="1:1" x14ac:dyDescent="0.2">
      <c r="A691" s="14"/>
    </row>
    <row r="692" spans="1:1" x14ac:dyDescent="0.2">
      <c r="A692" s="14"/>
    </row>
    <row r="693" spans="1:1" x14ac:dyDescent="0.2">
      <c r="A693" s="14"/>
    </row>
    <row r="694" spans="1:1" x14ac:dyDescent="0.2">
      <c r="A694" s="14"/>
    </row>
    <row r="695" spans="1:1" x14ac:dyDescent="0.2">
      <c r="A695" s="14"/>
    </row>
    <row r="696" spans="1:1" x14ac:dyDescent="0.2">
      <c r="A696" s="14"/>
    </row>
    <row r="697" spans="1:1" x14ac:dyDescent="0.2">
      <c r="A697" s="14"/>
    </row>
    <row r="698" spans="1:1" x14ac:dyDescent="0.2">
      <c r="A698" s="14"/>
    </row>
    <row r="699" spans="1:1" x14ac:dyDescent="0.2">
      <c r="A699" s="14"/>
    </row>
    <row r="700" spans="1:1" x14ac:dyDescent="0.2">
      <c r="A700" s="14"/>
    </row>
    <row r="701" spans="1:1" x14ac:dyDescent="0.2">
      <c r="A701" s="14"/>
    </row>
    <row r="702" spans="1:1" x14ac:dyDescent="0.2">
      <c r="A702" s="14"/>
    </row>
    <row r="703" spans="1:1" x14ac:dyDescent="0.2">
      <c r="A703" s="14"/>
    </row>
    <row r="704" spans="1:1" x14ac:dyDescent="0.2">
      <c r="A704" s="14"/>
    </row>
    <row r="705" spans="1:12" x14ac:dyDescent="0.2">
      <c r="A705" s="14"/>
    </row>
    <row r="706" spans="1:12" x14ac:dyDescent="0.2">
      <c r="A706" s="14"/>
    </row>
    <row r="707" spans="1:12" x14ac:dyDescent="0.2">
      <c r="A707" s="14"/>
    </row>
    <row r="708" spans="1:12" x14ac:dyDescent="0.2">
      <c r="A708" s="14"/>
    </row>
    <row r="709" spans="1:12" x14ac:dyDescent="0.2">
      <c r="A709" s="14"/>
    </row>
    <row r="710" spans="1:12" x14ac:dyDescent="0.2">
      <c r="A710" s="14"/>
    </row>
    <row r="711" spans="1:12" x14ac:dyDescent="0.2">
      <c r="A711" s="14"/>
    </row>
    <row r="712" spans="1:12" x14ac:dyDescent="0.2">
      <c r="A712" s="14"/>
    </row>
    <row r="713" spans="1:12" x14ac:dyDescent="0.2">
      <c r="A713" s="14"/>
    </row>
    <row r="714" spans="1:12" x14ac:dyDescent="0.2">
      <c r="A714" s="14"/>
    </row>
    <row r="715" spans="1:12" x14ac:dyDescent="0.2">
      <c r="A715" s="14"/>
    </row>
    <row r="716" spans="1:12" x14ac:dyDescent="0.2">
      <c r="A716" s="14"/>
    </row>
    <row r="717" spans="1:12" x14ac:dyDescent="0.2">
      <c r="A717" s="14"/>
    </row>
    <row r="718" spans="1:12" x14ac:dyDescent="0.2">
      <c r="A718" s="14"/>
    </row>
    <row r="719" spans="1:12" x14ac:dyDescent="0.2">
      <c r="A719" s="14"/>
      <c r="L719" s="15"/>
    </row>
    <row r="720" spans="1:12" x14ac:dyDescent="0.2">
      <c r="A720" s="14"/>
    </row>
    <row r="721" spans="1:1" x14ac:dyDescent="0.2">
      <c r="A721" s="14"/>
    </row>
    <row r="722" spans="1:1" x14ac:dyDescent="0.2">
      <c r="A722" s="14"/>
    </row>
    <row r="723" spans="1:1" x14ac:dyDescent="0.2">
      <c r="A723" s="14"/>
    </row>
    <row r="724" spans="1:1" x14ac:dyDescent="0.2">
      <c r="A724" s="14"/>
    </row>
    <row r="725" spans="1:1" x14ac:dyDescent="0.2">
      <c r="A725" s="14"/>
    </row>
    <row r="726" spans="1:1" x14ac:dyDescent="0.2">
      <c r="A726" s="14"/>
    </row>
    <row r="727" spans="1:1" x14ac:dyDescent="0.2">
      <c r="A727" s="14"/>
    </row>
    <row r="728" spans="1:1" x14ac:dyDescent="0.2">
      <c r="A728" s="14"/>
    </row>
    <row r="729" spans="1:1" x14ac:dyDescent="0.2">
      <c r="A729" s="14"/>
    </row>
    <row r="730" spans="1:1" x14ac:dyDescent="0.2">
      <c r="A730" s="14"/>
    </row>
    <row r="731" spans="1:1" x14ac:dyDescent="0.2">
      <c r="A731" s="14"/>
    </row>
    <row r="732" spans="1:1" x14ac:dyDescent="0.2">
      <c r="A732" s="14"/>
    </row>
    <row r="733" spans="1:1" x14ac:dyDescent="0.2">
      <c r="A733" s="14"/>
    </row>
    <row r="734" spans="1:1" x14ac:dyDescent="0.2">
      <c r="A734" s="14"/>
    </row>
    <row r="735" spans="1:1" x14ac:dyDescent="0.2">
      <c r="A735" s="14"/>
    </row>
    <row r="736" spans="1:1" x14ac:dyDescent="0.2">
      <c r="A736" s="14"/>
    </row>
    <row r="737" spans="1:1" x14ac:dyDescent="0.2">
      <c r="A737" s="14"/>
    </row>
    <row r="738" spans="1:1" x14ac:dyDescent="0.2">
      <c r="A738" s="14"/>
    </row>
    <row r="739" spans="1:1" x14ac:dyDescent="0.2">
      <c r="A739" s="14"/>
    </row>
    <row r="740" spans="1:1" x14ac:dyDescent="0.2">
      <c r="A740" s="14"/>
    </row>
    <row r="741" spans="1:1" x14ac:dyDescent="0.2">
      <c r="A741" s="14"/>
    </row>
    <row r="742" spans="1:1" x14ac:dyDescent="0.2">
      <c r="A742" s="14"/>
    </row>
    <row r="743" spans="1:1" x14ac:dyDescent="0.2">
      <c r="A743" s="14"/>
    </row>
    <row r="744" spans="1:1" x14ac:dyDescent="0.2">
      <c r="A744" s="14"/>
    </row>
    <row r="745" spans="1:1" x14ac:dyDescent="0.2">
      <c r="A745" s="14"/>
    </row>
    <row r="746" spans="1:1" x14ac:dyDescent="0.2">
      <c r="A746" s="14"/>
    </row>
    <row r="747" spans="1:1" x14ac:dyDescent="0.2">
      <c r="A747" s="14"/>
    </row>
    <row r="748" spans="1:1" x14ac:dyDescent="0.2">
      <c r="A748" s="14"/>
    </row>
    <row r="749" spans="1:1" x14ac:dyDescent="0.2">
      <c r="A749" s="14"/>
    </row>
    <row r="750" spans="1:1" x14ac:dyDescent="0.2">
      <c r="A750" s="14"/>
    </row>
    <row r="751" spans="1:1" x14ac:dyDescent="0.2">
      <c r="A751" s="14"/>
    </row>
    <row r="752" spans="1:1" x14ac:dyDescent="0.2">
      <c r="A752" s="14"/>
    </row>
    <row r="753" spans="1:1" x14ac:dyDescent="0.2">
      <c r="A753" s="14"/>
    </row>
    <row r="754" spans="1:1" x14ac:dyDescent="0.2">
      <c r="A754" s="14"/>
    </row>
    <row r="755" spans="1:1" x14ac:dyDescent="0.2">
      <c r="A755" s="14"/>
    </row>
    <row r="756" spans="1:1" x14ac:dyDescent="0.2">
      <c r="A756" s="14"/>
    </row>
    <row r="757" spans="1:1" x14ac:dyDescent="0.2">
      <c r="A757" s="14"/>
    </row>
    <row r="758" spans="1:1" x14ac:dyDescent="0.2">
      <c r="A758" s="14"/>
    </row>
    <row r="759" spans="1:1" x14ac:dyDescent="0.2">
      <c r="A759" s="14"/>
    </row>
    <row r="760" spans="1:1" x14ac:dyDescent="0.2">
      <c r="A760" s="14"/>
    </row>
    <row r="761" spans="1:1" x14ac:dyDescent="0.2">
      <c r="A761" s="14"/>
    </row>
    <row r="762" spans="1:1" x14ac:dyDescent="0.2">
      <c r="A762" s="14"/>
    </row>
    <row r="763" spans="1:1" x14ac:dyDescent="0.2">
      <c r="A763" s="14"/>
    </row>
    <row r="764" spans="1:1" x14ac:dyDescent="0.2">
      <c r="A764" s="14"/>
    </row>
    <row r="765" spans="1:1" x14ac:dyDescent="0.2">
      <c r="A765" s="14"/>
    </row>
    <row r="766" spans="1:1" x14ac:dyDescent="0.2">
      <c r="A766" s="14"/>
    </row>
    <row r="767" spans="1:1" x14ac:dyDescent="0.2">
      <c r="A767" s="14"/>
    </row>
    <row r="768" spans="1:1" x14ac:dyDescent="0.2">
      <c r="A768" s="14"/>
    </row>
    <row r="769" spans="1:1" x14ac:dyDescent="0.2">
      <c r="A769" s="14"/>
    </row>
    <row r="770" spans="1:1" x14ac:dyDescent="0.2">
      <c r="A770" s="14"/>
    </row>
    <row r="771" spans="1:1" x14ac:dyDescent="0.2">
      <c r="A771" s="14"/>
    </row>
    <row r="772" spans="1:1" x14ac:dyDescent="0.2">
      <c r="A772" s="14"/>
    </row>
    <row r="773" spans="1:1" x14ac:dyDescent="0.2">
      <c r="A773" s="14"/>
    </row>
    <row r="774" spans="1:1" x14ac:dyDescent="0.2">
      <c r="A774" s="14"/>
    </row>
    <row r="775" spans="1:1" x14ac:dyDescent="0.2">
      <c r="A775" s="14"/>
    </row>
    <row r="776" spans="1:1" x14ac:dyDescent="0.2">
      <c r="A776" s="14"/>
    </row>
    <row r="777" spans="1:1" x14ac:dyDescent="0.2">
      <c r="A777" s="14"/>
    </row>
    <row r="778" spans="1:1" x14ac:dyDescent="0.2">
      <c r="A778" s="14"/>
    </row>
    <row r="779" spans="1:1" x14ac:dyDescent="0.2">
      <c r="A779" s="14"/>
    </row>
    <row r="780" spans="1:1" x14ac:dyDescent="0.2">
      <c r="A780" s="14"/>
    </row>
    <row r="781" spans="1:1" x14ac:dyDescent="0.2">
      <c r="A781" s="14"/>
    </row>
    <row r="782" spans="1:1" x14ac:dyDescent="0.2">
      <c r="A782" s="14"/>
    </row>
    <row r="783" spans="1:1" x14ac:dyDescent="0.2">
      <c r="A783" s="14"/>
    </row>
    <row r="784" spans="1:1" x14ac:dyDescent="0.2">
      <c r="A784" s="14"/>
    </row>
    <row r="785" spans="1:1" x14ac:dyDescent="0.2">
      <c r="A785" s="14"/>
    </row>
    <row r="786" spans="1:1" x14ac:dyDescent="0.2">
      <c r="A786" s="14"/>
    </row>
    <row r="787" spans="1:1" x14ac:dyDescent="0.2">
      <c r="A787" s="14"/>
    </row>
    <row r="788" spans="1:1" x14ac:dyDescent="0.2">
      <c r="A788" s="14"/>
    </row>
    <row r="789" spans="1:1" x14ac:dyDescent="0.2">
      <c r="A789" s="14"/>
    </row>
    <row r="790" spans="1:1" x14ac:dyDescent="0.2">
      <c r="A790" s="14"/>
    </row>
    <row r="791" spans="1:1" x14ac:dyDescent="0.2">
      <c r="A791" s="14"/>
    </row>
    <row r="792" spans="1:1" x14ac:dyDescent="0.2">
      <c r="A792" s="14"/>
    </row>
    <row r="793" spans="1:1" x14ac:dyDescent="0.2">
      <c r="A793" s="14"/>
    </row>
    <row r="794" spans="1:1" x14ac:dyDescent="0.2">
      <c r="A794" s="14"/>
    </row>
    <row r="795" spans="1:1" x14ac:dyDescent="0.2">
      <c r="A795" s="14"/>
    </row>
    <row r="796" spans="1:1" x14ac:dyDescent="0.2">
      <c r="A796" s="14"/>
    </row>
    <row r="797" spans="1:1" x14ac:dyDescent="0.2">
      <c r="A797" s="14"/>
    </row>
    <row r="798" spans="1:1" x14ac:dyDescent="0.2">
      <c r="A798" s="14"/>
    </row>
    <row r="799" spans="1:1" x14ac:dyDescent="0.2">
      <c r="A799" s="14"/>
    </row>
    <row r="800" spans="1:1" x14ac:dyDescent="0.2">
      <c r="A800" s="14"/>
    </row>
    <row r="801" spans="1:1" x14ac:dyDescent="0.2">
      <c r="A801" s="14"/>
    </row>
    <row r="802" spans="1:1" x14ac:dyDescent="0.2">
      <c r="A802" s="14"/>
    </row>
    <row r="803" spans="1:1" x14ac:dyDescent="0.2">
      <c r="A803" s="14"/>
    </row>
    <row r="804" spans="1:1" x14ac:dyDescent="0.2">
      <c r="A804" s="14"/>
    </row>
    <row r="805" spans="1:1" x14ac:dyDescent="0.2">
      <c r="A805" s="14"/>
    </row>
    <row r="806" spans="1:1" x14ac:dyDescent="0.2">
      <c r="A806" s="14"/>
    </row>
    <row r="807" spans="1:1" x14ac:dyDescent="0.2">
      <c r="A807" s="14"/>
    </row>
    <row r="808" spans="1:1" x14ac:dyDescent="0.2">
      <c r="A808" s="14"/>
    </row>
    <row r="809" spans="1:1" x14ac:dyDescent="0.2">
      <c r="A809" s="14"/>
    </row>
    <row r="810" spans="1:1" x14ac:dyDescent="0.2">
      <c r="A810" s="14"/>
    </row>
    <row r="811" spans="1:1" x14ac:dyDescent="0.2">
      <c r="A811" s="14"/>
    </row>
    <row r="812" spans="1:1" x14ac:dyDescent="0.2">
      <c r="A812" s="14"/>
    </row>
    <row r="813" spans="1:1" x14ac:dyDescent="0.2">
      <c r="A813" s="14"/>
    </row>
    <row r="814" spans="1:1" x14ac:dyDescent="0.2">
      <c r="A814" s="14"/>
    </row>
    <row r="815" spans="1:1" x14ac:dyDescent="0.2">
      <c r="A815" s="14"/>
    </row>
    <row r="816" spans="1:1" x14ac:dyDescent="0.2">
      <c r="A816" s="14"/>
    </row>
    <row r="817" spans="1:1" x14ac:dyDescent="0.2">
      <c r="A817" s="14"/>
    </row>
    <row r="818" spans="1:1" x14ac:dyDescent="0.2">
      <c r="A818" s="14"/>
    </row>
    <row r="819" spans="1:1" x14ac:dyDescent="0.2">
      <c r="A819" s="14"/>
    </row>
    <row r="820" spans="1:1" x14ac:dyDescent="0.2">
      <c r="A820" s="14"/>
    </row>
    <row r="821" spans="1:1" x14ac:dyDescent="0.2">
      <c r="A821" s="14"/>
    </row>
    <row r="822" spans="1:1" x14ac:dyDescent="0.2">
      <c r="A822" s="14"/>
    </row>
  </sheetData>
  <mergeCells count="8">
    <mergeCell ref="X3:X4"/>
    <mergeCell ref="Y3:Y4"/>
    <mergeCell ref="Z3:Z4"/>
    <mergeCell ref="P3:P4"/>
    <mergeCell ref="Q3:Q4"/>
    <mergeCell ref="R3:R4"/>
    <mergeCell ref="U2:W2"/>
    <mergeCell ref="U3:W4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Sheet19.return_to_list">
                <anchor moveWithCells="1" sizeWithCells="1">
                  <from>
                    <xdr:col>0</xdr:col>
                    <xdr:colOff>104775</xdr:colOff>
                    <xdr:row>30</xdr:row>
                    <xdr:rowOff>142875</xdr:rowOff>
                  </from>
                  <to>
                    <xdr:col>0</xdr:col>
                    <xdr:colOff>790575</xdr:colOff>
                    <xdr:row>32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Sheet19.move_to_next_record">
                <anchor moveWithCells="1" sizeWithCells="1">
                  <from>
                    <xdr:col>0</xdr:col>
                    <xdr:colOff>85725</xdr:colOff>
                    <xdr:row>16</xdr:row>
                    <xdr:rowOff>0</xdr:rowOff>
                  </from>
                  <to>
                    <xdr:col>0</xdr:col>
                    <xdr:colOff>609600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Button 3">
              <controlPr defaultSize="0" print="0" autoFill="0" autoPict="0" macro="[0]!Sheet19.move_to_last_record">
                <anchor moveWithCells="1" sizeWithCells="1">
                  <from>
                    <xdr:col>0</xdr:col>
                    <xdr:colOff>66675</xdr:colOff>
                    <xdr:row>14</xdr:row>
                    <xdr:rowOff>38100</xdr:rowOff>
                  </from>
                  <to>
                    <xdr:col>0</xdr:col>
                    <xdr:colOff>628650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6" name="Button 4">
              <controlPr defaultSize="0" print="0" autoFill="0" autoPict="0" macro="[0]!Sheet19.select_one_year">
                <anchor moveWithCells="1" sizeWithCells="1">
                  <from>
                    <xdr:col>0</xdr:col>
                    <xdr:colOff>114300</xdr:colOff>
                    <xdr:row>20</xdr:row>
                    <xdr:rowOff>19050</xdr:rowOff>
                  </from>
                  <to>
                    <xdr:col>0</xdr:col>
                    <xdr:colOff>733425</xdr:colOff>
                    <xdr:row>21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Button 5">
              <controlPr defaultSize="0" print="0" autoFill="0" autoPict="0" macro="[0]!Sheet19.select_two_year">
                <anchor moveWithCells="1" sizeWithCells="1">
                  <from>
                    <xdr:col>0</xdr:col>
                    <xdr:colOff>114300</xdr:colOff>
                    <xdr:row>22</xdr:row>
                    <xdr:rowOff>28575</xdr:rowOff>
                  </from>
                  <to>
                    <xdr:col>0</xdr:col>
                    <xdr:colOff>742950</xdr:colOff>
                    <xdr:row>23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Button 6">
              <controlPr defaultSize="0" print="0" autoFill="0" autoPict="0" macro="[0]!Sheet19.select_six_month">
                <anchor moveWithCells="1" sizeWithCells="1">
                  <from>
                    <xdr:col>0</xdr:col>
                    <xdr:colOff>114300</xdr:colOff>
                    <xdr:row>23</xdr:row>
                    <xdr:rowOff>200025</xdr:rowOff>
                  </from>
                  <to>
                    <xdr:col>0</xdr:col>
                    <xdr:colOff>742950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9" name="Button 7">
              <controlPr defaultSize="0" print="0" autoFill="0" autoPict="0" macro="[0]!Sheet19.select_ALL">
                <anchor moveWithCells="1" sizeWithCells="1">
                  <from>
                    <xdr:col>0</xdr:col>
                    <xdr:colOff>95250</xdr:colOff>
                    <xdr:row>28</xdr:row>
                    <xdr:rowOff>9525</xdr:rowOff>
                  </from>
                  <to>
                    <xdr:col>0</xdr:col>
                    <xdr:colOff>752475</xdr:colOff>
                    <xdr:row>29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10" name="Group Box 8">
              <controlPr defaultSize="0" autoFill="0" autoPict="0">
                <anchor moveWithCells="1">
                  <from>
                    <xdr:col>0</xdr:col>
                    <xdr:colOff>85725</xdr:colOff>
                    <xdr:row>19</xdr:row>
                    <xdr:rowOff>66675</xdr:rowOff>
                  </from>
                  <to>
                    <xdr:col>0</xdr:col>
                    <xdr:colOff>781050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1" r:id="rId11" name="Button 9">
              <controlPr defaultSize="0" print="0" autoFill="0" autoPict="0" macro="[0]!Sheet19.select_three_month">
                <anchor moveWithCells="1" sizeWithCells="1">
                  <from>
                    <xdr:col>0</xdr:col>
                    <xdr:colOff>104775</xdr:colOff>
                    <xdr:row>25</xdr:row>
                    <xdr:rowOff>161925</xdr:rowOff>
                  </from>
                  <to>
                    <xdr:col>0</xdr:col>
                    <xdr:colOff>733425</xdr:colOff>
                    <xdr:row>27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7" tint="0.39997558519241921"/>
  </sheetPr>
  <dimension ref="A1:I22"/>
  <sheetViews>
    <sheetView showGridLines="0" zoomScale="115" zoomScaleNormal="115" workbookViewId="0">
      <selection activeCell="F35" sqref="F35"/>
    </sheetView>
  </sheetViews>
  <sheetFormatPr defaultRowHeight="14.25" x14ac:dyDescent="0.2"/>
  <cols>
    <col min="2" max="2" width="24.625" customWidth="1"/>
    <col min="3" max="3" width="13.375" customWidth="1"/>
    <col min="4" max="4" width="13.625" customWidth="1"/>
    <col min="6" max="6" width="25.125" customWidth="1"/>
    <col min="7" max="7" width="11.625" bestFit="1" customWidth="1"/>
  </cols>
  <sheetData>
    <row r="1" spans="1:8" x14ac:dyDescent="0.2">
      <c r="B1" s="1" t="s">
        <v>0</v>
      </c>
    </row>
    <row r="3" spans="1:8" x14ac:dyDescent="0.2">
      <c r="B3" s="4" t="s">
        <v>1</v>
      </c>
      <c r="C3" s="2" t="s">
        <v>2</v>
      </c>
      <c r="F3" s="4" t="s">
        <v>15</v>
      </c>
      <c r="G3" s="11">
        <v>1000000</v>
      </c>
    </row>
    <row r="4" spans="1:8" x14ac:dyDescent="0.2">
      <c r="B4" s="4" t="s">
        <v>3</v>
      </c>
      <c r="C4" s="5">
        <v>43737</v>
      </c>
      <c r="F4" s="4" t="s">
        <v>16</v>
      </c>
      <c r="G4" s="24">
        <v>8</v>
      </c>
    </row>
    <row r="5" spans="1:8" x14ac:dyDescent="0.2">
      <c r="B5" s="8"/>
    </row>
    <row r="6" spans="1:8" x14ac:dyDescent="0.2">
      <c r="A6" s="10"/>
      <c r="B6" s="9"/>
      <c r="C6" s="2" t="s">
        <v>5</v>
      </c>
      <c r="D6" s="2" t="s">
        <v>6</v>
      </c>
      <c r="F6" s="1" t="s">
        <v>17</v>
      </c>
    </row>
    <row r="7" spans="1:8" x14ac:dyDescent="0.2">
      <c r="B7" s="4" t="s">
        <v>4</v>
      </c>
      <c r="C7" s="7">
        <v>0.05</v>
      </c>
      <c r="D7" s="7">
        <v>0.2</v>
      </c>
      <c r="F7" s="4" t="s">
        <v>18</v>
      </c>
      <c r="G7" s="24">
        <v>2.5</v>
      </c>
    </row>
    <row r="8" spans="1:8" x14ac:dyDescent="0.2">
      <c r="B8" s="4" t="s">
        <v>7</v>
      </c>
      <c r="C8" s="19">
        <v>1.8</v>
      </c>
      <c r="D8" s="19">
        <v>2.5</v>
      </c>
      <c r="F8" s="4" t="s">
        <v>44</v>
      </c>
      <c r="G8" s="150">
        <v>-2.5</v>
      </c>
    </row>
    <row r="9" spans="1:8" x14ac:dyDescent="0.2">
      <c r="B9" s="4" t="s">
        <v>8</v>
      </c>
      <c r="C9" s="19">
        <v>0.9</v>
      </c>
      <c r="D9" s="18">
        <v>1</v>
      </c>
      <c r="E9" s="1"/>
      <c r="F9" s="4" t="s">
        <v>45</v>
      </c>
      <c r="G9" s="20">
        <v>15</v>
      </c>
      <c r="H9" s="1"/>
    </row>
    <row r="10" spans="1:8" x14ac:dyDescent="0.2">
      <c r="B10" s="4" t="s">
        <v>9</v>
      </c>
      <c r="C10" s="3">
        <v>2</v>
      </c>
      <c r="D10" s="3">
        <v>3</v>
      </c>
      <c r="E10" s="12"/>
      <c r="F10" s="4" t="s">
        <v>46</v>
      </c>
      <c r="G10" s="19">
        <v>2</v>
      </c>
      <c r="H10" s="1"/>
    </row>
    <row r="11" spans="1:8" x14ac:dyDescent="0.2">
      <c r="B11" s="4" t="s">
        <v>10</v>
      </c>
      <c r="C11" s="2" t="s">
        <v>14</v>
      </c>
      <c r="D11" s="6"/>
      <c r="E11" s="1" t="s">
        <v>19</v>
      </c>
    </row>
    <row r="12" spans="1:8" x14ac:dyDescent="0.2">
      <c r="B12" s="4" t="s">
        <v>11</v>
      </c>
      <c r="C12" s="2" t="s">
        <v>13</v>
      </c>
      <c r="D12" s="6"/>
    </row>
    <row r="13" spans="1:8" x14ac:dyDescent="0.2">
      <c r="B13" s="4" t="s">
        <v>12</v>
      </c>
      <c r="C13" s="3">
        <v>200</v>
      </c>
      <c r="D13" s="6"/>
    </row>
    <row r="16" spans="1:8" x14ac:dyDescent="0.2">
      <c r="B16" s="1"/>
    </row>
    <row r="17" spans="2:9" x14ac:dyDescent="0.2">
      <c r="B17" s="4" t="s">
        <v>40</v>
      </c>
      <c r="C17" s="325" t="s">
        <v>1772</v>
      </c>
      <c r="D17" s="326"/>
      <c r="E17" s="326"/>
      <c r="F17" s="326"/>
      <c r="G17" s="327"/>
    </row>
    <row r="18" spans="2:9" x14ac:dyDescent="0.2">
      <c r="B18" s="4" t="s">
        <v>39</v>
      </c>
      <c r="C18" s="330" t="str">
        <f>C17 &amp; "\master\" &amp; H18</f>
        <v>G:\Stock\pairs_trade\pair_trade\stock_data\master\master.csv</v>
      </c>
      <c r="D18" s="331"/>
      <c r="E18" s="331"/>
      <c r="F18" s="331"/>
      <c r="G18" s="331"/>
      <c r="H18" s="328" t="s">
        <v>867</v>
      </c>
      <c r="I18" s="329"/>
    </row>
    <row r="19" spans="2:9" x14ac:dyDescent="0.2">
      <c r="B19" s="4" t="s">
        <v>267</v>
      </c>
      <c r="C19" s="332" t="str">
        <f>C17 &amp; "\master\" &amp; H19</f>
        <v>G:\Stock\pairs_trade\pair_trade\stock_data\master\fiscal_data.csv</v>
      </c>
      <c r="D19" s="333"/>
      <c r="E19" s="333"/>
      <c r="F19" s="333"/>
      <c r="G19" s="333"/>
      <c r="H19" s="328" t="s">
        <v>866</v>
      </c>
      <c r="I19" s="329"/>
    </row>
    <row r="20" spans="2:9" x14ac:dyDescent="0.2">
      <c r="B20" s="4" t="s">
        <v>950</v>
      </c>
      <c r="C20" s="187" t="str">
        <f>C17 &amp; "\master\" &amp; H20</f>
        <v>G:\Stock\pairs_trade\pair_trade\stock_data\master\gyakunipo_data.csv</v>
      </c>
      <c r="D20" s="188"/>
      <c r="E20" s="188"/>
      <c r="F20" s="188"/>
      <c r="G20" s="188"/>
      <c r="H20" s="328" t="s">
        <v>951</v>
      </c>
      <c r="I20" s="329"/>
    </row>
    <row r="21" spans="2:9" x14ac:dyDescent="0.2">
      <c r="B21" s="4" t="s">
        <v>1770</v>
      </c>
      <c r="C21" s="187" t="str">
        <f>C17 &amp; "\" &amp; H21</f>
        <v>G:\Stock\pairs_trade\pair_trade\stock_data\trade</v>
      </c>
      <c r="D21" s="188"/>
      <c r="E21" s="188"/>
      <c r="F21" s="188"/>
      <c r="G21" s="188"/>
      <c r="H21" s="328" t="s">
        <v>1771</v>
      </c>
      <c r="I21" s="329"/>
    </row>
    <row r="22" spans="2:9" x14ac:dyDescent="0.2">
      <c r="B22" s="4" t="s">
        <v>2327</v>
      </c>
      <c r="C22" s="267" t="str">
        <f>C17 &amp; "\" &amp; H22</f>
        <v>G:\Stock\pairs_trade\pair_trade\stock_data\result</v>
      </c>
      <c r="D22" s="268"/>
      <c r="E22" s="268"/>
      <c r="F22" s="268"/>
      <c r="G22" s="268"/>
      <c r="H22" s="328" t="s">
        <v>2326</v>
      </c>
      <c r="I22" s="329"/>
    </row>
  </sheetData>
  <mergeCells count="8">
    <mergeCell ref="C17:G17"/>
    <mergeCell ref="H19:I19"/>
    <mergeCell ref="H18:I18"/>
    <mergeCell ref="H22:I22"/>
    <mergeCell ref="H21:I21"/>
    <mergeCell ref="H20:I20"/>
    <mergeCell ref="C18:G18"/>
    <mergeCell ref="C19:G19"/>
  </mergeCells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4.search_result">
                <anchor moveWithCells="1" sizeWithCells="1">
                  <from>
                    <xdr:col>8</xdr:col>
                    <xdr:colOff>476250</xdr:colOff>
                    <xdr:row>1</xdr:row>
                    <xdr:rowOff>28575</xdr:rowOff>
                  </from>
                  <to>
                    <xdr:col>10</xdr:col>
                    <xdr:colOff>123825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7" tint="0.39997558519241921"/>
  </sheetPr>
  <dimension ref="A1:BP300"/>
  <sheetViews>
    <sheetView showGridLines="0" tabSelected="1" topLeftCell="I1" zoomScaleNormal="100" workbookViewId="0">
      <selection activeCell="AC3" sqref="AC3"/>
    </sheetView>
  </sheetViews>
  <sheetFormatPr defaultRowHeight="14.25" x14ac:dyDescent="0.2"/>
  <cols>
    <col min="1" max="1" width="4" customWidth="1"/>
    <col min="2" max="2" width="4.5" style="106" customWidth="1"/>
    <col min="3" max="3" width="2.75" style="106" customWidth="1"/>
    <col min="4" max="4" width="2" style="106" customWidth="1"/>
    <col min="5" max="5" width="2.625" style="106" customWidth="1"/>
    <col min="6" max="6" width="5.625" style="21" customWidth="1"/>
    <col min="7" max="7" width="17.625" style="23" customWidth="1"/>
    <col min="8" max="8" width="10" style="23" customWidth="1"/>
    <col min="9" max="9" width="9.125" customWidth="1"/>
    <col min="10" max="10" width="5.5" customWidth="1"/>
    <col min="11" max="11" width="9.375" customWidth="1"/>
    <col min="12" max="12" width="7.75" style="106" customWidth="1"/>
    <col min="13" max="13" width="10.75" style="106" hidden="1" customWidth="1"/>
    <col min="14" max="14" width="0.125" style="106" hidden="1" customWidth="1"/>
    <col min="15" max="15" width="6.5" style="22" customWidth="1"/>
    <col min="16" max="16" width="15.5" style="23" customWidth="1"/>
    <col min="17" max="17" width="12.5" style="23" customWidth="1"/>
    <col min="18" max="18" width="7.5" style="22" customWidth="1"/>
    <col min="19" max="19" width="6.875" style="22" customWidth="1"/>
    <col min="20" max="20" width="8.875" style="22" customWidth="1"/>
    <col min="21" max="21" width="7.375" style="22" customWidth="1"/>
    <col min="22" max="23" width="14.625" style="22" hidden="1" customWidth="1"/>
    <col min="24" max="24" width="7.625" style="22" customWidth="1"/>
    <col min="25" max="25" width="6.75" style="22" customWidth="1"/>
    <col min="26" max="28" width="7.875" style="22" customWidth="1"/>
    <col min="29" max="29" width="10.125" style="22" customWidth="1"/>
    <col min="30" max="30" width="7.875" style="22" customWidth="1"/>
    <col min="31" max="31" width="7.375" style="22" hidden="1" customWidth="1"/>
    <col min="32" max="32" width="9.875" style="22" customWidth="1"/>
    <col min="33" max="33" width="10.25" style="22" customWidth="1"/>
    <col min="34" max="34" width="6.125" style="21" customWidth="1"/>
    <col min="35" max="35" width="7" style="22" customWidth="1"/>
    <col min="36" max="38" width="8.875" style="22" customWidth="1"/>
    <col min="39" max="39" width="8.875" style="22" hidden="1" customWidth="1"/>
    <col min="40" max="40" width="6.5" style="22" hidden="1" customWidth="1"/>
    <col min="41" max="41" width="5.875" style="22" hidden="1" customWidth="1"/>
    <col min="42" max="42" width="7.5" style="22" customWidth="1"/>
    <col min="43" max="43" width="6.875" style="22" customWidth="1"/>
    <col min="44" max="44" width="6.375" style="22" customWidth="1"/>
    <col min="45" max="45" width="7" style="22" customWidth="1"/>
  </cols>
  <sheetData>
    <row r="1" spans="1:68" ht="15" thickBot="1" x14ac:dyDescent="0.25">
      <c r="L1" s="100"/>
      <c r="M1" s="100"/>
      <c r="N1" s="100"/>
    </row>
    <row r="2" spans="1:68" x14ac:dyDescent="0.2">
      <c r="A2" s="106"/>
      <c r="E2" s="340" t="s">
        <v>927</v>
      </c>
      <c r="F2" s="338" t="s">
        <v>1755</v>
      </c>
      <c r="G2" s="335"/>
      <c r="H2" s="335"/>
      <c r="I2" s="335"/>
      <c r="J2" s="335"/>
      <c r="K2" s="335"/>
      <c r="L2" s="184"/>
      <c r="M2" s="184"/>
      <c r="N2" s="183"/>
      <c r="O2" s="339" t="s">
        <v>216</v>
      </c>
      <c r="P2" s="335"/>
      <c r="Q2" s="335"/>
      <c r="R2" s="335"/>
      <c r="S2" s="335"/>
      <c r="T2" s="335"/>
      <c r="U2" s="335"/>
      <c r="V2" s="335"/>
      <c r="W2" s="336"/>
      <c r="X2" s="334" t="s">
        <v>907</v>
      </c>
      <c r="Y2" s="335"/>
      <c r="Z2" s="335"/>
      <c r="AA2" s="335"/>
      <c r="AB2" s="335"/>
      <c r="AC2" s="335"/>
      <c r="AD2" s="335"/>
      <c r="AE2" s="336"/>
      <c r="AF2" s="337" t="s">
        <v>217</v>
      </c>
      <c r="AG2" s="335"/>
      <c r="AH2" s="335"/>
      <c r="AI2" s="335"/>
      <c r="AJ2" s="335"/>
      <c r="AK2" s="335"/>
      <c r="AL2" s="335"/>
      <c r="AM2" s="335"/>
      <c r="AN2" s="335"/>
      <c r="AO2" s="336"/>
      <c r="AP2" s="111" t="s">
        <v>2225</v>
      </c>
      <c r="AQ2" s="112"/>
      <c r="AR2" s="112"/>
      <c r="AS2" s="113"/>
    </row>
    <row r="3" spans="1:68" s="17" customFormat="1" ht="28.5" customHeight="1" thickBot="1" x14ac:dyDescent="0.25">
      <c r="A3" s="107"/>
      <c r="B3" s="107"/>
      <c r="C3" s="107"/>
      <c r="D3" s="107"/>
      <c r="E3" s="341"/>
      <c r="F3" s="109" t="s">
        <v>218</v>
      </c>
      <c r="G3" s="125" t="s">
        <v>219</v>
      </c>
      <c r="H3" s="125" t="s">
        <v>220</v>
      </c>
      <c r="I3" s="125" t="s">
        <v>221</v>
      </c>
      <c r="J3" s="125" t="s">
        <v>222</v>
      </c>
      <c r="K3" s="182" t="s">
        <v>266</v>
      </c>
      <c r="L3" s="182" t="s">
        <v>926</v>
      </c>
      <c r="M3" s="182"/>
      <c r="N3" s="126"/>
      <c r="O3" s="110" t="s">
        <v>218</v>
      </c>
      <c r="P3" s="114" t="s">
        <v>219</v>
      </c>
      <c r="Q3" s="114" t="s">
        <v>220</v>
      </c>
      <c r="R3" s="114" t="s">
        <v>221</v>
      </c>
      <c r="S3" s="114" t="s">
        <v>222</v>
      </c>
      <c r="T3" s="185" t="s">
        <v>266</v>
      </c>
      <c r="U3" s="185" t="s">
        <v>926</v>
      </c>
      <c r="V3" s="185"/>
      <c r="W3" s="115"/>
      <c r="X3" s="116" t="s">
        <v>908</v>
      </c>
      <c r="Y3" s="117" t="s">
        <v>909</v>
      </c>
      <c r="Z3" s="186" t="s">
        <v>1761</v>
      </c>
      <c r="AA3" s="186" t="s">
        <v>1762</v>
      </c>
      <c r="AB3" s="186" t="s">
        <v>1750</v>
      </c>
      <c r="AC3" s="186" t="s">
        <v>2564</v>
      </c>
      <c r="AD3" s="117" t="s">
        <v>2565</v>
      </c>
      <c r="AE3" s="118"/>
      <c r="AF3" s="119" t="s">
        <v>1751</v>
      </c>
      <c r="AG3" s="120" t="s">
        <v>223</v>
      </c>
      <c r="AH3" s="108" t="s">
        <v>224</v>
      </c>
      <c r="AI3" s="108" t="s">
        <v>225</v>
      </c>
      <c r="AJ3" s="108" t="s">
        <v>226</v>
      </c>
      <c r="AK3" s="120" t="s">
        <v>227</v>
      </c>
      <c r="AL3" s="120" t="s">
        <v>228</v>
      </c>
      <c r="AM3" s="108"/>
      <c r="AN3" s="120"/>
      <c r="AO3" s="121"/>
      <c r="AP3" s="122" t="s">
        <v>910</v>
      </c>
      <c r="AQ3" s="123" t="s">
        <v>229</v>
      </c>
      <c r="AR3" s="123" t="s">
        <v>911</v>
      </c>
      <c r="AS3" s="149" t="s">
        <v>230</v>
      </c>
    </row>
    <row r="4" spans="1:68" x14ac:dyDescent="0.2">
      <c r="B4"/>
      <c r="C4"/>
      <c r="D4"/>
      <c r="E4"/>
      <c r="F4"/>
      <c r="G4"/>
      <c r="H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</row>
    <row r="5" spans="1:68" s="133" customFormat="1" x14ac:dyDescent="0.2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</row>
    <row r="6" spans="1:68" s="133" customFormat="1" x14ac:dyDescent="0.2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</row>
    <row r="7" spans="1:68" s="133" customFormat="1" x14ac:dyDescent="0.2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</row>
    <row r="8" spans="1:68" s="133" customFormat="1" x14ac:dyDescent="0.2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</row>
    <row r="9" spans="1:68" s="133" customFormat="1" x14ac:dyDescent="0.2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</row>
    <row r="10" spans="1:68" s="133" customFormat="1" x14ac:dyDescent="0.2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</row>
    <row r="11" spans="1:68" s="133" customFormat="1" x14ac:dyDescent="0.2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</row>
    <row r="12" spans="1:68" s="133" customFormat="1" ht="17.25" hidden="1" customHeight="1" x14ac:dyDescent="0.2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</row>
    <row r="13" spans="1:68" s="133" customFormat="1" ht="17.25" hidden="1" customHeight="1" x14ac:dyDescent="0.2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</row>
    <row r="14" spans="1:68" s="133" customFormat="1" ht="17.25" hidden="1" customHeight="1" x14ac:dyDescent="0.2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</row>
    <row r="15" spans="1:68" s="133" customForma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</row>
    <row r="16" spans="1:68" s="133" customForma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</row>
    <row r="17" spans="1:68" s="133" customForma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</row>
    <row r="18" spans="1:68" x14ac:dyDescent="0.2">
      <c r="B18"/>
      <c r="C18"/>
      <c r="D18"/>
      <c r="E18"/>
      <c r="F18"/>
      <c r="G18"/>
      <c r="H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</row>
    <row r="19" spans="1:68" x14ac:dyDescent="0.2">
      <c r="B19"/>
      <c r="C19"/>
      <c r="D19"/>
      <c r="E19"/>
      <c r="F19"/>
      <c r="G19"/>
      <c r="H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</row>
    <row r="20" spans="1:68" x14ac:dyDescent="0.2">
      <c r="B20"/>
      <c r="C20"/>
      <c r="D20"/>
      <c r="E20"/>
      <c r="F20"/>
      <c r="G20"/>
      <c r="H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</row>
    <row r="21" spans="1:68" x14ac:dyDescent="0.2">
      <c r="B21"/>
      <c r="C21"/>
      <c r="D21"/>
      <c r="E21"/>
      <c r="F21"/>
      <c r="G21"/>
      <c r="H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</row>
    <row r="22" spans="1:68" s="133" customForma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</row>
    <row r="23" spans="1:68" s="133" customForma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</row>
    <row r="24" spans="1:68" x14ac:dyDescent="0.2">
      <c r="B24"/>
      <c r="C24"/>
      <c r="D24"/>
      <c r="E24"/>
      <c r="F24"/>
      <c r="G24"/>
      <c r="H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</row>
    <row r="25" spans="1:68" x14ac:dyDescent="0.2">
      <c r="B25"/>
      <c r="C25"/>
      <c r="D25"/>
      <c r="E25"/>
      <c r="F25"/>
      <c r="G25"/>
      <c r="H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</row>
    <row r="26" spans="1:68" x14ac:dyDescent="0.2">
      <c r="B26"/>
      <c r="C26"/>
      <c r="D26"/>
      <c r="E26"/>
      <c r="F26"/>
      <c r="G26"/>
      <c r="H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</row>
    <row r="27" spans="1:68" x14ac:dyDescent="0.2">
      <c r="B27"/>
      <c r="C27"/>
      <c r="D27"/>
      <c r="E27"/>
      <c r="F27"/>
      <c r="G27"/>
      <c r="H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</row>
    <row r="28" spans="1:68" x14ac:dyDescent="0.2">
      <c r="B28"/>
      <c r="C28"/>
      <c r="D28"/>
      <c r="E28"/>
      <c r="F28"/>
      <c r="G28"/>
      <c r="H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</row>
    <row r="29" spans="1:68" x14ac:dyDescent="0.2">
      <c r="B29"/>
      <c r="C29"/>
      <c r="D29"/>
      <c r="E29"/>
      <c r="F29"/>
      <c r="G29"/>
      <c r="H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</row>
    <row r="30" spans="1:68" x14ac:dyDescent="0.2">
      <c r="B30"/>
      <c r="C30"/>
      <c r="D30"/>
      <c r="E30"/>
      <c r="F30"/>
      <c r="G30"/>
      <c r="H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</row>
    <row r="31" spans="1:68" x14ac:dyDescent="0.2">
      <c r="B31"/>
      <c r="C31"/>
      <c r="D31"/>
      <c r="E31"/>
      <c r="F31"/>
      <c r="G31"/>
      <c r="H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</row>
    <row r="32" spans="1:68" x14ac:dyDescent="0.2">
      <c r="B32"/>
      <c r="C32"/>
      <c r="D32"/>
      <c r="E32"/>
      <c r="F32"/>
      <c r="G32"/>
      <c r="H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</row>
    <row r="33" spans="2:45" x14ac:dyDescent="0.2">
      <c r="B33"/>
      <c r="C33"/>
      <c r="D33"/>
      <c r="E33"/>
      <c r="F33"/>
      <c r="G33"/>
      <c r="H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</row>
    <row r="34" spans="2:45" x14ac:dyDescent="0.2">
      <c r="B34"/>
      <c r="C34"/>
      <c r="D34"/>
      <c r="E34"/>
      <c r="F34"/>
      <c r="G34"/>
      <c r="H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</row>
    <row r="35" spans="2:45" x14ac:dyDescent="0.2">
      <c r="B35"/>
      <c r="C35"/>
      <c r="D35"/>
      <c r="E35"/>
      <c r="F35"/>
      <c r="G35"/>
      <c r="H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</row>
    <row r="36" spans="2:45" x14ac:dyDescent="0.2">
      <c r="B36"/>
      <c r="C36"/>
      <c r="D36"/>
      <c r="E36"/>
      <c r="F36"/>
      <c r="G36"/>
      <c r="H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</row>
    <row r="37" spans="2:45" x14ac:dyDescent="0.2">
      <c r="B37"/>
      <c r="C37"/>
      <c r="D37"/>
      <c r="E37"/>
      <c r="F37"/>
      <c r="G37"/>
      <c r="H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</row>
    <row r="38" spans="2:45" x14ac:dyDescent="0.2">
      <c r="B38"/>
      <c r="C38"/>
      <c r="D38"/>
      <c r="E38"/>
      <c r="F38"/>
      <c r="G38"/>
      <c r="H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</row>
    <row r="39" spans="2:45" x14ac:dyDescent="0.2">
      <c r="B39"/>
      <c r="C39"/>
      <c r="D39"/>
      <c r="E39"/>
      <c r="F39"/>
      <c r="G39"/>
      <c r="H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</row>
    <row r="40" spans="2:45" x14ac:dyDescent="0.2">
      <c r="B40"/>
      <c r="C40"/>
      <c r="D40"/>
      <c r="E40"/>
      <c r="F40"/>
      <c r="G40"/>
      <c r="H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</row>
    <row r="41" spans="2:45" x14ac:dyDescent="0.2">
      <c r="B41"/>
      <c r="C41"/>
      <c r="D41"/>
      <c r="E41"/>
      <c r="F41"/>
      <c r="G41"/>
      <c r="H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</row>
    <row r="42" spans="2:45" x14ac:dyDescent="0.2">
      <c r="B42"/>
      <c r="C42"/>
      <c r="D42"/>
      <c r="E42"/>
      <c r="F42"/>
      <c r="G42"/>
      <c r="H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</row>
    <row r="43" spans="2:45" x14ac:dyDescent="0.2">
      <c r="B43"/>
      <c r="C43"/>
      <c r="D43"/>
      <c r="E43"/>
      <c r="F43"/>
      <c r="G43"/>
      <c r="H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</row>
    <row r="44" spans="2:45" x14ac:dyDescent="0.2">
      <c r="B44"/>
      <c r="C44"/>
      <c r="D44"/>
      <c r="E44"/>
      <c r="F44"/>
      <c r="G44"/>
      <c r="H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</row>
    <row r="45" spans="2:45" x14ac:dyDescent="0.2">
      <c r="B45"/>
      <c r="C45"/>
      <c r="D45"/>
      <c r="E45"/>
      <c r="F45"/>
      <c r="G45"/>
      <c r="H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</row>
    <row r="46" spans="2:45" x14ac:dyDescent="0.2">
      <c r="B46"/>
      <c r="C46"/>
      <c r="D46"/>
      <c r="E46"/>
      <c r="F46"/>
      <c r="G46"/>
      <c r="H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</row>
    <row r="47" spans="2:45" x14ac:dyDescent="0.2">
      <c r="B47"/>
      <c r="C47"/>
      <c r="D47"/>
      <c r="E47"/>
      <c r="F47"/>
      <c r="G47"/>
      <c r="H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</row>
    <row r="48" spans="2:45" x14ac:dyDescent="0.2">
      <c r="B48"/>
      <c r="C48"/>
      <c r="D48"/>
      <c r="E48"/>
      <c r="F48"/>
      <c r="G48"/>
      <c r="H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</row>
    <row r="49" spans="2:45" x14ac:dyDescent="0.2">
      <c r="B49"/>
      <c r="C49"/>
      <c r="D49"/>
      <c r="E49"/>
      <c r="F49"/>
      <c r="G49"/>
      <c r="H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</row>
    <row r="50" spans="2:45" x14ac:dyDescent="0.2">
      <c r="B50"/>
      <c r="C50"/>
      <c r="D50"/>
      <c r="E50"/>
      <c r="F50"/>
      <c r="G50"/>
      <c r="H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</row>
    <row r="51" spans="2:45" x14ac:dyDescent="0.2">
      <c r="B51"/>
      <c r="C51"/>
      <c r="D51"/>
      <c r="E51"/>
      <c r="F51"/>
      <c r="G51"/>
      <c r="H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</row>
    <row r="52" spans="2:45" x14ac:dyDescent="0.2">
      <c r="B52"/>
      <c r="C52"/>
      <c r="D52"/>
      <c r="E52"/>
      <c r="F52"/>
      <c r="G52"/>
      <c r="H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</row>
    <row r="53" spans="2:45" x14ac:dyDescent="0.2">
      <c r="B53"/>
      <c r="C53"/>
      <c r="D53"/>
      <c r="E53"/>
      <c r="F53"/>
      <c r="G53"/>
      <c r="H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</row>
    <row r="54" spans="2:45" x14ac:dyDescent="0.2">
      <c r="B54"/>
      <c r="C54"/>
      <c r="D54"/>
      <c r="E54"/>
      <c r="F54"/>
      <c r="G54"/>
      <c r="H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</row>
    <row r="55" spans="2:45" x14ac:dyDescent="0.2">
      <c r="B55"/>
      <c r="C55"/>
      <c r="D55"/>
      <c r="E55"/>
      <c r="F55"/>
      <c r="G55"/>
      <c r="H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</row>
    <row r="56" spans="2:45" x14ac:dyDescent="0.2">
      <c r="B56"/>
      <c r="C56"/>
      <c r="D56"/>
      <c r="E56"/>
      <c r="F56"/>
      <c r="G56"/>
      <c r="H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</row>
    <row r="57" spans="2:45" x14ac:dyDescent="0.2">
      <c r="B57"/>
      <c r="C57"/>
      <c r="D57"/>
      <c r="E57"/>
      <c r="F57"/>
      <c r="G57"/>
      <c r="H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</row>
    <row r="58" spans="2:45" x14ac:dyDescent="0.2">
      <c r="B58"/>
      <c r="C58"/>
      <c r="D58"/>
      <c r="E58"/>
      <c r="F58"/>
      <c r="G58"/>
      <c r="H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</row>
    <row r="59" spans="2:45" x14ac:dyDescent="0.2">
      <c r="B59"/>
      <c r="C59"/>
      <c r="D59"/>
      <c r="E59"/>
      <c r="F59"/>
      <c r="G59"/>
      <c r="H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</row>
    <row r="60" spans="2:45" x14ac:dyDescent="0.2">
      <c r="B60"/>
      <c r="C60"/>
      <c r="D60"/>
      <c r="E60"/>
      <c r="F60"/>
      <c r="G60"/>
      <c r="H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</row>
    <row r="61" spans="2:45" x14ac:dyDescent="0.2">
      <c r="B61"/>
      <c r="C61"/>
      <c r="D61"/>
      <c r="E61"/>
      <c r="F61"/>
      <c r="G61"/>
      <c r="H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</row>
    <row r="62" spans="2:45" x14ac:dyDescent="0.2">
      <c r="B62"/>
      <c r="C62"/>
      <c r="D62"/>
      <c r="E62"/>
      <c r="F62"/>
      <c r="G62"/>
      <c r="H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</row>
    <row r="63" spans="2:45" x14ac:dyDescent="0.2">
      <c r="B63"/>
      <c r="C63"/>
      <c r="D63"/>
      <c r="E63"/>
      <c r="F63"/>
      <c r="G63"/>
      <c r="H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</row>
    <row r="64" spans="2:45" x14ac:dyDescent="0.2">
      <c r="B64"/>
      <c r="C64"/>
      <c r="D64"/>
      <c r="E64"/>
      <c r="F64"/>
      <c r="G64"/>
      <c r="H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</row>
    <row r="65" spans="2:45" x14ac:dyDescent="0.2">
      <c r="B65"/>
      <c r="C65"/>
      <c r="D65"/>
      <c r="E65"/>
      <c r="F65"/>
      <c r="G65"/>
      <c r="H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</row>
    <row r="66" spans="2:45" x14ac:dyDescent="0.2">
      <c r="B66"/>
      <c r="C66"/>
      <c r="D66"/>
      <c r="E66"/>
      <c r="F66"/>
      <c r="G66"/>
      <c r="H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</row>
    <row r="67" spans="2:45" x14ac:dyDescent="0.2">
      <c r="B67"/>
      <c r="C67"/>
      <c r="D67"/>
      <c r="E67"/>
      <c r="F67"/>
      <c r="G67"/>
      <c r="H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</row>
    <row r="68" spans="2:45" x14ac:dyDescent="0.2">
      <c r="B68"/>
      <c r="C68"/>
      <c r="D68"/>
      <c r="E68"/>
      <c r="F68"/>
      <c r="G68"/>
      <c r="H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</row>
    <row r="69" spans="2:45" x14ac:dyDescent="0.2">
      <c r="B69"/>
      <c r="C69"/>
      <c r="D69"/>
      <c r="E69"/>
      <c r="F69"/>
      <c r="G69"/>
      <c r="H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</row>
    <row r="70" spans="2:45" x14ac:dyDescent="0.2">
      <c r="B70"/>
      <c r="C70"/>
      <c r="D70"/>
      <c r="E70"/>
      <c r="F70"/>
      <c r="G70"/>
      <c r="H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</row>
    <row r="71" spans="2:45" x14ac:dyDescent="0.2">
      <c r="B71"/>
      <c r="C71"/>
      <c r="D71"/>
      <c r="E71"/>
      <c r="F71"/>
      <c r="G71"/>
      <c r="H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</row>
    <row r="72" spans="2:45" x14ac:dyDescent="0.2">
      <c r="B72"/>
      <c r="C72"/>
      <c r="D72"/>
      <c r="E72"/>
      <c r="F72"/>
      <c r="G72"/>
      <c r="H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</row>
    <row r="73" spans="2:45" x14ac:dyDescent="0.2">
      <c r="B73"/>
      <c r="C73"/>
      <c r="D73"/>
      <c r="E73"/>
      <c r="F73"/>
      <c r="G73"/>
      <c r="H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</row>
    <row r="74" spans="2:45" x14ac:dyDescent="0.2">
      <c r="B74"/>
      <c r="C74"/>
      <c r="D74"/>
      <c r="E74"/>
      <c r="F74"/>
      <c r="G74"/>
      <c r="H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</row>
    <row r="75" spans="2:45" x14ac:dyDescent="0.2">
      <c r="B75"/>
      <c r="C75"/>
      <c r="D75"/>
      <c r="E75"/>
      <c r="F75"/>
      <c r="G75"/>
      <c r="H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</row>
    <row r="76" spans="2:45" x14ac:dyDescent="0.2">
      <c r="B76"/>
      <c r="C76"/>
      <c r="D76"/>
      <c r="E76"/>
      <c r="F76"/>
      <c r="G76"/>
      <c r="H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</row>
    <row r="77" spans="2:45" x14ac:dyDescent="0.2">
      <c r="B77"/>
      <c r="C77"/>
      <c r="D77"/>
      <c r="E77"/>
      <c r="F77"/>
      <c r="G77"/>
      <c r="H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</row>
    <row r="78" spans="2:45" x14ac:dyDescent="0.2">
      <c r="B78"/>
      <c r="C78"/>
      <c r="D78"/>
      <c r="E78"/>
      <c r="F78"/>
      <c r="G78"/>
      <c r="H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</row>
    <row r="79" spans="2:45" x14ac:dyDescent="0.2">
      <c r="B79"/>
      <c r="C79"/>
      <c r="D79"/>
      <c r="E79"/>
      <c r="F79"/>
      <c r="G79"/>
      <c r="H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</row>
    <row r="80" spans="2:45" x14ac:dyDescent="0.2">
      <c r="B80"/>
      <c r="C80"/>
      <c r="D80"/>
      <c r="E80"/>
      <c r="F80"/>
      <c r="G80"/>
      <c r="H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</row>
    <row r="81" spans="2:45" x14ac:dyDescent="0.2">
      <c r="B81"/>
      <c r="C81"/>
      <c r="D81"/>
      <c r="E81"/>
      <c r="F81"/>
      <c r="G81"/>
      <c r="H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</row>
    <row r="82" spans="2:45" x14ac:dyDescent="0.2">
      <c r="B82"/>
      <c r="C82"/>
      <c r="D82"/>
      <c r="E82"/>
      <c r="F82"/>
      <c r="G82"/>
      <c r="H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</row>
    <row r="83" spans="2:45" x14ac:dyDescent="0.2">
      <c r="B83"/>
      <c r="C83"/>
      <c r="D83"/>
      <c r="E83"/>
      <c r="F83"/>
      <c r="G83"/>
      <c r="H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</row>
    <row r="84" spans="2:45" x14ac:dyDescent="0.2">
      <c r="B84"/>
      <c r="C84"/>
      <c r="D84"/>
      <c r="E84"/>
      <c r="F84"/>
      <c r="G84"/>
      <c r="H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</row>
    <row r="85" spans="2:45" x14ac:dyDescent="0.2">
      <c r="B85"/>
      <c r="C85"/>
      <c r="D85"/>
      <c r="E85"/>
      <c r="F85"/>
      <c r="G85"/>
      <c r="H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</row>
    <row r="86" spans="2:45" x14ac:dyDescent="0.2">
      <c r="B86"/>
      <c r="C86"/>
      <c r="D86"/>
      <c r="E86"/>
      <c r="F86"/>
      <c r="G86"/>
      <c r="H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</row>
    <row r="87" spans="2:45" x14ac:dyDescent="0.2">
      <c r="B87"/>
      <c r="C87"/>
      <c r="D87"/>
      <c r="E87"/>
      <c r="F87"/>
      <c r="G87"/>
      <c r="H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</row>
    <row r="88" spans="2:45" x14ac:dyDescent="0.2">
      <c r="B88"/>
      <c r="C88"/>
      <c r="D88"/>
      <c r="E88"/>
      <c r="F88"/>
      <c r="G88"/>
      <c r="H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</row>
    <row r="89" spans="2:45" x14ac:dyDescent="0.2">
      <c r="B89"/>
      <c r="C89"/>
      <c r="D89"/>
      <c r="E89"/>
      <c r="F89"/>
      <c r="G89"/>
      <c r="H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</row>
    <row r="90" spans="2:45" x14ac:dyDescent="0.2">
      <c r="B90"/>
      <c r="C90"/>
      <c r="D90"/>
      <c r="E90"/>
      <c r="F90"/>
      <c r="G90"/>
      <c r="H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</row>
    <row r="91" spans="2:45" x14ac:dyDescent="0.2">
      <c r="B91"/>
      <c r="C91"/>
      <c r="D91"/>
      <c r="E91"/>
      <c r="F91"/>
      <c r="G91"/>
      <c r="H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</row>
    <row r="92" spans="2:45" x14ac:dyDescent="0.2">
      <c r="B92"/>
      <c r="C92"/>
      <c r="D92"/>
      <c r="E92"/>
      <c r="F92"/>
      <c r="G92"/>
      <c r="H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</row>
    <row r="93" spans="2:45" x14ac:dyDescent="0.2">
      <c r="B93"/>
      <c r="C93"/>
      <c r="D93"/>
      <c r="E93"/>
      <c r="F93"/>
      <c r="G93"/>
      <c r="H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</row>
    <row r="94" spans="2:45" x14ac:dyDescent="0.2">
      <c r="B94"/>
      <c r="C94"/>
      <c r="D94"/>
      <c r="E94"/>
      <c r="F94"/>
      <c r="G94"/>
      <c r="H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</row>
    <row r="95" spans="2:45" x14ac:dyDescent="0.2">
      <c r="B95"/>
      <c r="C95"/>
      <c r="D95"/>
      <c r="E95"/>
      <c r="F95"/>
      <c r="G95"/>
      <c r="H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</row>
    <row r="96" spans="2:45" x14ac:dyDescent="0.2">
      <c r="B96"/>
      <c r="C96"/>
      <c r="D96"/>
      <c r="E96"/>
      <c r="F96"/>
      <c r="G96"/>
      <c r="H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</row>
    <row r="97" spans="2:45" x14ac:dyDescent="0.2">
      <c r="B97"/>
      <c r="C97"/>
      <c r="D97"/>
      <c r="E97"/>
      <c r="F97"/>
      <c r="G97"/>
      <c r="H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</row>
    <row r="98" spans="2:45" x14ac:dyDescent="0.2">
      <c r="B98"/>
      <c r="C98"/>
      <c r="D98"/>
      <c r="E98"/>
      <c r="F98"/>
      <c r="G98"/>
      <c r="H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</row>
    <row r="99" spans="2:45" x14ac:dyDescent="0.2">
      <c r="B99"/>
      <c r="C99"/>
      <c r="D99"/>
      <c r="E99"/>
      <c r="F99"/>
      <c r="G99"/>
      <c r="H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</row>
    <row r="100" spans="2:45" x14ac:dyDescent="0.2">
      <c r="B100"/>
      <c r="C100"/>
      <c r="D100"/>
      <c r="E100"/>
      <c r="F100"/>
      <c r="G100"/>
      <c r="H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</row>
    <row r="101" spans="2:45" x14ac:dyDescent="0.2">
      <c r="B101"/>
      <c r="C101"/>
      <c r="D101"/>
      <c r="E101"/>
      <c r="F101"/>
      <c r="G101"/>
      <c r="H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</row>
    <row r="102" spans="2:45" x14ac:dyDescent="0.2">
      <c r="B102"/>
      <c r="C102"/>
      <c r="D102"/>
      <c r="E102"/>
      <c r="F102"/>
      <c r="G102"/>
      <c r="H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</row>
    <row r="103" spans="2:45" x14ac:dyDescent="0.2">
      <c r="B103"/>
      <c r="C103"/>
      <c r="D103"/>
      <c r="E103"/>
      <c r="F103"/>
      <c r="G103"/>
      <c r="H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</row>
    <row r="104" spans="2:45" x14ac:dyDescent="0.2">
      <c r="B104"/>
      <c r="C104"/>
      <c r="D104"/>
      <c r="E104"/>
      <c r="F104"/>
      <c r="G104"/>
      <c r="H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</row>
    <row r="105" spans="2:45" x14ac:dyDescent="0.2">
      <c r="B105"/>
      <c r="C105"/>
      <c r="D105"/>
      <c r="E105"/>
      <c r="F105"/>
      <c r="G105"/>
      <c r="H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</row>
    <row r="106" spans="2:45" x14ac:dyDescent="0.2">
      <c r="B106"/>
      <c r="C106"/>
      <c r="D106"/>
      <c r="E106"/>
      <c r="F106"/>
      <c r="G106"/>
      <c r="H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</row>
    <row r="107" spans="2:45" x14ac:dyDescent="0.2">
      <c r="B107"/>
      <c r="C107"/>
      <c r="D107"/>
      <c r="E107"/>
      <c r="F107"/>
      <c r="G107"/>
      <c r="H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</row>
    <row r="108" spans="2:45" x14ac:dyDescent="0.2">
      <c r="B108"/>
      <c r="C108"/>
      <c r="D108"/>
      <c r="E108"/>
      <c r="F108"/>
      <c r="G108"/>
      <c r="H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</row>
    <row r="109" spans="2:45" x14ac:dyDescent="0.2">
      <c r="B109"/>
      <c r="C109"/>
      <c r="D109"/>
      <c r="E109"/>
      <c r="F109"/>
      <c r="G109"/>
      <c r="H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</row>
    <row r="110" spans="2:45" x14ac:dyDescent="0.2">
      <c r="B110"/>
      <c r="C110"/>
      <c r="D110"/>
      <c r="E110"/>
      <c r="F110"/>
      <c r="G110"/>
      <c r="H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</row>
    <row r="111" spans="2:45" x14ac:dyDescent="0.2">
      <c r="B111"/>
      <c r="C111"/>
      <c r="D111"/>
      <c r="E111"/>
      <c r="F111"/>
      <c r="G111"/>
      <c r="H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</row>
    <row r="112" spans="2:45" x14ac:dyDescent="0.2">
      <c r="B112"/>
      <c r="C112"/>
      <c r="D112"/>
      <c r="E112"/>
      <c r="F112"/>
      <c r="G112"/>
      <c r="H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</row>
    <row r="113" spans="2:45" x14ac:dyDescent="0.2">
      <c r="B113"/>
      <c r="C113"/>
      <c r="D113"/>
      <c r="E113"/>
      <c r="F113"/>
      <c r="G113"/>
      <c r="H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</row>
    <row r="114" spans="2:45" x14ac:dyDescent="0.2">
      <c r="B114"/>
      <c r="C114"/>
      <c r="D114"/>
      <c r="E114"/>
      <c r="F114"/>
      <c r="G114"/>
      <c r="H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</row>
    <row r="115" spans="2:45" x14ac:dyDescent="0.2">
      <c r="B115"/>
      <c r="C115"/>
      <c r="D115"/>
      <c r="E115"/>
      <c r="F115"/>
      <c r="G115"/>
      <c r="H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</row>
    <row r="116" spans="2:45" x14ac:dyDescent="0.2">
      <c r="B116"/>
      <c r="C116"/>
      <c r="D116"/>
      <c r="E116"/>
      <c r="F116"/>
      <c r="G116"/>
      <c r="H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</row>
    <row r="117" spans="2:45" x14ac:dyDescent="0.2">
      <c r="B117"/>
      <c r="C117"/>
      <c r="D117"/>
      <c r="E117"/>
      <c r="F117"/>
      <c r="G117"/>
      <c r="H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</row>
    <row r="118" spans="2:45" x14ac:dyDescent="0.2">
      <c r="B118"/>
      <c r="C118"/>
      <c r="D118"/>
      <c r="E118"/>
      <c r="F118"/>
      <c r="G118"/>
      <c r="H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</row>
    <row r="119" spans="2:45" x14ac:dyDescent="0.2">
      <c r="B119"/>
      <c r="C119"/>
      <c r="D119"/>
      <c r="E119"/>
      <c r="F119"/>
      <c r="G119"/>
      <c r="H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</row>
    <row r="120" spans="2:45" x14ac:dyDescent="0.2">
      <c r="B120"/>
      <c r="C120"/>
      <c r="D120"/>
      <c r="E120"/>
      <c r="F120"/>
      <c r="G120"/>
      <c r="H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</row>
    <row r="121" spans="2:45" x14ac:dyDescent="0.2">
      <c r="B121"/>
      <c r="C121"/>
      <c r="D121"/>
      <c r="E121"/>
      <c r="F121"/>
      <c r="G121"/>
      <c r="H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</row>
    <row r="122" spans="2:45" x14ac:dyDescent="0.2">
      <c r="B122"/>
      <c r="C122"/>
      <c r="D122"/>
      <c r="E122"/>
      <c r="F122"/>
      <c r="G122"/>
      <c r="H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</row>
    <row r="123" spans="2:45" x14ac:dyDescent="0.2">
      <c r="B123"/>
      <c r="C123"/>
      <c r="D123"/>
      <c r="E123"/>
      <c r="F123"/>
      <c r="G123"/>
      <c r="H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</row>
    <row r="124" spans="2:45" x14ac:dyDescent="0.2">
      <c r="B124"/>
      <c r="C124"/>
      <c r="D124"/>
      <c r="E124"/>
      <c r="F124"/>
      <c r="G124"/>
      <c r="H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</row>
    <row r="125" spans="2:45" x14ac:dyDescent="0.2">
      <c r="B125"/>
      <c r="C125"/>
      <c r="D125"/>
      <c r="E125"/>
      <c r="F125"/>
      <c r="G125"/>
      <c r="H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</row>
    <row r="126" spans="2:45" x14ac:dyDescent="0.2">
      <c r="B126"/>
      <c r="C126"/>
      <c r="D126"/>
      <c r="E126"/>
      <c r="F126"/>
      <c r="G126"/>
      <c r="H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</row>
    <row r="127" spans="2:45" x14ac:dyDescent="0.2">
      <c r="B127"/>
      <c r="C127"/>
      <c r="D127"/>
      <c r="E127"/>
      <c r="F127"/>
      <c r="G127"/>
      <c r="H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</row>
    <row r="128" spans="2:45" x14ac:dyDescent="0.2">
      <c r="B128"/>
      <c r="C128"/>
      <c r="D128"/>
      <c r="E128"/>
      <c r="F128"/>
      <c r="G128"/>
      <c r="H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</row>
    <row r="129" spans="2:45" x14ac:dyDescent="0.2">
      <c r="B129"/>
      <c r="C129"/>
      <c r="D129"/>
      <c r="E129"/>
      <c r="F129"/>
      <c r="G129"/>
      <c r="H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</row>
    <row r="130" spans="2:45" x14ac:dyDescent="0.2">
      <c r="B130"/>
      <c r="C130"/>
      <c r="D130"/>
      <c r="E130"/>
      <c r="F130"/>
      <c r="G130"/>
      <c r="H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</row>
    <row r="131" spans="2:45" x14ac:dyDescent="0.2">
      <c r="B131"/>
      <c r="C131"/>
      <c r="D131"/>
      <c r="E131"/>
      <c r="F131"/>
      <c r="G131"/>
      <c r="H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</row>
    <row r="132" spans="2:45" x14ac:dyDescent="0.2">
      <c r="B132"/>
      <c r="C132"/>
      <c r="D132"/>
      <c r="E132"/>
      <c r="F132"/>
      <c r="G132"/>
      <c r="H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</row>
    <row r="133" spans="2:45" x14ac:dyDescent="0.2">
      <c r="B133"/>
      <c r="C133"/>
      <c r="D133"/>
      <c r="E133"/>
      <c r="F133"/>
      <c r="G133"/>
      <c r="H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</row>
    <row r="134" spans="2:45" x14ac:dyDescent="0.2">
      <c r="B134"/>
      <c r="C134"/>
      <c r="D134"/>
      <c r="E134"/>
      <c r="F134"/>
      <c r="G134"/>
      <c r="H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</row>
    <row r="135" spans="2:45" x14ac:dyDescent="0.2">
      <c r="B135"/>
      <c r="C135"/>
      <c r="D135"/>
      <c r="E135"/>
      <c r="F135"/>
      <c r="G135"/>
      <c r="H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</row>
    <row r="136" spans="2:45" x14ac:dyDescent="0.2">
      <c r="B136"/>
      <c r="C136"/>
      <c r="D136"/>
      <c r="E136"/>
      <c r="F136"/>
      <c r="G136"/>
      <c r="H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</row>
    <row r="137" spans="2:45" x14ac:dyDescent="0.2">
      <c r="B137"/>
      <c r="C137"/>
      <c r="D137"/>
      <c r="E137"/>
      <c r="F137"/>
      <c r="G137"/>
      <c r="H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</row>
    <row r="138" spans="2:45" x14ac:dyDescent="0.2">
      <c r="B138"/>
      <c r="C138"/>
      <c r="D138"/>
      <c r="E138"/>
      <c r="F138"/>
      <c r="G138"/>
      <c r="H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</row>
    <row r="139" spans="2:45" x14ac:dyDescent="0.2">
      <c r="B139"/>
      <c r="C139"/>
      <c r="D139"/>
      <c r="E139"/>
      <c r="F139"/>
      <c r="G139"/>
      <c r="H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</row>
    <row r="140" spans="2:45" x14ac:dyDescent="0.2">
      <c r="B140"/>
      <c r="C140"/>
      <c r="D140"/>
      <c r="E140"/>
      <c r="F140"/>
      <c r="G140"/>
      <c r="H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</row>
    <row r="141" spans="2:45" x14ac:dyDescent="0.2">
      <c r="B141"/>
      <c r="C141"/>
      <c r="D141"/>
      <c r="E141"/>
      <c r="F141"/>
      <c r="G141"/>
      <c r="H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</row>
    <row r="142" spans="2:45" x14ac:dyDescent="0.2">
      <c r="B142"/>
      <c r="C142"/>
      <c r="D142"/>
      <c r="E142"/>
      <c r="F142"/>
      <c r="G142"/>
      <c r="H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</row>
    <row r="143" spans="2:45" x14ac:dyDescent="0.2">
      <c r="B143"/>
      <c r="C143"/>
      <c r="D143"/>
      <c r="E143"/>
      <c r="F143"/>
      <c r="G143"/>
      <c r="H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</row>
    <row r="144" spans="2:45" x14ac:dyDescent="0.2">
      <c r="B144"/>
      <c r="C144"/>
      <c r="D144"/>
      <c r="E144"/>
      <c r="F144"/>
      <c r="G144"/>
      <c r="H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</row>
    <row r="145" spans="2:45" x14ac:dyDescent="0.2">
      <c r="B145"/>
      <c r="C145"/>
      <c r="D145"/>
      <c r="E145"/>
      <c r="F145"/>
      <c r="G145"/>
      <c r="H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</row>
    <row r="146" spans="2:45" x14ac:dyDescent="0.2">
      <c r="B146"/>
      <c r="C146"/>
      <c r="D146"/>
      <c r="E146"/>
      <c r="F146"/>
      <c r="G146"/>
      <c r="H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</row>
    <row r="147" spans="2:45" x14ac:dyDescent="0.2">
      <c r="B147"/>
      <c r="C147"/>
      <c r="D147"/>
      <c r="E147"/>
      <c r="F147"/>
      <c r="G147"/>
      <c r="H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</row>
    <row r="148" spans="2:45" x14ac:dyDescent="0.2">
      <c r="B148"/>
      <c r="C148"/>
      <c r="D148"/>
      <c r="E148"/>
      <c r="F148"/>
      <c r="G148"/>
      <c r="H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</row>
    <row r="149" spans="2:45" x14ac:dyDescent="0.2">
      <c r="B149"/>
      <c r="C149"/>
      <c r="D149"/>
      <c r="E149"/>
      <c r="F149"/>
      <c r="G149"/>
      <c r="H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</row>
    <row r="150" spans="2:45" x14ac:dyDescent="0.2">
      <c r="B150"/>
      <c r="C150"/>
      <c r="D150"/>
      <c r="E150"/>
      <c r="F150"/>
      <c r="G150"/>
      <c r="H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</row>
    <row r="151" spans="2:45" x14ac:dyDescent="0.2">
      <c r="B151"/>
      <c r="C151"/>
      <c r="D151"/>
      <c r="E151"/>
      <c r="F151"/>
      <c r="G151"/>
      <c r="H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</row>
    <row r="152" spans="2:45" x14ac:dyDescent="0.2">
      <c r="B152"/>
      <c r="C152"/>
      <c r="D152"/>
      <c r="E152"/>
      <c r="F152"/>
      <c r="G152"/>
      <c r="H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</row>
    <row r="153" spans="2:45" x14ac:dyDescent="0.2">
      <c r="B153"/>
      <c r="C153"/>
      <c r="D153"/>
      <c r="E153"/>
      <c r="F153"/>
      <c r="G153"/>
      <c r="H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</row>
    <row r="154" spans="2:45" x14ac:dyDescent="0.2">
      <c r="B154"/>
      <c r="C154"/>
      <c r="D154"/>
      <c r="E154"/>
      <c r="F154"/>
      <c r="G154"/>
      <c r="H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</row>
    <row r="155" spans="2:45" x14ac:dyDescent="0.2">
      <c r="B155"/>
      <c r="C155"/>
      <c r="D155"/>
      <c r="E155"/>
      <c r="F155"/>
      <c r="G155"/>
      <c r="H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</row>
    <row r="156" spans="2:45" x14ac:dyDescent="0.2">
      <c r="B156"/>
      <c r="C156"/>
      <c r="D156"/>
      <c r="E156"/>
      <c r="F156"/>
      <c r="G156"/>
      <c r="H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</row>
    <row r="157" spans="2:45" x14ac:dyDescent="0.2">
      <c r="B157"/>
      <c r="C157"/>
      <c r="D157"/>
      <c r="E157"/>
      <c r="F157"/>
      <c r="G157"/>
      <c r="H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</row>
    <row r="158" spans="2:45" x14ac:dyDescent="0.2">
      <c r="B158"/>
      <c r="C158"/>
      <c r="D158"/>
      <c r="E158"/>
      <c r="F158"/>
      <c r="G158"/>
      <c r="H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</row>
    <row r="159" spans="2:45" x14ac:dyDescent="0.2">
      <c r="B159"/>
      <c r="C159"/>
      <c r="D159"/>
      <c r="E159"/>
      <c r="F159"/>
      <c r="G159"/>
      <c r="H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</row>
    <row r="160" spans="2:45" x14ac:dyDescent="0.2">
      <c r="B160"/>
      <c r="C160"/>
      <c r="D160"/>
      <c r="E160"/>
      <c r="F160"/>
      <c r="G160"/>
      <c r="H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</row>
    <row r="161" spans="2:45" x14ac:dyDescent="0.2">
      <c r="B161"/>
      <c r="C161"/>
      <c r="D161"/>
      <c r="E161"/>
      <c r="F161"/>
      <c r="G161"/>
      <c r="H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</row>
    <row r="162" spans="2:45" x14ac:dyDescent="0.2">
      <c r="B162"/>
      <c r="C162"/>
      <c r="D162"/>
      <c r="E162"/>
      <c r="F162"/>
      <c r="G162"/>
      <c r="H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</row>
    <row r="163" spans="2:45" x14ac:dyDescent="0.2">
      <c r="B163"/>
      <c r="C163"/>
      <c r="D163"/>
      <c r="E163"/>
      <c r="F163"/>
      <c r="G163"/>
      <c r="H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</row>
    <row r="164" spans="2:45" x14ac:dyDescent="0.2">
      <c r="B164"/>
      <c r="C164"/>
      <c r="D164"/>
      <c r="E164"/>
      <c r="F164"/>
      <c r="G164"/>
      <c r="H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</row>
    <row r="165" spans="2:45" x14ac:dyDescent="0.2">
      <c r="B165"/>
      <c r="C165"/>
      <c r="D165"/>
      <c r="E165"/>
      <c r="F165"/>
      <c r="G165"/>
      <c r="H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</row>
    <row r="166" spans="2:45" x14ac:dyDescent="0.2">
      <c r="B166"/>
      <c r="C166"/>
      <c r="D166"/>
      <c r="E166"/>
      <c r="F166"/>
      <c r="G166"/>
      <c r="H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</row>
    <row r="167" spans="2:45" x14ac:dyDescent="0.2">
      <c r="B167"/>
      <c r="C167"/>
      <c r="D167"/>
      <c r="E167"/>
      <c r="F167"/>
      <c r="G167"/>
      <c r="H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</row>
    <row r="168" spans="2:45" x14ac:dyDescent="0.2">
      <c r="B168"/>
      <c r="C168"/>
      <c r="D168"/>
      <c r="E168"/>
      <c r="F168"/>
      <c r="G168"/>
      <c r="H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</row>
    <row r="169" spans="2:45" x14ac:dyDescent="0.2">
      <c r="B169"/>
      <c r="C169"/>
      <c r="D169"/>
      <c r="E169"/>
      <c r="F169"/>
      <c r="G169"/>
      <c r="H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</row>
    <row r="170" spans="2:45" x14ac:dyDescent="0.2">
      <c r="B170"/>
      <c r="C170"/>
      <c r="D170"/>
      <c r="E170"/>
      <c r="F170"/>
      <c r="G170"/>
      <c r="H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</row>
    <row r="171" spans="2:45" x14ac:dyDescent="0.2">
      <c r="B171"/>
      <c r="C171"/>
      <c r="D171"/>
      <c r="E171"/>
      <c r="F171"/>
      <c r="G171"/>
      <c r="H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</row>
    <row r="172" spans="2:45" x14ac:dyDescent="0.2">
      <c r="B172"/>
      <c r="C172"/>
      <c r="D172"/>
      <c r="E172"/>
      <c r="F172"/>
      <c r="G172"/>
      <c r="H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</row>
    <row r="173" spans="2:45" x14ac:dyDescent="0.2">
      <c r="B173"/>
      <c r="C173"/>
      <c r="D173"/>
      <c r="E173"/>
      <c r="F173"/>
      <c r="G173"/>
      <c r="H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</row>
    <row r="174" spans="2:45" x14ac:dyDescent="0.2">
      <c r="B174"/>
      <c r="C174"/>
      <c r="D174"/>
      <c r="E174"/>
      <c r="F174"/>
      <c r="G174"/>
      <c r="H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</row>
    <row r="175" spans="2:45" x14ac:dyDescent="0.2">
      <c r="B175"/>
      <c r="C175"/>
      <c r="D175"/>
      <c r="E175"/>
      <c r="F175"/>
      <c r="G175"/>
      <c r="H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</row>
    <row r="176" spans="2:45" x14ac:dyDescent="0.2">
      <c r="B176"/>
      <c r="C176"/>
      <c r="D176"/>
      <c r="E176"/>
      <c r="F176"/>
      <c r="G176"/>
      <c r="H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</row>
    <row r="177" spans="2:45" x14ac:dyDescent="0.2">
      <c r="B177"/>
      <c r="C177"/>
      <c r="D177"/>
      <c r="E177"/>
      <c r="F177"/>
      <c r="G177"/>
      <c r="H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</row>
    <row r="178" spans="2:45" x14ac:dyDescent="0.2">
      <c r="B178"/>
      <c r="C178"/>
      <c r="D178"/>
      <c r="E178"/>
      <c r="F178"/>
      <c r="G178"/>
      <c r="H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</row>
    <row r="179" spans="2:45" x14ac:dyDescent="0.2">
      <c r="B179"/>
      <c r="C179"/>
      <c r="D179"/>
      <c r="E179"/>
      <c r="F179"/>
      <c r="G179"/>
      <c r="H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</row>
    <row r="180" spans="2:45" x14ac:dyDescent="0.2">
      <c r="B180"/>
      <c r="C180"/>
      <c r="D180"/>
      <c r="E180"/>
      <c r="F180"/>
      <c r="G180"/>
      <c r="H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</row>
    <row r="181" spans="2:45" x14ac:dyDescent="0.2">
      <c r="B181"/>
      <c r="C181"/>
      <c r="D181"/>
      <c r="E181"/>
      <c r="F181"/>
      <c r="G181"/>
      <c r="H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</row>
    <row r="182" spans="2:45" x14ac:dyDescent="0.2">
      <c r="B182"/>
      <c r="C182"/>
      <c r="D182"/>
      <c r="E182"/>
      <c r="F182"/>
      <c r="G182"/>
      <c r="H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</row>
    <row r="183" spans="2:45" x14ac:dyDescent="0.2">
      <c r="B183"/>
      <c r="C183"/>
      <c r="D183"/>
      <c r="E183"/>
      <c r="F183"/>
      <c r="G183"/>
      <c r="H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</row>
    <row r="184" spans="2:45" x14ac:dyDescent="0.2">
      <c r="B184"/>
      <c r="C184"/>
      <c r="D184"/>
      <c r="E184"/>
      <c r="F184"/>
      <c r="G184"/>
      <c r="H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</row>
    <row r="185" spans="2:45" x14ac:dyDescent="0.2">
      <c r="B185"/>
      <c r="C185"/>
      <c r="D185"/>
      <c r="E185"/>
      <c r="F185"/>
      <c r="G185"/>
      <c r="H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</row>
    <row r="186" spans="2:45" x14ac:dyDescent="0.2">
      <c r="B186"/>
      <c r="C186"/>
      <c r="D186"/>
      <c r="E186"/>
      <c r="F186"/>
      <c r="G186"/>
      <c r="H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</row>
    <row r="187" spans="2:45" x14ac:dyDescent="0.2">
      <c r="B187"/>
      <c r="C187"/>
      <c r="D187"/>
      <c r="E187"/>
      <c r="F187"/>
      <c r="G187"/>
      <c r="H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</row>
    <row r="188" spans="2:45" x14ac:dyDescent="0.2">
      <c r="B188"/>
      <c r="C188"/>
      <c r="D188"/>
      <c r="E188"/>
      <c r="F188"/>
      <c r="G188"/>
      <c r="H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</row>
    <row r="189" spans="2:45" x14ac:dyDescent="0.2">
      <c r="B189"/>
      <c r="C189"/>
      <c r="D189"/>
      <c r="E189"/>
      <c r="F189"/>
      <c r="G189"/>
      <c r="H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</row>
    <row r="190" spans="2:45" x14ac:dyDescent="0.2">
      <c r="B190"/>
      <c r="C190"/>
      <c r="D190"/>
      <c r="E190"/>
      <c r="F190"/>
      <c r="G190"/>
      <c r="H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</row>
    <row r="191" spans="2:45" x14ac:dyDescent="0.2">
      <c r="B191"/>
      <c r="C191"/>
      <c r="D191"/>
      <c r="E191"/>
      <c r="F191"/>
      <c r="G191"/>
      <c r="H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</row>
    <row r="192" spans="2:45" x14ac:dyDescent="0.2">
      <c r="B192"/>
      <c r="C192"/>
      <c r="D192"/>
      <c r="E192"/>
      <c r="F192"/>
      <c r="G192"/>
      <c r="H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</row>
    <row r="193" spans="2:45" x14ac:dyDescent="0.2">
      <c r="B193"/>
      <c r="C193"/>
      <c r="D193"/>
      <c r="E193"/>
      <c r="F193"/>
      <c r="G193"/>
      <c r="H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</row>
    <row r="194" spans="2:45" x14ac:dyDescent="0.2">
      <c r="B194"/>
      <c r="C194"/>
      <c r="D194"/>
      <c r="E194"/>
      <c r="F194"/>
      <c r="G194"/>
      <c r="H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</row>
    <row r="195" spans="2:45" x14ac:dyDescent="0.2">
      <c r="B195"/>
      <c r="C195"/>
      <c r="D195"/>
      <c r="E195"/>
      <c r="F195"/>
      <c r="G195"/>
      <c r="H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</row>
    <row r="196" spans="2:45" x14ac:dyDescent="0.2">
      <c r="B196"/>
      <c r="C196"/>
      <c r="D196"/>
      <c r="E196"/>
      <c r="F196"/>
      <c r="G196"/>
      <c r="H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</row>
    <row r="197" spans="2:45" x14ac:dyDescent="0.2">
      <c r="B197"/>
      <c r="C197"/>
      <c r="D197"/>
      <c r="E197"/>
      <c r="F197"/>
      <c r="G197"/>
      <c r="H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</row>
    <row r="198" spans="2:45" x14ac:dyDescent="0.2">
      <c r="B198"/>
      <c r="C198"/>
      <c r="D198"/>
      <c r="E198"/>
      <c r="F198"/>
      <c r="G198"/>
      <c r="H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</row>
    <row r="199" spans="2:45" x14ac:dyDescent="0.2">
      <c r="B199"/>
      <c r="C199"/>
      <c r="D199"/>
      <c r="E199"/>
      <c r="F199"/>
      <c r="G199"/>
      <c r="H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</row>
    <row r="200" spans="2:45" x14ac:dyDescent="0.2">
      <c r="B200"/>
      <c r="C200"/>
      <c r="D200"/>
      <c r="E200"/>
      <c r="F200"/>
      <c r="G200"/>
      <c r="H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</row>
    <row r="201" spans="2:45" x14ac:dyDescent="0.2">
      <c r="B201"/>
      <c r="C201"/>
      <c r="D201"/>
      <c r="E201"/>
      <c r="F201"/>
      <c r="G201"/>
      <c r="H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</row>
    <row r="202" spans="2:45" x14ac:dyDescent="0.2">
      <c r="B202"/>
      <c r="C202"/>
      <c r="D202"/>
      <c r="E202"/>
      <c r="F202"/>
      <c r="G202"/>
      <c r="H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</row>
    <row r="203" spans="2:45" x14ac:dyDescent="0.2">
      <c r="B203"/>
      <c r="C203"/>
      <c r="D203"/>
      <c r="E203"/>
      <c r="F203"/>
      <c r="G203"/>
      <c r="H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</row>
    <row r="204" spans="2:45" x14ac:dyDescent="0.2">
      <c r="B204"/>
      <c r="C204"/>
      <c r="D204"/>
      <c r="E204"/>
      <c r="F204"/>
      <c r="G204"/>
      <c r="H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</row>
    <row r="205" spans="2:45" x14ac:dyDescent="0.2">
      <c r="B205"/>
      <c r="C205"/>
      <c r="D205"/>
      <c r="E205"/>
      <c r="F205"/>
      <c r="G205"/>
      <c r="H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</row>
    <row r="206" spans="2:45" x14ac:dyDescent="0.2">
      <c r="B206"/>
      <c r="C206"/>
      <c r="D206"/>
      <c r="E206"/>
      <c r="F206"/>
      <c r="G206"/>
      <c r="H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</row>
    <row r="207" spans="2:45" x14ac:dyDescent="0.2">
      <c r="B207"/>
      <c r="C207"/>
      <c r="D207"/>
      <c r="E207"/>
      <c r="F207"/>
      <c r="G207"/>
      <c r="H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</row>
    <row r="208" spans="2:45" x14ac:dyDescent="0.2">
      <c r="B208"/>
      <c r="C208"/>
      <c r="D208"/>
      <c r="E208"/>
      <c r="F208"/>
      <c r="G208"/>
      <c r="H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</row>
    <row r="209" spans="2:45" x14ac:dyDescent="0.2">
      <c r="B209"/>
      <c r="C209"/>
      <c r="D209"/>
      <c r="E209"/>
      <c r="F209"/>
      <c r="G209"/>
      <c r="H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</row>
    <row r="210" spans="2:45" x14ac:dyDescent="0.2">
      <c r="B210"/>
      <c r="C210"/>
      <c r="D210"/>
      <c r="E210"/>
      <c r="F210"/>
      <c r="G210"/>
      <c r="H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</row>
    <row r="211" spans="2:45" x14ac:dyDescent="0.2">
      <c r="B211"/>
      <c r="C211"/>
      <c r="D211"/>
      <c r="E211"/>
      <c r="F211"/>
      <c r="G211"/>
      <c r="H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</row>
    <row r="212" spans="2:45" x14ac:dyDescent="0.2">
      <c r="B212"/>
      <c r="C212"/>
      <c r="D212"/>
      <c r="E212"/>
      <c r="F212"/>
      <c r="G212"/>
      <c r="H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</row>
    <row r="213" spans="2:45" x14ac:dyDescent="0.2">
      <c r="B213"/>
      <c r="C213"/>
      <c r="D213"/>
      <c r="E213"/>
      <c r="F213"/>
      <c r="G213"/>
      <c r="H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</row>
    <row r="214" spans="2:45" x14ac:dyDescent="0.2">
      <c r="B214"/>
      <c r="C214"/>
      <c r="D214"/>
      <c r="E214"/>
      <c r="F214"/>
      <c r="G214"/>
      <c r="H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</row>
    <row r="215" spans="2:45" x14ac:dyDescent="0.2">
      <c r="B215"/>
      <c r="C215"/>
      <c r="D215"/>
      <c r="E215"/>
      <c r="F215"/>
      <c r="G215"/>
      <c r="H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</row>
    <row r="216" spans="2:45" x14ac:dyDescent="0.2">
      <c r="B216"/>
      <c r="C216"/>
      <c r="D216"/>
      <c r="E216"/>
      <c r="F216"/>
      <c r="G216"/>
      <c r="H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</row>
    <row r="217" spans="2:45" x14ac:dyDescent="0.2">
      <c r="B217"/>
      <c r="C217"/>
      <c r="D217"/>
      <c r="E217"/>
      <c r="F217"/>
      <c r="G217"/>
      <c r="H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</row>
    <row r="218" spans="2:45" x14ac:dyDescent="0.2">
      <c r="B218"/>
      <c r="C218"/>
      <c r="D218"/>
      <c r="E218"/>
      <c r="F218"/>
      <c r="G218"/>
      <c r="H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</row>
    <row r="219" spans="2:45" x14ac:dyDescent="0.2">
      <c r="B219"/>
      <c r="C219"/>
      <c r="D219"/>
      <c r="E219"/>
      <c r="F219"/>
      <c r="G219"/>
      <c r="H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</row>
    <row r="220" spans="2:45" x14ac:dyDescent="0.2">
      <c r="B220"/>
      <c r="C220"/>
      <c r="D220"/>
      <c r="E220"/>
      <c r="F220"/>
      <c r="G220"/>
      <c r="H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</row>
    <row r="221" spans="2:45" x14ac:dyDescent="0.2">
      <c r="B221"/>
      <c r="C221"/>
      <c r="D221"/>
      <c r="E221"/>
      <c r="F221"/>
      <c r="G221"/>
      <c r="H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</row>
    <row r="222" spans="2:45" x14ac:dyDescent="0.2">
      <c r="B222"/>
      <c r="C222"/>
      <c r="D222"/>
      <c r="E222"/>
      <c r="F222"/>
      <c r="G222"/>
      <c r="H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</row>
    <row r="223" spans="2:45" x14ac:dyDescent="0.2">
      <c r="B223"/>
      <c r="C223"/>
      <c r="D223"/>
      <c r="E223"/>
      <c r="F223"/>
      <c r="G223"/>
      <c r="H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</row>
    <row r="224" spans="2:45" x14ac:dyDescent="0.2">
      <c r="B224"/>
      <c r="C224"/>
      <c r="D224"/>
      <c r="E224"/>
      <c r="F224"/>
      <c r="G224"/>
      <c r="H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</row>
    <row r="225" spans="2:45" x14ac:dyDescent="0.2">
      <c r="B225"/>
      <c r="C225"/>
      <c r="D225"/>
      <c r="E225"/>
      <c r="F225"/>
      <c r="G225"/>
      <c r="H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</row>
    <row r="226" spans="2:45" x14ac:dyDescent="0.2">
      <c r="B226"/>
      <c r="C226"/>
      <c r="D226"/>
      <c r="E226"/>
      <c r="F226"/>
      <c r="G226"/>
      <c r="H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</row>
    <row r="227" spans="2:45" x14ac:dyDescent="0.2">
      <c r="B227"/>
      <c r="C227"/>
      <c r="D227"/>
      <c r="E227"/>
      <c r="F227"/>
      <c r="G227"/>
      <c r="H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</row>
    <row r="228" spans="2:45" x14ac:dyDescent="0.2">
      <c r="B228"/>
      <c r="C228"/>
      <c r="D228"/>
      <c r="E228"/>
      <c r="F228"/>
      <c r="G228"/>
      <c r="H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</row>
    <row r="229" spans="2:45" x14ac:dyDescent="0.2">
      <c r="B229"/>
      <c r="C229"/>
      <c r="D229"/>
      <c r="E229"/>
      <c r="F229"/>
      <c r="G229"/>
      <c r="H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</row>
    <row r="230" spans="2:45" x14ac:dyDescent="0.2">
      <c r="B230"/>
      <c r="C230"/>
      <c r="D230"/>
      <c r="E230"/>
      <c r="F230"/>
      <c r="G230"/>
      <c r="H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</row>
    <row r="231" spans="2:45" x14ac:dyDescent="0.2">
      <c r="B231"/>
      <c r="C231"/>
      <c r="D231"/>
      <c r="E231"/>
      <c r="F231"/>
      <c r="G231"/>
      <c r="H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</row>
    <row r="232" spans="2:45" x14ac:dyDescent="0.2">
      <c r="B232"/>
      <c r="C232"/>
      <c r="D232"/>
      <c r="E232"/>
      <c r="F232"/>
      <c r="G232"/>
      <c r="H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</row>
    <row r="233" spans="2:45" x14ac:dyDescent="0.2">
      <c r="B233"/>
      <c r="C233"/>
      <c r="D233"/>
      <c r="E233"/>
      <c r="F233"/>
      <c r="G233"/>
      <c r="H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</row>
    <row r="234" spans="2:45" x14ac:dyDescent="0.2">
      <c r="B234"/>
      <c r="C234"/>
      <c r="D234"/>
      <c r="E234"/>
      <c r="F234"/>
      <c r="G234"/>
      <c r="H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</row>
    <row r="235" spans="2:45" x14ac:dyDescent="0.2">
      <c r="B235"/>
      <c r="C235"/>
      <c r="D235"/>
      <c r="E235"/>
      <c r="F235"/>
      <c r="G235"/>
      <c r="H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</row>
    <row r="236" spans="2:45" x14ac:dyDescent="0.2">
      <c r="B236"/>
      <c r="C236"/>
      <c r="D236"/>
      <c r="E236"/>
      <c r="F236"/>
      <c r="G236"/>
      <c r="H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</row>
    <row r="237" spans="2:45" x14ac:dyDescent="0.2">
      <c r="B237"/>
      <c r="C237"/>
      <c r="D237"/>
      <c r="E237"/>
      <c r="F237"/>
      <c r="G237"/>
      <c r="H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</row>
    <row r="238" spans="2:45" x14ac:dyDescent="0.2">
      <c r="B238"/>
      <c r="C238"/>
      <c r="D238"/>
      <c r="E238"/>
      <c r="F238"/>
      <c r="G238"/>
      <c r="H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</row>
    <row r="239" spans="2:45" x14ac:dyDescent="0.2">
      <c r="B239"/>
      <c r="C239"/>
      <c r="D239"/>
      <c r="E239"/>
      <c r="F239"/>
      <c r="G239"/>
      <c r="H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</row>
    <row r="240" spans="2:45" x14ac:dyDescent="0.2">
      <c r="B240"/>
      <c r="C240"/>
      <c r="D240"/>
      <c r="E240"/>
      <c r="F240"/>
      <c r="G240"/>
      <c r="H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</row>
    <row r="241" spans="2:45" x14ac:dyDescent="0.2">
      <c r="B241"/>
      <c r="C241"/>
      <c r="D241"/>
      <c r="E241"/>
      <c r="F241"/>
      <c r="G241"/>
      <c r="H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</row>
    <row r="242" spans="2:45" x14ac:dyDescent="0.2">
      <c r="B242"/>
      <c r="C242"/>
      <c r="D242"/>
      <c r="E242"/>
      <c r="F242"/>
      <c r="G242"/>
      <c r="H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</row>
    <row r="243" spans="2:45" x14ac:dyDescent="0.2">
      <c r="B243"/>
      <c r="C243"/>
      <c r="D243"/>
      <c r="E243"/>
      <c r="F243"/>
      <c r="G243"/>
      <c r="H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</row>
    <row r="244" spans="2:45" x14ac:dyDescent="0.2">
      <c r="B244"/>
      <c r="C244"/>
      <c r="D244"/>
      <c r="E244"/>
      <c r="F244"/>
      <c r="G244"/>
      <c r="H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</row>
    <row r="245" spans="2:45" x14ac:dyDescent="0.2">
      <c r="B245"/>
      <c r="C245"/>
      <c r="D245"/>
      <c r="E245"/>
      <c r="F245"/>
      <c r="G245"/>
      <c r="H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</row>
    <row r="246" spans="2:45" x14ac:dyDescent="0.2">
      <c r="B246"/>
      <c r="C246"/>
      <c r="D246"/>
      <c r="E246"/>
      <c r="F246"/>
      <c r="G246"/>
      <c r="H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</row>
    <row r="247" spans="2:45" x14ac:dyDescent="0.2">
      <c r="B247"/>
      <c r="C247"/>
      <c r="D247"/>
      <c r="E247"/>
      <c r="F247"/>
      <c r="G247"/>
      <c r="H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</row>
    <row r="248" spans="2:45" x14ac:dyDescent="0.2">
      <c r="B248"/>
      <c r="C248"/>
      <c r="D248"/>
      <c r="E248"/>
      <c r="F248"/>
      <c r="G248"/>
      <c r="H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</row>
    <row r="249" spans="2:45" x14ac:dyDescent="0.2">
      <c r="B249"/>
      <c r="C249"/>
      <c r="D249"/>
      <c r="E249"/>
      <c r="F249"/>
      <c r="G249"/>
      <c r="H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</row>
    <row r="250" spans="2:45" x14ac:dyDescent="0.2">
      <c r="B250"/>
      <c r="C250"/>
      <c r="D250"/>
      <c r="E250"/>
      <c r="F250"/>
      <c r="G250"/>
      <c r="H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</row>
    <row r="251" spans="2:45" x14ac:dyDescent="0.2">
      <c r="B251"/>
      <c r="C251"/>
      <c r="D251"/>
      <c r="E251"/>
      <c r="F251"/>
      <c r="G251"/>
      <c r="H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</row>
    <row r="252" spans="2:45" x14ac:dyDescent="0.2">
      <c r="B252"/>
      <c r="C252"/>
      <c r="D252"/>
      <c r="E252"/>
      <c r="F252"/>
      <c r="G252"/>
      <c r="H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</row>
    <row r="253" spans="2:45" x14ac:dyDescent="0.2">
      <c r="B253"/>
      <c r="C253"/>
      <c r="D253"/>
      <c r="E253"/>
      <c r="F253"/>
      <c r="G253"/>
      <c r="H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</row>
    <row r="254" spans="2:45" x14ac:dyDescent="0.2">
      <c r="B254"/>
      <c r="C254"/>
      <c r="D254"/>
      <c r="E254"/>
      <c r="F254"/>
      <c r="G254"/>
      <c r="H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</row>
    <row r="255" spans="2:45" x14ac:dyDescent="0.2">
      <c r="B255"/>
      <c r="C255"/>
      <c r="D255"/>
      <c r="E255"/>
      <c r="F255"/>
      <c r="G255"/>
      <c r="H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</row>
    <row r="256" spans="2:45" x14ac:dyDescent="0.2">
      <c r="B256"/>
      <c r="C256"/>
      <c r="D256"/>
      <c r="E256"/>
      <c r="F256"/>
      <c r="G256"/>
      <c r="H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</row>
    <row r="257" spans="2:45" x14ac:dyDescent="0.2">
      <c r="B257"/>
      <c r="C257"/>
      <c r="D257"/>
      <c r="E257"/>
      <c r="F257"/>
      <c r="G257"/>
      <c r="H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</row>
    <row r="258" spans="2:45" x14ac:dyDescent="0.2">
      <c r="B258"/>
      <c r="C258"/>
      <c r="D258"/>
      <c r="E258"/>
      <c r="F258"/>
      <c r="G258"/>
      <c r="H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</row>
    <row r="259" spans="2:45" x14ac:dyDescent="0.2">
      <c r="B259"/>
      <c r="C259"/>
      <c r="D259"/>
      <c r="E259"/>
      <c r="F259"/>
      <c r="G259"/>
      <c r="H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</row>
    <row r="260" spans="2:45" x14ac:dyDescent="0.2">
      <c r="B260"/>
      <c r="C260"/>
      <c r="D260"/>
      <c r="E260"/>
      <c r="F260"/>
      <c r="G260"/>
      <c r="H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</row>
    <row r="261" spans="2:45" x14ac:dyDescent="0.2">
      <c r="B261"/>
      <c r="C261"/>
      <c r="D261"/>
      <c r="E261"/>
      <c r="F261"/>
      <c r="G261"/>
      <c r="H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</row>
    <row r="262" spans="2:45" x14ac:dyDescent="0.2">
      <c r="B262"/>
      <c r="C262"/>
      <c r="D262"/>
      <c r="E262"/>
      <c r="F262"/>
      <c r="G262"/>
      <c r="H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</row>
    <row r="263" spans="2:45" x14ac:dyDescent="0.2">
      <c r="B263"/>
      <c r="C263"/>
      <c r="D263"/>
      <c r="E263"/>
      <c r="F263"/>
      <c r="G263"/>
      <c r="H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</row>
    <row r="264" spans="2:45" x14ac:dyDescent="0.2">
      <c r="B264"/>
      <c r="C264"/>
      <c r="D264"/>
      <c r="E264"/>
      <c r="F264"/>
      <c r="G264"/>
      <c r="H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</row>
    <row r="265" spans="2:45" x14ac:dyDescent="0.2">
      <c r="B265"/>
      <c r="C265"/>
      <c r="D265"/>
      <c r="E265"/>
      <c r="F265"/>
      <c r="G265"/>
      <c r="H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</row>
    <row r="266" spans="2:45" x14ac:dyDescent="0.2">
      <c r="B266"/>
      <c r="C266"/>
      <c r="D266"/>
      <c r="E266"/>
      <c r="F266"/>
      <c r="G266"/>
      <c r="H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</row>
    <row r="267" spans="2:45" x14ac:dyDescent="0.2">
      <c r="B267"/>
      <c r="C267"/>
      <c r="D267"/>
      <c r="E267"/>
      <c r="F267"/>
      <c r="G267"/>
      <c r="H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</row>
    <row r="268" spans="2:45" x14ac:dyDescent="0.2">
      <c r="B268"/>
      <c r="C268"/>
      <c r="D268"/>
      <c r="E268"/>
      <c r="F268"/>
      <c r="G268"/>
      <c r="H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</row>
    <row r="269" spans="2:45" x14ac:dyDescent="0.2">
      <c r="B269"/>
      <c r="C269"/>
      <c r="D269"/>
      <c r="E269"/>
      <c r="F269"/>
      <c r="G269"/>
      <c r="H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</row>
    <row r="270" spans="2:45" x14ac:dyDescent="0.2">
      <c r="B270"/>
      <c r="C270"/>
      <c r="D270"/>
      <c r="E270"/>
      <c r="F270"/>
      <c r="G270"/>
      <c r="H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</row>
    <row r="271" spans="2:45" x14ac:dyDescent="0.2">
      <c r="B271"/>
      <c r="C271"/>
      <c r="D271"/>
      <c r="E271"/>
      <c r="F271"/>
      <c r="G271"/>
      <c r="H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</row>
    <row r="272" spans="2:45" x14ac:dyDescent="0.2">
      <c r="B272"/>
      <c r="C272"/>
      <c r="D272"/>
      <c r="E272"/>
      <c r="F272"/>
      <c r="G272"/>
      <c r="H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</row>
    <row r="273" spans="2:45" x14ac:dyDescent="0.2">
      <c r="B273"/>
      <c r="C273"/>
      <c r="D273"/>
      <c r="E273"/>
      <c r="F273"/>
      <c r="G273"/>
      <c r="H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</row>
    <row r="274" spans="2:45" x14ac:dyDescent="0.2">
      <c r="B274"/>
      <c r="C274"/>
      <c r="D274"/>
      <c r="E274"/>
      <c r="F274"/>
      <c r="G274"/>
      <c r="H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</row>
    <row r="275" spans="2:45" x14ac:dyDescent="0.2">
      <c r="B275"/>
      <c r="C275"/>
      <c r="D275"/>
      <c r="E275"/>
      <c r="F275"/>
      <c r="G275"/>
      <c r="H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</row>
    <row r="276" spans="2:45" x14ac:dyDescent="0.2">
      <c r="B276"/>
      <c r="C276"/>
      <c r="D276"/>
      <c r="E276"/>
      <c r="F276"/>
      <c r="G276"/>
      <c r="H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</row>
    <row r="277" spans="2:45" x14ac:dyDescent="0.2">
      <c r="B277"/>
      <c r="C277"/>
      <c r="D277"/>
      <c r="E277"/>
      <c r="F277"/>
      <c r="G277"/>
      <c r="H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</row>
    <row r="278" spans="2:45" x14ac:dyDescent="0.2">
      <c r="B278"/>
      <c r="C278"/>
      <c r="D278"/>
      <c r="E278"/>
      <c r="F278"/>
      <c r="G278"/>
      <c r="H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</row>
    <row r="279" spans="2:45" x14ac:dyDescent="0.2">
      <c r="B279"/>
      <c r="C279"/>
      <c r="D279"/>
      <c r="E279"/>
      <c r="F279"/>
      <c r="G279"/>
      <c r="H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</row>
    <row r="280" spans="2:45" x14ac:dyDescent="0.2">
      <c r="B280"/>
      <c r="C280"/>
      <c r="D280"/>
      <c r="E280"/>
      <c r="F280"/>
      <c r="G280"/>
      <c r="H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</row>
    <row r="281" spans="2:45" x14ac:dyDescent="0.2">
      <c r="B281"/>
      <c r="C281"/>
      <c r="D281"/>
      <c r="E281"/>
      <c r="F281"/>
      <c r="G281"/>
      <c r="H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</row>
    <row r="282" spans="2:45" x14ac:dyDescent="0.2">
      <c r="B282"/>
      <c r="C282"/>
      <c r="D282"/>
      <c r="E282"/>
      <c r="F282"/>
      <c r="G282"/>
      <c r="H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</row>
    <row r="283" spans="2:45" x14ac:dyDescent="0.2">
      <c r="B283"/>
      <c r="C283"/>
      <c r="D283"/>
      <c r="E283"/>
      <c r="F283"/>
      <c r="G283"/>
      <c r="H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</row>
    <row r="284" spans="2:45" x14ac:dyDescent="0.2">
      <c r="B284"/>
      <c r="C284"/>
      <c r="D284"/>
      <c r="E284"/>
      <c r="F284"/>
      <c r="G284"/>
      <c r="H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</row>
    <row r="285" spans="2:45" x14ac:dyDescent="0.2">
      <c r="B285"/>
      <c r="C285"/>
      <c r="D285"/>
      <c r="E285"/>
      <c r="F285"/>
      <c r="G285"/>
      <c r="H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</row>
    <row r="286" spans="2:45" x14ac:dyDescent="0.2">
      <c r="B286"/>
      <c r="C286"/>
      <c r="D286"/>
      <c r="E286"/>
      <c r="F286"/>
      <c r="G286"/>
      <c r="H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</row>
    <row r="287" spans="2:45" x14ac:dyDescent="0.2">
      <c r="B287"/>
      <c r="C287"/>
      <c r="D287"/>
      <c r="E287"/>
      <c r="F287"/>
      <c r="G287"/>
      <c r="H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</row>
    <row r="288" spans="2:45" x14ac:dyDescent="0.2">
      <c r="B288"/>
      <c r="C288"/>
      <c r="D288"/>
      <c r="E288"/>
      <c r="F288"/>
      <c r="G288"/>
      <c r="H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</row>
    <row r="289" spans="2:45" x14ac:dyDescent="0.2">
      <c r="B289"/>
      <c r="C289"/>
      <c r="D289"/>
      <c r="E289"/>
      <c r="F289"/>
      <c r="G289"/>
      <c r="H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</row>
    <row r="290" spans="2:45" x14ac:dyDescent="0.2">
      <c r="B290"/>
      <c r="C290"/>
      <c r="D290"/>
      <c r="E290"/>
      <c r="F290"/>
      <c r="G290"/>
      <c r="H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</row>
    <row r="291" spans="2:45" x14ac:dyDescent="0.2">
      <c r="B291"/>
      <c r="C291"/>
      <c r="D291"/>
      <c r="E291"/>
      <c r="F291"/>
      <c r="G291"/>
      <c r="H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</row>
    <row r="292" spans="2:45" x14ac:dyDescent="0.2">
      <c r="B292"/>
      <c r="C292"/>
      <c r="D292"/>
      <c r="E292"/>
      <c r="F292"/>
      <c r="G292"/>
      <c r="H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</row>
    <row r="293" spans="2:45" x14ac:dyDescent="0.2">
      <c r="B293"/>
      <c r="C293"/>
      <c r="D293"/>
      <c r="E293"/>
      <c r="F293"/>
      <c r="G293"/>
      <c r="H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</row>
    <row r="294" spans="2:45" x14ac:dyDescent="0.2">
      <c r="B294"/>
      <c r="C294"/>
      <c r="D294"/>
      <c r="E294"/>
      <c r="F294"/>
      <c r="G294"/>
      <c r="H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</row>
    <row r="295" spans="2:45" x14ac:dyDescent="0.2">
      <c r="B295"/>
      <c r="C295"/>
      <c r="D295"/>
      <c r="E295"/>
      <c r="F295"/>
      <c r="G295"/>
      <c r="H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</row>
    <row r="296" spans="2:45" x14ac:dyDescent="0.2">
      <c r="B296"/>
      <c r="C296"/>
      <c r="D296"/>
      <c r="E296"/>
      <c r="F296"/>
      <c r="G296"/>
      <c r="H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</row>
    <row r="297" spans="2:45" x14ac:dyDescent="0.2">
      <c r="B297"/>
      <c r="C297"/>
      <c r="D297"/>
      <c r="E297"/>
      <c r="F297"/>
      <c r="G297"/>
      <c r="H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</row>
    <row r="298" spans="2:45" x14ac:dyDescent="0.2">
      <c r="B298"/>
      <c r="C298"/>
      <c r="D298"/>
      <c r="E298"/>
      <c r="F298"/>
      <c r="G298"/>
      <c r="H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</row>
    <row r="299" spans="2:45" x14ac:dyDescent="0.2">
      <c r="B299"/>
      <c r="C299"/>
      <c r="D299"/>
      <c r="E299"/>
      <c r="F299"/>
      <c r="G299"/>
      <c r="H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</row>
    <row r="300" spans="2:45" x14ac:dyDescent="0.2">
      <c r="B300"/>
      <c r="C300"/>
      <c r="D300"/>
      <c r="E300"/>
      <c r="F300"/>
      <c r="G300"/>
      <c r="H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</row>
  </sheetData>
  <mergeCells count="5">
    <mergeCell ref="X2:AE2"/>
    <mergeCell ref="AF2:AO2"/>
    <mergeCell ref="F2:K2"/>
    <mergeCell ref="O2:W2"/>
    <mergeCell ref="E2:E3"/>
  </mergeCells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7" tint="0.39997558519241921"/>
  </sheetPr>
  <dimension ref="A1:X782"/>
  <sheetViews>
    <sheetView showGridLines="0" zoomScaleNormal="100" workbookViewId="0">
      <selection activeCell="A33" sqref="A33"/>
    </sheetView>
  </sheetViews>
  <sheetFormatPr defaultRowHeight="14.25" x14ac:dyDescent="0.2"/>
  <cols>
    <col min="1" max="1" width="12" customWidth="1"/>
    <col min="3" max="3" width="7.75" customWidth="1"/>
    <col min="20" max="20" width="2.75" customWidth="1"/>
    <col min="23" max="23" width="11.75" customWidth="1"/>
    <col min="24" max="24" width="15.75" customWidth="1"/>
  </cols>
  <sheetData>
    <row r="1" spans="1:24" ht="22.5" customHeight="1" thickBot="1" x14ac:dyDescent="0.25">
      <c r="A1" s="134"/>
      <c r="B1" s="193" t="s">
        <v>2307</v>
      </c>
      <c r="C1" s="191">
        <v>8795</v>
      </c>
      <c r="D1" s="192" t="s">
        <v>2308</v>
      </c>
      <c r="E1" s="190"/>
      <c r="F1" s="190"/>
      <c r="G1" s="190"/>
      <c r="H1" s="194" t="s">
        <v>2309</v>
      </c>
      <c r="I1" s="136">
        <v>6752</v>
      </c>
      <c r="J1" s="137" t="s">
        <v>2310</v>
      </c>
      <c r="N1" s="174"/>
      <c r="O1" s="195">
        <v>13</v>
      </c>
      <c r="P1" s="135" t="s">
        <v>2319</v>
      </c>
      <c r="Q1" s="196">
        <v>14</v>
      </c>
      <c r="R1" s="135"/>
      <c r="T1" s="174"/>
      <c r="U1" s="135" t="s">
        <v>1752</v>
      </c>
    </row>
    <row r="2" spans="1:24" x14ac:dyDescent="0.2">
      <c r="B2" s="94"/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6"/>
      <c r="W2" s="176" t="s">
        <v>2311</v>
      </c>
      <c r="X2" s="175">
        <v>-2.8140612143613999</v>
      </c>
    </row>
    <row r="3" spans="1:24" x14ac:dyDescent="0.2">
      <c r="B3" s="97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98"/>
      <c r="W3" s="177" t="s">
        <v>2312</v>
      </c>
      <c r="X3" s="175">
        <v>-8.11</v>
      </c>
    </row>
    <row r="4" spans="1:24" x14ac:dyDescent="0.2">
      <c r="A4" s="206" t="s">
        <v>2301</v>
      </c>
      <c r="B4" s="97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98"/>
      <c r="W4" s="177" t="s">
        <v>2313</v>
      </c>
      <c r="X4" s="175">
        <v>1.34</v>
      </c>
    </row>
    <row r="5" spans="1:24" x14ac:dyDescent="0.2">
      <c r="A5" s="22" t="str">
        <f>U1</f>
        <v>1Y</v>
      </c>
      <c r="B5" s="97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98"/>
      <c r="W5" s="176" t="s">
        <v>2314</v>
      </c>
      <c r="X5" s="175">
        <v>-86216</v>
      </c>
    </row>
    <row r="6" spans="1:24" ht="15" customHeight="1" x14ac:dyDescent="0.2">
      <c r="A6" s="206" t="s">
        <v>1753</v>
      </c>
      <c r="B6" s="97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98"/>
      <c r="W6" s="178" t="s">
        <v>2315</v>
      </c>
      <c r="X6" s="175">
        <v>0.90524543736923602</v>
      </c>
    </row>
    <row r="7" spans="1:24" x14ac:dyDescent="0.2">
      <c r="A7" s="207">
        <v>0.86120224196219175</v>
      </c>
      <c r="B7" s="97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98"/>
      <c r="W7" s="178" t="s">
        <v>2316</v>
      </c>
      <c r="X7" s="175">
        <v>0.91052373189302604</v>
      </c>
    </row>
    <row r="8" spans="1:24" x14ac:dyDescent="0.2">
      <c r="A8" s="206" t="s">
        <v>1754</v>
      </c>
      <c r="B8" s="97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98"/>
      <c r="W8" s="176" t="s">
        <v>2317</v>
      </c>
      <c r="X8" s="175">
        <v>4.6756204401709599E-2</v>
      </c>
    </row>
    <row r="9" spans="1:24" x14ac:dyDescent="0.2">
      <c r="A9" s="207">
        <v>0.49517257575023244</v>
      </c>
      <c r="B9" s="97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98"/>
      <c r="W9" s="176" t="s">
        <v>2318</v>
      </c>
      <c r="X9" s="175">
        <v>6.1995489679687E-3</v>
      </c>
    </row>
    <row r="10" spans="1:24" x14ac:dyDescent="0.2">
      <c r="B10" s="97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98"/>
    </row>
    <row r="11" spans="1:24" x14ac:dyDescent="0.2">
      <c r="B11" s="97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98"/>
    </row>
    <row r="12" spans="1:24" x14ac:dyDescent="0.2">
      <c r="B12" s="97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98"/>
    </row>
    <row r="13" spans="1:24" x14ac:dyDescent="0.2">
      <c r="B13" s="97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98"/>
    </row>
    <row r="14" spans="1:24" x14ac:dyDescent="0.2">
      <c r="B14" s="9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98"/>
    </row>
    <row r="15" spans="1:24" x14ac:dyDescent="0.2">
      <c r="B15" s="97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98"/>
    </row>
    <row r="16" spans="1:24" x14ac:dyDescent="0.2">
      <c r="B16" s="9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98"/>
    </row>
    <row r="17" spans="2:20" x14ac:dyDescent="0.2">
      <c r="B17" s="97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98"/>
    </row>
    <row r="18" spans="2:20" x14ac:dyDescent="0.2">
      <c r="B18" s="9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98"/>
    </row>
    <row r="19" spans="2:20" x14ac:dyDescent="0.2">
      <c r="B19" s="9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98"/>
    </row>
    <row r="20" spans="2:20" x14ac:dyDescent="0.2">
      <c r="B20" s="9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98"/>
    </row>
    <row r="21" spans="2:20" x14ac:dyDescent="0.2">
      <c r="B21" s="9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98"/>
    </row>
    <row r="22" spans="2:20" x14ac:dyDescent="0.2">
      <c r="B22" s="9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98"/>
    </row>
    <row r="23" spans="2:20" x14ac:dyDescent="0.2">
      <c r="B23" s="9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98"/>
    </row>
    <row r="24" spans="2:20" x14ac:dyDescent="0.2">
      <c r="B24" s="9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98"/>
    </row>
    <row r="25" spans="2:20" x14ac:dyDescent="0.2">
      <c r="B25" s="97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98"/>
    </row>
    <row r="26" spans="2:20" x14ac:dyDescent="0.2">
      <c r="B26" s="9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98"/>
    </row>
    <row r="27" spans="2:20" x14ac:dyDescent="0.2">
      <c r="B27" s="9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98"/>
    </row>
    <row r="28" spans="2:20" x14ac:dyDescent="0.2">
      <c r="B28" s="9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98"/>
    </row>
    <row r="29" spans="2:20" x14ac:dyDescent="0.2">
      <c r="B29" s="97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98"/>
    </row>
    <row r="30" spans="2:20" x14ac:dyDescent="0.2">
      <c r="B30" s="9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98"/>
    </row>
    <row r="31" spans="2:20" x14ac:dyDescent="0.2">
      <c r="B31" s="9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98"/>
    </row>
    <row r="32" spans="2:20" x14ac:dyDescent="0.2">
      <c r="B32" s="9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98"/>
    </row>
    <row r="33" spans="1:20" x14ac:dyDescent="0.2">
      <c r="B33" s="9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98"/>
    </row>
    <row r="34" spans="1:20" x14ac:dyDescent="0.2">
      <c r="B34" s="9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98"/>
    </row>
    <row r="35" spans="1:20" x14ac:dyDescent="0.2">
      <c r="B35" s="9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98"/>
    </row>
    <row r="36" spans="1:20" x14ac:dyDescent="0.2">
      <c r="B36" s="9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98"/>
    </row>
    <row r="37" spans="1:20" x14ac:dyDescent="0.2">
      <c r="B37" s="9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98"/>
    </row>
    <row r="38" spans="1:20" ht="15" thickBot="1" x14ac:dyDescent="0.25">
      <c r="B38" s="99"/>
      <c r="C38" s="100"/>
      <c r="D38" s="100"/>
      <c r="E38" s="100"/>
      <c r="F38" s="100"/>
      <c r="G38" s="100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1"/>
    </row>
    <row r="40" spans="1:20" x14ac:dyDescent="0.2">
      <c r="A40" s="103"/>
      <c r="B40" s="104"/>
      <c r="C40" s="104"/>
      <c r="D40" s="104"/>
      <c r="E40" s="104"/>
      <c r="F40" s="104"/>
      <c r="G40" s="104"/>
      <c r="H40" s="104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</row>
    <row r="41" spans="1:20" x14ac:dyDescent="0.2">
      <c r="A41" s="106" t="s">
        <v>868</v>
      </c>
      <c r="B41" s="106" t="s">
        <v>2303</v>
      </c>
      <c r="C41" s="106" t="s">
        <v>2304</v>
      </c>
      <c r="D41" s="106" t="s">
        <v>2305</v>
      </c>
      <c r="E41" s="106" t="s">
        <v>2306</v>
      </c>
      <c r="F41" s="106" t="s">
        <v>869</v>
      </c>
      <c r="G41" s="106" t="s">
        <v>870</v>
      </c>
      <c r="H41" s="106" t="s">
        <v>871</v>
      </c>
      <c r="I41" s="106" t="s">
        <v>872</v>
      </c>
      <c r="J41" s="106" t="s">
        <v>873</v>
      </c>
      <c r="L41" s="106" t="s">
        <v>211</v>
      </c>
      <c r="M41" s="106" t="s">
        <v>212</v>
      </c>
      <c r="N41" s="106" t="s">
        <v>213</v>
      </c>
      <c r="O41" s="106" t="s">
        <v>214</v>
      </c>
    </row>
    <row r="42" spans="1:20" x14ac:dyDescent="0.2">
      <c r="A42" s="14">
        <v>43819</v>
      </c>
      <c r="B42">
        <v>1020</v>
      </c>
      <c r="C42">
        <v>1016.5</v>
      </c>
      <c r="D42">
        <v>1429</v>
      </c>
      <c r="E42">
        <v>1433</v>
      </c>
      <c r="F42">
        <v>0.70935101186322402</v>
      </c>
      <c r="G42">
        <v>0.76685632855334696</v>
      </c>
      <c r="H42">
        <v>2.0434991391320101E-2</v>
      </c>
      <c r="I42">
        <v>-2.8140612143613999</v>
      </c>
      <c r="J42">
        <v>-8.11</v>
      </c>
      <c r="L42">
        <v>0.78729131994466706</v>
      </c>
      <c r="M42">
        <v>0.74642133716202685</v>
      </c>
      <c r="N42">
        <v>0.80772631133598716</v>
      </c>
      <c r="O42">
        <v>0.72598634577070675</v>
      </c>
    </row>
    <row r="43" spans="1:20" x14ac:dyDescent="0.2">
      <c r="A43" s="14">
        <v>43818</v>
      </c>
      <c r="B43">
        <v>1025</v>
      </c>
      <c r="C43">
        <v>1026.5</v>
      </c>
      <c r="D43">
        <v>1414</v>
      </c>
      <c r="E43">
        <v>1429</v>
      </c>
      <c r="F43">
        <v>0.71833449965010499</v>
      </c>
      <c r="G43">
        <v>0.76796321039195004</v>
      </c>
      <c r="H43">
        <v>1.9517929187571701E-2</v>
      </c>
      <c r="I43">
        <v>-2.5427241929664799</v>
      </c>
      <c r="J43">
        <v>-6.91</v>
      </c>
      <c r="L43">
        <v>0.78748113957952171</v>
      </c>
      <c r="M43">
        <v>0.74844528120437837</v>
      </c>
      <c r="N43">
        <v>0.80699906876709349</v>
      </c>
      <c r="O43">
        <v>0.72892735201680658</v>
      </c>
    </row>
    <row r="44" spans="1:20" x14ac:dyDescent="0.2">
      <c r="A44" s="14">
        <v>43817</v>
      </c>
      <c r="B44">
        <v>1040.5</v>
      </c>
      <c r="C44">
        <v>1025.5</v>
      </c>
      <c r="D44">
        <v>1415</v>
      </c>
      <c r="E44">
        <v>1424</v>
      </c>
      <c r="F44">
        <v>0.72015449438202195</v>
      </c>
      <c r="G44">
        <v>0.76902326906066198</v>
      </c>
      <c r="H44">
        <v>1.8944299245301902E-2</v>
      </c>
      <c r="I44">
        <v>-2.5796031854152299</v>
      </c>
      <c r="J44">
        <v>-6.79</v>
      </c>
      <c r="L44">
        <v>0.78796756830596393</v>
      </c>
      <c r="M44">
        <v>0.75007896981536004</v>
      </c>
      <c r="N44">
        <v>0.80691186755126576</v>
      </c>
      <c r="O44">
        <v>0.73113467057005821</v>
      </c>
    </row>
    <row r="45" spans="1:20" x14ac:dyDescent="0.2">
      <c r="A45" s="14">
        <v>43816</v>
      </c>
      <c r="B45">
        <v>1044</v>
      </c>
      <c r="C45">
        <v>1046.5</v>
      </c>
      <c r="D45">
        <v>1392</v>
      </c>
      <c r="E45">
        <v>1412</v>
      </c>
      <c r="F45">
        <v>0.74114730878186896</v>
      </c>
      <c r="G45">
        <v>0.77017483232397499</v>
      </c>
      <c r="H45">
        <v>1.8559815485771802E-2</v>
      </c>
      <c r="I45">
        <v>-1.5639984979569499</v>
      </c>
      <c r="J45">
        <v>-3.92</v>
      </c>
      <c r="L45">
        <v>0.78873464780974678</v>
      </c>
      <c r="M45">
        <v>0.7516150168382032</v>
      </c>
      <c r="N45">
        <v>0.80729446329551857</v>
      </c>
      <c r="O45">
        <v>0.73305520135243141</v>
      </c>
    </row>
    <row r="46" spans="1:20" x14ac:dyDescent="0.2">
      <c r="A46" s="14">
        <v>43815</v>
      </c>
      <c r="B46">
        <v>1058</v>
      </c>
      <c r="C46">
        <v>1036.5</v>
      </c>
      <c r="D46">
        <v>1369</v>
      </c>
      <c r="E46">
        <v>1374</v>
      </c>
      <c r="F46">
        <v>0.75436681222707402</v>
      </c>
      <c r="G46">
        <v>0.77098332080021004</v>
      </c>
      <c r="H46">
        <v>1.8598394605723101E-2</v>
      </c>
      <c r="I46">
        <v>-0.89343778994895695</v>
      </c>
      <c r="J46">
        <v>-2.2000000000000002</v>
      </c>
      <c r="L46">
        <v>0.78958171540593314</v>
      </c>
      <c r="M46">
        <v>0.75238492619448694</v>
      </c>
      <c r="N46">
        <v>0.80818011001165624</v>
      </c>
      <c r="O46">
        <v>0.73378653158876384</v>
      </c>
    </row>
    <row r="47" spans="1:20" x14ac:dyDescent="0.2">
      <c r="A47" s="14">
        <v>43812</v>
      </c>
      <c r="B47">
        <v>1059</v>
      </c>
      <c r="C47">
        <v>1058</v>
      </c>
      <c r="D47">
        <v>1384</v>
      </c>
      <c r="E47">
        <v>1373</v>
      </c>
      <c r="F47">
        <v>0.77057538237436196</v>
      </c>
      <c r="G47">
        <v>0.77156670560520102</v>
      </c>
      <c r="H47">
        <v>1.8753603497846098E-2</v>
      </c>
      <c r="I47">
        <v>-5.2860413250826001E-2</v>
      </c>
      <c r="J47">
        <v>-0.13</v>
      </c>
      <c r="L47">
        <v>0.79032030910304707</v>
      </c>
      <c r="M47">
        <v>0.75281310210735497</v>
      </c>
      <c r="N47">
        <v>0.80907391260089323</v>
      </c>
      <c r="O47">
        <v>0.73405949860950881</v>
      </c>
    </row>
    <row r="48" spans="1:20" x14ac:dyDescent="0.2">
      <c r="A48" s="14">
        <v>43811</v>
      </c>
      <c r="B48">
        <v>1058.5</v>
      </c>
      <c r="C48">
        <v>1036.5</v>
      </c>
      <c r="D48">
        <v>1338</v>
      </c>
      <c r="E48">
        <v>1335</v>
      </c>
      <c r="F48">
        <v>0.77640449438202197</v>
      </c>
      <c r="G48">
        <v>0.77192282304163196</v>
      </c>
      <c r="H48">
        <v>1.8983578210926898E-2</v>
      </c>
      <c r="I48">
        <v>0.23608148530242801</v>
      </c>
      <c r="J48">
        <v>0.57999999999999996</v>
      </c>
      <c r="L48">
        <v>0.79090640125255884</v>
      </c>
      <c r="M48">
        <v>0.75293924483070507</v>
      </c>
      <c r="N48">
        <v>0.80988997946348573</v>
      </c>
      <c r="O48">
        <v>0.73395566661977818</v>
      </c>
    </row>
    <row r="49" spans="1:15" x14ac:dyDescent="0.2">
      <c r="A49" s="14">
        <v>43810</v>
      </c>
      <c r="B49">
        <v>1059</v>
      </c>
      <c r="C49">
        <v>1060.5</v>
      </c>
      <c r="D49">
        <v>1362</v>
      </c>
      <c r="E49">
        <v>1348</v>
      </c>
      <c r="F49">
        <v>0.78672106824925803</v>
      </c>
      <c r="G49">
        <v>0.77229625331261598</v>
      </c>
      <c r="H49">
        <v>1.9340184527451801E-2</v>
      </c>
      <c r="I49">
        <v>0.74584681010495801</v>
      </c>
      <c r="J49">
        <v>1.83</v>
      </c>
      <c r="L49">
        <v>0.79163643784006776</v>
      </c>
      <c r="M49">
        <v>0.75295606878516419</v>
      </c>
      <c r="N49">
        <v>0.81097662236751955</v>
      </c>
      <c r="O49">
        <v>0.7336158842577124</v>
      </c>
    </row>
    <row r="50" spans="1:15" x14ac:dyDescent="0.2">
      <c r="A50" s="14">
        <v>43809</v>
      </c>
      <c r="B50">
        <v>1057.5</v>
      </c>
      <c r="C50">
        <v>1057.5</v>
      </c>
      <c r="D50">
        <v>1362</v>
      </c>
      <c r="E50">
        <v>1362</v>
      </c>
      <c r="F50">
        <v>0.77643171806167399</v>
      </c>
      <c r="G50">
        <v>0.77271452508652305</v>
      </c>
      <c r="H50">
        <v>1.99763890106846E-2</v>
      </c>
      <c r="I50">
        <v>0.186079324604777</v>
      </c>
      <c r="J50">
        <v>0.48</v>
      </c>
      <c r="L50">
        <v>0.7926909140972076</v>
      </c>
      <c r="M50">
        <v>0.7527381360758385</v>
      </c>
      <c r="N50">
        <v>0.81266730310789226</v>
      </c>
      <c r="O50">
        <v>0.73276174706515385</v>
      </c>
    </row>
    <row r="51" spans="1:15" x14ac:dyDescent="0.2">
      <c r="A51" s="14">
        <v>43808</v>
      </c>
      <c r="B51">
        <v>1045</v>
      </c>
      <c r="C51">
        <v>1057.5</v>
      </c>
      <c r="D51">
        <v>1380</v>
      </c>
      <c r="E51">
        <v>1374</v>
      </c>
      <c r="F51">
        <v>0.76965065502183405</v>
      </c>
      <c r="G51">
        <v>0.77316752008455103</v>
      </c>
      <c r="H51">
        <v>2.0435483556910002E-2</v>
      </c>
      <c r="I51">
        <v>-0.17209600413533299</v>
      </c>
      <c r="J51">
        <v>-0.46</v>
      </c>
      <c r="L51">
        <v>0.79360300364146108</v>
      </c>
      <c r="M51">
        <v>0.75273203652764098</v>
      </c>
      <c r="N51">
        <v>0.81403848719837102</v>
      </c>
      <c r="O51">
        <v>0.73229655297073104</v>
      </c>
    </row>
    <row r="52" spans="1:15" x14ac:dyDescent="0.2">
      <c r="A52" s="14">
        <v>43805</v>
      </c>
      <c r="B52">
        <v>1040.5</v>
      </c>
      <c r="C52">
        <v>1034.5</v>
      </c>
      <c r="D52">
        <v>1363</v>
      </c>
      <c r="E52">
        <v>1361</v>
      </c>
      <c r="F52">
        <v>0.76010286554004403</v>
      </c>
      <c r="G52">
        <v>0.77358939086102296</v>
      </c>
      <c r="H52">
        <v>2.0683612099104999E-2</v>
      </c>
      <c r="I52">
        <v>-0.65203917267247802</v>
      </c>
      <c r="J52">
        <v>-1.77</v>
      </c>
      <c r="L52">
        <v>0.79427300296012793</v>
      </c>
      <c r="M52">
        <v>0.752905778761918</v>
      </c>
      <c r="N52">
        <v>0.814956615059233</v>
      </c>
      <c r="O52">
        <v>0.73222216666281292</v>
      </c>
    </row>
    <row r="53" spans="1:15" x14ac:dyDescent="0.2">
      <c r="A53" s="14">
        <v>43804</v>
      </c>
      <c r="B53">
        <v>1040</v>
      </c>
      <c r="C53">
        <v>1044.5</v>
      </c>
      <c r="D53">
        <v>1329</v>
      </c>
      <c r="E53">
        <v>1343</v>
      </c>
      <c r="F53">
        <v>0.77773641102010405</v>
      </c>
      <c r="G53">
        <v>0.77434041959094202</v>
      </c>
      <c r="H53">
        <v>2.11965454929499E-2</v>
      </c>
      <c r="I53">
        <v>0.160214381644949</v>
      </c>
      <c r="J53">
        <v>0.44</v>
      </c>
      <c r="L53">
        <v>0.79553696508389193</v>
      </c>
      <c r="M53">
        <v>0.75314387409799211</v>
      </c>
      <c r="N53">
        <v>0.81673351057684185</v>
      </c>
      <c r="O53">
        <v>0.73194732860504219</v>
      </c>
    </row>
    <row r="54" spans="1:15" x14ac:dyDescent="0.2">
      <c r="A54" s="14">
        <v>43803</v>
      </c>
      <c r="B54">
        <v>1021.5</v>
      </c>
      <c r="C54">
        <v>1034.5</v>
      </c>
      <c r="D54">
        <v>1283</v>
      </c>
      <c r="E54">
        <v>1310</v>
      </c>
      <c r="F54">
        <v>0.78969465648854897</v>
      </c>
      <c r="G54">
        <v>0.774747593713768</v>
      </c>
      <c r="H54">
        <v>2.1548261581933899E-2</v>
      </c>
      <c r="I54">
        <v>0.69365515718968995</v>
      </c>
      <c r="J54">
        <v>1.89</v>
      </c>
      <c r="L54">
        <v>0.7962958552957019</v>
      </c>
      <c r="M54">
        <v>0.7531993321318341</v>
      </c>
      <c r="N54">
        <v>0.81784411687763581</v>
      </c>
      <c r="O54">
        <v>0.7316510705499002</v>
      </c>
    </row>
    <row r="55" spans="1:15" x14ac:dyDescent="0.2">
      <c r="A55" s="14">
        <v>43802</v>
      </c>
      <c r="B55">
        <v>1018.5</v>
      </c>
      <c r="C55">
        <v>1029.5</v>
      </c>
      <c r="D55">
        <v>1276</v>
      </c>
      <c r="E55">
        <v>1302</v>
      </c>
      <c r="F55">
        <v>0.79070660522273395</v>
      </c>
      <c r="G55">
        <v>0.77517966496058799</v>
      </c>
      <c r="H55">
        <v>2.2159844334166599E-2</v>
      </c>
      <c r="I55">
        <v>0.70067912156794498</v>
      </c>
      <c r="J55">
        <v>1.96</v>
      </c>
      <c r="L55">
        <v>0.79733950929475461</v>
      </c>
      <c r="M55">
        <v>0.75301982062642137</v>
      </c>
      <c r="N55">
        <v>0.81949935362892123</v>
      </c>
      <c r="O55">
        <v>0.73085997629225474</v>
      </c>
    </row>
    <row r="56" spans="1:15" x14ac:dyDescent="0.2">
      <c r="A56" s="14">
        <v>43801</v>
      </c>
      <c r="B56">
        <v>1030</v>
      </c>
      <c r="C56">
        <v>1032</v>
      </c>
      <c r="D56">
        <v>1285</v>
      </c>
      <c r="E56">
        <v>1295</v>
      </c>
      <c r="F56">
        <v>0.79691119691119605</v>
      </c>
      <c r="G56">
        <v>0.77569184787173995</v>
      </c>
      <c r="H56">
        <v>2.2942896212014102E-2</v>
      </c>
      <c r="I56">
        <v>0.92487665216151005</v>
      </c>
      <c r="J56">
        <v>2.66</v>
      </c>
      <c r="L56">
        <v>0.79863474408375401</v>
      </c>
      <c r="M56">
        <v>0.75274895165972588</v>
      </c>
      <c r="N56">
        <v>0.82157764029576819</v>
      </c>
      <c r="O56">
        <v>0.72980605544771171</v>
      </c>
    </row>
    <row r="57" spans="1:15" x14ac:dyDescent="0.2">
      <c r="A57" s="14">
        <v>43798</v>
      </c>
      <c r="B57">
        <v>1025</v>
      </c>
      <c r="C57">
        <v>1032</v>
      </c>
      <c r="D57">
        <v>1282</v>
      </c>
      <c r="E57">
        <v>1288</v>
      </c>
      <c r="F57">
        <v>0.80124223602484401</v>
      </c>
      <c r="G57">
        <v>0.77555584058398896</v>
      </c>
      <c r="H57">
        <v>2.28467364204527E-2</v>
      </c>
      <c r="I57">
        <v>1.1242916698535701</v>
      </c>
      <c r="J57">
        <v>3.21</v>
      </c>
      <c r="L57">
        <v>0.79840257700444162</v>
      </c>
      <c r="M57">
        <v>0.75270910416353631</v>
      </c>
      <c r="N57">
        <v>0.82124931342489438</v>
      </c>
      <c r="O57">
        <v>0.72986236774308355</v>
      </c>
    </row>
    <row r="58" spans="1:15" x14ac:dyDescent="0.2">
      <c r="A58" s="14">
        <v>43797</v>
      </c>
      <c r="B58">
        <v>988.5</v>
      </c>
      <c r="C58">
        <v>1009</v>
      </c>
      <c r="D58">
        <v>1285</v>
      </c>
      <c r="E58">
        <v>1279</v>
      </c>
      <c r="F58">
        <v>0.78889757623142998</v>
      </c>
      <c r="G58">
        <v>0.77510881181873603</v>
      </c>
      <c r="H58">
        <v>2.26670690395889E-2</v>
      </c>
      <c r="I58">
        <v>0.60831704304651402</v>
      </c>
      <c r="J58">
        <v>1.75</v>
      </c>
      <c r="L58">
        <v>0.79777588085832496</v>
      </c>
      <c r="M58">
        <v>0.7524417427791471</v>
      </c>
      <c r="N58">
        <v>0.82044294989791378</v>
      </c>
      <c r="O58">
        <v>0.72977467373955829</v>
      </c>
    </row>
    <row r="59" spans="1:15" x14ac:dyDescent="0.2">
      <c r="A59" s="14">
        <v>43796</v>
      </c>
      <c r="B59">
        <v>984.6</v>
      </c>
      <c r="C59">
        <v>981.3</v>
      </c>
      <c r="D59">
        <v>1266</v>
      </c>
      <c r="E59">
        <v>1274</v>
      </c>
      <c r="F59">
        <v>0.77025117739403404</v>
      </c>
      <c r="G59">
        <v>0.77469805625686305</v>
      </c>
      <c r="H59">
        <v>2.2692590976723701E-2</v>
      </c>
      <c r="I59">
        <v>-0.19596170694611001</v>
      </c>
      <c r="J59">
        <v>-0.57999999999999996</v>
      </c>
      <c r="L59">
        <v>0.79739064723358677</v>
      </c>
      <c r="M59">
        <v>0.75200546528013934</v>
      </c>
      <c r="N59">
        <v>0.82008323821031048</v>
      </c>
      <c r="O59">
        <v>0.72931287430341563</v>
      </c>
    </row>
    <row r="60" spans="1:15" x14ac:dyDescent="0.2">
      <c r="A60" s="14">
        <v>43795</v>
      </c>
      <c r="B60">
        <v>978.8</v>
      </c>
      <c r="C60">
        <v>981</v>
      </c>
      <c r="D60">
        <v>1275</v>
      </c>
      <c r="E60">
        <v>1251</v>
      </c>
      <c r="F60">
        <v>0.78417266187050305</v>
      </c>
      <c r="G60">
        <v>0.774300659605895</v>
      </c>
      <c r="H60">
        <v>2.3025516672561901E-2</v>
      </c>
      <c r="I60">
        <v>0.42874183476509398</v>
      </c>
      <c r="J60">
        <v>1.26</v>
      </c>
      <c r="L60">
        <v>0.79732617627845692</v>
      </c>
      <c r="M60">
        <v>0.75127514293333308</v>
      </c>
      <c r="N60">
        <v>0.82035169295101884</v>
      </c>
      <c r="O60">
        <v>0.72824962626077117</v>
      </c>
    </row>
    <row r="61" spans="1:15" x14ac:dyDescent="0.2">
      <c r="A61" s="14">
        <v>43794</v>
      </c>
      <c r="B61">
        <v>995</v>
      </c>
      <c r="C61">
        <v>967.7</v>
      </c>
      <c r="D61">
        <v>1258</v>
      </c>
      <c r="E61">
        <v>1269</v>
      </c>
      <c r="F61">
        <v>0.76256895193065399</v>
      </c>
      <c r="G61">
        <v>0.77382321450627101</v>
      </c>
      <c r="H61">
        <v>2.31865547838058E-2</v>
      </c>
      <c r="I61">
        <v>-0.48537881891267898</v>
      </c>
      <c r="J61">
        <v>-1.48</v>
      </c>
      <c r="L61">
        <v>0.79700976929007683</v>
      </c>
      <c r="M61">
        <v>0.75063665972246518</v>
      </c>
      <c r="N61">
        <v>0.82019632407388265</v>
      </c>
      <c r="O61">
        <v>0.72745010493865936</v>
      </c>
    </row>
    <row r="62" spans="1:15" x14ac:dyDescent="0.2">
      <c r="A62" s="14">
        <v>43791</v>
      </c>
      <c r="B62">
        <v>1005.5</v>
      </c>
      <c r="C62">
        <v>990.4</v>
      </c>
      <c r="D62">
        <v>1260</v>
      </c>
      <c r="E62">
        <v>1250</v>
      </c>
      <c r="F62">
        <v>0.79232000000000002</v>
      </c>
      <c r="G62">
        <v>0.77370708645651598</v>
      </c>
      <c r="H62">
        <v>2.3264310379692801E-2</v>
      </c>
      <c r="I62">
        <v>0.80006298229802197</v>
      </c>
      <c r="J62">
        <v>2.35</v>
      </c>
      <c r="L62">
        <v>0.79697139683620877</v>
      </c>
      <c r="M62">
        <v>0.75044277607682319</v>
      </c>
      <c r="N62">
        <v>0.82023570721590155</v>
      </c>
      <c r="O62">
        <v>0.72717846569713041</v>
      </c>
    </row>
    <row r="63" spans="1:15" x14ac:dyDescent="0.2">
      <c r="A63" s="14">
        <v>43790</v>
      </c>
      <c r="B63">
        <v>998.1</v>
      </c>
      <c r="C63">
        <v>1005</v>
      </c>
      <c r="D63">
        <v>1254</v>
      </c>
      <c r="E63">
        <v>1243</v>
      </c>
      <c r="F63">
        <v>0.80852775543041</v>
      </c>
      <c r="G63">
        <v>0.77300905320441704</v>
      </c>
      <c r="H63">
        <v>2.34797743484839E-2</v>
      </c>
      <c r="I63">
        <v>1.5127360978358799</v>
      </c>
      <c r="J63">
        <v>4.3899999999999997</v>
      </c>
      <c r="L63">
        <v>0.79648882755290096</v>
      </c>
      <c r="M63">
        <v>0.74952927885593312</v>
      </c>
      <c r="N63">
        <v>0.81996860190138487</v>
      </c>
      <c r="O63">
        <v>0.72604950450744921</v>
      </c>
    </row>
    <row r="64" spans="1:15" x14ac:dyDescent="0.2">
      <c r="A64" s="14">
        <v>43789</v>
      </c>
      <c r="B64">
        <v>990.6</v>
      </c>
      <c r="C64">
        <v>1002</v>
      </c>
      <c r="D64">
        <v>1298</v>
      </c>
      <c r="E64">
        <v>1266</v>
      </c>
      <c r="F64">
        <v>0.79146919431279605</v>
      </c>
      <c r="G64">
        <v>0.77228523560618201</v>
      </c>
      <c r="H64">
        <v>2.32088595525182E-2</v>
      </c>
      <c r="I64">
        <v>0.826579120064168</v>
      </c>
      <c r="J64">
        <v>2.42</v>
      </c>
      <c r="L64">
        <v>0.79549409515870018</v>
      </c>
      <c r="M64">
        <v>0.74907637605366384</v>
      </c>
      <c r="N64">
        <v>0.81870295471121846</v>
      </c>
      <c r="O64">
        <v>0.72586751650114556</v>
      </c>
    </row>
    <row r="65" spans="1:15" x14ac:dyDescent="0.2">
      <c r="A65" s="14">
        <v>43788</v>
      </c>
      <c r="B65">
        <v>993</v>
      </c>
      <c r="C65">
        <v>1001.5</v>
      </c>
      <c r="D65">
        <v>1323</v>
      </c>
      <c r="E65">
        <v>1319</v>
      </c>
      <c r="F65">
        <v>0.75928733889309996</v>
      </c>
      <c r="G65">
        <v>0.77192184469578595</v>
      </c>
      <c r="H65">
        <v>2.31188349158831E-2</v>
      </c>
      <c r="I65">
        <v>-0.54650270433849801</v>
      </c>
      <c r="J65">
        <v>-1.66</v>
      </c>
      <c r="L65">
        <v>0.79504067961166902</v>
      </c>
      <c r="M65">
        <v>0.74880300977990288</v>
      </c>
      <c r="N65">
        <v>0.8181595145275522</v>
      </c>
      <c r="O65">
        <v>0.7256841748640197</v>
      </c>
    </row>
    <row r="66" spans="1:15" x14ac:dyDescent="0.2">
      <c r="A66" s="14">
        <v>43787</v>
      </c>
      <c r="B66">
        <v>998.9</v>
      </c>
      <c r="C66">
        <v>990.4</v>
      </c>
      <c r="D66">
        <v>1346</v>
      </c>
      <c r="E66">
        <v>1320</v>
      </c>
      <c r="F66">
        <v>0.75030303030303003</v>
      </c>
      <c r="G66">
        <v>0.77187504315864597</v>
      </c>
      <c r="H66">
        <v>2.31478993617131E-2</v>
      </c>
      <c r="I66">
        <v>-0.93192097125223206</v>
      </c>
      <c r="J66">
        <v>-2.88</v>
      </c>
      <c r="L66">
        <v>0.7950229425203591</v>
      </c>
      <c r="M66">
        <v>0.74872714379693284</v>
      </c>
      <c r="N66">
        <v>0.81817084188207212</v>
      </c>
      <c r="O66">
        <v>0.72557924443521982</v>
      </c>
    </row>
    <row r="67" spans="1:15" x14ac:dyDescent="0.2">
      <c r="A67" s="14">
        <v>43784</v>
      </c>
      <c r="B67">
        <v>997.9</v>
      </c>
      <c r="C67">
        <v>998.3</v>
      </c>
      <c r="D67">
        <v>1319</v>
      </c>
      <c r="E67">
        <v>1342</v>
      </c>
      <c r="F67">
        <v>0.74388971684053595</v>
      </c>
      <c r="G67">
        <v>0.77174895230708795</v>
      </c>
      <c r="H67">
        <v>2.32903806454995E-2</v>
      </c>
      <c r="I67">
        <v>-1.19616917776459</v>
      </c>
      <c r="J67">
        <v>-3.75</v>
      </c>
      <c r="L67">
        <v>0.79503933295258744</v>
      </c>
      <c r="M67">
        <v>0.74845857166158847</v>
      </c>
      <c r="N67">
        <v>0.81832971359808693</v>
      </c>
      <c r="O67">
        <v>0.72516819101608898</v>
      </c>
    </row>
    <row r="68" spans="1:15" x14ac:dyDescent="0.2">
      <c r="A68" s="14">
        <v>43783</v>
      </c>
      <c r="B68">
        <v>1007</v>
      </c>
      <c r="C68">
        <v>997.4</v>
      </c>
      <c r="D68">
        <v>1338</v>
      </c>
      <c r="E68">
        <v>1318</v>
      </c>
      <c r="F68">
        <v>0.75675265553869497</v>
      </c>
      <c r="G68">
        <v>0.77179826139734697</v>
      </c>
      <c r="H68">
        <v>2.3235195847941498E-2</v>
      </c>
      <c r="I68">
        <v>-0.64753514268249102</v>
      </c>
      <c r="J68">
        <v>-1.99</v>
      </c>
      <c r="L68">
        <v>0.79503345724528851</v>
      </c>
      <c r="M68">
        <v>0.74856306554940544</v>
      </c>
      <c r="N68">
        <v>0.81826865309322994</v>
      </c>
      <c r="O68">
        <v>0.72532786970146401</v>
      </c>
    </row>
    <row r="69" spans="1:15" x14ac:dyDescent="0.2">
      <c r="A69" s="14">
        <v>43782</v>
      </c>
      <c r="B69">
        <v>1023.5</v>
      </c>
      <c r="C69">
        <v>1016.5</v>
      </c>
      <c r="D69">
        <v>1356</v>
      </c>
      <c r="E69">
        <v>1333</v>
      </c>
      <c r="F69">
        <v>0.76256564141035199</v>
      </c>
      <c r="G69">
        <v>0.77181180725738197</v>
      </c>
      <c r="H69">
        <v>2.32267150719591E-2</v>
      </c>
      <c r="I69">
        <v>-0.39808323382725502</v>
      </c>
      <c r="J69">
        <v>-1.21</v>
      </c>
      <c r="L69">
        <v>0.79503852232934102</v>
      </c>
      <c r="M69">
        <v>0.74858509218542291</v>
      </c>
      <c r="N69">
        <v>0.81826523740130019</v>
      </c>
      <c r="O69">
        <v>0.72535837711346374</v>
      </c>
    </row>
    <row r="70" spans="1:15" x14ac:dyDescent="0.2">
      <c r="A70" s="14">
        <v>43781</v>
      </c>
      <c r="B70">
        <v>1034</v>
      </c>
      <c r="C70">
        <v>1021</v>
      </c>
      <c r="D70">
        <v>1344</v>
      </c>
      <c r="E70">
        <v>1358</v>
      </c>
      <c r="F70">
        <v>0.75184094256259204</v>
      </c>
      <c r="G70">
        <v>0.77179082184573999</v>
      </c>
      <c r="H70">
        <v>2.3235768782244499E-2</v>
      </c>
      <c r="I70">
        <v>-0.85858485983870703</v>
      </c>
      <c r="J70">
        <v>-2.65</v>
      </c>
      <c r="L70">
        <v>0.79502659062798453</v>
      </c>
      <c r="M70">
        <v>0.74855505306349546</v>
      </c>
      <c r="N70">
        <v>0.81826235941022896</v>
      </c>
      <c r="O70">
        <v>0.72531928428125103</v>
      </c>
    </row>
    <row r="71" spans="1:15" x14ac:dyDescent="0.2">
      <c r="A71" s="14">
        <v>43780</v>
      </c>
      <c r="B71">
        <v>1020</v>
      </c>
      <c r="C71">
        <v>1020</v>
      </c>
      <c r="D71">
        <v>1342</v>
      </c>
      <c r="E71">
        <v>1343</v>
      </c>
      <c r="F71">
        <v>0.759493670886076</v>
      </c>
      <c r="G71">
        <v>0.77193833680244295</v>
      </c>
      <c r="H71">
        <v>2.31435828852391E-2</v>
      </c>
      <c r="I71">
        <v>-0.53771561551538105</v>
      </c>
      <c r="J71">
        <v>-1.64</v>
      </c>
      <c r="L71">
        <v>0.79508191968768205</v>
      </c>
      <c r="M71">
        <v>0.74879475391720385</v>
      </c>
      <c r="N71">
        <v>0.81822550257292115</v>
      </c>
      <c r="O71">
        <v>0.72565117103196475</v>
      </c>
    </row>
    <row r="72" spans="1:15" x14ac:dyDescent="0.2">
      <c r="A72" s="14">
        <v>43777</v>
      </c>
      <c r="B72">
        <v>1022.5</v>
      </c>
      <c r="C72">
        <v>1022</v>
      </c>
      <c r="D72">
        <v>1341</v>
      </c>
      <c r="E72">
        <v>1329</v>
      </c>
      <c r="F72">
        <v>0.76899924755455196</v>
      </c>
      <c r="G72">
        <v>0.77199256428547103</v>
      </c>
      <c r="H72">
        <v>2.3119112197923002E-2</v>
      </c>
      <c r="I72">
        <v>-0.129473688491717</v>
      </c>
      <c r="J72">
        <v>-0.39</v>
      </c>
      <c r="L72">
        <v>0.79511167648339398</v>
      </c>
      <c r="M72">
        <v>0.74887345208754807</v>
      </c>
      <c r="N72">
        <v>0.81823078868131704</v>
      </c>
      <c r="O72">
        <v>0.72575433988962501</v>
      </c>
    </row>
    <row r="73" spans="1:15" x14ac:dyDescent="0.2">
      <c r="A73" s="14">
        <v>43776</v>
      </c>
      <c r="B73">
        <v>1009</v>
      </c>
      <c r="C73">
        <v>1021</v>
      </c>
      <c r="D73">
        <v>1283</v>
      </c>
      <c r="E73">
        <v>1297</v>
      </c>
      <c r="F73">
        <v>0.787201233616037</v>
      </c>
      <c r="G73">
        <v>0.77168633093183303</v>
      </c>
      <c r="H73">
        <v>2.3308073532818899E-2</v>
      </c>
      <c r="I73">
        <v>0.66564500332288001</v>
      </c>
      <c r="J73">
        <v>1.97</v>
      </c>
      <c r="L73">
        <v>0.79499440446465197</v>
      </c>
      <c r="M73">
        <v>0.74837825739901409</v>
      </c>
      <c r="N73">
        <v>0.8183024779974708</v>
      </c>
      <c r="O73">
        <v>0.72507018386619526</v>
      </c>
    </row>
    <row r="74" spans="1:15" x14ac:dyDescent="0.2">
      <c r="A74" s="14">
        <v>43775</v>
      </c>
      <c r="B74">
        <v>1020</v>
      </c>
      <c r="C74">
        <v>1015</v>
      </c>
      <c r="D74">
        <v>1271</v>
      </c>
      <c r="E74">
        <v>1300</v>
      </c>
      <c r="F74">
        <v>0.78076923076922999</v>
      </c>
      <c r="G74">
        <v>0.77139591160193499</v>
      </c>
      <c r="H74">
        <v>2.3248570863185099E-2</v>
      </c>
      <c r="I74">
        <v>0.40317829523613802</v>
      </c>
      <c r="J74">
        <v>1.2</v>
      </c>
      <c r="L74">
        <v>0.79464448246512009</v>
      </c>
      <c r="M74">
        <v>0.74814734073874989</v>
      </c>
      <c r="N74">
        <v>0.8178930533283052</v>
      </c>
      <c r="O74">
        <v>0.72489876987556479</v>
      </c>
    </row>
    <row r="75" spans="1:15" x14ac:dyDescent="0.2">
      <c r="A75" s="14">
        <v>43774</v>
      </c>
      <c r="B75">
        <v>995.8</v>
      </c>
      <c r="C75">
        <v>1009.5</v>
      </c>
      <c r="D75">
        <v>1257</v>
      </c>
      <c r="E75">
        <v>1248</v>
      </c>
      <c r="F75">
        <v>0.80889423076922995</v>
      </c>
      <c r="G75">
        <v>0.77126850037996297</v>
      </c>
      <c r="H75">
        <v>2.3223023121986298E-2</v>
      </c>
      <c r="I75">
        <v>1.6201908852101701</v>
      </c>
      <c r="J75">
        <v>4.6500000000000004</v>
      </c>
      <c r="L75">
        <v>0.79449152350194929</v>
      </c>
      <c r="M75">
        <v>0.74804547725797665</v>
      </c>
      <c r="N75">
        <v>0.81771454662393561</v>
      </c>
      <c r="O75">
        <v>0.72482245413599034</v>
      </c>
    </row>
    <row r="76" spans="1:15" x14ac:dyDescent="0.2">
      <c r="A76" s="14">
        <v>43770</v>
      </c>
      <c r="B76">
        <v>915</v>
      </c>
      <c r="C76">
        <v>980.8</v>
      </c>
      <c r="D76">
        <v>1200</v>
      </c>
      <c r="E76">
        <v>1202</v>
      </c>
      <c r="F76">
        <v>0.81597337770382605</v>
      </c>
      <c r="G76">
        <v>0.77089354343794003</v>
      </c>
      <c r="H76">
        <v>2.2836300175981001E-2</v>
      </c>
      <c r="I76">
        <v>1.97404281422524</v>
      </c>
      <c r="J76">
        <v>5.52</v>
      </c>
      <c r="L76">
        <v>0.79372984361392107</v>
      </c>
      <c r="M76">
        <v>0.74805724326195899</v>
      </c>
      <c r="N76">
        <v>0.816566143789902</v>
      </c>
      <c r="O76">
        <v>0.72522094308597806</v>
      </c>
    </row>
    <row r="77" spans="1:15" x14ac:dyDescent="0.2">
      <c r="A77" s="14">
        <v>43769</v>
      </c>
      <c r="B77">
        <v>915</v>
      </c>
      <c r="C77">
        <v>916.9</v>
      </c>
      <c r="D77">
        <v>1220</v>
      </c>
      <c r="E77">
        <v>1220</v>
      </c>
      <c r="F77">
        <v>0.75155737704918002</v>
      </c>
      <c r="G77">
        <v>0.77030883440634101</v>
      </c>
      <c r="H77">
        <v>2.22278855825714E-2</v>
      </c>
      <c r="I77">
        <v>-0.84360058843671404</v>
      </c>
      <c r="J77">
        <v>-2.5</v>
      </c>
      <c r="L77">
        <v>0.7925367199889124</v>
      </c>
      <c r="M77">
        <v>0.74808094882376963</v>
      </c>
      <c r="N77">
        <v>0.81476460557148378</v>
      </c>
      <c r="O77">
        <v>0.72585306324119825</v>
      </c>
    </row>
    <row r="78" spans="1:15" x14ac:dyDescent="0.2">
      <c r="A78" s="14">
        <v>43768</v>
      </c>
      <c r="B78">
        <v>918</v>
      </c>
      <c r="C78">
        <v>912.1</v>
      </c>
      <c r="D78">
        <v>1259</v>
      </c>
      <c r="E78">
        <v>1222</v>
      </c>
      <c r="F78">
        <v>0.746399345335515</v>
      </c>
      <c r="G78">
        <v>0.77061945339461302</v>
      </c>
      <c r="H78">
        <v>2.2126219911698199E-2</v>
      </c>
      <c r="I78">
        <v>-1.0946337944644999</v>
      </c>
      <c r="J78">
        <v>-3.24</v>
      </c>
      <c r="L78">
        <v>0.79274567330631118</v>
      </c>
      <c r="M78">
        <v>0.74849323348291485</v>
      </c>
      <c r="N78">
        <v>0.81487189321800946</v>
      </c>
      <c r="O78">
        <v>0.72636701357121658</v>
      </c>
    </row>
    <row r="79" spans="1:15" x14ac:dyDescent="0.2">
      <c r="A79" s="14">
        <v>43767</v>
      </c>
      <c r="B79">
        <v>914.9</v>
      </c>
      <c r="C79">
        <v>918</v>
      </c>
      <c r="D79">
        <v>1223</v>
      </c>
      <c r="E79">
        <v>1259</v>
      </c>
      <c r="F79">
        <v>0.72915011914217598</v>
      </c>
      <c r="G79">
        <v>0.77104928534320105</v>
      </c>
      <c r="H79">
        <v>2.1964069804904601E-2</v>
      </c>
      <c r="I79">
        <v>-1.9076230668174901</v>
      </c>
      <c r="J79">
        <v>-5.75</v>
      </c>
      <c r="L79">
        <v>0.79301335514810567</v>
      </c>
      <c r="M79">
        <v>0.74908521553829643</v>
      </c>
      <c r="N79">
        <v>0.81497742495301029</v>
      </c>
      <c r="O79">
        <v>0.72712114573339182</v>
      </c>
    </row>
    <row r="80" spans="1:15" x14ac:dyDescent="0.2">
      <c r="A80" s="14">
        <v>43766</v>
      </c>
      <c r="B80">
        <v>907.1</v>
      </c>
      <c r="C80">
        <v>912</v>
      </c>
      <c r="D80">
        <v>1213</v>
      </c>
      <c r="E80">
        <v>1222</v>
      </c>
      <c r="F80">
        <v>0.74631751227495902</v>
      </c>
      <c r="G80">
        <v>0.77175293328476602</v>
      </c>
      <c r="H80">
        <v>2.1449819341731399E-2</v>
      </c>
      <c r="I80">
        <v>-1.1858105005258499</v>
      </c>
      <c r="J80">
        <v>-3.41</v>
      </c>
      <c r="L80">
        <v>0.79320275262649742</v>
      </c>
      <c r="M80">
        <v>0.75030311394303462</v>
      </c>
      <c r="N80">
        <v>0.81465257196822882</v>
      </c>
      <c r="O80">
        <v>0.72885329460130321</v>
      </c>
    </row>
    <row r="81" spans="1:15" x14ac:dyDescent="0.2">
      <c r="A81" s="14">
        <v>43763</v>
      </c>
      <c r="B81">
        <v>906.3</v>
      </c>
      <c r="C81">
        <v>907.1</v>
      </c>
      <c r="D81">
        <v>1221</v>
      </c>
      <c r="E81">
        <v>1212</v>
      </c>
      <c r="F81">
        <v>0.74843234323432295</v>
      </c>
      <c r="G81">
        <v>0.7722820331211</v>
      </c>
      <c r="H81">
        <v>2.1304812759796801E-2</v>
      </c>
      <c r="I81">
        <v>-1.1194508093393201</v>
      </c>
      <c r="J81">
        <v>-3.19</v>
      </c>
      <c r="L81">
        <v>0.79358684588089679</v>
      </c>
      <c r="M81">
        <v>0.75097722036130321</v>
      </c>
      <c r="N81">
        <v>0.81489165864069357</v>
      </c>
      <c r="O81">
        <v>0.72967240760150642</v>
      </c>
    </row>
    <row r="82" spans="1:15" x14ac:dyDescent="0.2">
      <c r="A82" s="14">
        <v>43762</v>
      </c>
      <c r="B82">
        <v>912.4</v>
      </c>
      <c r="C82">
        <v>909.1</v>
      </c>
      <c r="D82">
        <v>1230</v>
      </c>
      <c r="E82">
        <v>1223</v>
      </c>
      <c r="F82">
        <v>0.74333605887162701</v>
      </c>
      <c r="G82">
        <v>0.77282527770367704</v>
      </c>
      <c r="H82">
        <v>2.1208986376926701E-2</v>
      </c>
      <c r="I82">
        <v>-1.39041151274119</v>
      </c>
      <c r="J82">
        <v>-3.97</v>
      </c>
      <c r="L82">
        <v>0.79403426408060374</v>
      </c>
      <c r="M82">
        <v>0.75161629132675034</v>
      </c>
      <c r="N82">
        <v>0.81524325045753043</v>
      </c>
      <c r="O82">
        <v>0.73040730494982364</v>
      </c>
    </row>
    <row r="83" spans="1:15" x14ac:dyDescent="0.2">
      <c r="A83" s="14">
        <v>43761</v>
      </c>
      <c r="B83">
        <v>897.9</v>
      </c>
      <c r="C83">
        <v>903</v>
      </c>
      <c r="D83">
        <v>1202</v>
      </c>
      <c r="E83">
        <v>1223</v>
      </c>
      <c r="F83">
        <v>0.73834832379394899</v>
      </c>
      <c r="G83">
        <v>0.77324022930603398</v>
      </c>
      <c r="H83">
        <v>2.09305896599578E-2</v>
      </c>
      <c r="I83">
        <v>-1.66702926572759</v>
      </c>
      <c r="J83">
        <v>-4.7300000000000004</v>
      </c>
      <c r="L83">
        <v>0.79417081896599173</v>
      </c>
      <c r="M83">
        <v>0.75230963964607622</v>
      </c>
      <c r="N83">
        <v>0.8151014086259496</v>
      </c>
      <c r="O83">
        <v>0.73137904998611836</v>
      </c>
    </row>
    <row r="84" spans="1:15" x14ac:dyDescent="0.2">
      <c r="A84" s="14">
        <v>43759</v>
      </c>
      <c r="B84">
        <v>893.2</v>
      </c>
      <c r="C84">
        <v>894.6</v>
      </c>
      <c r="D84">
        <v>1192</v>
      </c>
      <c r="E84">
        <v>1186</v>
      </c>
      <c r="F84">
        <v>0.75430016863406402</v>
      </c>
      <c r="G84">
        <v>0.77366214082142204</v>
      </c>
      <c r="H84">
        <v>2.0538249200923401E-2</v>
      </c>
      <c r="I84">
        <v>-0.94272749336821104</v>
      </c>
      <c r="J84">
        <v>-2.57</v>
      </c>
      <c r="L84">
        <v>0.79420039002234544</v>
      </c>
      <c r="M84">
        <v>0.75312389162049864</v>
      </c>
      <c r="N84">
        <v>0.81473863922326883</v>
      </c>
      <c r="O84">
        <v>0.73258564241957524</v>
      </c>
    </row>
    <row r="85" spans="1:15" x14ac:dyDescent="0.2">
      <c r="A85" s="14">
        <v>43756</v>
      </c>
      <c r="B85">
        <v>896.4</v>
      </c>
      <c r="C85">
        <v>888.2</v>
      </c>
      <c r="D85">
        <v>1189</v>
      </c>
      <c r="E85">
        <v>1190</v>
      </c>
      <c r="F85">
        <v>0.746386554621848</v>
      </c>
      <c r="G85">
        <v>0.77384662442987295</v>
      </c>
      <c r="H85">
        <v>2.04253342244325E-2</v>
      </c>
      <c r="I85">
        <v>-1.3444122630403299</v>
      </c>
      <c r="J85">
        <v>-3.68</v>
      </c>
      <c r="L85">
        <v>0.79427195865430544</v>
      </c>
      <c r="M85">
        <v>0.75342129020544046</v>
      </c>
      <c r="N85">
        <v>0.81469729287873793</v>
      </c>
      <c r="O85">
        <v>0.73299595598100797</v>
      </c>
    </row>
    <row r="86" spans="1:15" x14ac:dyDescent="0.2">
      <c r="A86" s="14">
        <v>43755</v>
      </c>
      <c r="B86">
        <v>910.6</v>
      </c>
      <c r="C86">
        <v>907</v>
      </c>
      <c r="D86">
        <v>1197</v>
      </c>
      <c r="E86">
        <v>1188</v>
      </c>
      <c r="F86">
        <v>0.76346801346801296</v>
      </c>
      <c r="G86">
        <v>0.774123863530641</v>
      </c>
      <c r="H86">
        <v>2.0190493318989599E-2</v>
      </c>
      <c r="I86">
        <v>-0.52776571103422598</v>
      </c>
      <c r="J86">
        <v>-1.4</v>
      </c>
      <c r="L86">
        <v>0.79431435684963059</v>
      </c>
      <c r="M86">
        <v>0.75393337021165141</v>
      </c>
      <c r="N86">
        <v>0.81450485016862018</v>
      </c>
      <c r="O86">
        <v>0.73374287689266182</v>
      </c>
    </row>
    <row r="87" spans="1:15" x14ac:dyDescent="0.2">
      <c r="A87" s="14">
        <v>43754</v>
      </c>
      <c r="B87">
        <v>910</v>
      </c>
      <c r="C87">
        <v>904.8</v>
      </c>
      <c r="D87">
        <v>1214</v>
      </c>
      <c r="E87">
        <v>1205</v>
      </c>
      <c r="F87">
        <v>0.75087136929460496</v>
      </c>
      <c r="G87">
        <v>0.77404274290099795</v>
      </c>
      <c r="H87">
        <v>2.02452908149547E-2</v>
      </c>
      <c r="I87">
        <v>-1.1445315267724401</v>
      </c>
      <c r="J87">
        <v>-3.09</v>
      </c>
      <c r="L87">
        <v>0.79428803371595269</v>
      </c>
      <c r="M87">
        <v>0.75379745208604321</v>
      </c>
      <c r="N87">
        <v>0.81453332453090732</v>
      </c>
      <c r="O87">
        <v>0.73355216127108858</v>
      </c>
    </row>
    <row r="88" spans="1:15" x14ac:dyDescent="0.2">
      <c r="A88" s="14">
        <v>43753</v>
      </c>
      <c r="B88">
        <v>890.3</v>
      </c>
      <c r="C88">
        <v>896.9</v>
      </c>
      <c r="D88">
        <v>1193</v>
      </c>
      <c r="E88">
        <v>1196</v>
      </c>
      <c r="F88">
        <v>0.74991638795986604</v>
      </c>
      <c r="G88">
        <v>0.77439055003218504</v>
      </c>
      <c r="H88">
        <v>2.0067516723800801E-2</v>
      </c>
      <c r="I88">
        <v>-1.2195909643016301</v>
      </c>
      <c r="J88">
        <v>-3.26</v>
      </c>
      <c r="L88">
        <v>0.79445806675598585</v>
      </c>
      <c r="M88">
        <v>0.75432303330838424</v>
      </c>
      <c r="N88">
        <v>0.81452558347978665</v>
      </c>
      <c r="O88">
        <v>0.73425551658458343</v>
      </c>
    </row>
    <row r="89" spans="1:15" x14ac:dyDescent="0.2">
      <c r="A89" s="14">
        <v>43749</v>
      </c>
      <c r="B89">
        <v>874.4</v>
      </c>
      <c r="C89">
        <v>877.9</v>
      </c>
      <c r="D89">
        <v>1151</v>
      </c>
      <c r="E89">
        <v>1165</v>
      </c>
      <c r="F89">
        <v>0.75356223175965598</v>
      </c>
      <c r="G89">
        <v>0.77472324687923499</v>
      </c>
      <c r="H89">
        <v>1.98648213321806E-2</v>
      </c>
      <c r="I89">
        <v>-1.0652507146036301</v>
      </c>
      <c r="J89">
        <v>-2.81</v>
      </c>
      <c r="L89">
        <v>0.79458806821141559</v>
      </c>
      <c r="M89">
        <v>0.7548584255470544</v>
      </c>
      <c r="N89">
        <v>0.81445288954359618</v>
      </c>
      <c r="O89">
        <v>0.73499360421487381</v>
      </c>
    </row>
    <row r="90" spans="1:15" x14ac:dyDescent="0.2">
      <c r="A90" s="14">
        <v>43748</v>
      </c>
      <c r="B90">
        <v>864.3</v>
      </c>
      <c r="C90">
        <v>861.6</v>
      </c>
      <c r="D90">
        <v>1132</v>
      </c>
      <c r="E90">
        <v>1130</v>
      </c>
      <c r="F90">
        <v>0.762477876106194</v>
      </c>
      <c r="G90">
        <v>0.77507057246224598</v>
      </c>
      <c r="H90">
        <v>1.9718990775845002E-2</v>
      </c>
      <c r="I90">
        <v>-0.63860754838817402</v>
      </c>
      <c r="J90">
        <v>-1.65</v>
      </c>
      <c r="L90">
        <v>0.79478956323809102</v>
      </c>
      <c r="M90">
        <v>0.75535158168640093</v>
      </c>
      <c r="N90">
        <v>0.81450855401393596</v>
      </c>
      <c r="O90">
        <v>0.73563259091055599</v>
      </c>
    </row>
    <row r="91" spans="1:15" x14ac:dyDescent="0.2">
      <c r="A91" s="14">
        <v>43747</v>
      </c>
      <c r="B91">
        <v>863.7</v>
      </c>
      <c r="C91">
        <v>869.3</v>
      </c>
      <c r="D91">
        <v>1135</v>
      </c>
      <c r="E91">
        <v>1143</v>
      </c>
      <c r="F91">
        <v>0.76054243219597495</v>
      </c>
      <c r="G91">
        <v>0.77534923467413897</v>
      </c>
      <c r="H91">
        <v>1.9686713145527099E-2</v>
      </c>
      <c r="I91">
        <v>-0.75212161464995297</v>
      </c>
      <c r="J91">
        <v>-1.95</v>
      </c>
      <c r="L91">
        <v>0.79503594781966602</v>
      </c>
      <c r="M91">
        <v>0.75566252152861191</v>
      </c>
      <c r="N91">
        <v>0.81472266096519319</v>
      </c>
      <c r="O91">
        <v>0.73597580838308474</v>
      </c>
    </row>
    <row r="92" spans="1:15" x14ac:dyDescent="0.2">
      <c r="A92" s="14">
        <v>43746</v>
      </c>
      <c r="B92">
        <v>877.2</v>
      </c>
      <c r="C92">
        <v>874.4</v>
      </c>
      <c r="D92">
        <v>1157</v>
      </c>
      <c r="E92">
        <v>1162</v>
      </c>
      <c r="F92">
        <v>0.75249569707400998</v>
      </c>
      <c r="G92">
        <v>0.77548722369008105</v>
      </c>
      <c r="H92">
        <v>1.96185971450147E-2</v>
      </c>
      <c r="I92">
        <v>-1.1719251099415899</v>
      </c>
      <c r="J92">
        <v>-3.06</v>
      </c>
      <c r="L92">
        <v>0.79510582083509573</v>
      </c>
      <c r="M92">
        <v>0.75586862654506637</v>
      </c>
      <c r="N92">
        <v>0.81472441798011042</v>
      </c>
      <c r="O92">
        <v>0.73625002940005169</v>
      </c>
    </row>
    <row r="93" spans="1:15" x14ac:dyDescent="0.2">
      <c r="A93" s="14">
        <v>43745</v>
      </c>
      <c r="B93">
        <v>887.2</v>
      </c>
      <c r="C93">
        <v>875.7</v>
      </c>
      <c r="D93">
        <v>1155</v>
      </c>
      <c r="E93">
        <v>1145</v>
      </c>
      <c r="F93">
        <v>0.76480349344978105</v>
      </c>
      <c r="G93">
        <v>0.775712427261258</v>
      </c>
      <c r="H93">
        <v>1.9449597376905398E-2</v>
      </c>
      <c r="I93">
        <v>-0.56088224347667803</v>
      </c>
      <c r="J93">
        <v>-1.43</v>
      </c>
      <c r="L93">
        <v>0.79516202463816343</v>
      </c>
      <c r="M93">
        <v>0.75626282988435256</v>
      </c>
      <c r="N93">
        <v>0.81461162201506876</v>
      </c>
      <c r="O93">
        <v>0.73681323250744724</v>
      </c>
    </row>
    <row r="94" spans="1:15" x14ac:dyDescent="0.2">
      <c r="A94" s="14">
        <v>43742</v>
      </c>
      <c r="B94">
        <v>880.4</v>
      </c>
      <c r="C94">
        <v>883.6</v>
      </c>
      <c r="D94">
        <v>1137</v>
      </c>
      <c r="E94">
        <v>1135</v>
      </c>
      <c r="F94">
        <v>0.77850220264317105</v>
      </c>
      <c r="G94">
        <v>0.77571866860119199</v>
      </c>
      <c r="H94">
        <v>1.9446170523145598E-2</v>
      </c>
      <c r="I94">
        <v>0.14314047275615299</v>
      </c>
      <c r="J94">
        <v>0.36</v>
      </c>
      <c r="L94">
        <v>0.79516483912433755</v>
      </c>
      <c r="M94">
        <v>0.75627249807804642</v>
      </c>
      <c r="N94">
        <v>0.81461100964748323</v>
      </c>
      <c r="O94">
        <v>0.73682632755490074</v>
      </c>
    </row>
    <row r="95" spans="1:15" x14ac:dyDescent="0.2">
      <c r="A95" s="14">
        <v>43741</v>
      </c>
      <c r="B95">
        <v>881.6</v>
      </c>
      <c r="C95">
        <v>880.4</v>
      </c>
      <c r="D95">
        <v>1125</v>
      </c>
      <c r="E95">
        <v>1152</v>
      </c>
      <c r="F95">
        <v>0.76423611111111101</v>
      </c>
      <c r="G95">
        <v>0.77540436693214598</v>
      </c>
      <c r="H95">
        <v>1.9588617590911201E-2</v>
      </c>
      <c r="I95">
        <v>-0.57014007084489804</v>
      </c>
      <c r="J95">
        <v>-1.46</v>
      </c>
      <c r="L95">
        <v>0.79499298452305722</v>
      </c>
      <c r="M95">
        <v>0.75581574934123474</v>
      </c>
      <c r="N95">
        <v>0.81458160211396835</v>
      </c>
      <c r="O95">
        <v>0.73622713175032362</v>
      </c>
    </row>
    <row r="96" spans="1:15" x14ac:dyDescent="0.2">
      <c r="A96" s="14">
        <v>43740</v>
      </c>
      <c r="B96">
        <v>894.9</v>
      </c>
      <c r="C96">
        <v>901.7</v>
      </c>
      <c r="D96">
        <v>1170</v>
      </c>
      <c r="E96">
        <v>1180</v>
      </c>
      <c r="F96">
        <v>0.76415254237288099</v>
      </c>
      <c r="G96">
        <v>0.77531012733857096</v>
      </c>
      <c r="H96">
        <v>1.9658996016475801E-2</v>
      </c>
      <c r="I96">
        <v>-0.56755619444342698</v>
      </c>
      <c r="J96">
        <v>-1.46</v>
      </c>
      <c r="L96">
        <v>0.79496912335504677</v>
      </c>
      <c r="M96">
        <v>0.75565113132209516</v>
      </c>
      <c r="N96">
        <v>0.81462811937152257</v>
      </c>
      <c r="O96">
        <v>0.73599213530561935</v>
      </c>
    </row>
    <row r="97" spans="1:15" x14ac:dyDescent="0.2">
      <c r="A97" s="14">
        <v>43739</v>
      </c>
      <c r="B97">
        <v>886.5</v>
      </c>
      <c r="C97">
        <v>900.9</v>
      </c>
      <c r="D97">
        <v>1155</v>
      </c>
      <c r="E97">
        <v>1183</v>
      </c>
      <c r="F97">
        <v>0.76153846153846105</v>
      </c>
      <c r="G97">
        <v>0.77526496176766801</v>
      </c>
      <c r="H97">
        <v>1.9688447285054901E-2</v>
      </c>
      <c r="I97">
        <v>-0.69718551343690605</v>
      </c>
      <c r="J97">
        <v>-1.8</v>
      </c>
      <c r="L97">
        <v>0.79495340905272294</v>
      </c>
      <c r="M97">
        <v>0.75557651448261309</v>
      </c>
      <c r="N97">
        <v>0.81464185633777786</v>
      </c>
      <c r="O97">
        <v>0.73588806719755817</v>
      </c>
    </row>
    <row r="98" spans="1:15" x14ac:dyDescent="0.2">
      <c r="A98" s="14">
        <v>43738</v>
      </c>
      <c r="B98">
        <v>886.5</v>
      </c>
      <c r="C98">
        <v>875.6</v>
      </c>
      <c r="D98">
        <v>1155</v>
      </c>
      <c r="E98">
        <v>1145</v>
      </c>
      <c r="F98">
        <v>0.76471615720524</v>
      </c>
      <c r="G98">
        <v>0.77536716281146201</v>
      </c>
      <c r="H98">
        <v>1.9636755463730501E-2</v>
      </c>
      <c r="I98">
        <v>-0.54240149936655102</v>
      </c>
      <c r="J98">
        <v>-1.39</v>
      </c>
      <c r="L98">
        <v>0.79500391827519246</v>
      </c>
      <c r="M98">
        <v>0.75573040734773156</v>
      </c>
      <c r="N98">
        <v>0.81464067373892302</v>
      </c>
      <c r="O98">
        <v>0.736093651884001</v>
      </c>
    </row>
    <row r="99" spans="1:15" x14ac:dyDescent="0.2">
      <c r="A99" s="14">
        <v>43735</v>
      </c>
      <c r="B99">
        <v>894</v>
      </c>
      <c r="C99">
        <v>890.9</v>
      </c>
      <c r="D99">
        <v>1159</v>
      </c>
      <c r="E99">
        <v>1165</v>
      </c>
      <c r="F99">
        <v>0.76472103004291803</v>
      </c>
      <c r="G99">
        <v>0.77542519459939896</v>
      </c>
      <c r="H99">
        <v>1.9611608304457399E-2</v>
      </c>
      <c r="I99">
        <v>-0.54580758448289401</v>
      </c>
      <c r="J99">
        <v>-1.4</v>
      </c>
      <c r="L99">
        <v>0.79503680290385637</v>
      </c>
      <c r="M99">
        <v>0.75581358629494155</v>
      </c>
      <c r="N99">
        <v>0.81464841120831377</v>
      </c>
      <c r="O99">
        <v>0.73620197799048415</v>
      </c>
    </row>
    <row r="100" spans="1:15" x14ac:dyDescent="0.2">
      <c r="A100" s="14">
        <v>43734</v>
      </c>
      <c r="B100">
        <v>906</v>
      </c>
      <c r="C100">
        <v>901.9</v>
      </c>
      <c r="D100">
        <v>1182</v>
      </c>
      <c r="E100">
        <v>1169</v>
      </c>
      <c r="F100">
        <v>0.77151411462788699</v>
      </c>
      <c r="G100">
        <v>0.77568291658831301</v>
      </c>
      <c r="H100">
        <v>1.95962473262946E-2</v>
      </c>
      <c r="I100">
        <v>-0.21273470838634601</v>
      </c>
      <c r="J100">
        <v>-0.54</v>
      </c>
      <c r="L100">
        <v>0.79527916391460762</v>
      </c>
      <c r="M100">
        <v>0.7560866692620184</v>
      </c>
      <c r="N100">
        <v>0.81487541124090224</v>
      </c>
      <c r="O100">
        <v>0.73649042193572378</v>
      </c>
    </row>
    <row r="101" spans="1:15" x14ac:dyDescent="0.2">
      <c r="A101" s="14">
        <v>43733</v>
      </c>
      <c r="B101">
        <v>884</v>
      </c>
      <c r="C101">
        <v>895.6</v>
      </c>
      <c r="D101">
        <v>1162</v>
      </c>
      <c r="E101">
        <v>1167</v>
      </c>
      <c r="F101">
        <v>0.76743787489288695</v>
      </c>
      <c r="G101">
        <v>0.77574725220279805</v>
      </c>
      <c r="H101">
        <v>1.9590375077503601E-2</v>
      </c>
      <c r="I101">
        <v>-0.42415611120446101</v>
      </c>
      <c r="J101">
        <v>-1.08</v>
      </c>
      <c r="L101">
        <v>0.79533762728030166</v>
      </c>
      <c r="M101">
        <v>0.75615687712529445</v>
      </c>
      <c r="N101">
        <v>0.81492800235780527</v>
      </c>
      <c r="O101">
        <v>0.73656650204779084</v>
      </c>
    </row>
    <row r="102" spans="1:15" x14ac:dyDescent="0.2">
      <c r="A102" s="14">
        <v>43732</v>
      </c>
      <c r="B102">
        <v>890</v>
      </c>
      <c r="C102">
        <v>886</v>
      </c>
      <c r="D102">
        <v>1162</v>
      </c>
      <c r="E102">
        <v>1170</v>
      </c>
      <c r="F102">
        <v>0.75726495726495702</v>
      </c>
      <c r="G102">
        <v>0.77589202672589996</v>
      </c>
      <c r="H102">
        <v>1.95685420619565E-2</v>
      </c>
      <c r="I102">
        <v>-0.95188846475981304</v>
      </c>
      <c r="J102">
        <v>-2.46</v>
      </c>
      <c r="L102">
        <v>0.79546056878785643</v>
      </c>
      <c r="M102">
        <v>0.7563234846639435</v>
      </c>
      <c r="N102">
        <v>0.815029110849813</v>
      </c>
      <c r="O102">
        <v>0.73675494260198693</v>
      </c>
    </row>
    <row r="103" spans="1:15" x14ac:dyDescent="0.2">
      <c r="A103" s="14">
        <v>43728</v>
      </c>
      <c r="B103">
        <v>893.8</v>
      </c>
      <c r="C103">
        <v>894.7</v>
      </c>
      <c r="D103">
        <v>1155</v>
      </c>
      <c r="E103">
        <v>1147</v>
      </c>
      <c r="F103">
        <v>0.78003487358325996</v>
      </c>
      <c r="G103">
        <v>0.776163690649738</v>
      </c>
      <c r="H103">
        <v>1.9449126668000999E-2</v>
      </c>
      <c r="I103">
        <v>0.19904147880795001</v>
      </c>
      <c r="J103">
        <v>0.5</v>
      </c>
      <c r="L103">
        <v>0.79561281731773903</v>
      </c>
      <c r="M103">
        <v>0.75671456398173698</v>
      </c>
      <c r="N103">
        <v>0.81506194398574006</v>
      </c>
      <c r="O103">
        <v>0.73726543731373595</v>
      </c>
    </row>
    <row r="104" spans="1:15" x14ac:dyDescent="0.2">
      <c r="A104" s="14">
        <v>43727</v>
      </c>
      <c r="B104">
        <v>902.5</v>
      </c>
      <c r="C104">
        <v>892.6</v>
      </c>
      <c r="D104">
        <v>1167</v>
      </c>
      <c r="E104">
        <v>1153</v>
      </c>
      <c r="F104">
        <v>0.77415437987857705</v>
      </c>
      <c r="G104">
        <v>0.776271162176565</v>
      </c>
      <c r="H104">
        <v>1.9492442678657001E-2</v>
      </c>
      <c r="I104">
        <v>-0.108595024896758</v>
      </c>
      <c r="J104">
        <v>-0.27</v>
      </c>
      <c r="L104">
        <v>0.79576360485522202</v>
      </c>
      <c r="M104">
        <v>0.75677871949790798</v>
      </c>
      <c r="N104">
        <v>0.81525604753387904</v>
      </c>
      <c r="O104">
        <v>0.73728627681925096</v>
      </c>
    </row>
    <row r="105" spans="1:15" x14ac:dyDescent="0.2">
      <c r="A105" s="14">
        <v>43726</v>
      </c>
      <c r="B105">
        <v>903.7</v>
      </c>
      <c r="C105">
        <v>900.8</v>
      </c>
      <c r="D105">
        <v>1170</v>
      </c>
      <c r="E105">
        <v>1155</v>
      </c>
      <c r="F105">
        <v>0.779913419913419</v>
      </c>
      <c r="G105">
        <v>0.77617609216066796</v>
      </c>
      <c r="H105">
        <v>1.9519903724671401E-2</v>
      </c>
      <c r="I105">
        <v>0.19146240706237899</v>
      </c>
      <c r="J105">
        <v>0.48</v>
      </c>
      <c r="L105">
        <v>0.79569599588533935</v>
      </c>
      <c r="M105">
        <v>0.75665618843599658</v>
      </c>
      <c r="N105">
        <v>0.81521589961001073</v>
      </c>
      <c r="O105">
        <v>0.7371362847113252</v>
      </c>
    </row>
    <row r="106" spans="1:15" x14ac:dyDescent="0.2">
      <c r="A106" s="14">
        <v>43725</v>
      </c>
      <c r="B106">
        <v>900</v>
      </c>
      <c r="C106">
        <v>901.5</v>
      </c>
      <c r="D106">
        <v>1183</v>
      </c>
      <c r="E106">
        <v>1181</v>
      </c>
      <c r="F106">
        <v>0.763336155800169</v>
      </c>
      <c r="G106">
        <v>0.775927481303606</v>
      </c>
      <c r="H106">
        <v>1.9589336523205499E-2</v>
      </c>
      <c r="I106">
        <v>-0.64276426557488797</v>
      </c>
      <c r="J106">
        <v>-1.65</v>
      </c>
      <c r="L106">
        <v>0.7955168178268115</v>
      </c>
      <c r="M106">
        <v>0.75633814478040051</v>
      </c>
      <c r="N106">
        <v>0.81510615435001699</v>
      </c>
      <c r="O106">
        <v>0.73674880825719502</v>
      </c>
    </row>
    <row r="107" spans="1:15" x14ac:dyDescent="0.2">
      <c r="A107" s="14">
        <v>43721</v>
      </c>
      <c r="B107">
        <v>903.4</v>
      </c>
      <c r="C107">
        <v>907.6</v>
      </c>
      <c r="D107">
        <v>1178</v>
      </c>
      <c r="E107">
        <v>1189</v>
      </c>
      <c r="F107">
        <v>0.76333052985702199</v>
      </c>
      <c r="G107">
        <v>0.77599708857335004</v>
      </c>
      <c r="H107">
        <v>1.9553714546499502E-2</v>
      </c>
      <c r="I107">
        <v>-0.64778273643127904</v>
      </c>
      <c r="J107">
        <v>-1.66</v>
      </c>
      <c r="L107">
        <v>0.79555080311984949</v>
      </c>
      <c r="M107">
        <v>0.75644337402685058</v>
      </c>
      <c r="N107">
        <v>0.81510451766634906</v>
      </c>
      <c r="O107">
        <v>0.73688965948035101</v>
      </c>
    </row>
    <row r="108" spans="1:15" x14ac:dyDescent="0.2">
      <c r="A108" s="14">
        <v>43720</v>
      </c>
      <c r="B108">
        <v>899.1</v>
      </c>
      <c r="C108">
        <v>902.3</v>
      </c>
      <c r="D108">
        <v>1194</v>
      </c>
      <c r="E108">
        <v>1183</v>
      </c>
      <c r="F108">
        <v>0.76272189349112396</v>
      </c>
      <c r="G108">
        <v>0.77612659455206801</v>
      </c>
      <c r="H108">
        <v>1.95014890582654E-2</v>
      </c>
      <c r="I108">
        <v>-0.68736807845258896</v>
      </c>
      <c r="J108">
        <v>-1.76</v>
      </c>
      <c r="L108">
        <v>0.79562808361033344</v>
      </c>
      <c r="M108">
        <v>0.75662510549380257</v>
      </c>
      <c r="N108">
        <v>0.81512957266859876</v>
      </c>
      <c r="O108">
        <v>0.73712361643553725</v>
      </c>
    </row>
    <row r="109" spans="1:15" x14ac:dyDescent="0.2">
      <c r="A109" s="14">
        <v>43719</v>
      </c>
      <c r="B109">
        <v>890.4</v>
      </c>
      <c r="C109">
        <v>901.6</v>
      </c>
      <c r="D109">
        <v>1150</v>
      </c>
      <c r="E109">
        <v>1186</v>
      </c>
      <c r="F109">
        <v>0.76020236087689697</v>
      </c>
      <c r="G109">
        <v>0.77621346744890696</v>
      </c>
      <c r="H109">
        <v>1.9456041110153401E-2</v>
      </c>
      <c r="I109">
        <v>-0.82293753808192804</v>
      </c>
      <c r="J109">
        <v>-2.11</v>
      </c>
      <c r="L109">
        <v>0.79566950855906038</v>
      </c>
      <c r="M109">
        <v>0.75675742633875354</v>
      </c>
      <c r="N109">
        <v>0.8151255496692138</v>
      </c>
      <c r="O109">
        <v>0.73730138522860011</v>
      </c>
    </row>
    <row r="110" spans="1:15" x14ac:dyDescent="0.2">
      <c r="A110" s="14">
        <v>43718</v>
      </c>
      <c r="B110">
        <v>863</v>
      </c>
      <c r="C110">
        <v>881.4</v>
      </c>
      <c r="D110">
        <v>1110</v>
      </c>
      <c r="E110">
        <v>1121</v>
      </c>
      <c r="F110">
        <v>0.78626226583407599</v>
      </c>
      <c r="G110">
        <v>0.776250573732987</v>
      </c>
      <c r="H110">
        <v>1.9428103334853002E-2</v>
      </c>
      <c r="I110">
        <v>0.51532009731121697</v>
      </c>
      <c r="J110">
        <v>1.27</v>
      </c>
      <c r="L110">
        <v>0.79567867706784001</v>
      </c>
      <c r="M110">
        <v>0.756822470398134</v>
      </c>
      <c r="N110">
        <v>0.81510678040269302</v>
      </c>
      <c r="O110">
        <v>0.73739436706328099</v>
      </c>
    </row>
    <row r="111" spans="1:15" x14ac:dyDescent="0.2">
      <c r="A111" s="14">
        <v>43717</v>
      </c>
      <c r="B111">
        <v>853.1</v>
      </c>
      <c r="C111">
        <v>852.2</v>
      </c>
      <c r="D111">
        <v>1076</v>
      </c>
      <c r="E111">
        <v>1084</v>
      </c>
      <c r="F111">
        <v>0.78616236162361597</v>
      </c>
      <c r="G111">
        <v>0.77603712643233602</v>
      </c>
      <c r="H111">
        <v>1.9404862364710701E-2</v>
      </c>
      <c r="I111">
        <v>0.52178856005149898</v>
      </c>
      <c r="J111">
        <v>1.29</v>
      </c>
      <c r="L111">
        <v>0.79544198879704675</v>
      </c>
      <c r="M111">
        <v>0.75663226406762529</v>
      </c>
      <c r="N111">
        <v>0.81484685116175748</v>
      </c>
      <c r="O111">
        <v>0.73722740170291456</v>
      </c>
    </row>
    <row r="112" spans="1:15" x14ac:dyDescent="0.2">
      <c r="A112" s="14">
        <v>43714</v>
      </c>
      <c r="B112">
        <v>843.3</v>
      </c>
      <c r="C112">
        <v>850.3</v>
      </c>
      <c r="D112">
        <v>1087</v>
      </c>
      <c r="E112">
        <v>1073</v>
      </c>
      <c r="F112">
        <v>0.79245107176141605</v>
      </c>
      <c r="G112">
        <v>0.77582529379854603</v>
      </c>
      <c r="H112">
        <v>1.93798756370464E-2</v>
      </c>
      <c r="I112">
        <v>0.85788878495632204</v>
      </c>
      <c r="J112">
        <v>2.1</v>
      </c>
      <c r="L112">
        <v>0.79520516943559238</v>
      </c>
      <c r="M112">
        <v>0.75644541816149968</v>
      </c>
      <c r="N112">
        <v>0.81458504507263885</v>
      </c>
      <c r="O112">
        <v>0.73706554252445322</v>
      </c>
    </row>
    <row r="113" spans="1:15" x14ac:dyDescent="0.2">
      <c r="A113" s="14">
        <v>43713</v>
      </c>
      <c r="B113">
        <v>826.1</v>
      </c>
      <c r="C113">
        <v>835</v>
      </c>
      <c r="D113">
        <v>1045</v>
      </c>
      <c r="E113">
        <v>1069</v>
      </c>
      <c r="F113">
        <v>0.78110383536014905</v>
      </c>
      <c r="G113">
        <v>0.77566595192714505</v>
      </c>
      <c r="H113">
        <v>1.9291450493050699E-2</v>
      </c>
      <c r="I113">
        <v>0.28188048560490397</v>
      </c>
      <c r="J113">
        <v>0.7</v>
      </c>
      <c r="L113">
        <v>0.79495740242019575</v>
      </c>
      <c r="M113">
        <v>0.75637450143409435</v>
      </c>
      <c r="N113">
        <v>0.81424885291324645</v>
      </c>
      <c r="O113">
        <v>0.73708305094104365</v>
      </c>
    </row>
    <row r="114" spans="1:15" x14ac:dyDescent="0.2">
      <c r="A114" s="14">
        <v>43712</v>
      </c>
      <c r="B114">
        <v>815</v>
      </c>
      <c r="C114">
        <v>818</v>
      </c>
      <c r="D114">
        <v>1048</v>
      </c>
      <c r="E114">
        <v>1039</v>
      </c>
      <c r="F114">
        <v>0.78729547641963404</v>
      </c>
      <c r="G114">
        <v>0.77570845872892402</v>
      </c>
      <c r="H114">
        <v>1.9306891554023001E-2</v>
      </c>
      <c r="I114">
        <v>0.60014931239904201</v>
      </c>
      <c r="J114">
        <v>1.47</v>
      </c>
      <c r="L114">
        <v>0.79501535028294701</v>
      </c>
      <c r="M114">
        <v>0.75640156717490103</v>
      </c>
      <c r="N114">
        <v>0.81432224183697</v>
      </c>
      <c r="O114">
        <v>0.73709467562087805</v>
      </c>
    </row>
    <row r="115" spans="1:15" x14ac:dyDescent="0.2">
      <c r="A115" s="14">
        <v>43711</v>
      </c>
      <c r="B115">
        <v>815.5</v>
      </c>
      <c r="C115">
        <v>819.3</v>
      </c>
      <c r="D115">
        <v>1043</v>
      </c>
      <c r="E115">
        <v>1051</v>
      </c>
      <c r="F115">
        <v>0.77954329210275897</v>
      </c>
      <c r="G115">
        <v>0.77567912331831401</v>
      </c>
      <c r="H115">
        <v>1.9290928529823701E-2</v>
      </c>
      <c r="I115">
        <v>0.200310149844279</v>
      </c>
      <c r="J115">
        <v>0.5</v>
      </c>
      <c r="L115">
        <v>0.79497005184813774</v>
      </c>
      <c r="M115">
        <v>0.75638819478849029</v>
      </c>
      <c r="N115">
        <v>0.81426098037796146</v>
      </c>
      <c r="O115">
        <v>0.73709726625866656</v>
      </c>
    </row>
    <row r="116" spans="1:15" x14ac:dyDescent="0.2">
      <c r="A116" s="14">
        <v>43710</v>
      </c>
      <c r="B116">
        <v>817</v>
      </c>
      <c r="C116">
        <v>814.1</v>
      </c>
      <c r="D116">
        <v>1029</v>
      </c>
      <c r="E116">
        <v>1047</v>
      </c>
      <c r="F116">
        <v>0.77755491881566297</v>
      </c>
      <c r="G116">
        <v>0.77583343908353497</v>
      </c>
      <c r="H116">
        <v>1.9367362137572099E-2</v>
      </c>
      <c r="I116">
        <v>8.8885606614905993E-2</v>
      </c>
      <c r="J116">
        <v>0.22</v>
      </c>
      <c r="L116">
        <v>0.79520080122110703</v>
      </c>
      <c r="M116">
        <v>0.75646607694596291</v>
      </c>
      <c r="N116">
        <v>0.81456816335867921</v>
      </c>
      <c r="O116">
        <v>0.73709871480839073</v>
      </c>
    </row>
    <row r="117" spans="1:15" x14ac:dyDescent="0.2">
      <c r="A117" s="14">
        <v>43707</v>
      </c>
      <c r="B117">
        <v>817.4</v>
      </c>
      <c r="C117">
        <v>820.1</v>
      </c>
      <c r="D117">
        <v>1034</v>
      </c>
      <c r="E117">
        <v>1035</v>
      </c>
      <c r="F117">
        <v>0.79236714975845401</v>
      </c>
      <c r="G117">
        <v>0.77638048358825595</v>
      </c>
      <c r="H117">
        <v>1.9978068908017999E-2</v>
      </c>
      <c r="I117">
        <v>0.80021078332460505</v>
      </c>
      <c r="J117">
        <v>2.02</v>
      </c>
      <c r="L117">
        <v>0.79635855249627396</v>
      </c>
      <c r="M117">
        <v>0.75640241468023794</v>
      </c>
      <c r="N117">
        <v>0.81633662140429197</v>
      </c>
      <c r="O117">
        <v>0.73642434577221993</v>
      </c>
    </row>
    <row r="118" spans="1:15" x14ac:dyDescent="0.2">
      <c r="A118" s="14">
        <v>43706</v>
      </c>
      <c r="B118">
        <v>815</v>
      </c>
      <c r="C118">
        <v>812.2</v>
      </c>
      <c r="D118">
        <v>1008</v>
      </c>
      <c r="E118">
        <v>1018</v>
      </c>
      <c r="F118">
        <v>0.79783889980353595</v>
      </c>
      <c r="G118">
        <v>0.775964488427348</v>
      </c>
      <c r="H118">
        <v>1.9965678847219899E-2</v>
      </c>
      <c r="I118">
        <v>1.09560068273031</v>
      </c>
      <c r="J118">
        <v>2.74</v>
      </c>
      <c r="L118">
        <v>0.79593016727456789</v>
      </c>
      <c r="M118">
        <v>0.75599880958012811</v>
      </c>
      <c r="N118">
        <v>0.81589584612178778</v>
      </c>
      <c r="O118">
        <v>0.73603313073290821</v>
      </c>
    </row>
    <row r="119" spans="1:15" x14ac:dyDescent="0.2">
      <c r="A119" s="14">
        <v>43705</v>
      </c>
      <c r="B119">
        <v>808.1</v>
      </c>
      <c r="C119">
        <v>816.2</v>
      </c>
      <c r="D119">
        <v>1013</v>
      </c>
      <c r="E119">
        <v>1012</v>
      </c>
      <c r="F119">
        <v>0.80652173913043401</v>
      </c>
      <c r="G119">
        <v>0.77550636654768201</v>
      </c>
      <c r="H119">
        <v>1.9852376117441301E-2</v>
      </c>
      <c r="I119">
        <v>1.56230027072195</v>
      </c>
      <c r="J119">
        <v>3.85</v>
      </c>
      <c r="L119">
        <v>0.7953587426651233</v>
      </c>
      <c r="M119">
        <v>0.75565399043024073</v>
      </c>
      <c r="N119">
        <v>0.81521111878256458</v>
      </c>
      <c r="O119">
        <v>0.73580161431279945</v>
      </c>
    </row>
    <row r="120" spans="1:15" x14ac:dyDescent="0.2">
      <c r="A120" s="14">
        <v>43704</v>
      </c>
      <c r="B120">
        <v>813.6</v>
      </c>
      <c r="C120">
        <v>809</v>
      </c>
      <c r="D120">
        <v>1027</v>
      </c>
      <c r="E120">
        <v>1009</v>
      </c>
      <c r="F120">
        <v>0.80178394449950396</v>
      </c>
      <c r="G120">
        <v>0.77494411725244905</v>
      </c>
      <c r="H120">
        <v>1.95610145630414E-2</v>
      </c>
      <c r="I120">
        <v>1.3721081368532699</v>
      </c>
      <c r="J120">
        <v>3.35</v>
      </c>
      <c r="L120">
        <v>0.79450513181549043</v>
      </c>
      <c r="M120">
        <v>0.75538310268940767</v>
      </c>
      <c r="N120">
        <v>0.81406614637853181</v>
      </c>
      <c r="O120">
        <v>0.73582208812636629</v>
      </c>
    </row>
    <row r="121" spans="1:15" x14ac:dyDescent="0.2">
      <c r="A121" s="14">
        <v>43703</v>
      </c>
      <c r="B121">
        <v>792</v>
      </c>
      <c r="C121">
        <v>806.9</v>
      </c>
      <c r="D121">
        <v>990</v>
      </c>
      <c r="E121">
        <v>1011</v>
      </c>
      <c r="F121">
        <v>0.79812067260138397</v>
      </c>
      <c r="G121">
        <v>0.77468899229444999</v>
      </c>
      <c r="H121">
        <v>1.9332740059486202E-2</v>
      </c>
      <c r="I121">
        <v>1.2120206569185401</v>
      </c>
      <c r="J121">
        <v>2.94</v>
      </c>
      <c r="L121">
        <v>0.79402173235393614</v>
      </c>
      <c r="M121">
        <v>0.75535625223496383</v>
      </c>
      <c r="N121">
        <v>0.8133544724134224</v>
      </c>
      <c r="O121">
        <v>0.73602351217547757</v>
      </c>
    </row>
    <row r="122" spans="1:15" x14ac:dyDescent="0.2">
      <c r="A122" s="14">
        <v>43700</v>
      </c>
      <c r="B122">
        <v>821.6</v>
      </c>
      <c r="C122">
        <v>822</v>
      </c>
      <c r="D122">
        <v>1030</v>
      </c>
      <c r="E122">
        <v>1031</v>
      </c>
      <c r="F122">
        <v>0.79728419010669205</v>
      </c>
      <c r="G122">
        <v>0.77500264059712498</v>
      </c>
      <c r="H122">
        <v>1.9893044533125102E-2</v>
      </c>
      <c r="I122">
        <v>1.1200673417517499</v>
      </c>
      <c r="J122">
        <v>2.79</v>
      </c>
      <c r="L122">
        <v>0.79489568513025011</v>
      </c>
      <c r="M122">
        <v>0.75510959606399985</v>
      </c>
      <c r="N122">
        <v>0.81478872966337523</v>
      </c>
      <c r="O122">
        <v>0.73521655153087473</v>
      </c>
    </row>
    <row r="123" spans="1:15" x14ac:dyDescent="0.2">
      <c r="A123" s="14">
        <v>43699</v>
      </c>
      <c r="B123">
        <v>821.4</v>
      </c>
      <c r="C123">
        <v>820.5</v>
      </c>
      <c r="D123">
        <v>1007</v>
      </c>
      <c r="E123">
        <v>1020</v>
      </c>
      <c r="F123">
        <v>0.80441176470588205</v>
      </c>
      <c r="G123">
        <v>0.77537667406685895</v>
      </c>
      <c r="H123">
        <v>2.0560982176070299E-2</v>
      </c>
      <c r="I123">
        <v>1.41214511983845</v>
      </c>
      <c r="J123">
        <v>3.61</v>
      </c>
      <c r="L123">
        <v>0.79593765624292923</v>
      </c>
      <c r="M123">
        <v>0.75481569189078868</v>
      </c>
      <c r="N123">
        <v>0.8164986384189995</v>
      </c>
      <c r="O123">
        <v>0.7342547097147184</v>
      </c>
    </row>
    <row r="124" spans="1:15" x14ac:dyDescent="0.2">
      <c r="A124" s="14">
        <v>43698</v>
      </c>
      <c r="B124">
        <v>812</v>
      </c>
      <c r="C124">
        <v>823</v>
      </c>
      <c r="D124">
        <v>993</v>
      </c>
      <c r="E124">
        <v>1006</v>
      </c>
      <c r="F124">
        <v>0.81809145129224603</v>
      </c>
      <c r="G124">
        <v>0.77581617829664395</v>
      </c>
      <c r="H124">
        <v>2.1507445500866699E-2</v>
      </c>
      <c r="I124">
        <v>1.9656110714727999</v>
      </c>
      <c r="J124">
        <v>5.17</v>
      </c>
      <c r="L124">
        <v>0.79732362379751065</v>
      </c>
      <c r="M124">
        <v>0.75430873279577726</v>
      </c>
      <c r="N124">
        <v>0.81883106929837735</v>
      </c>
      <c r="O124">
        <v>0.73280128729491056</v>
      </c>
    </row>
    <row r="125" spans="1:15" x14ac:dyDescent="0.2">
      <c r="A125" s="14">
        <v>43697</v>
      </c>
      <c r="B125">
        <v>810</v>
      </c>
      <c r="C125">
        <v>817.7</v>
      </c>
      <c r="D125">
        <v>1005</v>
      </c>
      <c r="E125">
        <v>1009</v>
      </c>
      <c r="F125">
        <v>0.810406342913776</v>
      </c>
      <c r="G125">
        <v>0.77628116891544896</v>
      </c>
      <c r="H125">
        <v>2.2757096191432499E-2</v>
      </c>
      <c r="I125">
        <v>1.4995399110354899</v>
      </c>
      <c r="J125">
        <v>4.21</v>
      </c>
      <c r="L125">
        <v>0.79903826510688147</v>
      </c>
      <c r="M125">
        <v>0.75352407272401645</v>
      </c>
      <c r="N125">
        <v>0.82179536129831399</v>
      </c>
      <c r="O125">
        <v>0.73076697653258393</v>
      </c>
    </row>
    <row r="126" spans="1:15" x14ac:dyDescent="0.2">
      <c r="A126" s="14">
        <v>43696</v>
      </c>
      <c r="B126">
        <v>810</v>
      </c>
      <c r="C126">
        <v>806.9</v>
      </c>
      <c r="D126">
        <v>993</v>
      </c>
      <c r="E126">
        <v>1007</v>
      </c>
      <c r="F126">
        <v>0.80129096325719895</v>
      </c>
      <c r="G126">
        <v>0.77667991083478105</v>
      </c>
      <c r="H126">
        <v>2.3597994418395801E-2</v>
      </c>
      <c r="I126">
        <v>1.0429298348859799</v>
      </c>
      <c r="J126">
        <v>3.07</v>
      </c>
      <c r="L126">
        <v>0.80027790525317688</v>
      </c>
      <c r="M126">
        <v>0.75308191641638522</v>
      </c>
      <c r="N126">
        <v>0.82387589967157271</v>
      </c>
      <c r="O126">
        <v>0.72948392199798939</v>
      </c>
    </row>
    <row r="127" spans="1:15" x14ac:dyDescent="0.2">
      <c r="A127" s="14">
        <v>43693</v>
      </c>
      <c r="B127">
        <v>797.3</v>
      </c>
      <c r="C127">
        <v>805</v>
      </c>
      <c r="D127">
        <v>984</v>
      </c>
      <c r="E127">
        <v>986</v>
      </c>
      <c r="F127">
        <v>0.81643002028397504</v>
      </c>
      <c r="G127">
        <v>0.77729047576913002</v>
      </c>
      <c r="H127">
        <v>2.47892125262958E-2</v>
      </c>
      <c r="I127">
        <v>1.5788942255962</v>
      </c>
      <c r="J127">
        <v>4.79</v>
      </c>
      <c r="L127">
        <v>0.80207968829542586</v>
      </c>
      <c r="M127">
        <v>0.75250126324283417</v>
      </c>
      <c r="N127">
        <v>0.8268689008217216</v>
      </c>
      <c r="O127">
        <v>0.72771205071653844</v>
      </c>
    </row>
    <row r="128" spans="1:15" x14ac:dyDescent="0.2">
      <c r="A128" s="14">
        <v>43692</v>
      </c>
      <c r="B128">
        <v>800</v>
      </c>
      <c r="C128">
        <v>801</v>
      </c>
      <c r="D128">
        <v>970</v>
      </c>
      <c r="E128">
        <v>991</v>
      </c>
      <c r="F128">
        <v>0.80827447023208798</v>
      </c>
      <c r="G128">
        <v>0.77751766733541094</v>
      </c>
      <c r="H128">
        <v>2.5221201222266201E-2</v>
      </c>
      <c r="I128">
        <v>1.2194820788124701</v>
      </c>
      <c r="J128">
        <v>3.81</v>
      </c>
      <c r="L128">
        <v>0.80273886855767718</v>
      </c>
      <c r="M128">
        <v>0.75229646611314471</v>
      </c>
      <c r="N128">
        <v>0.8279600697799433</v>
      </c>
      <c r="O128">
        <v>0.72707526489087859</v>
      </c>
    </row>
    <row r="129" spans="1:15" x14ac:dyDescent="0.2">
      <c r="A129" s="14">
        <v>43691</v>
      </c>
      <c r="B129">
        <v>826</v>
      </c>
      <c r="C129">
        <v>822.1</v>
      </c>
      <c r="D129">
        <v>1004</v>
      </c>
      <c r="E129">
        <v>1000</v>
      </c>
      <c r="F129">
        <v>0.82210000000000005</v>
      </c>
      <c r="G129">
        <v>0.778060806412185</v>
      </c>
      <c r="H129">
        <v>2.6293524646779601E-2</v>
      </c>
      <c r="I129">
        <v>1.6749064334061601</v>
      </c>
      <c r="J129">
        <v>5.36</v>
      </c>
      <c r="L129">
        <v>0.80435433105896459</v>
      </c>
      <c r="M129">
        <v>0.75176728176540542</v>
      </c>
      <c r="N129">
        <v>0.83064785570574418</v>
      </c>
      <c r="O129">
        <v>0.72547375711862583</v>
      </c>
    </row>
    <row r="130" spans="1:15" x14ac:dyDescent="0.2">
      <c r="A130" s="14">
        <v>43690</v>
      </c>
      <c r="B130">
        <v>824.1</v>
      </c>
      <c r="C130">
        <v>820</v>
      </c>
      <c r="D130">
        <v>1045</v>
      </c>
      <c r="E130">
        <v>989</v>
      </c>
      <c r="F130">
        <v>0.82912032355915</v>
      </c>
      <c r="G130">
        <v>0.77829382704193495</v>
      </c>
      <c r="H130">
        <v>2.67561510129103E-2</v>
      </c>
      <c r="I130">
        <v>1.8996191377709899</v>
      </c>
      <c r="J130">
        <v>6.13</v>
      </c>
      <c r="L130">
        <v>0.80504997805484524</v>
      </c>
      <c r="M130">
        <v>0.75153767602902466</v>
      </c>
      <c r="N130">
        <v>0.83180612906775553</v>
      </c>
      <c r="O130">
        <v>0.72478152501611437</v>
      </c>
    </row>
    <row r="131" spans="1:15" x14ac:dyDescent="0.2">
      <c r="A131" s="14">
        <v>43686</v>
      </c>
      <c r="B131">
        <v>828</v>
      </c>
      <c r="C131">
        <v>834.7</v>
      </c>
      <c r="D131">
        <v>1084</v>
      </c>
      <c r="E131">
        <v>1061</v>
      </c>
      <c r="F131">
        <v>0.78671065032987697</v>
      </c>
      <c r="G131">
        <v>0.77817672433552998</v>
      </c>
      <c r="H131">
        <v>2.6551883957110702E-2</v>
      </c>
      <c r="I131">
        <v>0.32140566779110502</v>
      </c>
      <c r="J131">
        <v>1.08</v>
      </c>
      <c r="L131">
        <v>0.8047286082926407</v>
      </c>
      <c r="M131">
        <v>0.75162484037841926</v>
      </c>
      <c r="N131">
        <v>0.83128049224975142</v>
      </c>
      <c r="O131">
        <v>0.72507295642130853</v>
      </c>
    </row>
    <row r="132" spans="1:15" x14ac:dyDescent="0.2">
      <c r="A132" s="14">
        <v>43685</v>
      </c>
      <c r="B132">
        <v>835.3</v>
      </c>
      <c r="C132">
        <v>829.9</v>
      </c>
      <c r="D132">
        <v>1094</v>
      </c>
      <c r="E132">
        <v>1081</v>
      </c>
      <c r="F132">
        <v>0.76771507863089705</v>
      </c>
      <c r="G132">
        <v>0.77864534881098202</v>
      </c>
      <c r="H132">
        <v>2.7004666511228001E-2</v>
      </c>
      <c r="I132" s="15">
        <v>-0.404754866183617</v>
      </c>
      <c r="J132">
        <v>-1.42</v>
      </c>
      <c r="L132">
        <v>0.80565001532221003</v>
      </c>
      <c r="M132">
        <v>0.751640682299754</v>
      </c>
      <c r="N132">
        <v>0.83265468183343805</v>
      </c>
      <c r="O132">
        <v>0.72463601578852599</v>
      </c>
    </row>
    <row r="133" spans="1:15" x14ac:dyDescent="0.2">
      <c r="A133" s="14">
        <v>43684</v>
      </c>
      <c r="B133">
        <v>833.5</v>
      </c>
      <c r="C133">
        <v>833.9</v>
      </c>
      <c r="D133">
        <v>1115</v>
      </c>
      <c r="E133">
        <v>1100</v>
      </c>
      <c r="F133">
        <v>0.75809090909090904</v>
      </c>
      <c r="G133">
        <v>0.77958561835080498</v>
      </c>
      <c r="H133">
        <v>2.7823032130131601E-2</v>
      </c>
      <c r="I133" s="15">
        <v>-0.77255092684950599</v>
      </c>
      <c r="J133">
        <v>-2.84</v>
      </c>
      <c r="L133">
        <v>0.80740865048093657</v>
      </c>
      <c r="M133">
        <v>0.75176258622067338</v>
      </c>
      <c r="N133">
        <v>0.83523168261106817</v>
      </c>
      <c r="O133">
        <v>0.72393955409054178</v>
      </c>
    </row>
    <row r="134" spans="1:15" x14ac:dyDescent="0.2">
      <c r="A134" s="14">
        <v>43683</v>
      </c>
      <c r="B134">
        <v>811.9</v>
      </c>
      <c r="C134">
        <v>829.3</v>
      </c>
      <c r="D134">
        <v>1082</v>
      </c>
      <c r="E134">
        <v>1120</v>
      </c>
      <c r="F134">
        <v>0.74044642857142795</v>
      </c>
      <c r="G134">
        <v>0.78051315453994696</v>
      </c>
      <c r="H134">
        <v>2.8247315018732198E-2</v>
      </c>
      <c r="I134">
        <v>-1.41842599701773</v>
      </c>
      <c r="J134">
        <v>-5.41</v>
      </c>
      <c r="L134">
        <v>0.8087604695586792</v>
      </c>
      <c r="M134">
        <v>0.75226583952121473</v>
      </c>
      <c r="N134">
        <v>0.83700778457741132</v>
      </c>
      <c r="O134">
        <v>0.72401852450248261</v>
      </c>
    </row>
    <row r="135" spans="1:15" x14ac:dyDescent="0.2">
      <c r="A135" s="14">
        <v>43682</v>
      </c>
      <c r="B135">
        <v>864</v>
      </c>
      <c r="C135">
        <v>846.4</v>
      </c>
      <c r="D135">
        <v>1150</v>
      </c>
      <c r="E135">
        <v>1131</v>
      </c>
      <c r="F135">
        <v>0.74836427939876204</v>
      </c>
      <c r="G135">
        <v>0.78202264931346699</v>
      </c>
      <c r="H135">
        <v>2.9078588166541498E-2</v>
      </c>
      <c r="I135">
        <v>-1.1574967024510701</v>
      </c>
      <c r="J135">
        <v>-4.5</v>
      </c>
      <c r="L135">
        <v>0.81110123748000851</v>
      </c>
      <c r="M135">
        <v>0.75294406114692547</v>
      </c>
      <c r="N135">
        <v>0.84017982564655003</v>
      </c>
      <c r="O135">
        <v>0.72386547298038395</v>
      </c>
    </row>
    <row r="136" spans="1:15" x14ac:dyDescent="0.2">
      <c r="A136" s="14">
        <v>43679</v>
      </c>
      <c r="B136">
        <v>892.2</v>
      </c>
      <c r="C136">
        <v>879</v>
      </c>
      <c r="D136">
        <v>1190</v>
      </c>
      <c r="E136">
        <v>1166</v>
      </c>
      <c r="F136">
        <v>0.75385934819897005</v>
      </c>
      <c r="G136">
        <v>0.78328222911488499</v>
      </c>
      <c r="H136">
        <v>2.96340604441457E-2</v>
      </c>
      <c r="I136">
        <v>-0.99287375658055799</v>
      </c>
      <c r="J136">
        <v>-3.9</v>
      </c>
      <c r="L136">
        <v>0.81291628955903072</v>
      </c>
      <c r="M136">
        <v>0.75364816867073925</v>
      </c>
      <c r="N136">
        <v>0.84255035000317635</v>
      </c>
      <c r="O136">
        <v>0.72401410822659362</v>
      </c>
    </row>
    <row r="137" spans="1:15" x14ac:dyDescent="0.2">
      <c r="A137" s="14">
        <v>43678</v>
      </c>
      <c r="B137">
        <v>900</v>
      </c>
      <c r="C137">
        <v>910.9</v>
      </c>
      <c r="D137">
        <v>1211</v>
      </c>
      <c r="E137">
        <v>1231</v>
      </c>
      <c r="F137">
        <v>0.73996750609260697</v>
      </c>
      <c r="G137">
        <v>0.78418844748744598</v>
      </c>
      <c r="H137">
        <v>2.9759394761263599E-2</v>
      </c>
      <c r="I137">
        <v>-1.48594894988922</v>
      </c>
      <c r="J137">
        <v>-5.98</v>
      </c>
      <c r="L137">
        <v>0.81394784224870953</v>
      </c>
      <c r="M137">
        <v>0.75442905272618244</v>
      </c>
      <c r="N137">
        <v>0.84370723700997319</v>
      </c>
      <c r="O137">
        <v>0.72466965796491878</v>
      </c>
    </row>
    <row r="138" spans="1:15" x14ac:dyDescent="0.2">
      <c r="A138" s="14">
        <v>43677</v>
      </c>
      <c r="B138">
        <v>916</v>
      </c>
      <c r="C138">
        <v>924.7</v>
      </c>
      <c r="D138">
        <v>1194</v>
      </c>
      <c r="E138">
        <v>1226</v>
      </c>
      <c r="F138">
        <v>0.75424143556280498</v>
      </c>
      <c r="G138">
        <v>0.78528664748892396</v>
      </c>
      <c r="H138">
        <v>2.96267092459933E-2</v>
      </c>
      <c r="I138">
        <v>-1.0478791845677999</v>
      </c>
      <c r="J138">
        <v>-4.12</v>
      </c>
      <c r="L138">
        <v>0.81491335673491727</v>
      </c>
      <c r="M138">
        <v>0.75565993824293065</v>
      </c>
      <c r="N138">
        <v>0.84454006598091058</v>
      </c>
      <c r="O138">
        <v>0.72603322899693734</v>
      </c>
    </row>
    <row r="139" spans="1:15" x14ac:dyDescent="0.2">
      <c r="A139" s="14">
        <v>43676</v>
      </c>
      <c r="B139">
        <v>918.9</v>
      </c>
      <c r="C139">
        <v>924.7</v>
      </c>
      <c r="D139">
        <v>1194</v>
      </c>
      <c r="E139">
        <v>1210</v>
      </c>
      <c r="F139">
        <v>0.76421487603305704</v>
      </c>
      <c r="G139">
        <v>0.78618671410235497</v>
      </c>
      <c r="H139">
        <v>2.96952059508062E-2</v>
      </c>
      <c r="I139">
        <v>-0.73991196106525203</v>
      </c>
      <c r="J139">
        <v>-2.88</v>
      </c>
      <c r="L139">
        <v>0.81588192005316118</v>
      </c>
      <c r="M139">
        <v>0.75649150815154875</v>
      </c>
      <c r="N139">
        <v>0.84557712600396739</v>
      </c>
      <c r="O139">
        <v>0.72679630220074254</v>
      </c>
    </row>
    <row r="140" spans="1:15" x14ac:dyDescent="0.2">
      <c r="A140" s="14">
        <v>43675</v>
      </c>
      <c r="B140">
        <v>905.8</v>
      </c>
      <c r="C140">
        <v>909.2</v>
      </c>
      <c r="D140">
        <v>1231</v>
      </c>
      <c r="E140">
        <v>1203</v>
      </c>
      <c r="F140">
        <v>0.75577722360764699</v>
      </c>
      <c r="G140">
        <v>0.78691157823804403</v>
      </c>
      <c r="H140">
        <v>2.98133147228383E-2</v>
      </c>
      <c r="I140">
        <v>-1.0443104002302299</v>
      </c>
      <c r="J140">
        <v>-4.12</v>
      </c>
      <c r="L140">
        <v>0.81672489296088235</v>
      </c>
      <c r="M140">
        <v>0.7570982635152057</v>
      </c>
      <c r="N140">
        <v>0.84653820768372068</v>
      </c>
      <c r="O140">
        <v>0.72728494879236738</v>
      </c>
    </row>
    <row r="141" spans="1:15" x14ac:dyDescent="0.2">
      <c r="A141" s="14">
        <v>43672</v>
      </c>
      <c r="B141">
        <v>913.2</v>
      </c>
      <c r="C141">
        <v>910.5</v>
      </c>
      <c r="D141">
        <v>1226</v>
      </c>
      <c r="E141">
        <v>1229</v>
      </c>
      <c r="F141">
        <v>0.74084621643612603</v>
      </c>
      <c r="G141">
        <v>0.78791225129264497</v>
      </c>
      <c r="H141">
        <v>3.0010377552840899E-2</v>
      </c>
      <c r="I141">
        <v>-1.56832531592269</v>
      </c>
      <c r="J141">
        <v>-6.35</v>
      </c>
      <c r="L141">
        <v>0.81792262884548583</v>
      </c>
      <c r="M141">
        <v>0.75790187373980411</v>
      </c>
      <c r="N141">
        <v>0.84793300639832681</v>
      </c>
      <c r="O141">
        <v>0.72789149618696314</v>
      </c>
    </row>
    <row r="142" spans="1:15" x14ac:dyDescent="0.2">
      <c r="A142" s="14">
        <v>43671</v>
      </c>
      <c r="B142">
        <v>914</v>
      </c>
      <c r="C142">
        <v>914.3</v>
      </c>
      <c r="D142">
        <v>1218</v>
      </c>
      <c r="E142">
        <v>1223</v>
      </c>
      <c r="F142">
        <v>0.74758789860997499</v>
      </c>
      <c r="G142">
        <v>0.78904179549536702</v>
      </c>
      <c r="H142">
        <v>2.9811253161621799E-2</v>
      </c>
      <c r="I142">
        <v>-1.39054526358385</v>
      </c>
      <c r="J142">
        <v>-5.55</v>
      </c>
      <c r="L142">
        <v>0.81885304865698882</v>
      </c>
      <c r="M142">
        <v>0.75923054233374521</v>
      </c>
      <c r="N142">
        <v>0.84866430181861063</v>
      </c>
      <c r="O142">
        <v>0.7294192891721234</v>
      </c>
    </row>
    <row r="143" spans="1:15" x14ac:dyDescent="0.2">
      <c r="A143" s="14">
        <v>43670</v>
      </c>
      <c r="B143">
        <v>920.8</v>
      </c>
      <c r="C143">
        <v>916.9</v>
      </c>
      <c r="D143">
        <v>1219</v>
      </c>
      <c r="E143">
        <v>1210</v>
      </c>
      <c r="F143">
        <v>0.75776859504132199</v>
      </c>
      <c r="G143">
        <v>0.79004729018056796</v>
      </c>
      <c r="H143">
        <v>2.9667539780938799E-2</v>
      </c>
      <c r="I143">
        <v>-1.0880138824313399</v>
      </c>
      <c r="J143">
        <v>-4.26</v>
      </c>
      <c r="L143">
        <v>0.8197148299615068</v>
      </c>
      <c r="M143">
        <v>0.76037975039962913</v>
      </c>
      <c r="N143">
        <v>0.84938236974244552</v>
      </c>
      <c r="O143">
        <v>0.73071221061869041</v>
      </c>
    </row>
    <row r="144" spans="1:15" x14ac:dyDescent="0.2">
      <c r="A144" s="14">
        <v>43669</v>
      </c>
      <c r="B144">
        <v>916.5</v>
      </c>
      <c r="C144">
        <v>920.8</v>
      </c>
      <c r="D144">
        <v>1203</v>
      </c>
      <c r="E144">
        <v>1210</v>
      </c>
      <c r="F144">
        <v>0.76099173553719002</v>
      </c>
      <c r="G144">
        <v>0.79098534017928002</v>
      </c>
      <c r="H144">
        <v>2.9744247410083101E-2</v>
      </c>
      <c r="I144">
        <v>-1.00838337674407</v>
      </c>
      <c r="J144">
        <v>-3.94</v>
      </c>
      <c r="L144">
        <v>0.8207295875893631</v>
      </c>
      <c r="M144">
        <v>0.76124109276919694</v>
      </c>
      <c r="N144">
        <v>0.85047383499944618</v>
      </c>
      <c r="O144">
        <v>0.73149684535911386</v>
      </c>
    </row>
    <row r="145" spans="1:15" x14ac:dyDescent="0.2">
      <c r="A145" s="14">
        <v>43668</v>
      </c>
      <c r="B145">
        <v>911.5</v>
      </c>
      <c r="C145">
        <v>919.3</v>
      </c>
      <c r="D145">
        <v>1201</v>
      </c>
      <c r="E145">
        <v>1205</v>
      </c>
      <c r="F145">
        <v>0.76290456431535203</v>
      </c>
      <c r="G145">
        <v>0.79176890970774205</v>
      </c>
      <c r="H145">
        <v>2.9717851771936501E-2</v>
      </c>
      <c r="I145">
        <v>-0.97127967438236296</v>
      </c>
      <c r="J145">
        <v>-3.78</v>
      </c>
      <c r="L145">
        <v>0.82148676147967858</v>
      </c>
      <c r="M145">
        <v>0.76205105793580552</v>
      </c>
      <c r="N145">
        <v>0.85120461325161501</v>
      </c>
      <c r="O145">
        <v>0.7323332061638691</v>
      </c>
    </row>
    <row r="146" spans="1:15" x14ac:dyDescent="0.2">
      <c r="A146" s="14">
        <v>43665</v>
      </c>
      <c r="B146">
        <v>897.7</v>
      </c>
      <c r="C146">
        <v>917.8</v>
      </c>
      <c r="D146">
        <v>1203</v>
      </c>
      <c r="E146">
        <v>1202</v>
      </c>
      <c r="F146">
        <v>0.76356073211314401</v>
      </c>
      <c r="G146">
        <v>0.79248038298675005</v>
      </c>
      <c r="H146">
        <v>2.9656983423677001E-2</v>
      </c>
      <c r="I146">
        <v>-0.97513797881809094</v>
      </c>
      <c r="J146">
        <v>-3.79</v>
      </c>
      <c r="L146">
        <v>0.82213736641042701</v>
      </c>
      <c r="M146">
        <v>0.7628233995630731</v>
      </c>
      <c r="N146">
        <v>0.85179434983410407</v>
      </c>
      <c r="O146">
        <v>0.73316641613939604</v>
      </c>
    </row>
    <row r="147" spans="1:15" x14ac:dyDescent="0.2">
      <c r="A147" s="14">
        <v>43664</v>
      </c>
      <c r="B147">
        <v>914.1</v>
      </c>
      <c r="C147">
        <v>893</v>
      </c>
      <c r="D147">
        <v>1196</v>
      </c>
      <c r="E147">
        <v>1197</v>
      </c>
      <c r="F147">
        <v>0.74603174603174605</v>
      </c>
      <c r="G147">
        <v>0.79330698063264904</v>
      </c>
      <c r="H147">
        <v>2.97033389802355E-2</v>
      </c>
      <c r="I147">
        <v>-1.5915798096759499</v>
      </c>
      <c r="J147">
        <v>-6.34</v>
      </c>
      <c r="L147">
        <v>0.82301031961288451</v>
      </c>
      <c r="M147">
        <v>0.76360364165241357</v>
      </c>
      <c r="N147">
        <v>0.85271365859312009</v>
      </c>
      <c r="O147">
        <v>0.73390030267217798</v>
      </c>
    </row>
    <row r="148" spans="1:15" x14ac:dyDescent="0.2">
      <c r="A148" s="14">
        <v>43663</v>
      </c>
      <c r="B148">
        <v>915.7</v>
      </c>
      <c r="C148">
        <v>920.8</v>
      </c>
      <c r="D148">
        <v>1203</v>
      </c>
      <c r="E148">
        <v>1203</v>
      </c>
      <c r="F148">
        <v>0.76541978387364895</v>
      </c>
      <c r="G148">
        <v>0.79455028519670801</v>
      </c>
      <c r="H148">
        <v>2.9650008066929901E-2</v>
      </c>
      <c r="I148">
        <v>-0.98247869805978905</v>
      </c>
      <c r="J148">
        <v>-3.81</v>
      </c>
      <c r="L148">
        <v>0.82420029326363786</v>
      </c>
      <c r="M148">
        <v>0.76490027712977815</v>
      </c>
      <c r="N148">
        <v>0.85385030133056783</v>
      </c>
      <c r="O148">
        <v>0.73525026906284818</v>
      </c>
    </row>
    <row r="149" spans="1:15" x14ac:dyDescent="0.2">
      <c r="A149" s="14">
        <v>43662</v>
      </c>
      <c r="B149">
        <v>925</v>
      </c>
      <c r="C149">
        <v>921.6</v>
      </c>
      <c r="D149">
        <v>1191</v>
      </c>
      <c r="E149">
        <v>1195</v>
      </c>
      <c r="F149">
        <v>0.77121338912133897</v>
      </c>
      <c r="G149">
        <v>0.79534000971581997</v>
      </c>
      <c r="H149">
        <v>2.9652386623368301E-2</v>
      </c>
      <c r="I149">
        <v>-0.81364852350427097</v>
      </c>
      <c r="J149">
        <v>-3.13</v>
      </c>
      <c r="L149">
        <v>0.82499239633918831</v>
      </c>
      <c r="M149">
        <v>0.76568762309245164</v>
      </c>
      <c r="N149">
        <v>0.85464478296255653</v>
      </c>
      <c r="O149">
        <v>0.73603523646908342</v>
      </c>
    </row>
    <row r="150" spans="1:15" x14ac:dyDescent="0.2">
      <c r="A150" s="14">
        <v>43658</v>
      </c>
      <c r="B150">
        <v>934.9</v>
      </c>
      <c r="C150">
        <v>929.9</v>
      </c>
      <c r="D150">
        <v>1202</v>
      </c>
      <c r="E150">
        <v>1191</v>
      </c>
      <c r="F150">
        <v>0.78077246011754797</v>
      </c>
      <c r="G150">
        <v>0.79596635894825896</v>
      </c>
      <c r="H150">
        <v>2.9632277006544399E-2</v>
      </c>
      <c r="I150">
        <v>-0.51274827200606299</v>
      </c>
      <c r="J150">
        <v>-1.95</v>
      </c>
      <c r="L150">
        <v>0.82559863595480332</v>
      </c>
      <c r="M150">
        <v>0.7663340819417146</v>
      </c>
      <c r="N150">
        <v>0.85523091296134779</v>
      </c>
      <c r="O150">
        <v>0.73670180493517012</v>
      </c>
    </row>
    <row r="151" spans="1:15" x14ac:dyDescent="0.2">
      <c r="A151" s="14">
        <v>43657</v>
      </c>
      <c r="B151">
        <v>927.4</v>
      </c>
      <c r="C151">
        <v>925</v>
      </c>
      <c r="D151">
        <v>1189</v>
      </c>
      <c r="E151">
        <v>1198</v>
      </c>
      <c r="F151">
        <v>0.77212020033388895</v>
      </c>
      <c r="G151">
        <v>0.796272317580898</v>
      </c>
      <c r="H151">
        <v>2.95922561196806E-2</v>
      </c>
      <c r="I151">
        <v>-0.81616342969355604</v>
      </c>
      <c r="J151">
        <v>-3.13</v>
      </c>
      <c r="L151">
        <v>0.82586457370057864</v>
      </c>
      <c r="M151">
        <v>0.76668006146121737</v>
      </c>
      <c r="N151">
        <v>0.85545682982025917</v>
      </c>
      <c r="O151">
        <v>0.73708780534153684</v>
      </c>
    </row>
    <row r="152" spans="1:15" x14ac:dyDescent="0.2">
      <c r="A152" s="14">
        <v>43656</v>
      </c>
      <c r="B152">
        <v>930.1</v>
      </c>
      <c r="C152">
        <v>927.5</v>
      </c>
      <c r="D152">
        <v>1190</v>
      </c>
      <c r="E152">
        <v>1197</v>
      </c>
      <c r="F152">
        <v>0.77485380116959002</v>
      </c>
      <c r="G152">
        <v>0.79688080836772401</v>
      </c>
      <c r="H152">
        <v>2.95585564157777E-2</v>
      </c>
      <c r="I152">
        <v>-0.74519901744510497</v>
      </c>
      <c r="J152">
        <v>-2.84</v>
      </c>
      <c r="L152">
        <v>0.82643936478350166</v>
      </c>
      <c r="M152">
        <v>0.76732225195194637</v>
      </c>
      <c r="N152">
        <v>0.85599792119927942</v>
      </c>
      <c r="O152">
        <v>0.73776369553616861</v>
      </c>
    </row>
    <row r="153" spans="1:15" x14ac:dyDescent="0.2">
      <c r="A153" s="14">
        <v>43655</v>
      </c>
      <c r="B153">
        <v>943.5</v>
      </c>
      <c r="C153">
        <v>936.7</v>
      </c>
      <c r="D153">
        <v>1199</v>
      </c>
      <c r="E153">
        <v>1203</v>
      </c>
      <c r="F153">
        <v>0.77863674147963402</v>
      </c>
      <c r="G153">
        <v>0.79751578002077494</v>
      </c>
      <c r="H153">
        <v>2.95900522651311E-2</v>
      </c>
      <c r="I153">
        <v>-0.63801977678112898</v>
      </c>
      <c r="J153">
        <v>-2.42</v>
      </c>
      <c r="L153">
        <v>0.82710583228590606</v>
      </c>
      <c r="M153">
        <v>0.76792572775564383</v>
      </c>
      <c r="N153">
        <v>0.85669588455103718</v>
      </c>
      <c r="O153">
        <v>0.73833567549051271</v>
      </c>
    </row>
    <row r="154" spans="1:15" x14ac:dyDescent="0.2">
      <c r="A154" s="14">
        <v>43654</v>
      </c>
      <c r="B154">
        <v>939.2</v>
      </c>
      <c r="C154">
        <v>943</v>
      </c>
      <c r="D154">
        <v>1205</v>
      </c>
      <c r="E154">
        <v>1206</v>
      </c>
      <c r="F154">
        <v>0.78192371475953504</v>
      </c>
      <c r="G154">
        <v>0.79807570161491403</v>
      </c>
      <c r="H154">
        <v>2.96248127845361E-2</v>
      </c>
      <c r="I154">
        <v>-0.54521819168456298</v>
      </c>
      <c r="J154">
        <v>-2.0699999999999998</v>
      </c>
      <c r="L154">
        <v>0.82770051439945014</v>
      </c>
      <c r="M154">
        <v>0.76845088883037793</v>
      </c>
      <c r="N154">
        <v>0.85732532718398624</v>
      </c>
      <c r="O154">
        <v>0.73882607604584183</v>
      </c>
    </row>
    <row r="155" spans="1:15" x14ac:dyDescent="0.2">
      <c r="A155" s="14">
        <v>43651</v>
      </c>
      <c r="B155">
        <v>948.3</v>
      </c>
      <c r="C155">
        <v>943.2</v>
      </c>
      <c r="D155">
        <v>1195</v>
      </c>
      <c r="E155">
        <v>1200</v>
      </c>
      <c r="F155">
        <v>0.78600000000000003</v>
      </c>
      <c r="G155">
        <v>0.79838021081494503</v>
      </c>
      <c r="H155">
        <v>2.9574556436930698E-2</v>
      </c>
      <c r="I155">
        <v>-0.41861019425083201</v>
      </c>
      <c r="J155">
        <v>-1.58</v>
      </c>
      <c r="L155">
        <v>0.82795476725187578</v>
      </c>
      <c r="M155">
        <v>0.76880565437801429</v>
      </c>
      <c r="N155">
        <v>0.85752932368880641</v>
      </c>
      <c r="O155">
        <v>0.73923109794108366</v>
      </c>
    </row>
    <row r="156" spans="1:15" x14ac:dyDescent="0.2">
      <c r="A156" s="14">
        <v>43650</v>
      </c>
      <c r="B156">
        <v>932.3</v>
      </c>
      <c r="C156">
        <v>947.8</v>
      </c>
      <c r="D156">
        <v>1210</v>
      </c>
      <c r="E156">
        <v>1201</v>
      </c>
      <c r="F156">
        <v>0.78917568692756002</v>
      </c>
      <c r="G156">
        <v>0.79874199524276501</v>
      </c>
      <c r="H156">
        <v>2.95868579510058E-2</v>
      </c>
      <c r="I156">
        <v>-0.32332964625868799</v>
      </c>
      <c r="J156">
        <v>-1.21</v>
      </c>
      <c r="L156">
        <v>0.82832885319377081</v>
      </c>
      <c r="M156">
        <v>0.76915513729175922</v>
      </c>
      <c r="N156">
        <v>0.8579157111447766</v>
      </c>
      <c r="O156">
        <v>0.73956827934075342</v>
      </c>
    </row>
    <row r="157" spans="1:15" x14ac:dyDescent="0.2">
      <c r="A157" s="14">
        <v>43649</v>
      </c>
      <c r="B157">
        <v>929.5</v>
      </c>
      <c r="C157">
        <v>927.8</v>
      </c>
      <c r="D157">
        <v>1191</v>
      </c>
      <c r="E157">
        <v>1198</v>
      </c>
      <c r="F157">
        <v>0.77445742904841397</v>
      </c>
      <c r="G157">
        <v>0.79878220255119403</v>
      </c>
      <c r="H157">
        <v>2.9575877380751701E-2</v>
      </c>
      <c r="I157">
        <v>-0.82245314955935001</v>
      </c>
      <c r="J157">
        <v>-3.14</v>
      </c>
      <c r="L157">
        <v>0.82835807993194577</v>
      </c>
      <c r="M157">
        <v>0.7692063251704423</v>
      </c>
      <c r="N157">
        <v>0.85793395731269739</v>
      </c>
      <c r="O157">
        <v>0.73963044778969067</v>
      </c>
    </row>
    <row r="158" spans="1:15" x14ac:dyDescent="0.2">
      <c r="A158" s="14">
        <v>43648</v>
      </c>
      <c r="B158">
        <v>928</v>
      </c>
      <c r="C158">
        <v>926.3</v>
      </c>
      <c r="D158">
        <v>1211</v>
      </c>
      <c r="E158">
        <v>1203</v>
      </c>
      <c r="F158">
        <v>0.76999168744804602</v>
      </c>
      <c r="G158">
        <v>0.79897570338907797</v>
      </c>
      <c r="H158">
        <v>2.9463359367668598E-2</v>
      </c>
      <c r="I158">
        <v>-0.98373086311526403</v>
      </c>
      <c r="J158">
        <v>-3.76</v>
      </c>
      <c r="L158">
        <v>0.82843906275674661</v>
      </c>
      <c r="M158">
        <v>0.76951234402140933</v>
      </c>
      <c r="N158">
        <v>0.85790242212441514</v>
      </c>
      <c r="O158">
        <v>0.7400489846537408</v>
      </c>
    </row>
    <row r="159" spans="1:15" x14ac:dyDescent="0.2">
      <c r="A159" s="14">
        <v>43647</v>
      </c>
      <c r="B159">
        <v>920</v>
      </c>
      <c r="C159">
        <v>923.3</v>
      </c>
      <c r="D159">
        <v>1200</v>
      </c>
      <c r="E159">
        <v>1202</v>
      </c>
      <c r="F159">
        <v>0.768136439267886</v>
      </c>
      <c r="G159">
        <v>0.79928944445252403</v>
      </c>
      <c r="H159">
        <v>2.9277750407465698E-2</v>
      </c>
      <c r="I159">
        <v>-1.0640505076747</v>
      </c>
      <c r="J159">
        <v>-4.0599999999999996</v>
      </c>
      <c r="L159">
        <v>0.82856719485998975</v>
      </c>
      <c r="M159">
        <v>0.77001169404505831</v>
      </c>
      <c r="N159">
        <v>0.85784494526745547</v>
      </c>
      <c r="O159">
        <v>0.7407339436375926</v>
      </c>
    </row>
    <row r="160" spans="1:15" x14ac:dyDescent="0.2">
      <c r="A160" s="14">
        <v>43644</v>
      </c>
      <c r="B160">
        <v>902.8</v>
      </c>
      <c r="C160">
        <v>897.6</v>
      </c>
      <c r="D160">
        <v>1178</v>
      </c>
      <c r="E160">
        <v>1170</v>
      </c>
      <c r="F160">
        <v>0.76717948717948703</v>
      </c>
      <c r="G160">
        <v>0.799176856031516</v>
      </c>
      <c r="H160">
        <v>2.9413256187252702E-2</v>
      </c>
      <c r="I160">
        <v>-1.0878553754240901</v>
      </c>
      <c r="J160">
        <v>-4.17</v>
      </c>
      <c r="L160">
        <v>0.82859011221876866</v>
      </c>
      <c r="M160">
        <v>0.76976359984426335</v>
      </c>
      <c r="N160">
        <v>0.85800336840602143</v>
      </c>
      <c r="O160">
        <v>0.74035034365701058</v>
      </c>
    </row>
    <row r="161" spans="1:15" x14ac:dyDescent="0.2">
      <c r="A161" s="14">
        <v>43643</v>
      </c>
      <c r="B161">
        <v>890</v>
      </c>
      <c r="C161">
        <v>897.5</v>
      </c>
      <c r="D161">
        <v>1132</v>
      </c>
      <c r="E161">
        <v>1185</v>
      </c>
      <c r="F161">
        <v>0.75738396624472504</v>
      </c>
      <c r="G161">
        <v>0.79904004252506899</v>
      </c>
      <c r="H161">
        <v>2.9585133280531899E-2</v>
      </c>
      <c r="I161">
        <v>-1.4080070515604</v>
      </c>
      <c r="J161">
        <v>-5.5</v>
      </c>
      <c r="L161">
        <v>0.82862517580560091</v>
      </c>
      <c r="M161">
        <v>0.76945490924453708</v>
      </c>
      <c r="N161">
        <v>0.85821030908613283</v>
      </c>
      <c r="O161">
        <v>0.73986977596400516</v>
      </c>
    </row>
    <row r="162" spans="1:15" x14ac:dyDescent="0.2">
      <c r="A162" s="14">
        <v>43642</v>
      </c>
      <c r="B162">
        <v>883.9</v>
      </c>
      <c r="C162">
        <v>883.4</v>
      </c>
      <c r="D162">
        <v>1136</v>
      </c>
      <c r="E162">
        <v>1137</v>
      </c>
      <c r="F162">
        <v>0.77695690413368501</v>
      </c>
      <c r="G162">
        <v>0.79912622038032899</v>
      </c>
      <c r="H162">
        <v>2.9472869196680199E-2</v>
      </c>
      <c r="I162">
        <v>-0.75219402965834103</v>
      </c>
      <c r="J162">
        <v>-2.85</v>
      </c>
      <c r="L162">
        <v>0.82859908957700923</v>
      </c>
      <c r="M162">
        <v>0.76965335118364875</v>
      </c>
      <c r="N162">
        <v>0.85807195877368936</v>
      </c>
      <c r="O162">
        <v>0.74018048198696862</v>
      </c>
    </row>
    <row r="163" spans="1:15" x14ac:dyDescent="0.2">
      <c r="A163" s="14">
        <v>43641</v>
      </c>
      <c r="B163">
        <v>879.5</v>
      </c>
      <c r="C163">
        <v>884.9</v>
      </c>
      <c r="D163">
        <v>1136</v>
      </c>
      <c r="E163">
        <v>1142</v>
      </c>
      <c r="F163">
        <v>0.77486865148861594</v>
      </c>
      <c r="G163">
        <v>0.79871566277858497</v>
      </c>
      <c r="H163">
        <v>2.9988778561113601E-2</v>
      </c>
      <c r="I163">
        <v>-0.79519781845639104</v>
      </c>
      <c r="J163">
        <v>-3.08</v>
      </c>
      <c r="L163">
        <v>0.82870444133969856</v>
      </c>
      <c r="M163">
        <v>0.76872688421747137</v>
      </c>
      <c r="N163">
        <v>0.85869321990081215</v>
      </c>
      <c r="O163">
        <v>0.73873810565635778</v>
      </c>
    </row>
    <row r="164" spans="1:15" x14ac:dyDescent="0.2">
      <c r="A164" s="14">
        <v>43640</v>
      </c>
      <c r="B164">
        <v>864</v>
      </c>
      <c r="C164">
        <v>883.3</v>
      </c>
      <c r="D164">
        <v>1120</v>
      </c>
      <c r="E164">
        <v>1133</v>
      </c>
      <c r="F164">
        <v>0.77961165048543601</v>
      </c>
      <c r="G164">
        <v>0.79849833808610904</v>
      </c>
      <c r="H164">
        <v>3.02189832721531E-2</v>
      </c>
      <c r="I164">
        <v>-0.62499414459376201</v>
      </c>
      <c r="J164">
        <v>-2.42</v>
      </c>
      <c r="L164">
        <v>0.82871732135826215</v>
      </c>
      <c r="M164">
        <v>0.76827935481395593</v>
      </c>
      <c r="N164">
        <v>0.85893630463041526</v>
      </c>
      <c r="O164">
        <v>0.73806037154180282</v>
      </c>
    </row>
    <row r="165" spans="1:15" x14ac:dyDescent="0.2">
      <c r="A165" s="14">
        <v>43637</v>
      </c>
      <c r="B165">
        <v>883.8</v>
      </c>
      <c r="C165">
        <v>886</v>
      </c>
      <c r="D165">
        <v>1146</v>
      </c>
      <c r="E165">
        <v>1131</v>
      </c>
      <c r="F165">
        <v>0.78337754199823095</v>
      </c>
      <c r="G165">
        <v>0.79832540588267797</v>
      </c>
      <c r="H165">
        <v>3.0363336336510099E-2</v>
      </c>
      <c r="I165">
        <v>-0.49229978282963199</v>
      </c>
      <c r="J165">
        <v>-1.91</v>
      </c>
      <c r="L165">
        <v>0.82868874221918809</v>
      </c>
      <c r="M165">
        <v>0.76796206954616786</v>
      </c>
      <c r="N165">
        <v>0.85905207855569821</v>
      </c>
      <c r="O165">
        <v>0.73759873320965774</v>
      </c>
    </row>
    <row r="166" spans="1:15" x14ac:dyDescent="0.2">
      <c r="A166" s="14">
        <v>43636</v>
      </c>
      <c r="B166">
        <v>874.8</v>
      </c>
      <c r="C166">
        <v>881.9</v>
      </c>
      <c r="D166">
        <v>1132</v>
      </c>
      <c r="E166">
        <v>1144</v>
      </c>
      <c r="F166">
        <v>0.77089160839160797</v>
      </c>
      <c r="G166">
        <v>0.79815691519924503</v>
      </c>
      <c r="H166">
        <v>3.0480651883734802E-2</v>
      </c>
      <c r="I166">
        <v>-0.89451193208194701</v>
      </c>
      <c r="J166">
        <v>-3.54</v>
      </c>
      <c r="L166">
        <v>0.82863756708297986</v>
      </c>
      <c r="M166">
        <v>0.7676762633155102</v>
      </c>
      <c r="N166">
        <v>0.85911821896671459</v>
      </c>
      <c r="O166">
        <v>0.73719561143177548</v>
      </c>
    </row>
    <row r="167" spans="1:15" x14ac:dyDescent="0.2">
      <c r="A167" s="14">
        <v>43635</v>
      </c>
      <c r="B167">
        <v>869.5</v>
      </c>
      <c r="C167">
        <v>877.1</v>
      </c>
      <c r="D167">
        <v>1145</v>
      </c>
      <c r="E167">
        <v>1140</v>
      </c>
      <c r="F167">
        <v>0.76938596491227995</v>
      </c>
      <c r="G167">
        <v>0.79806750313746699</v>
      </c>
      <c r="H167">
        <v>3.0570204907611E-2</v>
      </c>
      <c r="I167">
        <v>-0.93821871040341998</v>
      </c>
      <c r="J167">
        <v>-3.73</v>
      </c>
      <c r="L167">
        <v>0.82863770804507797</v>
      </c>
      <c r="M167">
        <v>0.76749729822985602</v>
      </c>
      <c r="N167">
        <v>0.85920791295268895</v>
      </c>
      <c r="O167">
        <v>0.73692709332224504</v>
      </c>
    </row>
    <row r="168" spans="1:15" x14ac:dyDescent="0.2">
      <c r="A168" s="14">
        <v>43634</v>
      </c>
      <c r="B168">
        <v>861.8</v>
      </c>
      <c r="C168">
        <v>859.4</v>
      </c>
      <c r="D168">
        <v>1123</v>
      </c>
      <c r="E168">
        <v>1123</v>
      </c>
      <c r="F168">
        <v>0.76527159394479005</v>
      </c>
      <c r="G168">
        <v>0.79790001977388603</v>
      </c>
      <c r="H168">
        <v>3.0760697963249602E-2</v>
      </c>
      <c r="I168">
        <v>-1.0607179937229401</v>
      </c>
      <c r="J168">
        <v>-4.26</v>
      </c>
      <c r="L168">
        <v>0.82866071773713568</v>
      </c>
      <c r="M168">
        <v>0.76713932181063638</v>
      </c>
      <c r="N168">
        <v>0.85942141570038522</v>
      </c>
      <c r="O168">
        <v>0.73637862384738684</v>
      </c>
    </row>
    <row r="169" spans="1:15" x14ac:dyDescent="0.2">
      <c r="A169" s="14">
        <v>43633</v>
      </c>
      <c r="B169">
        <v>855.6</v>
      </c>
      <c r="C169">
        <v>857.6</v>
      </c>
      <c r="D169">
        <v>1129</v>
      </c>
      <c r="E169">
        <v>1136</v>
      </c>
      <c r="F169">
        <v>0.75492957746478795</v>
      </c>
      <c r="G169">
        <v>0.79792155760107297</v>
      </c>
      <c r="H169">
        <v>3.0738402290367301E-2</v>
      </c>
      <c r="I169">
        <v>-1.3986406882883999</v>
      </c>
      <c r="J169">
        <v>-5.69</v>
      </c>
      <c r="L169">
        <v>0.82865995989144026</v>
      </c>
      <c r="M169">
        <v>0.76718315531070569</v>
      </c>
      <c r="N169">
        <v>0.85939836218180754</v>
      </c>
      <c r="O169">
        <v>0.73644475302033841</v>
      </c>
    </row>
    <row r="170" spans="1:15" x14ac:dyDescent="0.2">
      <c r="A170" s="14">
        <v>43630</v>
      </c>
      <c r="B170">
        <v>846.6</v>
      </c>
      <c r="C170">
        <v>855.6</v>
      </c>
      <c r="D170">
        <v>1117</v>
      </c>
      <c r="E170">
        <v>1130</v>
      </c>
      <c r="F170">
        <v>0.75716814159292001</v>
      </c>
      <c r="G170">
        <v>0.79796726401007001</v>
      </c>
      <c r="H170">
        <v>3.0676928609624898E-2</v>
      </c>
      <c r="I170">
        <v>-1.3299611227816801</v>
      </c>
      <c r="J170">
        <v>-5.39</v>
      </c>
      <c r="L170">
        <v>0.82864419261969491</v>
      </c>
      <c r="M170">
        <v>0.76729033540044511</v>
      </c>
      <c r="N170">
        <v>0.85932112122931981</v>
      </c>
      <c r="O170">
        <v>0.73661340679082021</v>
      </c>
    </row>
    <row r="171" spans="1:15" x14ac:dyDescent="0.2">
      <c r="A171" s="14">
        <v>43629</v>
      </c>
      <c r="B171">
        <v>865</v>
      </c>
      <c r="C171">
        <v>855.1</v>
      </c>
      <c r="D171">
        <v>1124</v>
      </c>
      <c r="E171">
        <v>1124</v>
      </c>
      <c r="F171">
        <v>0.76076512455515999</v>
      </c>
      <c r="G171">
        <v>0.79799047666761902</v>
      </c>
      <c r="H171">
        <v>3.0646691665478398E-2</v>
      </c>
      <c r="I171">
        <v>-1.2146613578649701</v>
      </c>
      <c r="J171">
        <v>-4.8899999999999997</v>
      </c>
      <c r="L171">
        <v>0.82863716833309742</v>
      </c>
      <c r="M171">
        <v>0.76734378500214062</v>
      </c>
      <c r="N171">
        <v>0.85928385999857582</v>
      </c>
      <c r="O171">
        <v>0.73669709333666222</v>
      </c>
    </row>
    <row r="172" spans="1:15" x14ac:dyDescent="0.2">
      <c r="A172" s="14">
        <v>43628</v>
      </c>
      <c r="B172">
        <v>863.4</v>
      </c>
      <c r="C172">
        <v>869.2</v>
      </c>
      <c r="D172">
        <v>1115</v>
      </c>
      <c r="E172">
        <v>1130</v>
      </c>
      <c r="F172">
        <v>0.76920353982300804</v>
      </c>
      <c r="G172">
        <v>0.79792729229444104</v>
      </c>
      <c r="H172">
        <v>3.0728150916204101E-2</v>
      </c>
      <c r="I172">
        <v>-0.93476996223309206</v>
      </c>
      <c r="J172">
        <v>-3.73</v>
      </c>
      <c r="L172">
        <v>0.8286554432106451</v>
      </c>
      <c r="M172">
        <v>0.76719914137823697</v>
      </c>
      <c r="N172">
        <v>0.85938359412684928</v>
      </c>
      <c r="O172">
        <v>0.73647099046203279</v>
      </c>
    </row>
    <row r="173" spans="1:15" x14ac:dyDescent="0.2">
      <c r="A173" s="14">
        <v>43627</v>
      </c>
      <c r="B173">
        <v>865.1</v>
      </c>
      <c r="C173">
        <v>875.2</v>
      </c>
      <c r="D173">
        <v>1124</v>
      </c>
      <c r="E173">
        <v>1138</v>
      </c>
      <c r="F173">
        <v>0.76906854130052704</v>
      </c>
      <c r="G173">
        <v>0.79774617862351105</v>
      </c>
      <c r="H173">
        <v>3.09362432626848E-2</v>
      </c>
      <c r="I173">
        <v>-0.92699158975050699</v>
      </c>
      <c r="J173">
        <v>-3.73</v>
      </c>
      <c r="L173">
        <v>0.8286824218861959</v>
      </c>
      <c r="M173">
        <v>0.7668099353608262</v>
      </c>
      <c r="N173">
        <v>0.85961866514888063</v>
      </c>
      <c r="O173">
        <v>0.73587369209814146</v>
      </c>
    </row>
    <row r="174" spans="1:15" x14ac:dyDescent="0.2">
      <c r="A174" s="14">
        <v>43626</v>
      </c>
      <c r="B174">
        <v>875.1</v>
      </c>
      <c r="C174">
        <v>875</v>
      </c>
      <c r="D174">
        <v>1131</v>
      </c>
      <c r="E174">
        <v>1116</v>
      </c>
      <c r="F174">
        <v>0.78405017921146902</v>
      </c>
      <c r="G174">
        <v>0.79769093638129496</v>
      </c>
      <c r="H174">
        <v>3.09910536667669E-2</v>
      </c>
      <c r="I174">
        <v>-0.44015144875354301</v>
      </c>
      <c r="J174">
        <v>-1.74</v>
      </c>
      <c r="L174">
        <v>0.82868199004806187</v>
      </c>
      <c r="M174">
        <v>0.76669988271452805</v>
      </c>
      <c r="N174">
        <v>0.85967304371482878</v>
      </c>
      <c r="O174">
        <v>0.73570882904776114</v>
      </c>
    </row>
    <row r="175" spans="1:15" x14ac:dyDescent="0.2">
      <c r="A175" s="14">
        <v>43623</v>
      </c>
      <c r="B175">
        <v>866.6</v>
      </c>
      <c r="C175">
        <v>869.5</v>
      </c>
      <c r="D175">
        <v>1119</v>
      </c>
      <c r="E175">
        <v>1120</v>
      </c>
      <c r="F175">
        <v>0.77633928571428501</v>
      </c>
      <c r="G175">
        <v>0.79724893303188604</v>
      </c>
      <c r="H175">
        <v>3.1415936770965699E-2</v>
      </c>
      <c r="I175">
        <v>-0.66557452894179403</v>
      </c>
      <c r="J175">
        <v>-2.69</v>
      </c>
      <c r="L175">
        <v>0.8286648698028517</v>
      </c>
      <c r="M175">
        <v>0.76583299626092038</v>
      </c>
      <c r="N175">
        <v>0.86008080657381747</v>
      </c>
      <c r="O175">
        <v>0.73441705948995462</v>
      </c>
    </row>
    <row r="176" spans="1:15" x14ac:dyDescent="0.2">
      <c r="A176" s="14">
        <v>43622</v>
      </c>
      <c r="B176">
        <v>871</v>
      </c>
      <c r="C176">
        <v>867.8</v>
      </c>
      <c r="D176">
        <v>1118</v>
      </c>
      <c r="E176">
        <v>1115</v>
      </c>
      <c r="F176">
        <v>0.77829596412556001</v>
      </c>
      <c r="G176">
        <v>0.79699875265670606</v>
      </c>
      <c r="H176">
        <v>3.1655254323859197E-2</v>
      </c>
      <c r="I176">
        <v>-0.59082730278521001</v>
      </c>
      <c r="J176">
        <v>-2.4</v>
      </c>
      <c r="L176">
        <v>0.82865400698056524</v>
      </c>
      <c r="M176">
        <v>0.76534349833284687</v>
      </c>
      <c r="N176">
        <v>0.86030926130442442</v>
      </c>
      <c r="O176">
        <v>0.73368824400898769</v>
      </c>
    </row>
    <row r="177" spans="1:15" x14ac:dyDescent="0.2">
      <c r="A177" s="14">
        <v>43621</v>
      </c>
      <c r="B177">
        <v>880</v>
      </c>
      <c r="C177">
        <v>876.4</v>
      </c>
      <c r="D177">
        <v>1122</v>
      </c>
      <c r="E177">
        <v>1127</v>
      </c>
      <c r="F177">
        <v>0.77763975155279497</v>
      </c>
      <c r="G177">
        <v>0.79658055857426102</v>
      </c>
      <c r="H177">
        <v>3.2103574610778701E-2</v>
      </c>
      <c r="I177">
        <v>-0.58999059298236101</v>
      </c>
      <c r="J177">
        <v>-2.44</v>
      </c>
      <c r="L177">
        <v>0.82868413318503975</v>
      </c>
      <c r="M177">
        <v>0.76447698396348229</v>
      </c>
      <c r="N177">
        <v>0.86078770779581837</v>
      </c>
      <c r="O177">
        <v>0.73237340935270367</v>
      </c>
    </row>
    <row r="178" spans="1:15" x14ac:dyDescent="0.2">
      <c r="A178" s="14">
        <v>43620</v>
      </c>
      <c r="B178">
        <v>860.8</v>
      </c>
      <c r="C178">
        <v>860.6</v>
      </c>
      <c r="D178">
        <v>1115</v>
      </c>
      <c r="E178">
        <v>1092</v>
      </c>
      <c r="F178">
        <v>0.78809523809523796</v>
      </c>
      <c r="G178">
        <v>0.79643119267180396</v>
      </c>
      <c r="H178">
        <v>3.2217210882482403E-2</v>
      </c>
      <c r="I178">
        <v>-0.25874227930447402</v>
      </c>
      <c r="J178">
        <v>-1.06</v>
      </c>
      <c r="L178">
        <v>0.82864840355428637</v>
      </c>
      <c r="M178">
        <v>0.76421398178932154</v>
      </c>
      <c r="N178">
        <v>0.86086561443676879</v>
      </c>
      <c r="O178">
        <v>0.73199677090683912</v>
      </c>
    </row>
    <row r="179" spans="1:15" x14ac:dyDescent="0.2">
      <c r="A179" s="14">
        <v>43619</v>
      </c>
      <c r="B179">
        <v>850</v>
      </c>
      <c r="C179">
        <v>858.3</v>
      </c>
      <c r="D179">
        <v>1117</v>
      </c>
      <c r="E179">
        <v>1119</v>
      </c>
      <c r="F179">
        <v>0.76702412868632697</v>
      </c>
      <c r="G179">
        <v>0.79608832145088404</v>
      </c>
      <c r="H179">
        <v>3.2440167767425997E-2</v>
      </c>
      <c r="I179">
        <v>-0.89593225820926603</v>
      </c>
      <c r="J179">
        <v>-3.79</v>
      </c>
      <c r="L179">
        <v>0.82852848921831002</v>
      </c>
      <c r="M179">
        <v>0.76364815368345806</v>
      </c>
      <c r="N179">
        <v>0.86096865698573599</v>
      </c>
      <c r="O179">
        <v>0.73120798591603209</v>
      </c>
    </row>
    <row r="180" spans="1:15" x14ac:dyDescent="0.2">
      <c r="A180" s="14">
        <v>43616</v>
      </c>
      <c r="B180">
        <v>881.8</v>
      </c>
      <c r="C180">
        <v>864.8</v>
      </c>
      <c r="D180">
        <v>1143</v>
      </c>
      <c r="E180">
        <v>1136</v>
      </c>
      <c r="F180">
        <v>0.76126760563380202</v>
      </c>
      <c r="G180">
        <v>0.79618641797863698</v>
      </c>
      <c r="H180">
        <v>3.2363164071556198E-2</v>
      </c>
      <c r="I180">
        <v>-1.07896781252995</v>
      </c>
      <c r="J180">
        <v>-4.59</v>
      </c>
      <c r="L180">
        <v>0.82854958205019313</v>
      </c>
      <c r="M180">
        <v>0.76382325390708083</v>
      </c>
      <c r="N180">
        <v>0.86091274612174939</v>
      </c>
      <c r="O180">
        <v>0.73146008983552457</v>
      </c>
    </row>
    <row r="181" spans="1:15" x14ac:dyDescent="0.2">
      <c r="A181" s="14">
        <v>43615</v>
      </c>
      <c r="B181">
        <v>881</v>
      </c>
      <c r="C181">
        <v>894.6</v>
      </c>
      <c r="D181">
        <v>1148</v>
      </c>
      <c r="E181">
        <v>1164</v>
      </c>
      <c r="F181">
        <v>0.76855670103092699</v>
      </c>
      <c r="G181">
        <v>0.79602171145682399</v>
      </c>
      <c r="H181">
        <v>3.2571223351496002E-2</v>
      </c>
      <c r="I181">
        <v>-0.84322931716457905</v>
      </c>
      <c r="J181">
        <v>-3.57</v>
      </c>
      <c r="L181">
        <v>0.82859293480831997</v>
      </c>
      <c r="M181">
        <v>0.76345048810532801</v>
      </c>
      <c r="N181">
        <v>0.86116415815981595</v>
      </c>
      <c r="O181">
        <v>0.73087926475383203</v>
      </c>
    </row>
    <row r="182" spans="1:15" x14ac:dyDescent="0.2">
      <c r="A182" s="14">
        <v>43614</v>
      </c>
      <c r="B182">
        <v>883.1</v>
      </c>
      <c r="C182">
        <v>889</v>
      </c>
      <c r="D182">
        <v>1142</v>
      </c>
      <c r="E182">
        <v>1150</v>
      </c>
      <c r="F182">
        <v>0.77304347826086905</v>
      </c>
      <c r="G182">
        <v>0.79597376005735399</v>
      </c>
      <c r="H182">
        <v>3.2614240952418903E-2</v>
      </c>
      <c r="I182">
        <v>-0.703075746264894</v>
      </c>
      <c r="J182">
        <v>-2.97</v>
      </c>
      <c r="L182">
        <v>0.82858800100977292</v>
      </c>
      <c r="M182">
        <v>0.76335951910493505</v>
      </c>
      <c r="N182">
        <v>0.86120224196219175</v>
      </c>
      <c r="O182">
        <v>0.73074527815251622</v>
      </c>
    </row>
    <row r="183" spans="1:15" x14ac:dyDescent="0.2">
      <c r="A183" s="14">
        <v>43613</v>
      </c>
      <c r="B183">
        <v>887.9</v>
      </c>
      <c r="C183">
        <v>897.7</v>
      </c>
      <c r="D183">
        <v>1153</v>
      </c>
      <c r="E183">
        <v>1167</v>
      </c>
      <c r="F183">
        <v>0.76923736075407001</v>
      </c>
      <c r="G183">
        <v>0.79613417537208497</v>
      </c>
      <c r="H183">
        <v>3.2530542933937603E-2</v>
      </c>
      <c r="I183">
        <v>-0.826817267471879</v>
      </c>
      <c r="J183">
        <v>-3.5</v>
      </c>
      <c r="L183">
        <v>0.82866471830602262</v>
      </c>
      <c r="M183">
        <v>0.76360363243814733</v>
      </c>
      <c r="N183">
        <v>0.86119526123996015</v>
      </c>
      <c r="O183">
        <v>0.73107308950420979</v>
      </c>
    </row>
    <row r="184" spans="1:15" x14ac:dyDescent="0.2">
      <c r="A184" s="14">
        <v>43612</v>
      </c>
      <c r="B184">
        <v>873.4</v>
      </c>
      <c r="C184">
        <v>884.3</v>
      </c>
      <c r="D184">
        <v>1154</v>
      </c>
      <c r="E184">
        <v>1159</v>
      </c>
      <c r="F184">
        <v>0.76298533218291598</v>
      </c>
      <c r="G184">
        <v>0.796389926671904</v>
      </c>
      <c r="H184">
        <v>3.2393188771749903E-2</v>
      </c>
      <c r="I184">
        <v>-1.03122278959213</v>
      </c>
      <c r="J184">
        <v>-4.38</v>
      </c>
      <c r="L184">
        <v>0.82878311544365391</v>
      </c>
      <c r="M184">
        <v>0.7639967379001541</v>
      </c>
      <c r="N184">
        <v>0.86117630421540381</v>
      </c>
      <c r="O184">
        <v>0.7316035491284042</v>
      </c>
    </row>
    <row r="185" spans="1:15" x14ac:dyDescent="0.2">
      <c r="A185" s="14">
        <v>43609</v>
      </c>
      <c r="B185">
        <v>876</v>
      </c>
      <c r="C185">
        <v>880.4</v>
      </c>
      <c r="D185">
        <v>1145</v>
      </c>
      <c r="E185">
        <v>1143</v>
      </c>
      <c r="F185">
        <v>0.77025371828521405</v>
      </c>
      <c r="G185">
        <v>0.79669511476895705</v>
      </c>
      <c r="H185">
        <v>3.2184183271779902E-2</v>
      </c>
      <c r="I185">
        <v>-0.82156493643037598</v>
      </c>
      <c r="J185">
        <v>-3.43</v>
      </c>
      <c r="L185">
        <v>0.8288792980407369</v>
      </c>
      <c r="M185">
        <v>0.76451093149717719</v>
      </c>
      <c r="N185">
        <v>0.86106348131251687</v>
      </c>
      <c r="O185">
        <v>0.73232674822539723</v>
      </c>
    </row>
    <row r="186" spans="1:15" x14ac:dyDescent="0.2">
      <c r="A186" s="14">
        <v>43608</v>
      </c>
      <c r="B186">
        <v>895</v>
      </c>
      <c r="C186">
        <v>896.6</v>
      </c>
      <c r="D186">
        <v>1157</v>
      </c>
      <c r="E186">
        <v>1164</v>
      </c>
      <c r="F186">
        <v>0.77027491408934701</v>
      </c>
      <c r="G186">
        <v>0.79681312489331402</v>
      </c>
      <c r="H186">
        <v>3.2103138487014897E-2</v>
      </c>
      <c r="I186">
        <v>-0.82665471522982603</v>
      </c>
      <c r="J186">
        <v>-3.45</v>
      </c>
      <c r="L186">
        <v>0.82891626338032887</v>
      </c>
      <c r="M186">
        <v>0.76470998640629917</v>
      </c>
      <c r="N186">
        <v>0.86101940186734383</v>
      </c>
      <c r="O186">
        <v>0.73260684791928421</v>
      </c>
    </row>
    <row r="187" spans="1:15" x14ac:dyDescent="0.2">
      <c r="A187" s="14">
        <v>43607</v>
      </c>
      <c r="B187">
        <v>913.8</v>
      </c>
      <c r="C187">
        <v>904.6</v>
      </c>
      <c r="D187">
        <v>1165</v>
      </c>
      <c r="E187">
        <v>1159</v>
      </c>
      <c r="F187">
        <v>0.78050043140638403</v>
      </c>
      <c r="G187">
        <v>0.79697202988965998</v>
      </c>
      <c r="H187">
        <v>3.20007179790813E-2</v>
      </c>
      <c r="I187">
        <v>-0.51472590377637295</v>
      </c>
      <c r="J187">
        <v>-2.11</v>
      </c>
      <c r="L187">
        <v>0.82897274786874131</v>
      </c>
      <c r="M187">
        <v>0.76497131191057866</v>
      </c>
      <c r="N187">
        <v>0.86097346584782253</v>
      </c>
      <c r="O187">
        <v>0.73297059393149744</v>
      </c>
    </row>
    <row r="188" spans="1:15" x14ac:dyDescent="0.2">
      <c r="A188" s="14">
        <v>43606</v>
      </c>
      <c r="B188">
        <v>895.2</v>
      </c>
      <c r="C188">
        <v>913.7</v>
      </c>
      <c r="D188">
        <v>1147</v>
      </c>
      <c r="E188">
        <v>1165</v>
      </c>
      <c r="F188">
        <v>0.78429184549356201</v>
      </c>
      <c r="G188">
        <v>0.79701646695639905</v>
      </c>
      <c r="H188">
        <v>3.1980121582775703E-2</v>
      </c>
      <c r="I188">
        <v>-0.39789159118428702</v>
      </c>
      <c r="J188">
        <v>-1.62</v>
      </c>
      <c r="L188">
        <v>0.82899658853917479</v>
      </c>
      <c r="M188">
        <v>0.76503634537362331</v>
      </c>
      <c r="N188">
        <v>0.86097671012195043</v>
      </c>
      <c r="O188">
        <v>0.73305622379084767</v>
      </c>
    </row>
    <row r="189" spans="1:15" x14ac:dyDescent="0.2">
      <c r="A189" s="14">
        <v>43605</v>
      </c>
      <c r="B189">
        <v>901.1</v>
      </c>
      <c r="C189">
        <v>906</v>
      </c>
      <c r="D189">
        <v>1140</v>
      </c>
      <c r="E189">
        <v>1154</v>
      </c>
      <c r="F189">
        <v>0.78509532062391596</v>
      </c>
      <c r="G189">
        <v>0.79698081097727003</v>
      </c>
      <c r="H189">
        <v>3.1995775876488303E-2</v>
      </c>
      <c r="I189">
        <v>-0.37147060909646601</v>
      </c>
      <c r="J189">
        <v>-1.51</v>
      </c>
      <c r="L189">
        <v>0.8289765868537583</v>
      </c>
      <c r="M189">
        <v>0.76498503510078175</v>
      </c>
      <c r="N189">
        <v>0.86097236273024658</v>
      </c>
      <c r="O189">
        <v>0.73298925922429348</v>
      </c>
    </row>
    <row r="190" spans="1:15" x14ac:dyDescent="0.2">
      <c r="A190" s="14">
        <v>43602</v>
      </c>
      <c r="B190">
        <v>895.8</v>
      </c>
      <c r="C190">
        <v>899.5</v>
      </c>
      <c r="D190">
        <v>1098</v>
      </c>
      <c r="E190">
        <v>1137</v>
      </c>
      <c r="F190">
        <v>0.79111697449428298</v>
      </c>
      <c r="G190">
        <v>0.79692923207799204</v>
      </c>
      <c r="H190">
        <v>3.2018004673761501E-2</v>
      </c>
      <c r="I190">
        <v>-0.18153091183950601</v>
      </c>
      <c r="J190">
        <v>-0.73</v>
      </c>
      <c r="L190">
        <v>0.82894723675175352</v>
      </c>
      <c r="M190">
        <v>0.76491122740423056</v>
      </c>
      <c r="N190">
        <v>0.860965241425515</v>
      </c>
      <c r="O190">
        <v>0.73289322273046908</v>
      </c>
    </row>
    <row r="191" spans="1:15" x14ac:dyDescent="0.2">
      <c r="A191" s="14">
        <v>43601</v>
      </c>
      <c r="B191">
        <v>897.4</v>
      </c>
      <c r="C191">
        <v>889.8</v>
      </c>
      <c r="D191">
        <v>1120</v>
      </c>
      <c r="E191">
        <v>1087</v>
      </c>
      <c r="F191">
        <v>0.81858325666973297</v>
      </c>
      <c r="G191">
        <v>0.79684806573173605</v>
      </c>
      <c r="H191">
        <v>3.2040344144823603E-2</v>
      </c>
      <c r="I191">
        <v>0.67836945944627003</v>
      </c>
      <c r="J191">
        <v>2.66</v>
      </c>
      <c r="L191">
        <v>0.82888840987655965</v>
      </c>
      <c r="M191">
        <v>0.76480772158691246</v>
      </c>
      <c r="N191">
        <v>0.86092875402138325</v>
      </c>
      <c r="O191">
        <v>0.73276737744208886</v>
      </c>
    </row>
    <row r="192" spans="1:15" x14ac:dyDescent="0.2">
      <c r="A192" s="14">
        <v>43600</v>
      </c>
      <c r="B192">
        <v>892</v>
      </c>
      <c r="C192">
        <v>899.7</v>
      </c>
      <c r="D192">
        <v>1172</v>
      </c>
      <c r="E192">
        <v>1182</v>
      </c>
      <c r="F192">
        <v>0.76116751269035499</v>
      </c>
      <c r="G192">
        <v>0.79633305169606405</v>
      </c>
      <c r="H192">
        <v>3.19972423175824E-2</v>
      </c>
      <c r="I192">
        <v>-1.0990178046182799</v>
      </c>
      <c r="J192">
        <v>-4.62</v>
      </c>
      <c r="L192">
        <v>0.82833029401364644</v>
      </c>
      <c r="M192">
        <v>0.76433580937848167</v>
      </c>
      <c r="N192">
        <v>0.86032753633122883</v>
      </c>
      <c r="O192">
        <v>0.73233856706089928</v>
      </c>
    </row>
    <row r="193" spans="1:15" x14ac:dyDescent="0.2">
      <c r="A193" s="14">
        <v>43599</v>
      </c>
      <c r="B193">
        <v>871.9</v>
      </c>
      <c r="C193">
        <v>886.4</v>
      </c>
      <c r="D193">
        <v>1136</v>
      </c>
      <c r="E193">
        <v>1161</v>
      </c>
      <c r="F193">
        <v>0.76347975882859598</v>
      </c>
      <c r="G193">
        <v>0.79638164670990297</v>
      </c>
      <c r="H193">
        <v>3.1946526030198603E-2</v>
      </c>
      <c r="I193">
        <v>-1.0299050309947899</v>
      </c>
      <c r="J193">
        <v>-4.3099999999999996</v>
      </c>
      <c r="L193">
        <v>0.82832817274010162</v>
      </c>
      <c r="M193">
        <v>0.76443512067970432</v>
      </c>
      <c r="N193">
        <v>0.86027469877030016</v>
      </c>
      <c r="O193">
        <v>0.73248859464950578</v>
      </c>
    </row>
    <row r="194" spans="1:15" x14ac:dyDescent="0.2">
      <c r="A194" s="14">
        <v>43598</v>
      </c>
      <c r="B194">
        <v>908.5</v>
      </c>
      <c r="C194">
        <v>892</v>
      </c>
      <c r="D194">
        <v>1157</v>
      </c>
      <c r="E194">
        <v>1167</v>
      </c>
      <c r="F194">
        <v>0.76435304198800302</v>
      </c>
      <c r="G194">
        <v>0.79636481472007603</v>
      </c>
      <c r="H194">
        <v>3.1964184633080102E-2</v>
      </c>
      <c r="I194">
        <v>-1.00148879439719</v>
      </c>
      <c r="J194">
        <v>-4.1900000000000004</v>
      </c>
      <c r="L194">
        <v>0.82832899935315618</v>
      </c>
      <c r="M194">
        <v>0.76440063008699588</v>
      </c>
      <c r="N194">
        <v>0.86029318398623622</v>
      </c>
      <c r="O194">
        <v>0.73243644545391584</v>
      </c>
    </row>
    <row r="195" spans="1:15" x14ac:dyDescent="0.2">
      <c r="A195" s="14">
        <v>43595</v>
      </c>
      <c r="B195">
        <v>950</v>
      </c>
      <c r="C195">
        <v>915.7</v>
      </c>
      <c r="D195">
        <v>1177</v>
      </c>
      <c r="E195">
        <v>1170</v>
      </c>
      <c r="F195">
        <v>0.78264957264957202</v>
      </c>
      <c r="G195">
        <v>0.79643853655591601</v>
      </c>
      <c r="H195">
        <v>3.1896572687687398E-2</v>
      </c>
      <c r="I195">
        <v>-0.432302368074369</v>
      </c>
      <c r="J195">
        <v>-1.76</v>
      </c>
      <c r="L195">
        <v>0.82833510924360343</v>
      </c>
      <c r="M195">
        <v>0.76454196386822859</v>
      </c>
      <c r="N195">
        <v>0.86023168193129085</v>
      </c>
      <c r="O195">
        <v>0.73264539118054117</v>
      </c>
    </row>
    <row r="196" spans="1:15" x14ac:dyDescent="0.2">
      <c r="A196" s="14">
        <v>43594</v>
      </c>
      <c r="B196">
        <v>978.8</v>
      </c>
      <c r="C196">
        <v>979.4</v>
      </c>
      <c r="D196">
        <v>1177</v>
      </c>
      <c r="E196">
        <v>1192</v>
      </c>
      <c r="F196">
        <v>0.82164429530201299</v>
      </c>
      <c r="G196">
        <v>0.79616402763403804</v>
      </c>
      <c r="H196">
        <v>3.2101993978855603E-2</v>
      </c>
      <c r="I196">
        <v>0.79372850436509901</v>
      </c>
      <c r="J196">
        <v>3.1</v>
      </c>
      <c r="L196">
        <v>0.82826602161289364</v>
      </c>
      <c r="M196">
        <v>0.76406203365518244</v>
      </c>
      <c r="N196">
        <v>0.86036801559174925</v>
      </c>
      <c r="O196">
        <v>0.73196003967632683</v>
      </c>
    </row>
    <row r="197" spans="1:15" x14ac:dyDescent="0.2">
      <c r="A197" s="14">
        <v>43593</v>
      </c>
      <c r="B197">
        <v>990</v>
      </c>
      <c r="C197">
        <v>980.5</v>
      </c>
      <c r="D197">
        <v>1180</v>
      </c>
      <c r="E197">
        <v>1188</v>
      </c>
      <c r="F197">
        <v>0.82533670033670004</v>
      </c>
      <c r="G197">
        <v>0.79580986325951997</v>
      </c>
      <c r="H197">
        <v>3.1965162430453498E-2</v>
      </c>
      <c r="I197">
        <v>0.92371928787853397</v>
      </c>
      <c r="J197">
        <v>3.58</v>
      </c>
      <c r="L197">
        <v>0.82777502568997341</v>
      </c>
      <c r="M197">
        <v>0.76384470082906653</v>
      </c>
      <c r="N197">
        <v>0.85974018812042696</v>
      </c>
      <c r="O197">
        <v>0.73187953839861297</v>
      </c>
    </row>
    <row r="198" spans="1:15" x14ac:dyDescent="0.2">
      <c r="A198" s="14">
        <v>43592</v>
      </c>
      <c r="B198">
        <v>1020</v>
      </c>
      <c r="C198">
        <v>1001.5</v>
      </c>
      <c r="D198">
        <v>1221</v>
      </c>
      <c r="E198">
        <v>1196</v>
      </c>
      <c r="F198">
        <v>0.83737458193979897</v>
      </c>
      <c r="G198">
        <v>0.795218597062193</v>
      </c>
      <c r="H198">
        <v>3.1823344432057199E-2</v>
      </c>
      <c r="I198">
        <v>1.32468744658842</v>
      </c>
      <c r="J198">
        <v>5.03</v>
      </c>
      <c r="L198">
        <v>0.82704194149425025</v>
      </c>
      <c r="M198">
        <v>0.76339525263013575</v>
      </c>
      <c r="N198">
        <v>0.8588652859263074</v>
      </c>
      <c r="O198">
        <v>0.7315719081980786</v>
      </c>
    </row>
    <row r="199" spans="1:15" x14ac:dyDescent="0.2">
      <c r="A199" s="14">
        <v>43581</v>
      </c>
      <c r="B199">
        <v>1014.5</v>
      </c>
      <c r="C199">
        <v>1021</v>
      </c>
      <c r="D199">
        <v>1206</v>
      </c>
      <c r="E199">
        <v>1197</v>
      </c>
      <c r="F199">
        <v>0.85296574770258904</v>
      </c>
      <c r="G199">
        <v>0.79449838024752395</v>
      </c>
      <c r="H199">
        <v>3.1470415627944198E-2</v>
      </c>
      <c r="I199">
        <v>1.8578517724802299</v>
      </c>
      <c r="J199">
        <v>6.85</v>
      </c>
      <c r="L199">
        <v>0.82596879587546812</v>
      </c>
      <c r="M199">
        <v>0.76302796461957978</v>
      </c>
      <c r="N199">
        <v>0.8574392115034124</v>
      </c>
      <c r="O199">
        <v>0.7315575489916355</v>
      </c>
    </row>
    <row r="200" spans="1:15" x14ac:dyDescent="0.2">
      <c r="A200" s="14">
        <v>43580</v>
      </c>
      <c r="B200">
        <v>1017</v>
      </c>
      <c r="C200">
        <v>1023.5</v>
      </c>
      <c r="D200">
        <v>1214</v>
      </c>
      <c r="E200">
        <v>1218</v>
      </c>
      <c r="F200">
        <v>0.840311986863711</v>
      </c>
      <c r="G200">
        <v>0.793352776338762</v>
      </c>
      <c r="H200">
        <v>3.0879514014625999E-2</v>
      </c>
      <c r="I200">
        <v>1.52072375564934</v>
      </c>
      <c r="J200">
        <v>5.59</v>
      </c>
      <c r="L200">
        <v>0.82423229035338796</v>
      </c>
      <c r="M200">
        <v>0.76247326232413604</v>
      </c>
      <c r="N200">
        <v>0.85511180436801404</v>
      </c>
      <c r="O200">
        <v>0.73159374830950996</v>
      </c>
    </row>
    <row r="201" spans="1:15" x14ac:dyDescent="0.2">
      <c r="A201" s="14">
        <v>43579</v>
      </c>
      <c r="B201">
        <v>1025</v>
      </c>
      <c r="C201">
        <v>1016.5</v>
      </c>
      <c r="D201">
        <v>1223</v>
      </c>
      <c r="E201">
        <v>1200</v>
      </c>
      <c r="F201">
        <v>0.84708333333333297</v>
      </c>
      <c r="G201">
        <v>0.79243023453746597</v>
      </c>
      <c r="H201">
        <v>3.0493948353886201E-2</v>
      </c>
      <c r="I201">
        <v>1.7922604892489</v>
      </c>
      <c r="J201">
        <v>6.45</v>
      </c>
      <c r="L201">
        <v>0.82292418289135216</v>
      </c>
      <c r="M201">
        <v>0.76193628618357978</v>
      </c>
      <c r="N201">
        <v>0.85341813124523835</v>
      </c>
      <c r="O201">
        <v>0.73144233782969359</v>
      </c>
    </row>
    <row r="202" spans="1:15" x14ac:dyDescent="0.2">
      <c r="A202" s="14">
        <v>43578</v>
      </c>
      <c r="B202">
        <v>1024</v>
      </c>
      <c r="C202">
        <v>1021</v>
      </c>
      <c r="D202">
        <v>1215</v>
      </c>
      <c r="E202">
        <v>1225</v>
      </c>
      <c r="F202">
        <v>0.83346938775510204</v>
      </c>
      <c r="G202">
        <v>0.79135872513712702</v>
      </c>
      <c r="H202">
        <v>2.99619769909414E-2</v>
      </c>
      <c r="I202">
        <v>1.40547009400301</v>
      </c>
      <c r="J202">
        <v>5.05</v>
      </c>
      <c r="L202">
        <v>0.8213207021280684</v>
      </c>
      <c r="M202">
        <v>0.76139674814618563</v>
      </c>
      <c r="N202">
        <v>0.85128267911900979</v>
      </c>
      <c r="O202">
        <v>0.73143477115524425</v>
      </c>
    </row>
    <row r="203" spans="1:15" x14ac:dyDescent="0.2">
      <c r="A203" s="14">
        <v>43577</v>
      </c>
      <c r="B203">
        <v>1028</v>
      </c>
      <c r="C203">
        <v>1029</v>
      </c>
      <c r="D203">
        <v>1227</v>
      </c>
      <c r="E203">
        <v>1212</v>
      </c>
      <c r="F203">
        <v>0.84900990099009899</v>
      </c>
      <c r="G203">
        <v>0.79057261779348598</v>
      </c>
      <c r="H203">
        <v>2.9618279066655699E-2</v>
      </c>
      <c r="I203">
        <v>1.9730141331000299</v>
      </c>
      <c r="J203">
        <v>6.88</v>
      </c>
      <c r="L203">
        <v>0.82019089686014168</v>
      </c>
      <c r="M203">
        <v>0.76095433872683027</v>
      </c>
      <c r="N203">
        <v>0.84980917592679739</v>
      </c>
      <c r="O203">
        <v>0.73133605966017456</v>
      </c>
    </row>
    <row r="204" spans="1:15" x14ac:dyDescent="0.2">
      <c r="A204" s="14">
        <v>43574</v>
      </c>
      <c r="B204">
        <v>1030</v>
      </c>
      <c r="C204">
        <v>1031</v>
      </c>
      <c r="D204">
        <v>1250</v>
      </c>
      <c r="E204">
        <v>1228</v>
      </c>
      <c r="F204">
        <v>0.83957654723126995</v>
      </c>
      <c r="G204">
        <v>0.78953953726234405</v>
      </c>
      <c r="H204">
        <v>2.89046452001545E-2</v>
      </c>
      <c r="I204">
        <v>1.7311061811150801</v>
      </c>
      <c r="J204">
        <v>5.96</v>
      </c>
      <c r="L204">
        <v>0.8184441824624985</v>
      </c>
      <c r="M204">
        <v>0.76063489206218959</v>
      </c>
      <c r="N204">
        <v>0.84734882766265307</v>
      </c>
      <c r="O204">
        <v>0.73173024686203503</v>
      </c>
    </row>
    <row r="205" spans="1:15" x14ac:dyDescent="0.2">
      <c r="A205" s="14">
        <v>43573</v>
      </c>
      <c r="B205">
        <v>1028</v>
      </c>
      <c r="C205">
        <v>1020.5</v>
      </c>
      <c r="D205">
        <v>1264</v>
      </c>
      <c r="E205">
        <v>1244</v>
      </c>
      <c r="F205">
        <v>0.82033762057877802</v>
      </c>
      <c r="G205">
        <v>0.78848024542783901</v>
      </c>
      <c r="H205">
        <v>2.8504495471566402E-2</v>
      </c>
      <c r="I205">
        <v>1.1176263471393899</v>
      </c>
      <c r="J205">
        <v>3.88</v>
      </c>
      <c r="L205">
        <v>0.81698474089940543</v>
      </c>
      <c r="M205">
        <v>0.75997574995627259</v>
      </c>
      <c r="N205">
        <v>0.84548923637097184</v>
      </c>
      <c r="O205">
        <v>0.73147125448470618</v>
      </c>
    </row>
    <row r="206" spans="1:15" x14ac:dyDescent="0.2">
      <c r="A206" s="14">
        <v>43572</v>
      </c>
      <c r="B206">
        <v>1029</v>
      </c>
      <c r="C206">
        <v>1026.5</v>
      </c>
      <c r="D206">
        <v>1231</v>
      </c>
      <c r="E206">
        <v>1249</v>
      </c>
      <c r="F206">
        <v>0.82185748598879105</v>
      </c>
      <c r="G206">
        <v>0.78735574382012197</v>
      </c>
      <c r="H206">
        <v>2.8886540274060301E-2</v>
      </c>
      <c r="I206">
        <v>1.1943881766848401</v>
      </c>
      <c r="J206">
        <v>4.2</v>
      </c>
      <c r="L206">
        <v>0.81624228409418231</v>
      </c>
      <c r="M206">
        <v>0.75846920354606162</v>
      </c>
      <c r="N206">
        <v>0.84512882436824255</v>
      </c>
      <c r="O206">
        <v>0.72958266327200139</v>
      </c>
    </row>
    <row r="207" spans="1:15" x14ac:dyDescent="0.2">
      <c r="A207" s="14">
        <v>43571</v>
      </c>
      <c r="B207">
        <v>1015.5</v>
      </c>
      <c r="C207">
        <v>1026</v>
      </c>
      <c r="D207">
        <v>1229</v>
      </c>
      <c r="E207">
        <v>1224</v>
      </c>
      <c r="F207">
        <v>0.83823529411764697</v>
      </c>
      <c r="G207">
        <v>0.78620831872999997</v>
      </c>
      <c r="H207">
        <v>2.9200738359519699E-2</v>
      </c>
      <c r="I207">
        <v>1.78170067986261</v>
      </c>
      <c r="J207">
        <v>6.21</v>
      </c>
      <c r="L207">
        <v>0.81540905708951972</v>
      </c>
      <c r="M207">
        <v>0.75700758037048022</v>
      </c>
      <c r="N207">
        <v>0.84460979544903936</v>
      </c>
      <c r="O207">
        <v>0.72780684201096058</v>
      </c>
    </row>
    <row r="208" spans="1:15" x14ac:dyDescent="0.2">
      <c r="A208" s="14">
        <v>43570</v>
      </c>
      <c r="B208">
        <v>1026.5</v>
      </c>
      <c r="C208">
        <v>1020.5</v>
      </c>
      <c r="D208">
        <v>1217</v>
      </c>
      <c r="E208">
        <v>1233</v>
      </c>
      <c r="F208">
        <v>0.82765612327656102</v>
      </c>
      <c r="G208">
        <v>0.78477207635249502</v>
      </c>
      <c r="H208">
        <v>2.9255478930354701E-2</v>
      </c>
      <c r="I208">
        <v>1.4658466889622499</v>
      </c>
      <c r="J208">
        <v>5.18</v>
      </c>
      <c r="L208">
        <v>0.81402755528284976</v>
      </c>
      <c r="M208">
        <v>0.75551659742214028</v>
      </c>
      <c r="N208">
        <v>0.84328303421320439</v>
      </c>
      <c r="O208">
        <v>0.72626111849178565</v>
      </c>
    </row>
    <row r="209" spans="1:15" x14ac:dyDescent="0.2">
      <c r="A209" s="14">
        <v>43567</v>
      </c>
      <c r="B209">
        <v>993.8</v>
      </c>
      <c r="C209">
        <v>1015</v>
      </c>
      <c r="D209">
        <v>1192</v>
      </c>
      <c r="E209">
        <v>1189</v>
      </c>
      <c r="F209">
        <v>0.85365853658536495</v>
      </c>
      <c r="G209">
        <v>0.783635935210096</v>
      </c>
      <c r="H209">
        <v>2.9222573856213699E-2</v>
      </c>
      <c r="I209">
        <v>2.3961818599486402</v>
      </c>
      <c r="J209">
        <v>8.1999999999999993</v>
      </c>
      <c r="L209">
        <v>0.81285850906630974</v>
      </c>
      <c r="M209">
        <v>0.75441336135388226</v>
      </c>
      <c r="N209">
        <v>0.84208108292252337</v>
      </c>
      <c r="O209">
        <v>0.72519078749766863</v>
      </c>
    </row>
    <row r="210" spans="1:15" x14ac:dyDescent="0.2">
      <c r="A210" s="14">
        <v>43566</v>
      </c>
      <c r="B210">
        <v>981.2</v>
      </c>
      <c r="C210">
        <v>987.8</v>
      </c>
      <c r="D210">
        <v>1191</v>
      </c>
      <c r="E210">
        <v>1172</v>
      </c>
      <c r="F210">
        <v>0.84283276450511901</v>
      </c>
      <c r="G210">
        <v>0.78228199040304303</v>
      </c>
      <c r="H210">
        <v>2.8284265445040601E-2</v>
      </c>
      <c r="I210">
        <v>2.1407935878601099</v>
      </c>
      <c r="J210">
        <v>7.18</v>
      </c>
      <c r="L210">
        <v>0.81056625584808362</v>
      </c>
      <c r="M210">
        <v>0.75399772495800244</v>
      </c>
      <c r="N210">
        <v>0.83885052129312421</v>
      </c>
      <c r="O210">
        <v>0.72571345951296184</v>
      </c>
    </row>
    <row r="211" spans="1:15" x14ac:dyDescent="0.2">
      <c r="A211" s="14">
        <v>43565</v>
      </c>
      <c r="B211">
        <v>987.6</v>
      </c>
      <c r="C211">
        <v>990.3</v>
      </c>
      <c r="D211">
        <v>1188</v>
      </c>
      <c r="E211">
        <v>1205</v>
      </c>
      <c r="F211">
        <v>0.82182572614107796</v>
      </c>
      <c r="G211">
        <v>0.78102585473673003</v>
      </c>
      <c r="H211">
        <v>2.7652171378069201E-2</v>
      </c>
      <c r="I211">
        <v>1.4754671829029</v>
      </c>
      <c r="J211">
        <v>4.96</v>
      </c>
      <c r="L211">
        <v>0.80867802611479922</v>
      </c>
      <c r="M211">
        <v>0.75337368335866084</v>
      </c>
      <c r="N211">
        <v>0.83633019749286841</v>
      </c>
      <c r="O211">
        <v>0.72572151198059165</v>
      </c>
    </row>
    <row r="212" spans="1:15" x14ac:dyDescent="0.2">
      <c r="A212" s="14">
        <v>43564</v>
      </c>
      <c r="B212">
        <v>980.2</v>
      </c>
      <c r="C212">
        <v>994.2</v>
      </c>
      <c r="D212">
        <v>1196</v>
      </c>
      <c r="E212">
        <v>1209</v>
      </c>
      <c r="F212">
        <v>0.82233250620347398</v>
      </c>
      <c r="G212">
        <v>0.78012576880513695</v>
      </c>
      <c r="H212">
        <v>2.7407065658932198E-2</v>
      </c>
      <c r="I212">
        <v>1.5399947562274201</v>
      </c>
      <c r="J212">
        <v>5.13</v>
      </c>
      <c r="L212">
        <v>0.8075328344640692</v>
      </c>
      <c r="M212">
        <v>0.7527187031462047</v>
      </c>
      <c r="N212">
        <v>0.83493990012300134</v>
      </c>
      <c r="O212">
        <v>0.72531163748727256</v>
      </c>
    </row>
    <row r="213" spans="1:15" x14ac:dyDescent="0.2">
      <c r="A213" s="14">
        <v>43563</v>
      </c>
      <c r="B213">
        <v>995</v>
      </c>
      <c r="C213">
        <v>978.7</v>
      </c>
      <c r="D213">
        <v>1210</v>
      </c>
      <c r="E213">
        <v>1191</v>
      </c>
      <c r="F213">
        <v>0.82174643157010896</v>
      </c>
      <c r="G213">
        <v>0.77908245326152703</v>
      </c>
      <c r="H213">
        <v>2.7269523274699E-2</v>
      </c>
      <c r="I213">
        <v>1.56452967214743</v>
      </c>
      <c r="J213">
        <v>5.19</v>
      </c>
      <c r="L213">
        <v>0.80635197653622603</v>
      </c>
      <c r="M213">
        <v>0.75181292998682803</v>
      </c>
      <c r="N213">
        <v>0.83362149981092504</v>
      </c>
      <c r="O213">
        <v>0.72454340671212902</v>
      </c>
    </row>
    <row r="214" spans="1:15" x14ac:dyDescent="0.2">
      <c r="A214" s="14">
        <v>43560</v>
      </c>
      <c r="B214">
        <v>979.9</v>
      </c>
      <c r="C214">
        <v>991.3</v>
      </c>
      <c r="D214">
        <v>1180</v>
      </c>
      <c r="E214">
        <v>1211</v>
      </c>
      <c r="F214">
        <v>0.81857968620974397</v>
      </c>
      <c r="G214">
        <v>0.77793135203914499</v>
      </c>
      <c r="H214">
        <v>2.7266431784384901E-2</v>
      </c>
      <c r="I214">
        <v>1.49078304385531</v>
      </c>
      <c r="J214">
        <v>4.97</v>
      </c>
      <c r="L214">
        <v>0.80519778382352991</v>
      </c>
      <c r="M214">
        <v>0.75066492025476006</v>
      </c>
      <c r="N214">
        <v>0.83246421560791484</v>
      </c>
      <c r="O214">
        <v>0.72339848847037513</v>
      </c>
    </row>
    <row r="215" spans="1:15" x14ac:dyDescent="0.2">
      <c r="A215" s="14">
        <v>43559</v>
      </c>
      <c r="B215">
        <v>988</v>
      </c>
      <c r="C215">
        <v>983.7</v>
      </c>
      <c r="D215">
        <v>1200</v>
      </c>
      <c r="E215">
        <v>1184</v>
      </c>
      <c r="F215">
        <v>0.83082770270270201</v>
      </c>
      <c r="G215">
        <v>0.77666342086948004</v>
      </c>
      <c r="H215">
        <v>2.7556229456284699E-2</v>
      </c>
      <c r="I215">
        <v>1.96559118943137</v>
      </c>
      <c r="J215">
        <v>6.52</v>
      </c>
      <c r="L215">
        <v>0.8042196503257647</v>
      </c>
      <c r="M215">
        <v>0.74910719141319537</v>
      </c>
      <c r="N215">
        <v>0.83177587978204948</v>
      </c>
      <c r="O215">
        <v>0.7215509619569106</v>
      </c>
    </row>
    <row r="216" spans="1:15" x14ac:dyDescent="0.2">
      <c r="A216" s="14">
        <v>43558</v>
      </c>
      <c r="B216">
        <v>993.8</v>
      </c>
      <c r="C216">
        <v>991.5</v>
      </c>
      <c r="D216">
        <v>1215</v>
      </c>
      <c r="E216">
        <v>1201</v>
      </c>
      <c r="F216">
        <v>0.82556203164029895</v>
      </c>
      <c r="G216">
        <v>0.77527781990707101</v>
      </c>
      <c r="H216">
        <v>2.74101711372777E-2</v>
      </c>
      <c r="I216">
        <v>1.8345092221931201</v>
      </c>
      <c r="J216">
        <v>6.09</v>
      </c>
      <c r="L216">
        <v>0.80268799104434874</v>
      </c>
      <c r="M216">
        <v>0.74786764876979328</v>
      </c>
      <c r="N216">
        <v>0.83009816218162635</v>
      </c>
      <c r="O216">
        <v>0.72045747763251566</v>
      </c>
    </row>
    <row r="217" spans="1:15" x14ac:dyDescent="0.2">
      <c r="A217" s="14">
        <v>43557</v>
      </c>
      <c r="B217">
        <v>999</v>
      </c>
      <c r="C217">
        <v>987.6</v>
      </c>
      <c r="D217">
        <v>1200</v>
      </c>
      <c r="E217">
        <v>1200</v>
      </c>
      <c r="F217">
        <v>0.82299999999999995</v>
      </c>
      <c r="G217">
        <v>0.77396411442833302</v>
      </c>
      <c r="H217">
        <v>2.73296730159561E-2</v>
      </c>
      <c r="I217" s="15">
        <v>1.7942360870193199</v>
      </c>
      <c r="J217">
        <v>5.96</v>
      </c>
      <c r="L217">
        <v>0.80129378744428914</v>
      </c>
      <c r="M217">
        <v>0.74663444141237689</v>
      </c>
      <c r="N217">
        <v>0.82862346046024526</v>
      </c>
      <c r="O217">
        <v>0.71930476839642077</v>
      </c>
    </row>
    <row r="218" spans="1:15" x14ac:dyDescent="0.2">
      <c r="A218" s="14">
        <v>43556</v>
      </c>
      <c r="B218">
        <v>964.1</v>
      </c>
      <c r="C218">
        <v>974.7</v>
      </c>
      <c r="D218">
        <v>1178</v>
      </c>
      <c r="E218">
        <v>1177</v>
      </c>
      <c r="F218">
        <v>0.82812234494477399</v>
      </c>
      <c r="G218">
        <v>0.77275144253973405</v>
      </c>
      <c r="H218">
        <v>2.7144144070570701E-2</v>
      </c>
      <c r="I218">
        <v>2.0398838976496898</v>
      </c>
      <c r="J218">
        <v>6.69</v>
      </c>
      <c r="L218">
        <v>0.7998955866103048</v>
      </c>
      <c r="M218">
        <v>0.74560729846916329</v>
      </c>
      <c r="N218">
        <v>0.82703973068087544</v>
      </c>
      <c r="O218">
        <v>0.71846315439859265</v>
      </c>
    </row>
    <row r="219" spans="1:15" x14ac:dyDescent="0.2">
      <c r="A219" s="14">
        <v>43553</v>
      </c>
      <c r="B219">
        <v>963.5</v>
      </c>
      <c r="C219">
        <v>954.2</v>
      </c>
      <c r="D219">
        <v>1172</v>
      </c>
      <c r="E219">
        <v>1164</v>
      </c>
      <c r="F219">
        <v>0.81975945017182095</v>
      </c>
      <c r="G219">
        <v>0.77154762604119598</v>
      </c>
      <c r="H219">
        <v>2.6659531759108599E-2</v>
      </c>
      <c r="I219">
        <v>1.80842726594973</v>
      </c>
      <c r="J219">
        <v>5.88</v>
      </c>
      <c r="L219">
        <v>0.7982071578003046</v>
      </c>
      <c r="M219">
        <v>0.74488809428208735</v>
      </c>
      <c r="N219">
        <v>0.82486668955941322</v>
      </c>
      <c r="O219">
        <v>0.71822856252297873</v>
      </c>
    </row>
    <row r="220" spans="1:15" x14ac:dyDescent="0.2">
      <c r="A220" s="14">
        <v>43552</v>
      </c>
      <c r="B220">
        <v>955.1</v>
      </c>
      <c r="C220">
        <v>948.5</v>
      </c>
      <c r="D220">
        <v>1162</v>
      </c>
      <c r="E220">
        <v>1162</v>
      </c>
      <c r="F220">
        <v>0.81626506024096301</v>
      </c>
      <c r="G220">
        <v>0.77030232575378699</v>
      </c>
      <c r="H220">
        <v>2.65595825334831E-2</v>
      </c>
      <c r="I220">
        <v>1.7305518424181501</v>
      </c>
      <c r="J220">
        <v>5.63</v>
      </c>
      <c r="L220">
        <v>0.7968619082872701</v>
      </c>
      <c r="M220">
        <v>0.74374274322030387</v>
      </c>
      <c r="N220">
        <v>0.82342149082075322</v>
      </c>
      <c r="O220">
        <v>0.71718316068682075</v>
      </c>
    </row>
    <row r="221" spans="1:15" x14ac:dyDescent="0.2">
      <c r="A221" s="14">
        <v>43551</v>
      </c>
      <c r="B221">
        <v>969.8</v>
      </c>
      <c r="C221">
        <v>965.9</v>
      </c>
      <c r="D221">
        <v>1155</v>
      </c>
      <c r="E221">
        <v>1170</v>
      </c>
      <c r="F221">
        <v>0.82555555555555504</v>
      </c>
      <c r="G221">
        <v>0.76896333010978402</v>
      </c>
      <c r="H221">
        <v>2.6739463580783801E-2</v>
      </c>
      <c r="I221">
        <v>2.1164308429298702</v>
      </c>
      <c r="J221">
        <v>6.86</v>
      </c>
      <c r="L221">
        <v>0.79570279369056784</v>
      </c>
      <c r="M221">
        <v>0.74222386652900019</v>
      </c>
      <c r="N221">
        <v>0.82244225727135167</v>
      </c>
      <c r="O221">
        <v>0.71548440294821636</v>
      </c>
    </row>
    <row r="222" spans="1:15" x14ac:dyDescent="0.2">
      <c r="A222" s="14">
        <v>43550</v>
      </c>
      <c r="B222">
        <v>948.5</v>
      </c>
      <c r="C222">
        <v>978.6</v>
      </c>
      <c r="D222">
        <v>1141</v>
      </c>
      <c r="E222">
        <v>1166</v>
      </c>
      <c r="F222">
        <v>0.83927958833619198</v>
      </c>
      <c r="G222">
        <v>0.76758187847836301</v>
      </c>
      <c r="H222">
        <v>2.6454910799115199E-2</v>
      </c>
      <c r="I222">
        <v>2.7101852809961402</v>
      </c>
      <c r="J222">
        <v>8.5399999999999991</v>
      </c>
      <c r="L222">
        <v>0.79403678927747823</v>
      </c>
      <c r="M222">
        <v>0.74112696767924779</v>
      </c>
      <c r="N222">
        <v>0.82049170007659344</v>
      </c>
      <c r="O222">
        <v>0.71467205688013258</v>
      </c>
    </row>
    <row r="223" spans="1:15" x14ac:dyDescent="0.2">
      <c r="A223" s="14">
        <v>43549</v>
      </c>
      <c r="B223">
        <v>944.9</v>
      </c>
      <c r="C223">
        <v>940.1</v>
      </c>
      <c r="D223">
        <v>1141</v>
      </c>
      <c r="E223">
        <v>1140</v>
      </c>
      <c r="F223">
        <v>0.82464912280701697</v>
      </c>
      <c r="G223">
        <v>0.76592880660756002</v>
      </c>
      <c r="H223">
        <v>2.57882767900115E-2</v>
      </c>
      <c r="I223">
        <v>2.2770158967039298</v>
      </c>
      <c r="J223">
        <v>7.12</v>
      </c>
      <c r="L223">
        <v>0.79171708339757152</v>
      </c>
      <c r="M223">
        <v>0.74014052981754852</v>
      </c>
      <c r="N223">
        <v>0.81750536018758302</v>
      </c>
      <c r="O223">
        <v>0.71435225302753702</v>
      </c>
    </row>
    <row r="224" spans="1:15" x14ac:dyDescent="0.2">
      <c r="A224" s="14">
        <v>43546</v>
      </c>
      <c r="B224">
        <v>954.9</v>
      </c>
      <c r="C224">
        <v>958.1</v>
      </c>
      <c r="D224">
        <v>1178</v>
      </c>
      <c r="E224">
        <v>1171</v>
      </c>
      <c r="F224">
        <v>0.81818958155422705</v>
      </c>
      <c r="G224">
        <v>0.76425477011069498</v>
      </c>
      <c r="H224">
        <v>2.5996399389480399E-2</v>
      </c>
      <c r="I224">
        <v>2.0747031400570202</v>
      </c>
      <c r="J224">
        <v>6.59</v>
      </c>
      <c r="L224">
        <v>0.79025116950017538</v>
      </c>
      <c r="M224">
        <v>0.73825837072121459</v>
      </c>
      <c r="N224">
        <v>0.81624756888965577</v>
      </c>
      <c r="O224">
        <v>0.71226197133173419</v>
      </c>
    </row>
    <row r="225" spans="1:15" x14ac:dyDescent="0.2">
      <c r="A225" s="14">
        <v>43544</v>
      </c>
      <c r="B225">
        <v>961</v>
      </c>
      <c r="C225">
        <v>950.8</v>
      </c>
      <c r="D225">
        <v>1168</v>
      </c>
      <c r="E225">
        <v>1183</v>
      </c>
      <c r="F225">
        <v>0.80371935756551105</v>
      </c>
      <c r="G225">
        <v>0.76251624876689506</v>
      </c>
      <c r="H225">
        <v>2.6682221004468799E-2</v>
      </c>
      <c r="I225">
        <v>1.5442158578820999</v>
      </c>
      <c r="J225">
        <v>5.13</v>
      </c>
      <c r="L225">
        <v>0.78919846977136388</v>
      </c>
      <c r="M225">
        <v>0.73583402776242623</v>
      </c>
      <c r="N225">
        <v>0.8158806907758327</v>
      </c>
      <c r="O225">
        <v>0.70915180675795741</v>
      </c>
    </row>
    <row r="226" spans="1:15" x14ac:dyDescent="0.2">
      <c r="A226" s="14">
        <v>43543</v>
      </c>
      <c r="B226">
        <v>966.6</v>
      </c>
      <c r="C226">
        <v>962.5</v>
      </c>
      <c r="D226">
        <v>1174</v>
      </c>
      <c r="E226">
        <v>1177</v>
      </c>
      <c r="F226">
        <v>0.81775700934579398</v>
      </c>
      <c r="G226">
        <v>0.76091246510364996</v>
      </c>
      <c r="H226">
        <v>2.77509676056087E-2</v>
      </c>
      <c r="I226">
        <v>2.0483806204528698</v>
      </c>
      <c r="J226">
        <v>6.95</v>
      </c>
      <c r="L226">
        <v>0.78866343270925865</v>
      </c>
      <c r="M226">
        <v>0.73316149749804127</v>
      </c>
      <c r="N226">
        <v>0.81641440031486734</v>
      </c>
      <c r="O226">
        <v>0.70541052989243258</v>
      </c>
    </row>
    <row r="227" spans="1:15" x14ac:dyDescent="0.2">
      <c r="A227" s="14">
        <v>43542</v>
      </c>
      <c r="B227">
        <v>968.1</v>
      </c>
      <c r="C227">
        <v>969.7</v>
      </c>
      <c r="D227">
        <v>1180</v>
      </c>
      <c r="E227">
        <v>1179</v>
      </c>
      <c r="F227">
        <v>0.82247667514843004</v>
      </c>
      <c r="G227">
        <v>0.75906132589407105</v>
      </c>
      <c r="H227">
        <v>2.8517343587238599E-2</v>
      </c>
      <c r="I227">
        <v>2.2237467196186098</v>
      </c>
      <c r="J227">
        <v>7.71</v>
      </c>
      <c r="L227">
        <v>0.78757866948130961</v>
      </c>
      <c r="M227">
        <v>0.73054398230683248</v>
      </c>
      <c r="N227">
        <v>0.81609601306854829</v>
      </c>
      <c r="O227">
        <v>0.70202663871959381</v>
      </c>
    </row>
    <row r="228" spans="1:15" x14ac:dyDescent="0.2">
      <c r="A228" s="14">
        <v>43539</v>
      </c>
      <c r="B228">
        <v>960.4</v>
      </c>
      <c r="C228">
        <v>962.6</v>
      </c>
      <c r="D228">
        <v>1199</v>
      </c>
      <c r="E228">
        <v>1173</v>
      </c>
      <c r="F228">
        <v>0.82063086104006799</v>
      </c>
      <c r="G228">
        <v>0.75707481139830302</v>
      </c>
      <c r="H228">
        <v>2.9211463716785801E-2</v>
      </c>
      <c r="I228">
        <v>2.17572286886957</v>
      </c>
      <c r="J228">
        <v>7.74</v>
      </c>
      <c r="L228">
        <v>0.78628627511508886</v>
      </c>
      <c r="M228">
        <v>0.72786334768151717</v>
      </c>
      <c r="N228">
        <v>0.8154977388318746</v>
      </c>
      <c r="O228">
        <v>0.69865188396473143</v>
      </c>
    </row>
    <row r="229" spans="1:15" x14ac:dyDescent="0.2">
      <c r="A229" s="14">
        <v>43538</v>
      </c>
      <c r="B229">
        <v>978.7</v>
      </c>
      <c r="C229">
        <v>963.3</v>
      </c>
      <c r="D229">
        <v>1207</v>
      </c>
      <c r="E229">
        <v>1197</v>
      </c>
      <c r="F229">
        <v>0.80476190476190401</v>
      </c>
      <c r="G229">
        <v>0.75498205920362604</v>
      </c>
      <c r="H229">
        <v>3.0189182783037598E-2</v>
      </c>
      <c r="I229">
        <v>1.64892988048184</v>
      </c>
      <c r="J229">
        <v>6.19</v>
      </c>
      <c r="L229">
        <v>0.78517124198666366</v>
      </c>
      <c r="M229">
        <v>0.72479287642058843</v>
      </c>
      <c r="N229">
        <v>0.81536042476970128</v>
      </c>
      <c r="O229">
        <v>0.69460369363755081</v>
      </c>
    </row>
    <row r="230" spans="1:15" x14ac:dyDescent="0.2">
      <c r="A230" s="14">
        <v>43537</v>
      </c>
      <c r="B230">
        <v>991.5</v>
      </c>
      <c r="C230">
        <v>978.2</v>
      </c>
      <c r="D230">
        <v>1225</v>
      </c>
      <c r="E230">
        <v>1203</v>
      </c>
      <c r="F230">
        <v>0.81313383208644996</v>
      </c>
      <c r="G230">
        <v>0.75308533283631096</v>
      </c>
      <c r="H230">
        <v>3.1444705649245598E-2</v>
      </c>
      <c r="I230">
        <v>1.9096537242217699</v>
      </c>
      <c r="J230">
        <v>7.38</v>
      </c>
      <c r="L230">
        <v>0.78453003848555658</v>
      </c>
      <c r="M230">
        <v>0.72164062718706534</v>
      </c>
      <c r="N230">
        <v>0.8159747441348022</v>
      </c>
      <c r="O230">
        <v>0.69019592153781972</v>
      </c>
    </row>
    <row r="231" spans="1:15" x14ac:dyDescent="0.2">
      <c r="A231" s="14">
        <v>43536</v>
      </c>
      <c r="B231">
        <v>987</v>
      </c>
      <c r="C231">
        <v>994.2</v>
      </c>
      <c r="D231">
        <v>1247</v>
      </c>
      <c r="E231">
        <v>1255</v>
      </c>
      <c r="F231">
        <v>0.79219123505976097</v>
      </c>
      <c r="G231">
        <v>0.75074230534098396</v>
      </c>
      <c r="H231">
        <v>3.3370982967556098E-2</v>
      </c>
      <c r="I231">
        <v>1.2420649927835301</v>
      </c>
      <c r="J231">
        <v>5.23</v>
      </c>
      <c r="L231">
        <v>0.7841132883085401</v>
      </c>
      <c r="M231">
        <v>0.71737132237342782</v>
      </c>
      <c r="N231">
        <v>0.81748427127609613</v>
      </c>
      <c r="O231">
        <v>0.68400033940587179</v>
      </c>
    </row>
    <row r="232" spans="1:15" x14ac:dyDescent="0.2">
      <c r="A232" s="14">
        <v>43535</v>
      </c>
      <c r="B232">
        <v>978.2</v>
      </c>
      <c r="C232">
        <v>972.8</v>
      </c>
      <c r="D232">
        <v>1238</v>
      </c>
      <c r="E232">
        <v>1233</v>
      </c>
      <c r="F232">
        <v>0.78896999188969896</v>
      </c>
      <c r="G232">
        <v>0.74866907299150098</v>
      </c>
      <c r="H232">
        <v>3.5494078605843603E-2</v>
      </c>
      <c r="I232">
        <v>1.1354265410220701</v>
      </c>
      <c r="J232">
        <v>5.1100000000000003</v>
      </c>
      <c r="L232">
        <v>0.78416315159734462</v>
      </c>
      <c r="M232">
        <v>0.71317499438565735</v>
      </c>
      <c r="N232">
        <v>0.81965723020318815</v>
      </c>
      <c r="O232">
        <v>0.67768091577981382</v>
      </c>
    </row>
    <row r="233" spans="1:15" x14ac:dyDescent="0.2">
      <c r="A233" s="14">
        <v>43532</v>
      </c>
      <c r="B233">
        <v>979</v>
      </c>
      <c r="C233">
        <v>980</v>
      </c>
      <c r="D233">
        <v>1274</v>
      </c>
      <c r="E233">
        <v>1235</v>
      </c>
      <c r="F233">
        <v>0.79352226720647701</v>
      </c>
      <c r="G233">
        <v>0.74642810183778496</v>
      </c>
      <c r="H233">
        <v>3.8089731546857401E-2</v>
      </c>
      <c r="I233">
        <v>1.2364005587899001</v>
      </c>
      <c r="J233">
        <v>5.93</v>
      </c>
      <c r="L233">
        <v>0.78451783338464232</v>
      </c>
      <c r="M233">
        <v>0.70833837029092761</v>
      </c>
      <c r="N233">
        <v>0.82260756493149978</v>
      </c>
      <c r="O233">
        <v>0.67024863874407015</v>
      </c>
    </row>
    <row r="234" spans="1:15" x14ac:dyDescent="0.2">
      <c r="A234" s="14">
        <v>43531</v>
      </c>
      <c r="B234">
        <v>1003.5</v>
      </c>
      <c r="C234">
        <v>987.6</v>
      </c>
      <c r="D234">
        <v>1323</v>
      </c>
      <c r="E234">
        <v>1300</v>
      </c>
      <c r="F234">
        <v>0.759692307692307</v>
      </c>
      <c r="G234">
        <v>0.74416557905848502</v>
      </c>
      <c r="H234">
        <v>4.0206107691012197E-2</v>
      </c>
      <c r="I234">
        <v>0.38617835760543701</v>
      </c>
      <c r="J234">
        <v>2.04</v>
      </c>
      <c r="L234">
        <v>0.7843716867494972</v>
      </c>
      <c r="M234">
        <v>0.70395947136747283</v>
      </c>
      <c r="N234">
        <v>0.82457779444050938</v>
      </c>
      <c r="O234">
        <v>0.66375336367646065</v>
      </c>
    </row>
    <row r="235" spans="1:15" x14ac:dyDescent="0.2">
      <c r="A235" s="14">
        <v>43530</v>
      </c>
      <c r="B235">
        <v>1014.5</v>
      </c>
      <c r="C235">
        <v>1012</v>
      </c>
      <c r="D235">
        <v>1322</v>
      </c>
      <c r="E235">
        <v>1337</v>
      </c>
      <c r="F235">
        <v>0.75691847419596103</v>
      </c>
      <c r="G235">
        <v>0.74230287242964199</v>
      </c>
      <c r="H235">
        <v>4.2608023163017303E-2</v>
      </c>
      <c r="I235">
        <v>0.34302463905446301</v>
      </c>
      <c r="J235">
        <v>1.93</v>
      </c>
      <c r="L235">
        <v>0.78491089559265925</v>
      </c>
      <c r="M235">
        <v>0.69969484926662473</v>
      </c>
      <c r="N235">
        <v>0.82751891875567662</v>
      </c>
      <c r="O235">
        <v>0.65708682610360736</v>
      </c>
    </row>
    <row r="236" spans="1:15" x14ac:dyDescent="0.2">
      <c r="A236" s="14">
        <v>43529</v>
      </c>
      <c r="B236">
        <v>1013.5</v>
      </c>
      <c r="C236">
        <v>1020.5</v>
      </c>
      <c r="D236">
        <v>1355</v>
      </c>
      <c r="E236">
        <v>1336</v>
      </c>
      <c r="F236">
        <v>0.76384730538922097</v>
      </c>
      <c r="G236">
        <v>0.74056788288533903</v>
      </c>
      <c r="H236">
        <v>4.4581181798579603E-2</v>
      </c>
      <c r="I236">
        <v>0.52218047087804698</v>
      </c>
      <c r="J236">
        <v>3.05</v>
      </c>
      <c r="L236">
        <v>0.78514906468391865</v>
      </c>
      <c r="M236">
        <v>0.69598670108675942</v>
      </c>
      <c r="N236">
        <v>0.82973024648249827</v>
      </c>
      <c r="O236">
        <v>0.6514055192881798</v>
      </c>
    </row>
    <row r="237" spans="1:15" x14ac:dyDescent="0.2">
      <c r="A237" s="14">
        <v>43528</v>
      </c>
      <c r="B237">
        <v>1026</v>
      </c>
      <c r="C237">
        <v>1021.5</v>
      </c>
      <c r="D237">
        <v>1356</v>
      </c>
      <c r="E237">
        <v>1369</v>
      </c>
      <c r="F237">
        <v>0.74616508400292103</v>
      </c>
      <c r="G237">
        <v>0.73872895734299804</v>
      </c>
      <c r="H237">
        <v>4.6390790146014098E-2</v>
      </c>
      <c r="I237">
        <v>0.16029316673671401</v>
      </c>
      <c r="J237">
        <v>1</v>
      </c>
      <c r="L237">
        <v>0.78511974748901214</v>
      </c>
      <c r="M237">
        <v>0.69233816719698393</v>
      </c>
      <c r="N237">
        <v>0.83151053763502625</v>
      </c>
      <c r="O237">
        <v>0.64594737705096983</v>
      </c>
    </row>
    <row r="238" spans="1:15" x14ac:dyDescent="0.2">
      <c r="A238" s="14">
        <v>43525</v>
      </c>
      <c r="B238">
        <v>1025</v>
      </c>
      <c r="C238">
        <v>1018</v>
      </c>
      <c r="D238">
        <v>1338</v>
      </c>
      <c r="E238">
        <v>1342</v>
      </c>
      <c r="F238">
        <v>0.75856929955290597</v>
      </c>
      <c r="G238">
        <v>0.73730101307721596</v>
      </c>
      <c r="H238">
        <v>4.7767734912402E-2</v>
      </c>
      <c r="I238">
        <v>0.44524377207108301</v>
      </c>
      <c r="J238">
        <v>2.8</v>
      </c>
      <c r="L238">
        <v>0.78506874798961801</v>
      </c>
      <c r="M238">
        <v>0.68953327816481391</v>
      </c>
      <c r="N238">
        <v>0.83283648290201995</v>
      </c>
      <c r="O238">
        <v>0.64176554325241197</v>
      </c>
    </row>
    <row r="239" spans="1:15" x14ac:dyDescent="0.2">
      <c r="A239" s="14">
        <v>43524</v>
      </c>
      <c r="B239">
        <v>1032.5</v>
      </c>
      <c r="C239">
        <v>1025</v>
      </c>
      <c r="D239">
        <v>1360</v>
      </c>
      <c r="E239">
        <v>1337</v>
      </c>
      <c r="F239">
        <v>0.76664173522812196</v>
      </c>
      <c r="G239">
        <v>0.73548665015322301</v>
      </c>
      <c r="H239">
        <v>4.9479099289112698E-2</v>
      </c>
      <c r="I239">
        <v>0.62966152420956101</v>
      </c>
      <c r="J239">
        <v>4.0599999999999996</v>
      </c>
      <c r="L239">
        <v>0.78496574944233566</v>
      </c>
      <c r="M239">
        <v>0.68600755086411036</v>
      </c>
      <c r="N239">
        <v>0.83444484873144842</v>
      </c>
      <c r="O239">
        <v>0.6365284515749976</v>
      </c>
    </row>
    <row r="240" spans="1:15" x14ac:dyDescent="0.2">
      <c r="A240" s="14">
        <v>43523</v>
      </c>
      <c r="B240">
        <v>1038</v>
      </c>
      <c r="C240">
        <v>1040.5</v>
      </c>
      <c r="D240">
        <v>1351</v>
      </c>
      <c r="E240">
        <v>1350</v>
      </c>
      <c r="F240">
        <v>0.77074074074073995</v>
      </c>
      <c r="G240">
        <v>0.73369466020712004</v>
      </c>
      <c r="H240">
        <v>5.0736110784791399E-2</v>
      </c>
      <c r="I240">
        <v>0.73017186301014103</v>
      </c>
      <c r="J240">
        <v>4.8099999999999996</v>
      </c>
      <c r="L240">
        <v>0.78443077099191139</v>
      </c>
      <c r="M240">
        <v>0.6829585494223287</v>
      </c>
      <c r="N240">
        <v>0.83516688177670284</v>
      </c>
      <c r="O240">
        <v>0.63222243863753724</v>
      </c>
    </row>
    <row r="241" spans="1:15" x14ac:dyDescent="0.2">
      <c r="A241" s="14">
        <v>43522</v>
      </c>
      <c r="B241">
        <v>1046</v>
      </c>
      <c r="C241">
        <v>1037</v>
      </c>
      <c r="D241">
        <v>1383</v>
      </c>
      <c r="E241">
        <v>1357</v>
      </c>
      <c r="F241">
        <v>0.76418570375828998</v>
      </c>
      <c r="G241">
        <v>0.73182530688868297</v>
      </c>
      <c r="H241">
        <v>5.1906070606072399E-2</v>
      </c>
      <c r="I241">
        <v>0.62344146824746605</v>
      </c>
      <c r="J241">
        <v>4.2300000000000004</v>
      </c>
      <c r="L241">
        <v>0.78373137749475541</v>
      </c>
      <c r="M241">
        <v>0.67991923628261053</v>
      </c>
      <c r="N241">
        <v>0.83563744810082774</v>
      </c>
      <c r="O241">
        <v>0.6280131656765382</v>
      </c>
    </row>
    <row r="242" spans="1:15" x14ac:dyDescent="0.2">
      <c r="A242" s="14">
        <v>43521</v>
      </c>
      <c r="B242">
        <v>1055</v>
      </c>
      <c r="C242">
        <v>1053.5</v>
      </c>
      <c r="D242">
        <v>1362</v>
      </c>
      <c r="E242">
        <v>1392</v>
      </c>
      <c r="F242">
        <v>0.75682471264367801</v>
      </c>
      <c r="G242">
        <v>0.73016110994197103</v>
      </c>
      <c r="H242">
        <v>5.2834447359312801E-2</v>
      </c>
      <c r="I242">
        <v>0.504663227011244</v>
      </c>
      <c r="J242">
        <v>3.52</v>
      </c>
      <c r="L242">
        <v>0.78299555730128378</v>
      </c>
      <c r="M242">
        <v>0.67732666258265828</v>
      </c>
      <c r="N242">
        <v>0.83583000466059665</v>
      </c>
      <c r="O242">
        <v>0.62449221522334541</v>
      </c>
    </row>
    <row r="243" spans="1:15" x14ac:dyDescent="0.2">
      <c r="A243" s="14">
        <v>43518</v>
      </c>
      <c r="B243">
        <v>1038.5</v>
      </c>
      <c r="C243">
        <v>1044.5</v>
      </c>
      <c r="D243">
        <v>1364</v>
      </c>
      <c r="E243">
        <v>1362</v>
      </c>
      <c r="F243">
        <v>0.76688693098384697</v>
      </c>
      <c r="G243">
        <v>0.72922899227806204</v>
      </c>
      <c r="H243">
        <v>5.2972313568071298E-2</v>
      </c>
      <c r="I243">
        <v>0.710898508470718</v>
      </c>
      <c r="J243">
        <v>4.91</v>
      </c>
      <c r="L243">
        <v>0.78220130584613334</v>
      </c>
      <c r="M243">
        <v>0.67625667870999073</v>
      </c>
      <c r="N243">
        <v>0.83517361941420465</v>
      </c>
      <c r="O243">
        <v>0.62328436514191943</v>
      </c>
    </row>
    <row r="244" spans="1:15" x14ac:dyDescent="0.2">
      <c r="A244" s="14">
        <v>43517</v>
      </c>
      <c r="B244">
        <v>1040</v>
      </c>
      <c r="C244">
        <v>1043.5</v>
      </c>
      <c r="D244">
        <v>1376</v>
      </c>
      <c r="E244">
        <v>1376</v>
      </c>
      <c r="F244">
        <v>0.75835755813953398</v>
      </c>
      <c r="G244">
        <v>0.72818876855521897</v>
      </c>
      <c r="H244">
        <v>5.2988616527397898E-2</v>
      </c>
      <c r="I244">
        <v>0.56934473027270605</v>
      </c>
      <c r="J244">
        <v>3.98</v>
      </c>
      <c r="L244">
        <v>0.78117738508261692</v>
      </c>
      <c r="M244">
        <v>0.67520015202782102</v>
      </c>
      <c r="N244">
        <v>0.83416600161001475</v>
      </c>
      <c r="O244">
        <v>0.62221153550042319</v>
      </c>
    </row>
    <row r="245" spans="1:15" x14ac:dyDescent="0.2">
      <c r="A245" s="14">
        <v>43516</v>
      </c>
      <c r="B245">
        <v>1040.5</v>
      </c>
      <c r="C245">
        <v>1043.5</v>
      </c>
      <c r="D245">
        <v>1369</v>
      </c>
      <c r="E245">
        <v>1375</v>
      </c>
      <c r="F245">
        <v>0.75890909090908998</v>
      </c>
      <c r="G245">
        <v>0.72735120522999697</v>
      </c>
      <c r="H245">
        <v>5.30015929006038E-2</v>
      </c>
      <c r="I245">
        <v>0.59541391026257195</v>
      </c>
      <c r="J245">
        <v>4.16</v>
      </c>
      <c r="L245">
        <v>0.78035279813060077</v>
      </c>
      <c r="M245">
        <v>0.67434961232939317</v>
      </c>
      <c r="N245">
        <v>0.83335439103120457</v>
      </c>
      <c r="O245">
        <v>0.62134801942878937</v>
      </c>
    </row>
    <row r="246" spans="1:15" x14ac:dyDescent="0.2">
      <c r="A246" s="14">
        <v>43515</v>
      </c>
      <c r="B246">
        <v>1035</v>
      </c>
      <c r="C246">
        <v>1035</v>
      </c>
      <c r="D246">
        <v>1372</v>
      </c>
      <c r="E246">
        <v>1369</v>
      </c>
      <c r="F246">
        <v>0.75602629656683695</v>
      </c>
      <c r="G246">
        <v>0.726445223377574</v>
      </c>
      <c r="H246">
        <v>5.3035144359199898E-2</v>
      </c>
      <c r="I246">
        <v>0.55776360273319103</v>
      </c>
      <c r="J246">
        <v>3.91</v>
      </c>
      <c r="L246">
        <v>0.77948036773677387</v>
      </c>
      <c r="M246">
        <v>0.67341007901837413</v>
      </c>
      <c r="N246">
        <v>0.83251551209597374</v>
      </c>
      <c r="O246">
        <v>0.62037493465917426</v>
      </c>
    </row>
    <row r="247" spans="1:15" x14ac:dyDescent="0.2">
      <c r="A247" s="14">
        <v>43514</v>
      </c>
      <c r="B247">
        <v>1041.5</v>
      </c>
      <c r="C247">
        <v>1042</v>
      </c>
      <c r="D247">
        <v>1380</v>
      </c>
      <c r="E247">
        <v>1379</v>
      </c>
      <c r="F247">
        <v>0.75562001450326299</v>
      </c>
      <c r="G247">
        <v>0.72556871239530496</v>
      </c>
      <c r="H247">
        <v>5.3082222610932601E-2</v>
      </c>
      <c r="I247">
        <v>0.566127427033699</v>
      </c>
      <c r="J247">
        <v>3.98</v>
      </c>
      <c r="L247">
        <v>0.77865093500623761</v>
      </c>
      <c r="M247">
        <v>0.67248648978437231</v>
      </c>
      <c r="N247">
        <v>0.83173315761717015</v>
      </c>
      <c r="O247">
        <v>0.61940426717343977</v>
      </c>
    </row>
    <row r="248" spans="1:15" x14ac:dyDescent="0.2">
      <c r="A248" s="14">
        <v>43511</v>
      </c>
      <c r="B248">
        <v>1025.5</v>
      </c>
      <c r="C248">
        <v>1025</v>
      </c>
      <c r="D248">
        <v>1366</v>
      </c>
      <c r="E248">
        <v>1340</v>
      </c>
      <c r="F248">
        <v>0.76492537313432796</v>
      </c>
      <c r="G248">
        <v>0.72427558720644003</v>
      </c>
      <c r="H248">
        <v>5.3513950981873303E-2</v>
      </c>
      <c r="I248">
        <v>0.75961100202929899</v>
      </c>
      <c r="J248">
        <v>5.31</v>
      </c>
      <c r="L248">
        <v>0.77778953818831331</v>
      </c>
      <c r="M248">
        <v>0.67076163622456675</v>
      </c>
      <c r="N248">
        <v>0.83130348917018659</v>
      </c>
      <c r="O248">
        <v>0.61724768524269347</v>
      </c>
    </row>
    <row r="249" spans="1:15" x14ac:dyDescent="0.2">
      <c r="A249" s="14">
        <v>43510</v>
      </c>
      <c r="B249">
        <v>1057</v>
      </c>
      <c r="C249">
        <v>1043</v>
      </c>
      <c r="D249">
        <v>1385</v>
      </c>
      <c r="E249">
        <v>1389</v>
      </c>
      <c r="F249">
        <v>0.750899928005759</v>
      </c>
      <c r="G249">
        <v>0.72261005725788396</v>
      </c>
      <c r="H249">
        <v>5.4162822476913501E-2</v>
      </c>
      <c r="I249">
        <v>0.52231160515931196</v>
      </c>
      <c r="J249">
        <v>3.77</v>
      </c>
      <c r="L249">
        <v>0.77677287973479747</v>
      </c>
      <c r="M249">
        <v>0.66844723478097046</v>
      </c>
      <c r="N249">
        <v>0.83093570221171098</v>
      </c>
      <c r="O249">
        <v>0.61428441230405695</v>
      </c>
    </row>
    <row r="250" spans="1:15" x14ac:dyDescent="0.2">
      <c r="A250" s="14">
        <v>43509</v>
      </c>
      <c r="B250">
        <v>1041.5</v>
      </c>
      <c r="C250">
        <v>1050</v>
      </c>
      <c r="D250">
        <v>1384</v>
      </c>
      <c r="E250">
        <v>1386</v>
      </c>
      <c r="F250">
        <v>0.75757575757575701</v>
      </c>
      <c r="G250">
        <v>0.72108510484993105</v>
      </c>
      <c r="H250">
        <v>5.4949207767472398E-2</v>
      </c>
      <c r="I250">
        <v>0.66407968755878599</v>
      </c>
      <c r="J250">
        <v>4.82</v>
      </c>
      <c r="L250">
        <v>0.77603431261740341</v>
      </c>
      <c r="M250">
        <v>0.66613589708245868</v>
      </c>
      <c r="N250">
        <v>0.83098352038487588</v>
      </c>
      <c r="O250">
        <v>0.61118668931498621</v>
      </c>
    </row>
    <row r="251" spans="1:15" x14ac:dyDescent="0.2">
      <c r="A251" s="14">
        <v>43508</v>
      </c>
      <c r="B251">
        <v>1010</v>
      </c>
      <c r="C251">
        <v>1034.5</v>
      </c>
      <c r="D251">
        <v>1322</v>
      </c>
      <c r="E251">
        <v>1385</v>
      </c>
      <c r="F251">
        <v>0.746931407942238</v>
      </c>
      <c r="G251">
        <v>0.71948746088045901</v>
      </c>
      <c r="H251">
        <v>5.5603055621700398E-2</v>
      </c>
      <c r="I251">
        <v>0.49356904499090098</v>
      </c>
      <c r="J251">
        <v>3.67</v>
      </c>
      <c r="L251">
        <v>0.77509051650215943</v>
      </c>
      <c r="M251">
        <v>0.66388440525875858</v>
      </c>
      <c r="N251">
        <v>0.83069357212385975</v>
      </c>
      <c r="O251">
        <v>0.60828134963705827</v>
      </c>
    </row>
    <row r="252" spans="1:15" x14ac:dyDescent="0.2">
      <c r="A252" s="14">
        <v>43504</v>
      </c>
      <c r="B252">
        <v>1022.5</v>
      </c>
      <c r="C252">
        <v>1002.5</v>
      </c>
      <c r="D252">
        <v>1323</v>
      </c>
      <c r="E252">
        <v>1308</v>
      </c>
      <c r="F252">
        <v>0.76643730886850103</v>
      </c>
      <c r="G252">
        <v>0.71813544404829799</v>
      </c>
      <c r="H252">
        <v>5.61494318920688E-2</v>
      </c>
      <c r="I252">
        <v>0.86023781884471395</v>
      </c>
      <c r="J252">
        <v>6.3</v>
      </c>
      <c r="L252">
        <v>0.77428487594036677</v>
      </c>
      <c r="M252">
        <v>0.66198601215622921</v>
      </c>
      <c r="N252">
        <v>0.83043430783243555</v>
      </c>
      <c r="O252">
        <v>0.60583658026416043</v>
      </c>
    </row>
    <row r="253" spans="1:15" x14ac:dyDescent="0.2">
      <c r="A253" s="14">
        <v>43503</v>
      </c>
      <c r="B253">
        <v>1046</v>
      </c>
      <c r="C253">
        <v>1031.5</v>
      </c>
      <c r="D253">
        <v>1372</v>
      </c>
      <c r="E253">
        <v>1353</v>
      </c>
      <c r="F253">
        <v>0.76237989652623706</v>
      </c>
      <c r="G253">
        <v>0.71664577382184902</v>
      </c>
      <c r="H253">
        <v>5.6329971492775702E-2</v>
      </c>
      <c r="I253">
        <v>0.81189678411703303</v>
      </c>
      <c r="J253">
        <v>6</v>
      </c>
      <c r="L253">
        <v>0.77297574531462476</v>
      </c>
      <c r="M253">
        <v>0.66031580232907328</v>
      </c>
      <c r="N253">
        <v>0.82930571680740039</v>
      </c>
      <c r="O253">
        <v>0.60398583083629764</v>
      </c>
    </row>
    <row r="254" spans="1:15" x14ac:dyDescent="0.2">
      <c r="A254" s="14">
        <v>43502</v>
      </c>
      <c r="B254">
        <v>1043.5</v>
      </c>
      <c r="C254">
        <v>1064</v>
      </c>
      <c r="D254">
        <v>1378</v>
      </c>
      <c r="E254">
        <v>1374</v>
      </c>
      <c r="F254">
        <v>0.77438136826783099</v>
      </c>
      <c r="G254">
        <v>0.71513826198733799</v>
      </c>
      <c r="H254">
        <v>5.6598127432356503E-2</v>
      </c>
      <c r="I254">
        <v>1.0467326211683701</v>
      </c>
      <c r="J254">
        <v>7.65</v>
      </c>
      <c r="L254">
        <v>0.77173638941969447</v>
      </c>
      <c r="M254">
        <v>0.6585401345549815</v>
      </c>
      <c r="N254">
        <v>0.82833451685205095</v>
      </c>
      <c r="O254">
        <v>0.60194200712262502</v>
      </c>
    </row>
    <row r="255" spans="1:15" x14ac:dyDescent="0.2">
      <c r="A255" s="14">
        <v>43501</v>
      </c>
      <c r="B255">
        <v>1007</v>
      </c>
      <c r="C255">
        <v>1035</v>
      </c>
      <c r="D255">
        <v>1391</v>
      </c>
      <c r="E255">
        <v>1382</v>
      </c>
      <c r="F255">
        <v>0.74891461649782898</v>
      </c>
      <c r="G255">
        <v>0.71350283224951405</v>
      </c>
      <c r="H255">
        <v>5.6634749093904001E-2</v>
      </c>
      <c r="I255">
        <v>0.62526602156565403</v>
      </c>
      <c r="J255">
        <v>4.7300000000000004</v>
      </c>
      <c r="L255">
        <v>0.77013758134341803</v>
      </c>
      <c r="M255">
        <v>0.65686808315561007</v>
      </c>
      <c r="N255">
        <v>0.82677233043732201</v>
      </c>
      <c r="O255">
        <v>0.60023333406170609</v>
      </c>
    </row>
    <row r="256" spans="1:15" x14ac:dyDescent="0.2">
      <c r="A256" s="14">
        <v>43500</v>
      </c>
      <c r="B256">
        <v>1059.5</v>
      </c>
      <c r="C256">
        <v>1061</v>
      </c>
      <c r="D256">
        <v>1358</v>
      </c>
      <c r="E256">
        <v>1387</v>
      </c>
      <c r="F256">
        <v>0.76496034607065599</v>
      </c>
      <c r="G256">
        <v>0.71235081410377399</v>
      </c>
      <c r="H256">
        <v>5.6781278240945997E-2</v>
      </c>
      <c r="I256">
        <v>0.92652954629935502</v>
      </c>
      <c r="J256">
        <v>6.88</v>
      </c>
      <c r="L256">
        <v>0.76913209234472002</v>
      </c>
      <c r="M256">
        <v>0.65556953586282796</v>
      </c>
      <c r="N256">
        <v>0.82591337058566594</v>
      </c>
      <c r="O256">
        <v>0.59878825762188204</v>
      </c>
    </row>
    <row r="257" spans="1:15" x14ac:dyDescent="0.2">
      <c r="A257" s="14">
        <v>43497</v>
      </c>
      <c r="B257">
        <v>1058</v>
      </c>
      <c r="C257">
        <v>1052</v>
      </c>
      <c r="D257">
        <v>1343</v>
      </c>
      <c r="E257">
        <v>1340</v>
      </c>
      <c r="F257">
        <v>0.78507462686567098</v>
      </c>
      <c r="G257">
        <v>0.71081905169898296</v>
      </c>
      <c r="H257">
        <v>5.6890850416080399E-2</v>
      </c>
      <c r="I257">
        <v>1.3052287779776099</v>
      </c>
      <c r="J257">
        <v>9.4600000000000009</v>
      </c>
      <c r="L257">
        <v>0.7677099021150634</v>
      </c>
      <c r="M257">
        <v>0.65392820128290252</v>
      </c>
      <c r="N257">
        <v>0.82460075253114373</v>
      </c>
      <c r="O257">
        <v>0.59703735086682219</v>
      </c>
    </row>
    <row r="258" spans="1:15" x14ac:dyDescent="0.2">
      <c r="A258" s="14">
        <v>43496</v>
      </c>
      <c r="B258">
        <v>1070</v>
      </c>
      <c r="C258">
        <v>1062</v>
      </c>
      <c r="D258">
        <v>1359</v>
      </c>
      <c r="E258">
        <v>1347</v>
      </c>
      <c r="F258">
        <v>0.78841870824053395</v>
      </c>
      <c r="G258">
        <v>0.709091534278536</v>
      </c>
      <c r="H258">
        <v>5.6576078674130698E-2</v>
      </c>
      <c r="I258">
        <v>1.4021327709703899</v>
      </c>
      <c r="J258">
        <v>10.06</v>
      </c>
      <c r="L258">
        <v>0.76566761295266672</v>
      </c>
      <c r="M258">
        <v>0.65251545560440527</v>
      </c>
      <c r="N258">
        <v>0.82224369162679745</v>
      </c>
      <c r="O258">
        <v>0.59593937693027454</v>
      </c>
    </row>
    <row r="259" spans="1:15" x14ac:dyDescent="0.2">
      <c r="A259" s="14">
        <v>43495</v>
      </c>
      <c r="B259">
        <v>1058.5</v>
      </c>
      <c r="C259">
        <v>1051.5</v>
      </c>
      <c r="D259">
        <v>1339</v>
      </c>
      <c r="E259">
        <v>1338</v>
      </c>
      <c r="F259">
        <v>0.78587443946188296</v>
      </c>
      <c r="G259">
        <v>0.70753547922273496</v>
      </c>
      <c r="H259">
        <v>5.5974588170384101E-2</v>
      </c>
      <c r="I259">
        <v>1.39954509358224</v>
      </c>
      <c r="J259">
        <v>9.9700000000000006</v>
      </c>
      <c r="L259">
        <v>0.76351006739311911</v>
      </c>
      <c r="M259">
        <v>0.65156089105235082</v>
      </c>
      <c r="N259">
        <v>0.81948465556350314</v>
      </c>
      <c r="O259">
        <v>0.59558630288196679</v>
      </c>
    </row>
    <row r="260" spans="1:15" x14ac:dyDescent="0.2">
      <c r="A260" s="14">
        <v>43494</v>
      </c>
      <c r="B260">
        <v>1050</v>
      </c>
      <c r="C260">
        <v>1044</v>
      </c>
      <c r="D260">
        <v>1348</v>
      </c>
      <c r="E260">
        <v>1340</v>
      </c>
      <c r="F260">
        <v>0.77910447761194002</v>
      </c>
      <c r="G260">
        <v>0.705971649021226</v>
      </c>
      <c r="H260">
        <v>5.53995366354968E-2</v>
      </c>
      <c r="I260">
        <v>1.32009819995235</v>
      </c>
      <c r="J260">
        <v>9.39</v>
      </c>
      <c r="L260">
        <v>0.76137118565672279</v>
      </c>
      <c r="M260">
        <v>0.65057211238572921</v>
      </c>
      <c r="N260">
        <v>0.81677072229221959</v>
      </c>
      <c r="O260">
        <v>0.59517257575023241</v>
      </c>
    </row>
    <row r="261" spans="1:15" x14ac:dyDescent="0.2">
      <c r="A261" s="14">
        <v>43493</v>
      </c>
      <c r="B261">
        <v>1077</v>
      </c>
      <c r="C261">
        <v>1063</v>
      </c>
      <c r="D261">
        <v>1359</v>
      </c>
      <c r="E261">
        <v>1359</v>
      </c>
      <c r="F261">
        <v>0.78219278881530496</v>
      </c>
      <c r="G261">
        <v>0.70477864100588805</v>
      </c>
      <c r="H261">
        <v>5.4771656897217497E-2</v>
      </c>
      <c r="I261">
        <v>1.41339795425012</v>
      </c>
      <c r="J261">
        <v>9.9</v>
      </c>
      <c r="L261">
        <v>0.75955029790310558</v>
      </c>
      <c r="M261">
        <v>0.65000698410867053</v>
      </c>
      <c r="N261">
        <v>0.8143219548003231</v>
      </c>
      <c r="O261">
        <v>0.595235327211453</v>
      </c>
    </row>
    <row r="262" spans="1:15" x14ac:dyDescent="0.2">
      <c r="A262" s="14">
        <v>43490</v>
      </c>
      <c r="B262">
        <v>1053</v>
      </c>
      <c r="C262">
        <v>1071.5</v>
      </c>
      <c r="D262">
        <v>1361</v>
      </c>
      <c r="E262">
        <v>1367</v>
      </c>
      <c r="F262">
        <v>0.78383321141185003</v>
      </c>
      <c r="G262">
        <v>0.70382846049187098</v>
      </c>
      <c r="H262">
        <v>5.4033600217208599E-2</v>
      </c>
      <c r="I262">
        <v>1.4806481633348501</v>
      </c>
      <c r="J262">
        <v>10.210000000000001</v>
      </c>
      <c r="L262">
        <v>0.75786206070907958</v>
      </c>
      <c r="M262">
        <v>0.64979486027466238</v>
      </c>
      <c r="N262">
        <v>0.81189566092628818</v>
      </c>
      <c r="O262">
        <v>0.59576126005745378</v>
      </c>
    </row>
    <row r="263" spans="1:15" x14ac:dyDescent="0.2">
      <c r="A263" s="14">
        <v>43489</v>
      </c>
      <c r="B263">
        <v>1050</v>
      </c>
      <c r="C263">
        <v>1063</v>
      </c>
      <c r="D263">
        <v>1346</v>
      </c>
      <c r="E263">
        <v>1360</v>
      </c>
      <c r="F263">
        <v>0.78161764705882297</v>
      </c>
      <c r="G263">
        <v>0.70288679805092802</v>
      </c>
      <c r="H263">
        <v>5.3240707148336799E-2</v>
      </c>
      <c r="I263">
        <v>1.4787716622271501</v>
      </c>
      <c r="J263">
        <v>10.07</v>
      </c>
      <c r="L263">
        <v>0.75612750519926486</v>
      </c>
      <c r="M263">
        <v>0.64964609090259118</v>
      </c>
      <c r="N263">
        <v>0.80936821234760159</v>
      </c>
      <c r="O263">
        <v>0.59640538375425445</v>
      </c>
    </row>
    <row r="264" spans="1:15" x14ac:dyDescent="0.2">
      <c r="A264" s="14">
        <v>43488</v>
      </c>
      <c r="B264">
        <v>1059</v>
      </c>
      <c r="C264">
        <v>1057</v>
      </c>
      <c r="D264">
        <v>1340</v>
      </c>
      <c r="E264">
        <v>1353</v>
      </c>
      <c r="F264">
        <v>0.78122690317812205</v>
      </c>
      <c r="G264">
        <v>0.70177833960478797</v>
      </c>
      <c r="H264">
        <v>5.2449551741939902E-2</v>
      </c>
      <c r="I264">
        <v>1.51476153627077</v>
      </c>
      <c r="J264">
        <v>10.17</v>
      </c>
      <c r="L264">
        <v>0.75422789134672785</v>
      </c>
      <c r="M264">
        <v>0.64932878786284809</v>
      </c>
      <c r="N264">
        <v>0.80667744308866773</v>
      </c>
      <c r="O264">
        <v>0.59687923612090821</v>
      </c>
    </row>
    <row r="265" spans="1:15" x14ac:dyDescent="0.2">
      <c r="A265" s="14">
        <v>43487</v>
      </c>
      <c r="B265">
        <v>1108.5</v>
      </c>
      <c r="C265">
        <v>1064.5</v>
      </c>
      <c r="D265">
        <v>1393</v>
      </c>
      <c r="E265">
        <v>1356</v>
      </c>
      <c r="F265">
        <v>0.78502949852507298</v>
      </c>
      <c r="G265">
        <v>0.70077353645130203</v>
      </c>
      <c r="H265">
        <v>5.1633397306496201E-2</v>
      </c>
      <c r="I265">
        <v>1.6318113172686901</v>
      </c>
      <c r="J265">
        <v>10.73</v>
      </c>
      <c r="L265">
        <v>0.75240693375779821</v>
      </c>
      <c r="M265">
        <v>0.64914013914480584</v>
      </c>
      <c r="N265">
        <v>0.8040403310642944</v>
      </c>
      <c r="O265">
        <v>0.59750674183830965</v>
      </c>
    </row>
    <row r="266" spans="1:15" x14ac:dyDescent="0.2">
      <c r="A266" s="14">
        <v>43486</v>
      </c>
      <c r="B266">
        <v>1105</v>
      </c>
      <c r="C266">
        <v>1093.5</v>
      </c>
      <c r="D266">
        <v>1404</v>
      </c>
      <c r="E266">
        <v>1402</v>
      </c>
      <c r="F266">
        <v>0.77995720399429302</v>
      </c>
      <c r="G266">
        <v>0.69992172278524301</v>
      </c>
      <c r="H266">
        <v>5.0755889905826697E-2</v>
      </c>
      <c r="I266">
        <v>1.57687080962524</v>
      </c>
      <c r="J266">
        <v>10.26</v>
      </c>
      <c r="L266">
        <v>0.7506776126910697</v>
      </c>
      <c r="M266">
        <v>0.64916583287941632</v>
      </c>
      <c r="N266">
        <v>0.80143350259689639</v>
      </c>
      <c r="O266">
        <v>0.59840994297358963</v>
      </c>
    </row>
    <row r="267" spans="1:15" x14ac:dyDescent="0.2">
      <c r="A267" s="14">
        <v>43483</v>
      </c>
      <c r="B267">
        <v>1051.5</v>
      </c>
      <c r="C267">
        <v>1058.5</v>
      </c>
      <c r="D267">
        <v>1384</v>
      </c>
      <c r="E267">
        <v>1384</v>
      </c>
      <c r="F267">
        <v>0.76481213872832299</v>
      </c>
      <c r="G267">
        <v>0.69910140900866802</v>
      </c>
      <c r="H267">
        <v>4.9946447637866098E-2</v>
      </c>
      <c r="I267">
        <v>1.3156236895181599</v>
      </c>
      <c r="J267">
        <v>8.59</v>
      </c>
      <c r="L267">
        <v>0.74904785664653417</v>
      </c>
      <c r="M267">
        <v>0.64915496137080186</v>
      </c>
      <c r="N267">
        <v>0.79899430428440021</v>
      </c>
      <c r="O267">
        <v>0.59920851373293582</v>
      </c>
    </row>
    <row r="268" spans="1:15" x14ac:dyDescent="0.2">
      <c r="A268" s="14">
        <v>43482</v>
      </c>
      <c r="B268">
        <v>1054.5</v>
      </c>
      <c r="C268">
        <v>1045</v>
      </c>
      <c r="D268">
        <v>1382</v>
      </c>
      <c r="E268">
        <v>1371</v>
      </c>
      <c r="F268">
        <v>0.76221735959153902</v>
      </c>
      <c r="G268">
        <v>0.698563345623753</v>
      </c>
      <c r="H268">
        <v>4.9450565816616297E-2</v>
      </c>
      <c r="I268">
        <v>1.2872251897752001</v>
      </c>
      <c r="J268">
        <v>8.35</v>
      </c>
      <c r="L268">
        <v>0.74801391144036933</v>
      </c>
      <c r="M268">
        <v>0.64911277980713666</v>
      </c>
      <c r="N268">
        <v>0.79746447725698555</v>
      </c>
      <c r="O268">
        <v>0.59966221399052044</v>
      </c>
    </row>
    <row r="269" spans="1:15" x14ac:dyDescent="0.2">
      <c r="A269" s="14">
        <v>43481</v>
      </c>
      <c r="B269">
        <v>1050.5</v>
      </c>
      <c r="C269">
        <v>1045.5</v>
      </c>
      <c r="D269">
        <v>1369</v>
      </c>
      <c r="E269">
        <v>1358</v>
      </c>
      <c r="F269">
        <v>0.76988217967599404</v>
      </c>
      <c r="G269">
        <v>0.69819782960094101</v>
      </c>
      <c r="H269">
        <v>4.9078629573342698E-2</v>
      </c>
      <c r="I269">
        <v>1.4606021133481</v>
      </c>
      <c r="J269">
        <v>9.31</v>
      </c>
      <c r="L269">
        <v>0.74727645917428376</v>
      </c>
      <c r="M269">
        <v>0.64911920002759826</v>
      </c>
      <c r="N269">
        <v>0.79635508874762639</v>
      </c>
      <c r="O269">
        <v>0.60004057045425563</v>
      </c>
    </row>
    <row r="270" spans="1:15" x14ac:dyDescent="0.2">
      <c r="A270" s="14">
        <v>43480</v>
      </c>
      <c r="B270">
        <v>1049</v>
      </c>
      <c r="C270">
        <v>1042.5</v>
      </c>
      <c r="D270">
        <v>1334</v>
      </c>
      <c r="E270">
        <v>1368</v>
      </c>
      <c r="F270">
        <v>0.76206140350877105</v>
      </c>
      <c r="G270">
        <v>0.697858659797853</v>
      </c>
      <c r="H270">
        <v>4.86682465524775E-2</v>
      </c>
      <c r="I270">
        <v>1.3191916343583501</v>
      </c>
      <c r="J270">
        <v>8.42</v>
      </c>
      <c r="L270">
        <v>0.74652690635033048</v>
      </c>
      <c r="M270">
        <v>0.64919041324537552</v>
      </c>
      <c r="N270">
        <v>0.79519515290280796</v>
      </c>
      <c r="O270">
        <v>0.60052216669289804</v>
      </c>
    </row>
    <row r="271" spans="1:15" x14ac:dyDescent="0.2">
      <c r="A271" s="14">
        <v>43476</v>
      </c>
      <c r="B271">
        <v>1050.5</v>
      </c>
      <c r="C271">
        <v>1067</v>
      </c>
      <c r="D271">
        <v>1345</v>
      </c>
      <c r="E271">
        <v>1342</v>
      </c>
      <c r="F271">
        <v>0.79508196721311397</v>
      </c>
      <c r="G271">
        <v>0.69775193546977898</v>
      </c>
      <c r="H271">
        <v>4.8535936162904997E-2</v>
      </c>
      <c r="I271">
        <v>2.0053189335147201</v>
      </c>
      <c r="J271">
        <v>12.24</v>
      </c>
      <c r="L271">
        <v>0.74628787163268395</v>
      </c>
      <c r="M271">
        <v>0.64921599930687401</v>
      </c>
      <c r="N271">
        <v>0.79482380779558892</v>
      </c>
      <c r="O271">
        <v>0.60068006314396905</v>
      </c>
    </row>
    <row r="272" spans="1:15" x14ac:dyDescent="0.2">
      <c r="A272" s="14">
        <v>43475</v>
      </c>
      <c r="B272">
        <v>1045</v>
      </c>
      <c r="C272">
        <v>1039.5</v>
      </c>
      <c r="D272">
        <v>1306</v>
      </c>
      <c r="E272">
        <v>1331</v>
      </c>
      <c r="F272">
        <v>0.78099173553719003</v>
      </c>
      <c r="G272">
        <v>0.69737280744524999</v>
      </c>
      <c r="H272">
        <v>4.78808169338205E-2</v>
      </c>
      <c r="I272">
        <v>1.7463972723672301</v>
      </c>
      <c r="J272">
        <v>10.71</v>
      </c>
      <c r="L272">
        <v>0.7452536243790705</v>
      </c>
      <c r="M272">
        <v>0.64949199051142947</v>
      </c>
      <c r="N272">
        <v>0.79313444131289101</v>
      </c>
      <c r="O272">
        <v>0.60161117357760896</v>
      </c>
    </row>
    <row r="273" spans="1:15" x14ac:dyDescent="0.2">
      <c r="A273" s="14">
        <v>43474</v>
      </c>
      <c r="B273">
        <v>1033.5</v>
      </c>
      <c r="C273">
        <v>1045</v>
      </c>
      <c r="D273">
        <v>1332</v>
      </c>
      <c r="E273">
        <v>1334</v>
      </c>
      <c r="F273">
        <v>0.78335832083958001</v>
      </c>
      <c r="G273">
        <v>0.69732366197465701</v>
      </c>
      <c r="H273">
        <v>4.7796782084420897E-2</v>
      </c>
      <c r="I273">
        <v>1.8000094381450999</v>
      </c>
      <c r="J273">
        <v>10.98</v>
      </c>
      <c r="L273">
        <v>0.74512044405907796</v>
      </c>
      <c r="M273">
        <v>0.64952687989023605</v>
      </c>
      <c r="N273">
        <v>0.7929172261434988</v>
      </c>
      <c r="O273">
        <v>0.60173009780581521</v>
      </c>
    </row>
    <row r="274" spans="1:15" x14ac:dyDescent="0.2">
      <c r="A274" s="14">
        <v>43473</v>
      </c>
      <c r="B274">
        <v>1009.5</v>
      </c>
      <c r="C274">
        <v>1012.5</v>
      </c>
      <c r="D274">
        <v>1312</v>
      </c>
      <c r="E274">
        <v>1320</v>
      </c>
      <c r="F274">
        <v>0.76704545454545403</v>
      </c>
      <c r="G274">
        <v>0.69717486313464105</v>
      </c>
      <c r="H274">
        <v>4.7545421480511198E-2</v>
      </c>
      <c r="I274">
        <v>1.46955456982231</v>
      </c>
      <c r="J274">
        <v>9.11</v>
      </c>
      <c r="L274">
        <v>0.74472028461515227</v>
      </c>
      <c r="M274">
        <v>0.64962944165412984</v>
      </c>
      <c r="N274">
        <v>0.79226570609566349</v>
      </c>
      <c r="O274">
        <v>0.60208402017361862</v>
      </c>
    </row>
    <row r="275" spans="1:15" x14ac:dyDescent="0.2">
      <c r="A275" s="14">
        <v>43472</v>
      </c>
      <c r="B275">
        <v>994.8</v>
      </c>
      <c r="C275">
        <v>1004</v>
      </c>
      <c r="D275">
        <v>1310</v>
      </c>
      <c r="E275">
        <v>1302</v>
      </c>
      <c r="F275">
        <v>0.77112135176651297</v>
      </c>
      <c r="G275">
        <v>0.697255472180767</v>
      </c>
      <c r="H275">
        <v>4.7668777472961797E-2</v>
      </c>
      <c r="I275">
        <v>1.54956521860966</v>
      </c>
      <c r="J275">
        <v>9.58</v>
      </c>
      <c r="L275">
        <v>0.74492424965372883</v>
      </c>
      <c r="M275">
        <v>0.64958669470780517</v>
      </c>
      <c r="N275">
        <v>0.79259302712669055</v>
      </c>
      <c r="O275">
        <v>0.60191791723484345</v>
      </c>
    </row>
    <row r="276" spans="1:15" x14ac:dyDescent="0.2">
      <c r="A276" s="14">
        <v>43469</v>
      </c>
      <c r="B276">
        <v>960</v>
      </c>
      <c r="C276">
        <v>956.1</v>
      </c>
      <c r="D276">
        <v>1255</v>
      </c>
      <c r="E276">
        <v>1247</v>
      </c>
      <c r="F276">
        <v>0.76672012830793901</v>
      </c>
      <c r="G276">
        <v>0.69732526589802202</v>
      </c>
      <c r="H276">
        <v>4.7780577230246903E-2</v>
      </c>
      <c r="I276">
        <v>1.45236550984961</v>
      </c>
      <c r="J276">
        <v>9.0500000000000007</v>
      </c>
      <c r="L276">
        <v>0.74510584312826889</v>
      </c>
      <c r="M276">
        <v>0.64954468866777515</v>
      </c>
      <c r="N276">
        <v>0.79288642035851586</v>
      </c>
      <c r="O276">
        <v>0.60176411143752817</v>
      </c>
    </row>
    <row r="277" spans="1:15" x14ac:dyDescent="0.2">
      <c r="A277" s="14">
        <v>43462</v>
      </c>
      <c r="B277">
        <v>982.5</v>
      </c>
      <c r="C277">
        <v>990.6</v>
      </c>
      <c r="D277">
        <v>1266</v>
      </c>
      <c r="E277">
        <v>1279</v>
      </c>
      <c r="F277">
        <v>0.77451133698201702</v>
      </c>
      <c r="G277">
        <v>0.69731647226805804</v>
      </c>
      <c r="H277">
        <v>4.7767863854680903E-2</v>
      </c>
      <c r="I277">
        <v>1.61604180058796</v>
      </c>
      <c r="J277">
        <v>9.9700000000000006</v>
      </c>
      <c r="L277">
        <v>0.74508433612273894</v>
      </c>
      <c r="M277">
        <v>0.64954860841337714</v>
      </c>
      <c r="N277">
        <v>0.79285219997741985</v>
      </c>
      <c r="O277">
        <v>0.60178074455869623</v>
      </c>
    </row>
    <row r="278" spans="1:15" x14ac:dyDescent="0.2">
      <c r="A278" s="14">
        <v>43461</v>
      </c>
      <c r="B278">
        <v>983</v>
      </c>
      <c r="C278">
        <v>989.1</v>
      </c>
      <c r="D278">
        <v>1294</v>
      </c>
      <c r="E278">
        <v>1282</v>
      </c>
      <c r="F278">
        <v>0.77152886115444597</v>
      </c>
      <c r="G278">
        <v>0.69751010053828499</v>
      </c>
      <c r="H278">
        <v>4.8108600422477901E-2</v>
      </c>
      <c r="I278">
        <v>1.5385764700312601</v>
      </c>
      <c r="J278">
        <v>9.59</v>
      </c>
      <c r="L278">
        <v>0.74561870096076288</v>
      </c>
      <c r="M278">
        <v>0.64940150011580711</v>
      </c>
      <c r="N278">
        <v>0.79372730138324077</v>
      </c>
      <c r="O278">
        <v>0.60129289969332922</v>
      </c>
    </row>
    <row r="279" spans="1:15" x14ac:dyDescent="0.2">
      <c r="A279" s="14">
        <v>43460</v>
      </c>
      <c r="B279">
        <v>930</v>
      </c>
      <c r="C279">
        <v>938</v>
      </c>
      <c r="D279">
        <v>1246</v>
      </c>
      <c r="E279">
        <v>1234</v>
      </c>
      <c r="F279">
        <v>0.76012965964343504</v>
      </c>
      <c r="G279">
        <v>0.69787571531111603</v>
      </c>
      <c r="H279">
        <v>4.87693964213387E-2</v>
      </c>
      <c r="I279">
        <v>1.2764961000231101</v>
      </c>
      <c r="J279">
        <v>8.19</v>
      </c>
      <c r="L279">
        <v>0.74664511173245474</v>
      </c>
      <c r="M279">
        <v>0.64910631888977732</v>
      </c>
      <c r="N279">
        <v>0.79541450815379344</v>
      </c>
      <c r="O279">
        <v>0.60033692246843862</v>
      </c>
    </row>
    <row r="280" spans="1:15" x14ac:dyDescent="0.2">
      <c r="A280" s="14">
        <v>43459</v>
      </c>
      <c r="B280">
        <v>930</v>
      </c>
      <c r="C280">
        <v>920</v>
      </c>
      <c r="D280">
        <v>1272</v>
      </c>
      <c r="E280">
        <v>1250</v>
      </c>
      <c r="F280">
        <v>0.73599999999999999</v>
      </c>
      <c r="G280">
        <v>0.69840001613648195</v>
      </c>
      <c r="H280">
        <v>4.9639455843097098E-2</v>
      </c>
      <c r="I280">
        <v>0.75746164467163002</v>
      </c>
      <c r="J280">
        <v>5.1100000000000003</v>
      </c>
      <c r="L280">
        <v>0.7480394719795791</v>
      </c>
      <c r="M280">
        <v>0.6487605602933848</v>
      </c>
      <c r="N280">
        <v>0.79767892782267613</v>
      </c>
      <c r="O280">
        <v>0.59912110445028777</v>
      </c>
    </row>
    <row r="281" spans="1:15" x14ac:dyDescent="0.2">
      <c r="A281" s="14">
        <v>43455</v>
      </c>
      <c r="B281">
        <v>981.1</v>
      </c>
      <c r="C281">
        <v>974.2</v>
      </c>
      <c r="D281">
        <v>1353</v>
      </c>
      <c r="E281">
        <v>1324</v>
      </c>
      <c r="F281">
        <v>0.73580060422960702</v>
      </c>
      <c r="G281">
        <v>0.69912509780617405</v>
      </c>
      <c r="H281">
        <v>5.0571797557636002E-2</v>
      </c>
      <c r="I281">
        <v>0.72521658700452996</v>
      </c>
      <c r="J281">
        <v>4.9800000000000004</v>
      </c>
      <c r="L281">
        <v>0.74969689536381001</v>
      </c>
      <c r="M281">
        <v>0.64855330024853808</v>
      </c>
      <c r="N281">
        <v>0.80026869292144609</v>
      </c>
      <c r="O281">
        <v>0.597981502690902</v>
      </c>
    </row>
    <row r="282" spans="1:15" x14ac:dyDescent="0.2">
      <c r="A282" s="14">
        <v>43454</v>
      </c>
      <c r="B282">
        <v>1035</v>
      </c>
      <c r="C282">
        <v>1003</v>
      </c>
      <c r="D282">
        <v>1402</v>
      </c>
      <c r="E282">
        <v>1373</v>
      </c>
      <c r="F282">
        <v>0.73051711580480605</v>
      </c>
      <c r="G282">
        <v>0.69996094876287096</v>
      </c>
      <c r="H282">
        <v>5.1677046038713197E-2</v>
      </c>
      <c r="I282">
        <v>0.59129089962001602</v>
      </c>
      <c r="J282">
        <v>4.18</v>
      </c>
      <c r="L282">
        <v>0.75163799480158411</v>
      </c>
      <c r="M282">
        <v>0.64828390272415781</v>
      </c>
      <c r="N282">
        <v>0.80331504084029737</v>
      </c>
      <c r="O282">
        <v>0.59660685668544455</v>
      </c>
    </row>
    <row r="283" spans="1:15" x14ac:dyDescent="0.2">
      <c r="A283" s="14"/>
    </row>
    <row r="284" spans="1:15" x14ac:dyDescent="0.2">
      <c r="A284" s="14"/>
    </row>
    <row r="285" spans="1:15" x14ac:dyDescent="0.2">
      <c r="A285" s="14"/>
    </row>
    <row r="286" spans="1:15" x14ac:dyDescent="0.2">
      <c r="A286" s="14"/>
    </row>
    <row r="287" spans="1:15" x14ac:dyDescent="0.2">
      <c r="A287" s="14"/>
    </row>
    <row r="288" spans="1:15" x14ac:dyDescent="0.2">
      <c r="A288" s="14"/>
    </row>
    <row r="289" spans="1:1" x14ac:dyDescent="0.2">
      <c r="A289" s="14"/>
    </row>
    <row r="290" spans="1:1" x14ac:dyDescent="0.2">
      <c r="A290" s="14"/>
    </row>
    <row r="291" spans="1:1" x14ac:dyDescent="0.2">
      <c r="A291" s="14"/>
    </row>
    <row r="292" spans="1:1" x14ac:dyDescent="0.2">
      <c r="A292" s="14"/>
    </row>
    <row r="293" spans="1:1" x14ac:dyDescent="0.2">
      <c r="A293" s="14"/>
    </row>
    <row r="294" spans="1:1" x14ac:dyDescent="0.2">
      <c r="A294" s="14"/>
    </row>
    <row r="295" spans="1:1" x14ac:dyDescent="0.2">
      <c r="A295" s="14"/>
    </row>
    <row r="296" spans="1:1" x14ac:dyDescent="0.2">
      <c r="A296" s="14"/>
    </row>
    <row r="297" spans="1:1" x14ac:dyDescent="0.2">
      <c r="A297" s="14"/>
    </row>
    <row r="298" spans="1:1" x14ac:dyDescent="0.2">
      <c r="A298" s="14"/>
    </row>
    <row r="299" spans="1:1" x14ac:dyDescent="0.2">
      <c r="A299" s="14"/>
    </row>
    <row r="300" spans="1:1" x14ac:dyDescent="0.2">
      <c r="A300" s="14"/>
    </row>
    <row r="301" spans="1:1" x14ac:dyDescent="0.2">
      <c r="A301" s="14"/>
    </row>
    <row r="302" spans="1:1" x14ac:dyDescent="0.2">
      <c r="A302" s="14"/>
    </row>
    <row r="303" spans="1:1" x14ac:dyDescent="0.2">
      <c r="A303" s="14"/>
    </row>
    <row r="304" spans="1:1" x14ac:dyDescent="0.2">
      <c r="A304" s="14"/>
    </row>
    <row r="305" spans="1:9" x14ac:dyDescent="0.2">
      <c r="A305" s="14"/>
    </row>
    <row r="306" spans="1:9" x14ac:dyDescent="0.2">
      <c r="A306" s="14"/>
    </row>
    <row r="307" spans="1:9" x14ac:dyDescent="0.2">
      <c r="A307" s="14"/>
      <c r="I307" s="15"/>
    </row>
    <row r="308" spans="1:9" x14ac:dyDescent="0.2">
      <c r="A308" s="14"/>
    </row>
    <row r="309" spans="1:9" x14ac:dyDescent="0.2">
      <c r="A309" s="14"/>
    </row>
    <row r="310" spans="1:9" x14ac:dyDescent="0.2">
      <c r="A310" s="14"/>
    </row>
    <row r="311" spans="1:9" x14ac:dyDescent="0.2">
      <c r="A311" s="14"/>
    </row>
    <row r="312" spans="1:9" x14ac:dyDescent="0.2">
      <c r="A312" s="14"/>
    </row>
    <row r="313" spans="1:9" x14ac:dyDescent="0.2">
      <c r="A313" s="14"/>
    </row>
    <row r="314" spans="1:9" x14ac:dyDescent="0.2">
      <c r="A314" s="14"/>
    </row>
    <row r="315" spans="1:9" x14ac:dyDescent="0.2">
      <c r="A315" s="14"/>
    </row>
    <row r="316" spans="1:9" x14ac:dyDescent="0.2">
      <c r="A316" s="14"/>
    </row>
    <row r="317" spans="1:9" x14ac:dyDescent="0.2">
      <c r="A317" s="14"/>
    </row>
    <row r="318" spans="1:9" x14ac:dyDescent="0.2">
      <c r="A318" s="14"/>
    </row>
    <row r="319" spans="1:9" x14ac:dyDescent="0.2">
      <c r="A319" s="14"/>
    </row>
    <row r="320" spans="1:9" x14ac:dyDescent="0.2">
      <c r="A320" s="14"/>
    </row>
    <row r="321" spans="1:1" x14ac:dyDescent="0.2">
      <c r="A321" s="14"/>
    </row>
    <row r="322" spans="1:1" x14ac:dyDescent="0.2">
      <c r="A322" s="14"/>
    </row>
    <row r="323" spans="1:1" x14ac:dyDescent="0.2">
      <c r="A323" s="14"/>
    </row>
    <row r="324" spans="1:1" x14ac:dyDescent="0.2">
      <c r="A324" s="14"/>
    </row>
    <row r="325" spans="1:1" x14ac:dyDescent="0.2">
      <c r="A325" s="14"/>
    </row>
    <row r="326" spans="1:1" x14ac:dyDescent="0.2">
      <c r="A326" s="14"/>
    </row>
    <row r="327" spans="1:1" x14ac:dyDescent="0.2">
      <c r="A327" s="14"/>
    </row>
    <row r="328" spans="1:1" x14ac:dyDescent="0.2">
      <c r="A328" s="14"/>
    </row>
    <row r="329" spans="1:1" x14ac:dyDescent="0.2">
      <c r="A329" s="14"/>
    </row>
    <row r="330" spans="1:1" x14ac:dyDescent="0.2">
      <c r="A330" s="14"/>
    </row>
    <row r="331" spans="1:1" x14ac:dyDescent="0.2">
      <c r="A331" s="14"/>
    </row>
    <row r="332" spans="1:1" x14ac:dyDescent="0.2">
      <c r="A332" s="14"/>
    </row>
    <row r="333" spans="1:1" x14ac:dyDescent="0.2">
      <c r="A333" s="14"/>
    </row>
    <row r="334" spans="1:1" x14ac:dyDescent="0.2">
      <c r="A334" s="14"/>
    </row>
    <row r="335" spans="1:1" x14ac:dyDescent="0.2">
      <c r="A335" s="14"/>
    </row>
    <row r="336" spans="1:1" x14ac:dyDescent="0.2">
      <c r="A336" s="14"/>
    </row>
    <row r="337" spans="1:9" x14ac:dyDescent="0.2">
      <c r="A337" s="14"/>
      <c r="I337" s="15"/>
    </row>
    <row r="338" spans="1:9" x14ac:dyDescent="0.2">
      <c r="A338" s="14"/>
    </row>
    <row r="339" spans="1:9" x14ac:dyDescent="0.2">
      <c r="A339" s="14"/>
    </row>
    <row r="340" spans="1:9" x14ac:dyDescent="0.2">
      <c r="A340" s="14"/>
    </row>
    <row r="341" spans="1:9" x14ac:dyDescent="0.2">
      <c r="A341" s="14"/>
    </row>
    <row r="342" spans="1:9" x14ac:dyDescent="0.2">
      <c r="A342" s="14"/>
    </row>
    <row r="343" spans="1:9" x14ac:dyDescent="0.2">
      <c r="A343" s="14"/>
    </row>
    <row r="344" spans="1:9" x14ac:dyDescent="0.2">
      <c r="A344" s="14"/>
    </row>
    <row r="345" spans="1:9" x14ac:dyDescent="0.2">
      <c r="A345" s="14"/>
    </row>
    <row r="346" spans="1:9" x14ac:dyDescent="0.2">
      <c r="A346" s="14"/>
    </row>
    <row r="347" spans="1:9" x14ac:dyDescent="0.2">
      <c r="A347" s="14"/>
    </row>
    <row r="348" spans="1:9" x14ac:dyDescent="0.2">
      <c r="A348" s="14"/>
    </row>
    <row r="349" spans="1:9" x14ac:dyDescent="0.2">
      <c r="A349" s="14"/>
    </row>
    <row r="350" spans="1:9" x14ac:dyDescent="0.2">
      <c r="A350" s="14"/>
    </row>
    <row r="351" spans="1:9" x14ac:dyDescent="0.2">
      <c r="A351" s="14"/>
    </row>
    <row r="352" spans="1:9" x14ac:dyDescent="0.2">
      <c r="A352" s="14"/>
    </row>
    <row r="353" spans="1:1" x14ac:dyDescent="0.2">
      <c r="A353" s="14"/>
    </row>
    <row r="354" spans="1:1" x14ac:dyDescent="0.2">
      <c r="A354" s="14"/>
    </row>
    <row r="355" spans="1:1" x14ac:dyDescent="0.2">
      <c r="A355" s="14"/>
    </row>
    <row r="356" spans="1:1" x14ac:dyDescent="0.2">
      <c r="A356" s="14"/>
    </row>
    <row r="357" spans="1:1" x14ac:dyDescent="0.2">
      <c r="A357" s="14"/>
    </row>
    <row r="358" spans="1:1" x14ac:dyDescent="0.2">
      <c r="A358" s="14"/>
    </row>
    <row r="359" spans="1:1" x14ac:dyDescent="0.2">
      <c r="A359" s="14"/>
    </row>
    <row r="360" spans="1:1" x14ac:dyDescent="0.2">
      <c r="A360" s="14"/>
    </row>
    <row r="361" spans="1:1" x14ac:dyDescent="0.2">
      <c r="A361" s="14"/>
    </row>
    <row r="362" spans="1:1" x14ac:dyDescent="0.2">
      <c r="A362" s="14"/>
    </row>
    <row r="363" spans="1:1" x14ac:dyDescent="0.2">
      <c r="A363" s="14"/>
    </row>
    <row r="364" spans="1:1" x14ac:dyDescent="0.2">
      <c r="A364" s="14"/>
    </row>
    <row r="365" spans="1:1" x14ac:dyDescent="0.2">
      <c r="A365" s="14"/>
    </row>
    <row r="366" spans="1:1" x14ac:dyDescent="0.2">
      <c r="A366" s="14"/>
    </row>
    <row r="367" spans="1:1" x14ac:dyDescent="0.2">
      <c r="A367" s="14"/>
    </row>
    <row r="368" spans="1:1" x14ac:dyDescent="0.2">
      <c r="A368" s="14"/>
    </row>
    <row r="369" spans="1:1" x14ac:dyDescent="0.2">
      <c r="A369" s="14"/>
    </row>
    <row r="370" spans="1:1" x14ac:dyDescent="0.2">
      <c r="A370" s="14"/>
    </row>
    <row r="371" spans="1:1" x14ac:dyDescent="0.2">
      <c r="A371" s="14"/>
    </row>
    <row r="372" spans="1:1" x14ac:dyDescent="0.2">
      <c r="A372" s="14"/>
    </row>
    <row r="373" spans="1:1" x14ac:dyDescent="0.2">
      <c r="A373" s="14"/>
    </row>
    <row r="374" spans="1:1" x14ac:dyDescent="0.2">
      <c r="A374" s="14"/>
    </row>
    <row r="375" spans="1:1" x14ac:dyDescent="0.2">
      <c r="A375" s="14"/>
    </row>
    <row r="376" spans="1:1" x14ac:dyDescent="0.2">
      <c r="A376" s="14"/>
    </row>
    <row r="377" spans="1:1" x14ac:dyDescent="0.2">
      <c r="A377" s="14"/>
    </row>
    <row r="378" spans="1:1" x14ac:dyDescent="0.2">
      <c r="A378" s="14"/>
    </row>
    <row r="379" spans="1:1" x14ac:dyDescent="0.2">
      <c r="A379" s="14"/>
    </row>
    <row r="380" spans="1:1" x14ac:dyDescent="0.2">
      <c r="A380" s="14"/>
    </row>
    <row r="381" spans="1:1" x14ac:dyDescent="0.2">
      <c r="A381" s="14"/>
    </row>
    <row r="382" spans="1:1" x14ac:dyDescent="0.2">
      <c r="A382" s="14"/>
    </row>
    <row r="383" spans="1:1" x14ac:dyDescent="0.2">
      <c r="A383" s="14"/>
    </row>
    <row r="384" spans="1:1" x14ac:dyDescent="0.2">
      <c r="A384" s="14"/>
    </row>
    <row r="385" spans="1:1" x14ac:dyDescent="0.2">
      <c r="A385" s="14"/>
    </row>
    <row r="386" spans="1:1" x14ac:dyDescent="0.2">
      <c r="A386" s="14"/>
    </row>
    <row r="387" spans="1:1" x14ac:dyDescent="0.2">
      <c r="A387" s="14"/>
    </row>
    <row r="388" spans="1:1" x14ac:dyDescent="0.2">
      <c r="A388" s="14"/>
    </row>
    <row r="389" spans="1:1" x14ac:dyDescent="0.2">
      <c r="A389" s="14"/>
    </row>
    <row r="390" spans="1:1" x14ac:dyDescent="0.2">
      <c r="A390" s="14"/>
    </row>
    <row r="391" spans="1:1" x14ac:dyDescent="0.2">
      <c r="A391" s="14"/>
    </row>
    <row r="392" spans="1:1" x14ac:dyDescent="0.2">
      <c r="A392" s="14"/>
    </row>
    <row r="393" spans="1:1" x14ac:dyDescent="0.2">
      <c r="A393" s="14"/>
    </row>
    <row r="394" spans="1:1" x14ac:dyDescent="0.2">
      <c r="A394" s="14"/>
    </row>
    <row r="395" spans="1:1" x14ac:dyDescent="0.2">
      <c r="A395" s="14"/>
    </row>
    <row r="396" spans="1:1" x14ac:dyDescent="0.2">
      <c r="A396" s="14"/>
    </row>
    <row r="397" spans="1:1" x14ac:dyDescent="0.2">
      <c r="A397" s="14"/>
    </row>
    <row r="398" spans="1:1" x14ac:dyDescent="0.2">
      <c r="A398" s="14"/>
    </row>
    <row r="399" spans="1:1" x14ac:dyDescent="0.2">
      <c r="A399" s="14"/>
    </row>
    <row r="400" spans="1:1" x14ac:dyDescent="0.2">
      <c r="A400" s="14"/>
    </row>
    <row r="401" spans="1:1" x14ac:dyDescent="0.2">
      <c r="A401" s="14"/>
    </row>
    <row r="402" spans="1:1" x14ac:dyDescent="0.2">
      <c r="A402" s="14"/>
    </row>
    <row r="403" spans="1:1" x14ac:dyDescent="0.2">
      <c r="A403" s="14"/>
    </row>
    <row r="404" spans="1:1" x14ac:dyDescent="0.2">
      <c r="A404" s="14"/>
    </row>
    <row r="405" spans="1:1" x14ac:dyDescent="0.2">
      <c r="A405" s="14"/>
    </row>
    <row r="406" spans="1:1" x14ac:dyDescent="0.2">
      <c r="A406" s="14"/>
    </row>
    <row r="407" spans="1:1" x14ac:dyDescent="0.2">
      <c r="A407" s="14"/>
    </row>
    <row r="408" spans="1:1" x14ac:dyDescent="0.2">
      <c r="A408" s="14"/>
    </row>
    <row r="409" spans="1:1" x14ac:dyDescent="0.2">
      <c r="A409" s="14"/>
    </row>
    <row r="410" spans="1:1" x14ac:dyDescent="0.2">
      <c r="A410" s="14"/>
    </row>
    <row r="411" spans="1:1" x14ac:dyDescent="0.2">
      <c r="A411" s="14"/>
    </row>
    <row r="412" spans="1:1" x14ac:dyDescent="0.2">
      <c r="A412" s="14"/>
    </row>
    <row r="413" spans="1:1" x14ac:dyDescent="0.2">
      <c r="A413" s="14"/>
    </row>
    <row r="414" spans="1:1" x14ac:dyDescent="0.2">
      <c r="A414" s="14"/>
    </row>
    <row r="415" spans="1:1" x14ac:dyDescent="0.2">
      <c r="A415" s="14"/>
    </row>
    <row r="416" spans="1:1" x14ac:dyDescent="0.2">
      <c r="A416" s="14"/>
    </row>
    <row r="417" spans="1:1" x14ac:dyDescent="0.2">
      <c r="A417" s="14"/>
    </row>
    <row r="418" spans="1:1" x14ac:dyDescent="0.2">
      <c r="A418" s="14"/>
    </row>
    <row r="419" spans="1:1" x14ac:dyDescent="0.2">
      <c r="A419" s="14"/>
    </row>
    <row r="420" spans="1:1" x14ac:dyDescent="0.2">
      <c r="A420" s="14"/>
    </row>
    <row r="421" spans="1:1" x14ac:dyDescent="0.2">
      <c r="A421" s="14"/>
    </row>
    <row r="422" spans="1:1" x14ac:dyDescent="0.2">
      <c r="A422" s="14"/>
    </row>
    <row r="423" spans="1:1" x14ac:dyDescent="0.2">
      <c r="A423" s="14"/>
    </row>
    <row r="424" spans="1:1" x14ac:dyDescent="0.2">
      <c r="A424" s="14"/>
    </row>
    <row r="425" spans="1:1" x14ac:dyDescent="0.2">
      <c r="A425" s="14"/>
    </row>
    <row r="426" spans="1:1" x14ac:dyDescent="0.2">
      <c r="A426" s="14"/>
    </row>
    <row r="427" spans="1:1" x14ac:dyDescent="0.2">
      <c r="A427" s="14"/>
    </row>
    <row r="428" spans="1:1" x14ac:dyDescent="0.2">
      <c r="A428" s="14"/>
    </row>
    <row r="429" spans="1:1" x14ac:dyDescent="0.2">
      <c r="A429" s="14"/>
    </row>
    <row r="430" spans="1:1" x14ac:dyDescent="0.2">
      <c r="A430" s="14"/>
    </row>
    <row r="431" spans="1:1" x14ac:dyDescent="0.2">
      <c r="A431" s="14"/>
    </row>
    <row r="432" spans="1:1" x14ac:dyDescent="0.2">
      <c r="A432" s="14"/>
    </row>
    <row r="433" spans="1:1" x14ac:dyDescent="0.2">
      <c r="A433" s="14"/>
    </row>
    <row r="434" spans="1:1" x14ac:dyDescent="0.2">
      <c r="A434" s="14"/>
    </row>
    <row r="435" spans="1:1" x14ac:dyDescent="0.2">
      <c r="A435" s="14"/>
    </row>
    <row r="436" spans="1:1" x14ac:dyDescent="0.2">
      <c r="A436" s="14"/>
    </row>
    <row r="437" spans="1:1" x14ac:dyDescent="0.2">
      <c r="A437" s="14"/>
    </row>
    <row r="438" spans="1:1" x14ac:dyDescent="0.2">
      <c r="A438" s="14"/>
    </row>
    <row r="439" spans="1:1" x14ac:dyDescent="0.2">
      <c r="A439" s="14"/>
    </row>
    <row r="440" spans="1:1" x14ac:dyDescent="0.2">
      <c r="A440" s="14"/>
    </row>
    <row r="441" spans="1:1" x14ac:dyDescent="0.2">
      <c r="A441" s="14"/>
    </row>
    <row r="442" spans="1:1" x14ac:dyDescent="0.2">
      <c r="A442" s="14"/>
    </row>
    <row r="443" spans="1:1" x14ac:dyDescent="0.2">
      <c r="A443" s="14"/>
    </row>
    <row r="444" spans="1:1" x14ac:dyDescent="0.2">
      <c r="A444" s="14"/>
    </row>
    <row r="445" spans="1:1" x14ac:dyDescent="0.2">
      <c r="A445" s="14"/>
    </row>
    <row r="446" spans="1:1" x14ac:dyDescent="0.2">
      <c r="A446" s="14"/>
    </row>
    <row r="447" spans="1:1" x14ac:dyDescent="0.2">
      <c r="A447" s="14"/>
    </row>
    <row r="448" spans="1:1" x14ac:dyDescent="0.2">
      <c r="A448" s="14"/>
    </row>
    <row r="449" spans="1:1" x14ac:dyDescent="0.2">
      <c r="A449" s="14"/>
    </row>
    <row r="450" spans="1:1" x14ac:dyDescent="0.2">
      <c r="A450" s="14"/>
    </row>
    <row r="451" spans="1:1" x14ac:dyDescent="0.2">
      <c r="A451" s="14"/>
    </row>
    <row r="452" spans="1:1" x14ac:dyDescent="0.2">
      <c r="A452" s="14"/>
    </row>
    <row r="453" spans="1:1" x14ac:dyDescent="0.2">
      <c r="A453" s="14"/>
    </row>
    <row r="454" spans="1:1" x14ac:dyDescent="0.2">
      <c r="A454" s="14"/>
    </row>
    <row r="455" spans="1:1" x14ac:dyDescent="0.2">
      <c r="A455" s="14"/>
    </row>
    <row r="456" spans="1:1" x14ac:dyDescent="0.2">
      <c r="A456" s="14"/>
    </row>
    <row r="457" spans="1:1" x14ac:dyDescent="0.2">
      <c r="A457" s="14"/>
    </row>
    <row r="458" spans="1:1" x14ac:dyDescent="0.2">
      <c r="A458" s="14"/>
    </row>
    <row r="459" spans="1:1" x14ac:dyDescent="0.2">
      <c r="A459" s="14"/>
    </row>
    <row r="460" spans="1:1" x14ac:dyDescent="0.2">
      <c r="A460" s="14"/>
    </row>
    <row r="461" spans="1:1" x14ac:dyDescent="0.2">
      <c r="A461" s="14"/>
    </row>
    <row r="462" spans="1:1" x14ac:dyDescent="0.2">
      <c r="A462" s="14"/>
    </row>
    <row r="463" spans="1:1" x14ac:dyDescent="0.2">
      <c r="A463" s="14"/>
    </row>
    <row r="464" spans="1:1" x14ac:dyDescent="0.2">
      <c r="A464" s="14"/>
    </row>
    <row r="465" spans="1:1" x14ac:dyDescent="0.2">
      <c r="A465" s="14"/>
    </row>
    <row r="466" spans="1:1" x14ac:dyDescent="0.2">
      <c r="A466" s="14"/>
    </row>
    <row r="467" spans="1:1" x14ac:dyDescent="0.2">
      <c r="A467" s="14"/>
    </row>
    <row r="468" spans="1:1" x14ac:dyDescent="0.2">
      <c r="A468" s="14"/>
    </row>
    <row r="469" spans="1:1" x14ac:dyDescent="0.2">
      <c r="A469" s="14"/>
    </row>
    <row r="470" spans="1:1" x14ac:dyDescent="0.2">
      <c r="A470" s="14"/>
    </row>
    <row r="471" spans="1:1" x14ac:dyDescent="0.2">
      <c r="A471" s="14"/>
    </row>
    <row r="472" spans="1:1" x14ac:dyDescent="0.2">
      <c r="A472" s="14"/>
    </row>
    <row r="473" spans="1:1" x14ac:dyDescent="0.2">
      <c r="A473" s="14"/>
    </row>
    <row r="474" spans="1:1" x14ac:dyDescent="0.2">
      <c r="A474" s="14"/>
    </row>
    <row r="475" spans="1:1" x14ac:dyDescent="0.2">
      <c r="A475" s="14"/>
    </row>
    <row r="476" spans="1:1" x14ac:dyDescent="0.2">
      <c r="A476" s="14"/>
    </row>
    <row r="477" spans="1:1" x14ac:dyDescent="0.2">
      <c r="A477" s="14"/>
    </row>
    <row r="478" spans="1:1" x14ac:dyDescent="0.2">
      <c r="A478" s="14"/>
    </row>
    <row r="479" spans="1:1" x14ac:dyDescent="0.2">
      <c r="A479" s="14"/>
    </row>
    <row r="480" spans="1:1" x14ac:dyDescent="0.2">
      <c r="A480" s="14"/>
    </row>
    <row r="481" spans="1:1" x14ac:dyDescent="0.2">
      <c r="A481" s="14"/>
    </row>
    <row r="482" spans="1:1" x14ac:dyDescent="0.2">
      <c r="A482" s="14"/>
    </row>
    <row r="483" spans="1:1" x14ac:dyDescent="0.2">
      <c r="A483" s="14"/>
    </row>
    <row r="484" spans="1:1" x14ac:dyDescent="0.2">
      <c r="A484" s="14"/>
    </row>
    <row r="485" spans="1:1" x14ac:dyDescent="0.2">
      <c r="A485" s="14"/>
    </row>
    <row r="486" spans="1:1" x14ac:dyDescent="0.2">
      <c r="A486" s="14"/>
    </row>
    <row r="487" spans="1:1" x14ac:dyDescent="0.2">
      <c r="A487" s="14"/>
    </row>
    <row r="488" spans="1:1" x14ac:dyDescent="0.2">
      <c r="A488" s="14"/>
    </row>
    <row r="489" spans="1:1" x14ac:dyDescent="0.2">
      <c r="A489" s="14"/>
    </row>
    <row r="490" spans="1:1" x14ac:dyDescent="0.2">
      <c r="A490" s="14"/>
    </row>
    <row r="491" spans="1:1" x14ac:dyDescent="0.2">
      <c r="A491" s="14"/>
    </row>
    <row r="492" spans="1:1" x14ac:dyDescent="0.2">
      <c r="A492" s="14"/>
    </row>
    <row r="493" spans="1:1" x14ac:dyDescent="0.2">
      <c r="A493" s="14"/>
    </row>
    <row r="494" spans="1:1" x14ac:dyDescent="0.2">
      <c r="A494" s="14"/>
    </row>
    <row r="495" spans="1:1" x14ac:dyDescent="0.2">
      <c r="A495" s="14"/>
    </row>
    <row r="496" spans="1:1" x14ac:dyDescent="0.2">
      <c r="A496" s="14"/>
    </row>
    <row r="497" spans="1:1" x14ac:dyDescent="0.2">
      <c r="A497" s="14"/>
    </row>
    <row r="498" spans="1:1" x14ac:dyDescent="0.2">
      <c r="A498" s="14"/>
    </row>
    <row r="499" spans="1:1" x14ac:dyDescent="0.2">
      <c r="A499" s="14"/>
    </row>
    <row r="500" spans="1:1" x14ac:dyDescent="0.2">
      <c r="A500" s="14"/>
    </row>
    <row r="501" spans="1:1" x14ac:dyDescent="0.2">
      <c r="A501" s="14"/>
    </row>
    <row r="502" spans="1:1" x14ac:dyDescent="0.2">
      <c r="A502" s="14"/>
    </row>
    <row r="503" spans="1:1" x14ac:dyDescent="0.2">
      <c r="A503" s="14"/>
    </row>
    <row r="504" spans="1:1" x14ac:dyDescent="0.2">
      <c r="A504" s="14"/>
    </row>
    <row r="505" spans="1:1" x14ac:dyDescent="0.2">
      <c r="A505" s="14"/>
    </row>
    <row r="506" spans="1:1" x14ac:dyDescent="0.2">
      <c r="A506" s="14"/>
    </row>
    <row r="507" spans="1:1" x14ac:dyDescent="0.2">
      <c r="A507" s="14"/>
    </row>
    <row r="508" spans="1:1" x14ac:dyDescent="0.2">
      <c r="A508" s="14"/>
    </row>
    <row r="509" spans="1:1" x14ac:dyDescent="0.2">
      <c r="A509" s="14"/>
    </row>
    <row r="510" spans="1:1" x14ac:dyDescent="0.2">
      <c r="A510" s="14"/>
    </row>
    <row r="511" spans="1:1" x14ac:dyDescent="0.2">
      <c r="A511" s="14"/>
    </row>
    <row r="512" spans="1:1" x14ac:dyDescent="0.2">
      <c r="A512" s="14"/>
    </row>
    <row r="513" spans="1:1" x14ac:dyDescent="0.2">
      <c r="A513" s="14"/>
    </row>
    <row r="514" spans="1:1" x14ac:dyDescent="0.2">
      <c r="A514" s="14"/>
    </row>
    <row r="515" spans="1:1" x14ac:dyDescent="0.2">
      <c r="A515" s="14"/>
    </row>
    <row r="516" spans="1:1" x14ac:dyDescent="0.2">
      <c r="A516" s="14"/>
    </row>
    <row r="517" spans="1:1" x14ac:dyDescent="0.2">
      <c r="A517" s="14"/>
    </row>
    <row r="518" spans="1:1" x14ac:dyDescent="0.2">
      <c r="A518" s="14"/>
    </row>
    <row r="519" spans="1:1" x14ac:dyDescent="0.2">
      <c r="A519" s="14"/>
    </row>
    <row r="520" spans="1:1" x14ac:dyDescent="0.2">
      <c r="A520" s="14"/>
    </row>
    <row r="521" spans="1:1" x14ac:dyDescent="0.2">
      <c r="A521" s="14"/>
    </row>
    <row r="522" spans="1:1" x14ac:dyDescent="0.2">
      <c r="A522" s="14"/>
    </row>
    <row r="523" spans="1:1" x14ac:dyDescent="0.2">
      <c r="A523" s="14"/>
    </row>
    <row r="524" spans="1:1" x14ac:dyDescent="0.2">
      <c r="A524" s="14"/>
    </row>
    <row r="525" spans="1:1" x14ac:dyDescent="0.2">
      <c r="A525" s="14"/>
    </row>
    <row r="526" spans="1:1" x14ac:dyDescent="0.2">
      <c r="A526" s="14"/>
    </row>
    <row r="527" spans="1:1" x14ac:dyDescent="0.2">
      <c r="A527" s="14"/>
    </row>
    <row r="528" spans="1:1" x14ac:dyDescent="0.2">
      <c r="A528" s="14"/>
    </row>
    <row r="529" spans="1:1" x14ac:dyDescent="0.2">
      <c r="A529" s="14"/>
    </row>
    <row r="530" spans="1:1" x14ac:dyDescent="0.2">
      <c r="A530" s="14"/>
    </row>
    <row r="531" spans="1:1" x14ac:dyDescent="0.2">
      <c r="A531" s="14"/>
    </row>
    <row r="532" spans="1:1" x14ac:dyDescent="0.2">
      <c r="A532" s="14"/>
    </row>
    <row r="533" spans="1:1" x14ac:dyDescent="0.2">
      <c r="A533" s="14"/>
    </row>
    <row r="534" spans="1:1" x14ac:dyDescent="0.2">
      <c r="A534" s="14"/>
    </row>
    <row r="535" spans="1:1" x14ac:dyDescent="0.2">
      <c r="A535" s="14"/>
    </row>
    <row r="536" spans="1:1" x14ac:dyDescent="0.2">
      <c r="A536" s="14"/>
    </row>
    <row r="537" spans="1:1" x14ac:dyDescent="0.2">
      <c r="A537" s="14"/>
    </row>
    <row r="538" spans="1:1" x14ac:dyDescent="0.2">
      <c r="A538" s="14"/>
    </row>
    <row r="539" spans="1:1" x14ac:dyDescent="0.2">
      <c r="A539" s="14"/>
    </row>
    <row r="540" spans="1:1" x14ac:dyDescent="0.2">
      <c r="A540" s="14"/>
    </row>
    <row r="541" spans="1:1" x14ac:dyDescent="0.2">
      <c r="A541" s="14"/>
    </row>
    <row r="542" spans="1:1" x14ac:dyDescent="0.2">
      <c r="A542" s="14"/>
    </row>
    <row r="543" spans="1:1" x14ac:dyDescent="0.2">
      <c r="A543" s="14"/>
    </row>
    <row r="544" spans="1:1" x14ac:dyDescent="0.2">
      <c r="A544" s="14"/>
    </row>
    <row r="545" spans="1:1" x14ac:dyDescent="0.2">
      <c r="A545" s="14"/>
    </row>
    <row r="546" spans="1:1" x14ac:dyDescent="0.2">
      <c r="A546" s="14"/>
    </row>
    <row r="547" spans="1:1" x14ac:dyDescent="0.2">
      <c r="A547" s="14"/>
    </row>
    <row r="548" spans="1:1" x14ac:dyDescent="0.2">
      <c r="A548" s="14"/>
    </row>
    <row r="549" spans="1:1" x14ac:dyDescent="0.2">
      <c r="A549" s="14"/>
    </row>
    <row r="550" spans="1:1" x14ac:dyDescent="0.2">
      <c r="A550" s="14"/>
    </row>
    <row r="551" spans="1:1" x14ac:dyDescent="0.2">
      <c r="A551" s="14"/>
    </row>
    <row r="552" spans="1:1" x14ac:dyDescent="0.2">
      <c r="A552" s="14"/>
    </row>
    <row r="553" spans="1:1" x14ac:dyDescent="0.2">
      <c r="A553" s="14"/>
    </row>
    <row r="554" spans="1:1" x14ac:dyDescent="0.2">
      <c r="A554" s="14"/>
    </row>
    <row r="555" spans="1:1" x14ac:dyDescent="0.2">
      <c r="A555" s="14"/>
    </row>
    <row r="556" spans="1:1" x14ac:dyDescent="0.2">
      <c r="A556" s="14"/>
    </row>
    <row r="557" spans="1:1" x14ac:dyDescent="0.2">
      <c r="A557" s="14"/>
    </row>
    <row r="558" spans="1:1" x14ac:dyDescent="0.2">
      <c r="A558" s="14"/>
    </row>
    <row r="559" spans="1:1" x14ac:dyDescent="0.2">
      <c r="A559" s="14"/>
    </row>
    <row r="560" spans="1:1" x14ac:dyDescent="0.2">
      <c r="A560" s="14"/>
    </row>
    <row r="561" spans="1:1" x14ac:dyDescent="0.2">
      <c r="A561" s="14"/>
    </row>
    <row r="562" spans="1:1" x14ac:dyDescent="0.2">
      <c r="A562" s="14"/>
    </row>
    <row r="563" spans="1:1" x14ac:dyDescent="0.2">
      <c r="A563" s="14"/>
    </row>
    <row r="564" spans="1:1" x14ac:dyDescent="0.2">
      <c r="A564" s="14"/>
    </row>
    <row r="565" spans="1:1" x14ac:dyDescent="0.2">
      <c r="A565" s="14"/>
    </row>
    <row r="566" spans="1:1" x14ac:dyDescent="0.2">
      <c r="A566" s="14"/>
    </row>
    <row r="567" spans="1:1" x14ac:dyDescent="0.2">
      <c r="A567" s="14"/>
    </row>
    <row r="568" spans="1:1" x14ac:dyDescent="0.2">
      <c r="A568" s="14"/>
    </row>
    <row r="569" spans="1:1" x14ac:dyDescent="0.2">
      <c r="A569" s="14"/>
    </row>
    <row r="570" spans="1:1" x14ac:dyDescent="0.2">
      <c r="A570" s="14"/>
    </row>
    <row r="571" spans="1:1" x14ac:dyDescent="0.2">
      <c r="A571" s="14"/>
    </row>
    <row r="572" spans="1:1" x14ac:dyDescent="0.2">
      <c r="A572" s="14"/>
    </row>
    <row r="573" spans="1:1" x14ac:dyDescent="0.2">
      <c r="A573" s="14"/>
    </row>
    <row r="574" spans="1:1" x14ac:dyDescent="0.2">
      <c r="A574" s="14"/>
    </row>
    <row r="575" spans="1:1" x14ac:dyDescent="0.2">
      <c r="A575" s="14"/>
    </row>
    <row r="576" spans="1:1" x14ac:dyDescent="0.2">
      <c r="A576" s="14"/>
    </row>
    <row r="577" spans="1:1" x14ac:dyDescent="0.2">
      <c r="A577" s="14"/>
    </row>
    <row r="578" spans="1:1" x14ac:dyDescent="0.2">
      <c r="A578" s="14"/>
    </row>
    <row r="579" spans="1:1" x14ac:dyDescent="0.2">
      <c r="A579" s="14"/>
    </row>
    <row r="580" spans="1:1" x14ac:dyDescent="0.2">
      <c r="A580" s="14"/>
    </row>
    <row r="581" spans="1:1" x14ac:dyDescent="0.2">
      <c r="A581" s="14"/>
    </row>
    <row r="582" spans="1:1" x14ac:dyDescent="0.2">
      <c r="A582" s="14"/>
    </row>
    <row r="583" spans="1:1" x14ac:dyDescent="0.2">
      <c r="A583" s="14"/>
    </row>
    <row r="584" spans="1:1" x14ac:dyDescent="0.2">
      <c r="A584" s="14"/>
    </row>
    <row r="585" spans="1:1" x14ac:dyDescent="0.2">
      <c r="A585" s="14"/>
    </row>
    <row r="586" spans="1:1" x14ac:dyDescent="0.2">
      <c r="A586" s="14"/>
    </row>
    <row r="587" spans="1:1" x14ac:dyDescent="0.2">
      <c r="A587" s="14"/>
    </row>
    <row r="588" spans="1:1" x14ac:dyDescent="0.2">
      <c r="A588" s="14"/>
    </row>
    <row r="589" spans="1:1" x14ac:dyDescent="0.2">
      <c r="A589" s="14"/>
    </row>
    <row r="590" spans="1:1" x14ac:dyDescent="0.2">
      <c r="A590" s="14"/>
    </row>
    <row r="591" spans="1:1" x14ac:dyDescent="0.2">
      <c r="A591" s="14"/>
    </row>
    <row r="592" spans="1:1" x14ac:dyDescent="0.2">
      <c r="A592" s="14"/>
    </row>
    <row r="593" spans="1:1" x14ac:dyDescent="0.2">
      <c r="A593" s="14"/>
    </row>
    <row r="594" spans="1:1" x14ac:dyDescent="0.2">
      <c r="A594" s="14"/>
    </row>
    <row r="595" spans="1:1" x14ac:dyDescent="0.2">
      <c r="A595" s="14"/>
    </row>
    <row r="596" spans="1:1" x14ac:dyDescent="0.2">
      <c r="A596" s="14"/>
    </row>
    <row r="597" spans="1:1" x14ac:dyDescent="0.2">
      <c r="A597" s="14"/>
    </row>
    <row r="598" spans="1:1" x14ac:dyDescent="0.2">
      <c r="A598" s="14"/>
    </row>
    <row r="599" spans="1:1" x14ac:dyDescent="0.2">
      <c r="A599" s="14"/>
    </row>
    <row r="600" spans="1:1" x14ac:dyDescent="0.2">
      <c r="A600" s="14"/>
    </row>
    <row r="601" spans="1:1" x14ac:dyDescent="0.2">
      <c r="A601" s="14"/>
    </row>
    <row r="602" spans="1:1" x14ac:dyDescent="0.2">
      <c r="A602" s="14"/>
    </row>
    <row r="603" spans="1:1" x14ac:dyDescent="0.2">
      <c r="A603" s="14"/>
    </row>
    <row r="604" spans="1:1" x14ac:dyDescent="0.2">
      <c r="A604" s="14"/>
    </row>
    <row r="605" spans="1:1" x14ac:dyDescent="0.2">
      <c r="A605" s="14"/>
    </row>
    <row r="606" spans="1:1" x14ac:dyDescent="0.2">
      <c r="A606" s="14"/>
    </row>
    <row r="607" spans="1:1" x14ac:dyDescent="0.2">
      <c r="A607" s="14"/>
    </row>
    <row r="608" spans="1:1" x14ac:dyDescent="0.2">
      <c r="A608" s="14"/>
    </row>
    <row r="609" spans="1:1" x14ac:dyDescent="0.2">
      <c r="A609" s="14"/>
    </row>
    <row r="610" spans="1:1" x14ac:dyDescent="0.2">
      <c r="A610" s="14"/>
    </row>
    <row r="611" spans="1:1" x14ac:dyDescent="0.2">
      <c r="A611" s="14"/>
    </row>
    <row r="612" spans="1:1" x14ac:dyDescent="0.2">
      <c r="A612" s="14"/>
    </row>
    <row r="613" spans="1:1" x14ac:dyDescent="0.2">
      <c r="A613" s="14"/>
    </row>
    <row r="614" spans="1:1" x14ac:dyDescent="0.2">
      <c r="A614" s="14"/>
    </row>
    <row r="615" spans="1:1" x14ac:dyDescent="0.2">
      <c r="A615" s="14"/>
    </row>
    <row r="616" spans="1:1" x14ac:dyDescent="0.2">
      <c r="A616" s="14"/>
    </row>
    <row r="617" spans="1:1" x14ac:dyDescent="0.2">
      <c r="A617" s="14"/>
    </row>
    <row r="618" spans="1:1" x14ac:dyDescent="0.2">
      <c r="A618" s="14"/>
    </row>
    <row r="619" spans="1:1" x14ac:dyDescent="0.2">
      <c r="A619" s="14"/>
    </row>
    <row r="620" spans="1:1" x14ac:dyDescent="0.2">
      <c r="A620" s="14"/>
    </row>
    <row r="621" spans="1:1" x14ac:dyDescent="0.2">
      <c r="A621" s="14"/>
    </row>
    <row r="622" spans="1:1" x14ac:dyDescent="0.2">
      <c r="A622" s="14"/>
    </row>
    <row r="623" spans="1:1" x14ac:dyDescent="0.2">
      <c r="A623" s="14"/>
    </row>
    <row r="624" spans="1:1" x14ac:dyDescent="0.2">
      <c r="A624" s="14"/>
    </row>
    <row r="625" spans="1:1" x14ac:dyDescent="0.2">
      <c r="A625" s="14"/>
    </row>
    <row r="626" spans="1:1" x14ac:dyDescent="0.2">
      <c r="A626" s="14"/>
    </row>
    <row r="627" spans="1:1" x14ac:dyDescent="0.2">
      <c r="A627" s="14"/>
    </row>
    <row r="628" spans="1:1" x14ac:dyDescent="0.2">
      <c r="A628" s="14"/>
    </row>
    <row r="629" spans="1:1" x14ac:dyDescent="0.2">
      <c r="A629" s="14"/>
    </row>
    <row r="630" spans="1:1" x14ac:dyDescent="0.2">
      <c r="A630" s="14"/>
    </row>
    <row r="631" spans="1:1" x14ac:dyDescent="0.2">
      <c r="A631" s="14"/>
    </row>
    <row r="632" spans="1:1" x14ac:dyDescent="0.2">
      <c r="A632" s="14"/>
    </row>
    <row r="633" spans="1:1" x14ac:dyDescent="0.2">
      <c r="A633" s="14"/>
    </row>
    <row r="634" spans="1:1" x14ac:dyDescent="0.2">
      <c r="A634" s="14"/>
    </row>
    <row r="635" spans="1:1" x14ac:dyDescent="0.2">
      <c r="A635" s="14"/>
    </row>
    <row r="636" spans="1:1" x14ac:dyDescent="0.2">
      <c r="A636" s="14"/>
    </row>
    <row r="637" spans="1:1" x14ac:dyDescent="0.2">
      <c r="A637" s="14"/>
    </row>
    <row r="638" spans="1:1" x14ac:dyDescent="0.2">
      <c r="A638" s="14"/>
    </row>
    <row r="639" spans="1:1" x14ac:dyDescent="0.2">
      <c r="A639" s="14"/>
    </row>
    <row r="640" spans="1:1" x14ac:dyDescent="0.2">
      <c r="A640" s="14"/>
    </row>
    <row r="641" spans="1:1" x14ac:dyDescent="0.2">
      <c r="A641" s="14"/>
    </row>
    <row r="642" spans="1:1" x14ac:dyDescent="0.2">
      <c r="A642" s="14"/>
    </row>
    <row r="643" spans="1:1" x14ac:dyDescent="0.2">
      <c r="A643" s="14"/>
    </row>
    <row r="644" spans="1:1" x14ac:dyDescent="0.2">
      <c r="A644" s="14"/>
    </row>
    <row r="645" spans="1:1" x14ac:dyDescent="0.2">
      <c r="A645" s="14"/>
    </row>
    <row r="646" spans="1:1" x14ac:dyDescent="0.2">
      <c r="A646" s="14"/>
    </row>
    <row r="647" spans="1:1" x14ac:dyDescent="0.2">
      <c r="A647" s="14"/>
    </row>
    <row r="648" spans="1:1" x14ac:dyDescent="0.2">
      <c r="A648" s="14"/>
    </row>
    <row r="649" spans="1:1" x14ac:dyDescent="0.2">
      <c r="A649" s="14"/>
    </row>
    <row r="650" spans="1:1" x14ac:dyDescent="0.2">
      <c r="A650" s="14"/>
    </row>
    <row r="651" spans="1:1" x14ac:dyDescent="0.2">
      <c r="A651" s="14"/>
    </row>
    <row r="652" spans="1:1" x14ac:dyDescent="0.2">
      <c r="A652" s="14"/>
    </row>
    <row r="653" spans="1:1" x14ac:dyDescent="0.2">
      <c r="A653" s="14"/>
    </row>
    <row r="654" spans="1:1" x14ac:dyDescent="0.2">
      <c r="A654" s="14"/>
    </row>
    <row r="655" spans="1:1" x14ac:dyDescent="0.2">
      <c r="A655" s="14"/>
    </row>
    <row r="656" spans="1:1" x14ac:dyDescent="0.2">
      <c r="A656" s="14"/>
    </row>
    <row r="657" spans="1:1" x14ac:dyDescent="0.2">
      <c r="A657" s="14"/>
    </row>
    <row r="658" spans="1:1" x14ac:dyDescent="0.2">
      <c r="A658" s="14"/>
    </row>
    <row r="659" spans="1:1" x14ac:dyDescent="0.2">
      <c r="A659" s="14"/>
    </row>
    <row r="660" spans="1:1" x14ac:dyDescent="0.2">
      <c r="A660" s="14"/>
    </row>
    <row r="661" spans="1:1" x14ac:dyDescent="0.2">
      <c r="A661" s="14"/>
    </row>
    <row r="662" spans="1:1" x14ac:dyDescent="0.2">
      <c r="A662" s="14"/>
    </row>
    <row r="663" spans="1:1" x14ac:dyDescent="0.2">
      <c r="A663" s="14"/>
    </row>
    <row r="664" spans="1:1" x14ac:dyDescent="0.2">
      <c r="A664" s="14"/>
    </row>
    <row r="665" spans="1:1" x14ac:dyDescent="0.2">
      <c r="A665" s="14"/>
    </row>
    <row r="666" spans="1:1" x14ac:dyDescent="0.2">
      <c r="A666" s="14"/>
    </row>
    <row r="667" spans="1:1" x14ac:dyDescent="0.2">
      <c r="A667" s="14"/>
    </row>
    <row r="668" spans="1:1" x14ac:dyDescent="0.2">
      <c r="A668" s="14"/>
    </row>
    <row r="669" spans="1:1" x14ac:dyDescent="0.2">
      <c r="A669" s="14"/>
    </row>
    <row r="670" spans="1:1" x14ac:dyDescent="0.2">
      <c r="A670" s="14"/>
    </row>
    <row r="671" spans="1:1" x14ac:dyDescent="0.2">
      <c r="A671" s="14"/>
    </row>
    <row r="672" spans="1:1" x14ac:dyDescent="0.2">
      <c r="A672" s="14"/>
    </row>
    <row r="673" spans="1:1" x14ac:dyDescent="0.2">
      <c r="A673" s="14"/>
    </row>
    <row r="674" spans="1:1" x14ac:dyDescent="0.2">
      <c r="A674" s="14"/>
    </row>
    <row r="675" spans="1:1" x14ac:dyDescent="0.2">
      <c r="A675" s="14"/>
    </row>
    <row r="676" spans="1:1" x14ac:dyDescent="0.2">
      <c r="A676" s="14"/>
    </row>
    <row r="677" spans="1:1" x14ac:dyDescent="0.2">
      <c r="A677" s="14"/>
    </row>
    <row r="678" spans="1:1" x14ac:dyDescent="0.2">
      <c r="A678" s="14"/>
    </row>
    <row r="679" spans="1:1" x14ac:dyDescent="0.2">
      <c r="A679" s="14"/>
    </row>
    <row r="680" spans="1:1" x14ac:dyDescent="0.2">
      <c r="A680" s="14"/>
    </row>
    <row r="681" spans="1:1" x14ac:dyDescent="0.2">
      <c r="A681" s="14"/>
    </row>
    <row r="682" spans="1:1" x14ac:dyDescent="0.2">
      <c r="A682" s="14"/>
    </row>
    <row r="683" spans="1:1" x14ac:dyDescent="0.2">
      <c r="A683" s="14"/>
    </row>
    <row r="684" spans="1:1" x14ac:dyDescent="0.2">
      <c r="A684" s="14"/>
    </row>
    <row r="685" spans="1:1" x14ac:dyDescent="0.2">
      <c r="A685" s="14"/>
    </row>
    <row r="686" spans="1:1" x14ac:dyDescent="0.2">
      <c r="A686" s="14"/>
    </row>
    <row r="687" spans="1:1" x14ac:dyDescent="0.2">
      <c r="A687" s="14"/>
    </row>
    <row r="688" spans="1:1" x14ac:dyDescent="0.2">
      <c r="A688" s="14"/>
    </row>
    <row r="689" spans="1:1" x14ac:dyDescent="0.2">
      <c r="A689" s="14"/>
    </row>
    <row r="690" spans="1:1" x14ac:dyDescent="0.2">
      <c r="A690" s="14"/>
    </row>
    <row r="691" spans="1:1" x14ac:dyDescent="0.2">
      <c r="A691" s="14"/>
    </row>
    <row r="692" spans="1:1" x14ac:dyDescent="0.2">
      <c r="A692" s="14"/>
    </row>
    <row r="693" spans="1:1" x14ac:dyDescent="0.2">
      <c r="A693" s="14"/>
    </row>
    <row r="694" spans="1:1" x14ac:dyDescent="0.2">
      <c r="A694" s="14"/>
    </row>
    <row r="695" spans="1:1" x14ac:dyDescent="0.2">
      <c r="A695" s="14"/>
    </row>
    <row r="696" spans="1:1" x14ac:dyDescent="0.2">
      <c r="A696" s="14"/>
    </row>
    <row r="697" spans="1:1" x14ac:dyDescent="0.2">
      <c r="A697" s="14"/>
    </row>
    <row r="698" spans="1:1" x14ac:dyDescent="0.2">
      <c r="A698" s="14"/>
    </row>
    <row r="699" spans="1:1" x14ac:dyDescent="0.2">
      <c r="A699" s="14"/>
    </row>
    <row r="700" spans="1:1" x14ac:dyDescent="0.2">
      <c r="A700" s="14"/>
    </row>
    <row r="701" spans="1:1" x14ac:dyDescent="0.2">
      <c r="A701" s="14"/>
    </row>
    <row r="702" spans="1:1" x14ac:dyDescent="0.2">
      <c r="A702" s="14"/>
    </row>
    <row r="703" spans="1:1" x14ac:dyDescent="0.2">
      <c r="A703" s="14"/>
    </row>
    <row r="704" spans="1:1" x14ac:dyDescent="0.2">
      <c r="A704" s="14"/>
    </row>
    <row r="705" spans="1:1" x14ac:dyDescent="0.2">
      <c r="A705" s="14"/>
    </row>
    <row r="706" spans="1:1" x14ac:dyDescent="0.2">
      <c r="A706" s="14"/>
    </row>
    <row r="707" spans="1:1" x14ac:dyDescent="0.2">
      <c r="A707" s="14"/>
    </row>
    <row r="708" spans="1:1" x14ac:dyDescent="0.2">
      <c r="A708" s="14"/>
    </row>
    <row r="709" spans="1:1" x14ac:dyDescent="0.2">
      <c r="A709" s="14"/>
    </row>
    <row r="710" spans="1:1" x14ac:dyDescent="0.2">
      <c r="A710" s="14"/>
    </row>
    <row r="711" spans="1:1" x14ac:dyDescent="0.2">
      <c r="A711" s="14"/>
    </row>
    <row r="712" spans="1:1" x14ac:dyDescent="0.2">
      <c r="A712" s="14"/>
    </row>
    <row r="713" spans="1:1" x14ac:dyDescent="0.2">
      <c r="A713" s="14"/>
    </row>
    <row r="714" spans="1:1" x14ac:dyDescent="0.2">
      <c r="A714" s="14"/>
    </row>
    <row r="715" spans="1:1" x14ac:dyDescent="0.2">
      <c r="A715" s="14"/>
    </row>
    <row r="716" spans="1:1" x14ac:dyDescent="0.2">
      <c r="A716" s="14"/>
    </row>
    <row r="717" spans="1:1" x14ac:dyDescent="0.2">
      <c r="A717" s="14"/>
    </row>
    <row r="718" spans="1:1" x14ac:dyDescent="0.2">
      <c r="A718" s="14"/>
    </row>
    <row r="719" spans="1:1" x14ac:dyDescent="0.2">
      <c r="A719" s="14"/>
    </row>
    <row r="720" spans="1:1" x14ac:dyDescent="0.2">
      <c r="A720" s="14"/>
    </row>
    <row r="721" spans="1:1" x14ac:dyDescent="0.2">
      <c r="A721" s="14"/>
    </row>
    <row r="722" spans="1:1" x14ac:dyDescent="0.2">
      <c r="A722" s="14"/>
    </row>
    <row r="723" spans="1:1" x14ac:dyDescent="0.2">
      <c r="A723" s="14"/>
    </row>
    <row r="724" spans="1:1" x14ac:dyDescent="0.2">
      <c r="A724" s="14"/>
    </row>
    <row r="725" spans="1:1" x14ac:dyDescent="0.2">
      <c r="A725" s="14"/>
    </row>
    <row r="726" spans="1:1" x14ac:dyDescent="0.2">
      <c r="A726" s="14"/>
    </row>
    <row r="727" spans="1:1" x14ac:dyDescent="0.2">
      <c r="A727" s="14"/>
    </row>
    <row r="728" spans="1:1" x14ac:dyDescent="0.2">
      <c r="A728" s="14"/>
    </row>
    <row r="729" spans="1:1" x14ac:dyDescent="0.2">
      <c r="A729" s="14"/>
    </row>
    <row r="730" spans="1:1" x14ac:dyDescent="0.2">
      <c r="A730" s="14"/>
    </row>
    <row r="731" spans="1:1" x14ac:dyDescent="0.2">
      <c r="A731" s="14"/>
    </row>
    <row r="732" spans="1:1" x14ac:dyDescent="0.2">
      <c r="A732" s="14"/>
    </row>
    <row r="733" spans="1:1" x14ac:dyDescent="0.2">
      <c r="A733" s="14"/>
    </row>
    <row r="734" spans="1:1" x14ac:dyDescent="0.2">
      <c r="A734" s="14"/>
    </row>
    <row r="735" spans="1:1" x14ac:dyDescent="0.2">
      <c r="A735" s="14"/>
    </row>
    <row r="736" spans="1:1" x14ac:dyDescent="0.2">
      <c r="A736" s="14"/>
    </row>
    <row r="737" spans="1:1" x14ac:dyDescent="0.2">
      <c r="A737" s="14"/>
    </row>
    <row r="738" spans="1:1" x14ac:dyDescent="0.2">
      <c r="A738" s="14"/>
    </row>
    <row r="739" spans="1:1" x14ac:dyDescent="0.2">
      <c r="A739" s="14"/>
    </row>
    <row r="740" spans="1:1" x14ac:dyDescent="0.2">
      <c r="A740" s="14"/>
    </row>
    <row r="741" spans="1:1" x14ac:dyDescent="0.2">
      <c r="A741" s="14"/>
    </row>
    <row r="742" spans="1:1" x14ac:dyDescent="0.2">
      <c r="A742" s="14"/>
    </row>
    <row r="743" spans="1:1" x14ac:dyDescent="0.2">
      <c r="A743" s="14"/>
    </row>
    <row r="744" spans="1:1" x14ac:dyDescent="0.2">
      <c r="A744" s="14"/>
    </row>
    <row r="745" spans="1:1" x14ac:dyDescent="0.2">
      <c r="A745" s="14"/>
    </row>
    <row r="746" spans="1:1" x14ac:dyDescent="0.2">
      <c r="A746" s="14"/>
    </row>
    <row r="747" spans="1:1" x14ac:dyDescent="0.2">
      <c r="A747" s="14"/>
    </row>
    <row r="748" spans="1:1" x14ac:dyDescent="0.2">
      <c r="A748" s="14"/>
    </row>
    <row r="749" spans="1:1" x14ac:dyDescent="0.2">
      <c r="A749" s="14"/>
    </row>
    <row r="750" spans="1:1" x14ac:dyDescent="0.2">
      <c r="A750" s="14"/>
    </row>
    <row r="751" spans="1:1" x14ac:dyDescent="0.2">
      <c r="A751" s="14"/>
    </row>
    <row r="752" spans="1:1" x14ac:dyDescent="0.2">
      <c r="A752" s="14"/>
    </row>
    <row r="753" spans="1:1" x14ac:dyDescent="0.2">
      <c r="A753" s="14"/>
    </row>
    <row r="754" spans="1:1" x14ac:dyDescent="0.2">
      <c r="A754" s="14"/>
    </row>
    <row r="755" spans="1:1" x14ac:dyDescent="0.2">
      <c r="A755" s="14"/>
    </row>
    <row r="756" spans="1:1" x14ac:dyDescent="0.2">
      <c r="A756" s="14"/>
    </row>
    <row r="757" spans="1:1" x14ac:dyDescent="0.2">
      <c r="A757" s="14"/>
    </row>
    <row r="758" spans="1:1" x14ac:dyDescent="0.2">
      <c r="A758" s="14"/>
    </row>
    <row r="759" spans="1:1" x14ac:dyDescent="0.2">
      <c r="A759" s="14"/>
    </row>
    <row r="760" spans="1:1" x14ac:dyDescent="0.2">
      <c r="A760" s="14"/>
    </row>
    <row r="761" spans="1:1" x14ac:dyDescent="0.2">
      <c r="A761" s="14"/>
    </row>
    <row r="762" spans="1:1" x14ac:dyDescent="0.2">
      <c r="A762" s="14"/>
    </row>
    <row r="763" spans="1:1" x14ac:dyDescent="0.2">
      <c r="A763" s="14"/>
    </row>
    <row r="764" spans="1:1" x14ac:dyDescent="0.2">
      <c r="A764" s="14"/>
    </row>
    <row r="765" spans="1:1" x14ac:dyDescent="0.2">
      <c r="A765" s="14"/>
    </row>
    <row r="766" spans="1:1" x14ac:dyDescent="0.2">
      <c r="A766" s="14"/>
    </row>
    <row r="767" spans="1:1" x14ac:dyDescent="0.2">
      <c r="A767" s="14"/>
    </row>
    <row r="768" spans="1:1" x14ac:dyDescent="0.2">
      <c r="A768" s="14"/>
    </row>
    <row r="769" spans="1:1" x14ac:dyDescent="0.2">
      <c r="A769" s="14"/>
    </row>
    <row r="770" spans="1:1" x14ac:dyDescent="0.2">
      <c r="A770" s="14"/>
    </row>
    <row r="771" spans="1:1" x14ac:dyDescent="0.2">
      <c r="A771" s="14"/>
    </row>
    <row r="772" spans="1:1" x14ac:dyDescent="0.2">
      <c r="A772" s="14"/>
    </row>
    <row r="773" spans="1:1" x14ac:dyDescent="0.2">
      <c r="A773" s="14"/>
    </row>
    <row r="774" spans="1:1" x14ac:dyDescent="0.2">
      <c r="A774" s="14"/>
    </row>
    <row r="775" spans="1:1" x14ac:dyDescent="0.2">
      <c r="A775" s="14"/>
    </row>
    <row r="776" spans="1:1" x14ac:dyDescent="0.2">
      <c r="A776" s="14"/>
    </row>
    <row r="777" spans="1:1" x14ac:dyDescent="0.2">
      <c r="A777" s="14"/>
    </row>
    <row r="778" spans="1:1" x14ac:dyDescent="0.2">
      <c r="A778" s="14"/>
    </row>
    <row r="779" spans="1:1" x14ac:dyDescent="0.2">
      <c r="A779" s="14"/>
    </row>
    <row r="780" spans="1:1" x14ac:dyDescent="0.2">
      <c r="A780" s="14"/>
    </row>
    <row r="781" spans="1:1" x14ac:dyDescent="0.2">
      <c r="A781" s="14"/>
    </row>
    <row r="782" spans="1:1" x14ac:dyDescent="0.2">
      <c r="A782" s="14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heet8.return_to_list">
                <anchor moveWithCells="1" sizeWithCells="1">
                  <from>
                    <xdr:col>0</xdr:col>
                    <xdr:colOff>104775</xdr:colOff>
                    <xdr:row>26</xdr:row>
                    <xdr:rowOff>142875</xdr:rowOff>
                  </from>
                  <to>
                    <xdr:col>0</xdr:col>
                    <xdr:colOff>790575</xdr:colOff>
                    <xdr:row>28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Sheet8.move_to_next_record">
                <anchor moveWithCells="1" sizeWithCells="1">
                  <from>
                    <xdr:col>0</xdr:col>
                    <xdr:colOff>85725</xdr:colOff>
                    <xdr:row>12</xdr:row>
                    <xdr:rowOff>0</xdr:rowOff>
                  </from>
                  <to>
                    <xdr:col>0</xdr:col>
                    <xdr:colOff>609600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Sheet8.move_to_last_record">
                <anchor moveWithCells="1" sizeWithCells="1">
                  <from>
                    <xdr:col>0</xdr:col>
                    <xdr:colOff>66675</xdr:colOff>
                    <xdr:row>10</xdr:row>
                    <xdr:rowOff>38100</xdr:rowOff>
                  </from>
                  <to>
                    <xdr:col>0</xdr:col>
                    <xdr:colOff>628650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Sheet8.select_one_year">
                <anchor moveWithCells="1" sizeWithCells="1">
                  <from>
                    <xdr:col>0</xdr:col>
                    <xdr:colOff>114300</xdr:colOff>
                    <xdr:row>16</xdr:row>
                    <xdr:rowOff>19050</xdr:rowOff>
                  </from>
                  <to>
                    <xdr:col>0</xdr:col>
                    <xdr:colOff>733425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Button 5">
              <controlPr defaultSize="0" print="0" autoFill="0" autoPict="0" macro="[0]!Sheet8.select_two_year">
                <anchor moveWithCells="1" sizeWithCells="1">
                  <from>
                    <xdr:col>0</xdr:col>
                    <xdr:colOff>114300</xdr:colOff>
                    <xdr:row>18</xdr:row>
                    <xdr:rowOff>28575</xdr:rowOff>
                  </from>
                  <to>
                    <xdr:col>0</xdr:col>
                    <xdr:colOff>742950</xdr:colOff>
                    <xdr:row>19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8" name="Button 6">
              <controlPr defaultSize="0" print="0" autoFill="0" autoPict="0" macro="[0]!Sheet8.select_six_month">
                <anchor moveWithCells="1" sizeWithCells="1">
                  <from>
                    <xdr:col>0</xdr:col>
                    <xdr:colOff>114300</xdr:colOff>
                    <xdr:row>20</xdr:row>
                    <xdr:rowOff>95250</xdr:rowOff>
                  </from>
                  <to>
                    <xdr:col>0</xdr:col>
                    <xdr:colOff>742950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9" name="Button 7">
              <controlPr defaultSize="0" print="0" autoFill="0" autoPict="0" macro="[0]!Sheet8.select_ALL">
                <anchor moveWithCells="1" sizeWithCells="1">
                  <from>
                    <xdr:col>0</xdr:col>
                    <xdr:colOff>95250</xdr:colOff>
                    <xdr:row>22</xdr:row>
                    <xdr:rowOff>133350</xdr:rowOff>
                  </from>
                  <to>
                    <xdr:col>0</xdr:col>
                    <xdr:colOff>752475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0" name="Group Box 8">
              <controlPr defaultSize="0" autoFill="0" autoPict="0">
                <anchor moveWithCells="1">
                  <from>
                    <xdr:col>0</xdr:col>
                    <xdr:colOff>85725</xdr:colOff>
                    <xdr:row>15</xdr:row>
                    <xdr:rowOff>66675</xdr:rowOff>
                  </from>
                  <to>
                    <xdr:col>0</xdr:col>
                    <xdr:colOff>781050</xdr:colOff>
                    <xdr:row>24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1" name="Button 9">
              <controlPr defaultSize="0" print="0" autoFill="0" autoPict="0" macro="[0]!Sheet8.move_to_detail">
                <anchor moveWithCells="1" sizeWithCells="1">
                  <from>
                    <xdr:col>0</xdr:col>
                    <xdr:colOff>114300</xdr:colOff>
                    <xdr:row>29</xdr:row>
                    <xdr:rowOff>47625</xdr:rowOff>
                  </from>
                  <to>
                    <xdr:col>0</xdr:col>
                    <xdr:colOff>800100</xdr:colOff>
                    <xdr:row>31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7" tint="0.39997558519241921"/>
  </sheetPr>
  <dimension ref="A1:P782"/>
  <sheetViews>
    <sheetView showGridLines="0" zoomScaleNormal="100" workbookViewId="0">
      <selection activeCell="E35" sqref="E35"/>
    </sheetView>
  </sheetViews>
  <sheetFormatPr defaultRowHeight="14.25" x14ac:dyDescent="0.2"/>
  <cols>
    <col min="1" max="1" width="10.25" customWidth="1"/>
    <col min="2" max="2" width="11.375" customWidth="1"/>
    <col min="3" max="3" width="8.375" customWidth="1"/>
    <col min="4" max="4" width="16.25" customWidth="1"/>
    <col min="5" max="5" width="10.875" customWidth="1"/>
    <col min="6" max="6" width="11.125" customWidth="1"/>
    <col min="7" max="7" width="12.875" customWidth="1"/>
    <col min="8" max="8" width="11.125" customWidth="1"/>
    <col min="9" max="9" width="10.875" customWidth="1"/>
    <col min="10" max="10" width="11.5" customWidth="1"/>
    <col min="11" max="11" width="14.125" customWidth="1"/>
    <col min="12" max="12" width="11.25" customWidth="1"/>
    <col min="13" max="13" width="8.25" customWidth="1"/>
    <col min="14" max="14" width="14.25" customWidth="1"/>
  </cols>
  <sheetData>
    <row r="1" spans="1:16" s="106" customFormat="1" ht="18.75" customHeight="1" x14ac:dyDescent="0.2">
      <c r="E1" s="269">
        <v>13</v>
      </c>
      <c r="F1" s="270" t="s">
        <v>2233</v>
      </c>
      <c r="G1" s="271">
        <v>14</v>
      </c>
      <c r="N1" s="254" t="s">
        <v>2232</v>
      </c>
      <c r="O1" s="255" t="s">
        <v>2230</v>
      </c>
      <c r="P1" s="256" t="s">
        <v>2231</v>
      </c>
    </row>
    <row r="2" spans="1:16" s="106" customFormat="1" x14ac:dyDescent="0.2">
      <c r="B2" s="212"/>
      <c r="C2" s="210" t="s">
        <v>1756</v>
      </c>
      <c r="D2" s="210" t="s">
        <v>1757</v>
      </c>
      <c r="E2" s="210" t="s">
        <v>1758</v>
      </c>
      <c r="F2" s="210" t="s">
        <v>1759</v>
      </c>
      <c r="G2" s="211" t="s">
        <v>1763</v>
      </c>
      <c r="H2" s="211" t="s">
        <v>1760</v>
      </c>
      <c r="I2" s="211" t="s">
        <v>926</v>
      </c>
      <c r="J2" s="257" t="s">
        <v>1766</v>
      </c>
      <c r="K2" s="258"/>
      <c r="M2" s="250" t="s">
        <v>2222</v>
      </c>
      <c r="N2" s="252">
        <v>-2.8140612143613999</v>
      </c>
      <c r="O2" s="248">
        <f>MAX(I42:I1000)</f>
        <v>1.97404281422524</v>
      </c>
      <c r="P2" s="249">
        <f>MIN(I42:I1000)</f>
        <v>-2.8140612143613999</v>
      </c>
    </row>
    <row r="3" spans="1:16" s="106" customFormat="1" x14ac:dyDescent="0.2">
      <c r="B3" s="213" t="s">
        <v>1767</v>
      </c>
      <c r="C3" s="260">
        <v>8795</v>
      </c>
      <c r="D3" s="261" t="s">
        <v>2320</v>
      </c>
      <c r="E3" s="260" t="s">
        <v>2322</v>
      </c>
      <c r="F3" s="260">
        <v>1433</v>
      </c>
      <c r="G3" s="260">
        <v>700</v>
      </c>
      <c r="H3" s="260"/>
      <c r="I3" s="262">
        <v>0.05</v>
      </c>
      <c r="J3" s="263">
        <v>1003100</v>
      </c>
      <c r="K3" s="259"/>
      <c r="M3" s="250" t="s">
        <v>2223</v>
      </c>
      <c r="N3" s="252">
        <v>-8.11</v>
      </c>
      <c r="O3" s="249">
        <f>MAX(J42:J1000)</f>
        <v>5.52</v>
      </c>
      <c r="P3" s="249">
        <f>MIN(J42:J1000)</f>
        <v>-8.11</v>
      </c>
    </row>
    <row r="4" spans="1:16" s="106" customFormat="1" x14ac:dyDescent="0.2">
      <c r="B4" s="214" t="s">
        <v>1768</v>
      </c>
      <c r="C4" s="264">
        <v>6752</v>
      </c>
      <c r="D4" s="264" t="s">
        <v>2321</v>
      </c>
      <c r="E4" s="264" t="s">
        <v>2323</v>
      </c>
      <c r="F4" s="264">
        <v>1016.5</v>
      </c>
      <c r="G4" s="264">
        <v>1000</v>
      </c>
      <c r="H4" s="264"/>
      <c r="I4" s="265"/>
      <c r="J4" s="266">
        <v>1016500</v>
      </c>
      <c r="K4" s="259"/>
      <c r="M4" s="251" t="s">
        <v>2224</v>
      </c>
      <c r="N4" s="252">
        <v>1.34</v>
      </c>
      <c r="O4" s="272"/>
      <c r="P4" s="273"/>
    </row>
    <row r="5" spans="1:16" s="106" customFormat="1" x14ac:dyDescent="0.2">
      <c r="M5" s="251" t="s">
        <v>2226</v>
      </c>
      <c r="N5" s="252">
        <v>0.90524543736923602</v>
      </c>
      <c r="O5" s="272"/>
      <c r="P5" s="273"/>
    </row>
    <row r="6" spans="1:16" s="106" customFormat="1" ht="15" thickBot="1" x14ac:dyDescent="0.25">
      <c r="M6" s="251" t="s">
        <v>2227</v>
      </c>
      <c r="N6" s="252">
        <v>0.91052373189302604</v>
      </c>
      <c r="O6" s="272"/>
      <c r="P6" s="273"/>
    </row>
    <row r="7" spans="1:16" s="106" customFormat="1" x14ac:dyDescent="0.2">
      <c r="A7" s="10"/>
      <c r="B7" s="94"/>
      <c r="C7" s="95"/>
      <c r="D7" s="95"/>
      <c r="E7" s="95"/>
      <c r="F7" s="95"/>
      <c r="G7" s="95"/>
      <c r="H7" s="96"/>
      <c r="M7" s="251" t="s">
        <v>2228</v>
      </c>
      <c r="N7" s="252">
        <v>4.6756204401709599E-2</v>
      </c>
      <c r="O7" s="272"/>
      <c r="P7" s="273"/>
    </row>
    <row r="8" spans="1:16" s="106" customFormat="1" ht="15" thickBot="1" x14ac:dyDescent="0.25">
      <c r="A8" s="10"/>
      <c r="B8" s="97"/>
      <c r="C8" s="10"/>
      <c r="D8" s="10"/>
      <c r="E8" s="10"/>
      <c r="F8" s="10"/>
      <c r="G8" s="10"/>
      <c r="H8" s="98"/>
      <c r="M8" s="251" t="s">
        <v>2229</v>
      </c>
      <c r="N8" s="253">
        <v>6.1995489679687E-3</v>
      </c>
      <c r="O8" s="274"/>
      <c r="P8" s="275"/>
    </row>
    <row r="9" spans="1:16" s="106" customFormat="1" x14ac:dyDescent="0.2">
      <c r="A9" s="205" t="s">
        <v>1765</v>
      </c>
      <c r="B9" s="97"/>
      <c r="C9" s="10"/>
      <c r="D9" s="10"/>
      <c r="E9" s="10"/>
      <c r="F9" s="10"/>
      <c r="G9" s="10"/>
      <c r="H9" s="98"/>
      <c r="M9" s="10"/>
      <c r="N9" s="10"/>
    </row>
    <row r="10" spans="1:16" ht="15" thickBot="1" x14ac:dyDescent="0.25">
      <c r="A10" s="277" t="s">
        <v>2218</v>
      </c>
      <c r="B10" s="97"/>
      <c r="C10" s="10"/>
      <c r="D10" s="10"/>
      <c r="E10" s="198"/>
      <c r="F10" s="199"/>
      <c r="G10" s="199"/>
      <c r="H10" s="215"/>
      <c r="I10" s="201"/>
      <c r="J10" s="201"/>
      <c r="K10" s="200"/>
    </row>
    <row r="11" spans="1:16" x14ac:dyDescent="0.2">
      <c r="A11" s="208" t="s">
        <v>1753</v>
      </c>
      <c r="B11" s="198"/>
      <c r="C11" s="342"/>
      <c r="D11" s="343"/>
      <c r="E11" s="198"/>
      <c r="F11" s="198"/>
      <c r="G11" s="199"/>
      <c r="H11" s="205"/>
      <c r="I11" s="198"/>
      <c r="J11" s="202"/>
      <c r="K11" s="203"/>
      <c r="L11" s="95"/>
      <c r="M11" s="95"/>
      <c r="N11" s="95"/>
      <c r="O11" s="95"/>
      <c r="P11" s="96"/>
    </row>
    <row r="12" spans="1:16" x14ac:dyDescent="0.2">
      <c r="A12" s="276">
        <v>1433</v>
      </c>
      <c r="B12" s="198"/>
      <c r="C12" s="342"/>
      <c r="D12" s="343"/>
      <c r="E12" s="198"/>
      <c r="F12" s="198"/>
      <c r="G12" s="198"/>
      <c r="H12" s="205"/>
      <c r="I12" s="198"/>
      <c r="J12" s="204"/>
      <c r="K12" s="10"/>
      <c r="L12" s="10"/>
      <c r="M12" s="10"/>
      <c r="N12" s="10"/>
      <c r="O12" s="10"/>
      <c r="P12" s="98"/>
    </row>
    <row r="13" spans="1:16" x14ac:dyDescent="0.2">
      <c r="A13" s="208" t="s">
        <v>1754</v>
      </c>
      <c r="B13" s="198"/>
      <c r="C13" s="342"/>
      <c r="D13" s="343"/>
      <c r="E13" s="198"/>
      <c r="F13" s="198"/>
      <c r="G13" s="198"/>
      <c r="H13" s="205"/>
      <c r="I13" s="198"/>
      <c r="J13" s="204"/>
      <c r="K13" s="10"/>
      <c r="L13" s="10"/>
      <c r="M13" s="10"/>
      <c r="N13" s="10"/>
      <c r="O13" s="10"/>
      <c r="P13" s="98"/>
    </row>
    <row r="14" spans="1:16" x14ac:dyDescent="0.2">
      <c r="A14" s="276">
        <v>1112.956307416536</v>
      </c>
      <c r="B14" s="198"/>
      <c r="C14" s="342"/>
      <c r="D14" s="343"/>
      <c r="E14" s="198"/>
      <c r="F14" s="198"/>
      <c r="G14" s="198"/>
      <c r="H14" s="205"/>
      <c r="I14" s="198"/>
      <c r="J14" s="204"/>
      <c r="K14" s="10"/>
      <c r="L14" s="10"/>
      <c r="M14" s="10"/>
      <c r="N14" s="10"/>
      <c r="O14" s="10"/>
      <c r="P14" s="98"/>
    </row>
    <row r="15" spans="1:16" x14ac:dyDescent="0.2">
      <c r="A15" s="208" t="s">
        <v>1764</v>
      </c>
      <c r="B15" s="198"/>
      <c r="C15" s="342"/>
      <c r="D15" s="343"/>
      <c r="E15" s="198"/>
      <c r="F15" s="198"/>
      <c r="G15" s="198"/>
      <c r="H15" s="205"/>
      <c r="I15" s="198"/>
      <c r="J15" s="204"/>
      <c r="K15" s="10"/>
      <c r="L15" s="10"/>
      <c r="M15" s="10"/>
      <c r="N15" s="10"/>
      <c r="O15" s="10"/>
      <c r="P15" s="98"/>
    </row>
    <row r="16" spans="1:16" x14ac:dyDescent="0.2">
      <c r="A16" s="276">
        <v>1.2917320188214205</v>
      </c>
      <c r="B16" s="198"/>
      <c r="C16" s="342"/>
      <c r="D16" s="343"/>
      <c r="E16" s="198"/>
      <c r="F16" s="198"/>
      <c r="G16" s="198"/>
      <c r="H16" s="205"/>
      <c r="I16" s="198"/>
      <c r="J16" s="204"/>
      <c r="K16" s="10"/>
      <c r="L16" s="10"/>
      <c r="M16" s="10"/>
      <c r="N16" s="10"/>
      <c r="O16" s="10"/>
      <c r="P16" s="98"/>
    </row>
    <row r="17" spans="1:16" x14ac:dyDescent="0.2">
      <c r="A17" s="278"/>
      <c r="B17" s="198"/>
      <c r="C17" s="342"/>
      <c r="D17" s="343"/>
      <c r="E17" s="198"/>
      <c r="F17" s="198"/>
      <c r="G17" s="198"/>
      <c r="H17" s="205"/>
      <c r="I17" s="198"/>
      <c r="J17" s="204"/>
      <c r="K17" s="197"/>
      <c r="L17" s="10"/>
      <c r="M17" s="10"/>
      <c r="N17" s="10"/>
      <c r="O17" s="10"/>
      <c r="P17" s="98"/>
    </row>
    <row r="18" spans="1:16" x14ac:dyDescent="0.2">
      <c r="A18" s="279"/>
      <c r="B18" s="198"/>
      <c r="C18" s="342"/>
      <c r="D18" s="343"/>
      <c r="E18" s="198"/>
      <c r="F18" s="198"/>
      <c r="G18" s="198"/>
      <c r="H18" s="205"/>
      <c r="I18" s="198"/>
      <c r="J18" s="204"/>
      <c r="K18" s="197"/>
      <c r="L18" s="10"/>
      <c r="M18" s="10"/>
      <c r="N18" s="10"/>
      <c r="O18" s="10"/>
      <c r="P18" s="98"/>
    </row>
    <row r="19" spans="1:16" x14ac:dyDescent="0.2">
      <c r="A19" s="198"/>
      <c r="B19" s="204"/>
      <c r="C19" s="342"/>
      <c r="D19" s="343"/>
      <c r="E19" s="198"/>
      <c r="F19" s="198"/>
      <c r="G19" s="198"/>
      <c r="H19" s="205"/>
      <c r="I19" s="198"/>
      <c r="J19" s="204"/>
      <c r="K19" s="197"/>
      <c r="L19" s="10"/>
      <c r="M19" s="10"/>
      <c r="N19" s="10"/>
      <c r="O19" s="10"/>
      <c r="P19" s="98"/>
    </row>
    <row r="20" spans="1:16" x14ac:dyDescent="0.2">
      <c r="A20" s="198"/>
      <c r="B20" s="204"/>
      <c r="C20" s="198"/>
      <c r="D20" s="198"/>
      <c r="E20" s="198"/>
      <c r="F20" s="198"/>
      <c r="G20" s="198"/>
      <c r="H20" s="205"/>
      <c r="I20" s="198"/>
      <c r="J20" s="204"/>
      <c r="K20" s="197"/>
      <c r="L20" s="10"/>
      <c r="M20" s="10"/>
      <c r="N20" s="10"/>
      <c r="O20" s="10"/>
      <c r="P20" s="98"/>
    </row>
    <row r="21" spans="1:16" x14ac:dyDescent="0.2">
      <c r="A21" s="198"/>
      <c r="B21" s="204"/>
      <c r="C21" s="198"/>
      <c r="E21" s="198"/>
      <c r="F21" s="198"/>
      <c r="G21" s="198"/>
      <c r="H21" s="205"/>
      <c r="I21" s="198"/>
      <c r="J21" s="204"/>
      <c r="K21" s="10"/>
      <c r="L21" s="10"/>
      <c r="M21" s="10"/>
      <c r="N21" s="10"/>
      <c r="O21" s="10"/>
      <c r="P21" s="98"/>
    </row>
    <row r="22" spans="1:16" x14ac:dyDescent="0.2">
      <c r="A22" s="198"/>
      <c r="B22" s="204"/>
      <c r="C22" s="198"/>
      <c r="D22" s="198"/>
      <c r="E22" s="198"/>
      <c r="F22" s="198"/>
      <c r="G22" s="198"/>
      <c r="H22" s="205"/>
      <c r="I22" s="198"/>
      <c r="J22" s="204"/>
      <c r="K22" s="10"/>
      <c r="L22" s="10"/>
      <c r="M22" s="10"/>
      <c r="N22" s="10"/>
      <c r="O22" s="10"/>
      <c r="P22" s="98"/>
    </row>
    <row r="23" spans="1:16" x14ac:dyDescent="0.2">
      <c r="A23" s="198"/>
      <c r="B23" s="204"/>
      <c r="C23" s="198"/>
      <c r="D23" s="198"/>
      <c r="E23" s="198"/>
      <c r="F23" s="198"/>
      <c r="G23" s="198"/>
      <c r="H23" s="205"/>
      <c r="I23" s="198"/>
      <c r="J23" s="204"/>
      <c r="K23" s="10"/>
      <c r="L23" s="10"/>
      <c r="M23" s="10"/>
      <c r="N23" s="10"/>
      <c r="O23" s="10"/>
      <c r="P23" s="98"/>
    </row>
    <row r="24" spans="1:16" x14ac:dyDescent="0.2">
      <c r="A24" s="198"/>
      <c r="B24" s="204"/>
      <c r="C24" s="198"/>
      <c r="D24" s="198"/>
      <c r="E24" s="198"/>
      <c r="F24" s="198"/>
      <c r="G24" s="198"/>
      <c r="H24" s="205"/>
      <c r="I24" s="198"/>
      <c r="J24" s="204"/>
      <c r="K24" s="10"/>
      <c r="L24" s="10"/>
      <c r="M24" s="10"/>
      <c r="N24" s="10"/>
      <c r="O24" s="10"/>
      <c r="P24" s="98"/>
    </row>
    <row r="25" spans="1:16" x14ac:dyDescent="0.2">
      <c r="A25" s="198"/>
      <c r="B25" s="204"/>
      <c r="C25" s="199"/>
      <c r="D25" s="199"/>
      <c r="E25" s="199"/>
      <c r="F25" s="198"/>
      <c r="G25" s="198"/>
      <c r="H25" s="205"/>
      <c r="I25" s="198"/>
      <c r="J25" s="204"/>
      <c r="K25" s="10"/>
      <c r="L25" s="10"/>
      <c r="M25" s="10"/>
      <c r="N25" s="10"/>
      <c r="O25" s="10"/>
      <c r="P25" s="98"/>
    </row>
    <row r="26" spans="1:16" x14ac:dyDescent="0.2">
      <c r="A26" s="198"/>
      <c r="B26" s="204"/>
      <c r="C26" s="198"/>
      <c r="D26" s="198"/>
      <c r="E26" s="198"/>
      <c r="F26" s="198"/>
      <c r="G26" s="198"/>
      <c r="H26" s="205"/>
      <c r="I26" s="198"/>
      <c r="J26" s="204"/>
      <c r="K26" s="10"/>
      <c r="L26" s="10"/>
      <c r="M26" s="10"/>
      <c r="N26" s="10"/>
      <c r="O26" s="10"/>
      <c r="P26" s="98"/>
    </row>
    <row r="27" spans="1:16" x14ac:dyDescent="0.2">
      <c r="A27" s="198"/>
      <c r="B27" s="204"/>
      <c r="C27" s="198"/>
      <c r="D27" s="198"/>
      <c r="E27" s="198"/>
      <c r="F27" s="198"/>
      <c r="G27" s="198"/>
      <c r="H27" s="205"/>
      <c r="I27" s="198"/>
      <c r="J27" s="204"/>
      <c r="K27" s="10"/>
      <c r="L27" s="10"/>
      <c r="M27" s="10"/>
      <c r="N27" s="10"/>
      <c r="O27" s="10"/>
      <c r="P27" s="98"/>
    </row>
    <row r="28" spans="1:16" x14ac:dyDescent="0.2">
      <c r="A28" s="198"/>
      <c r="B28" s="204"/>
      <c r="C28" s="198"/>
      <c r="D28" s="198"/>
      <c r="E28" s="198"/>
      <c r="F28" s="198"/>
      <c r="G28" s="198"/>
      <c r="H28" s="205"/>
      <c r="I28" s="198"/>
      <c r="J28" s="204"/>
      <c r="K28" s="10"/>
      <c r="L28" s="10"/>
      <c r="M28" s="10"/>
      <c r="N28" s="10"/>
      <c r="O28" s="10"/>
      <c r="P28" s="98"/>
    </row>
    <row r="29" spans="1:16" x14ac:dyDescent="0.2">
      <c r="A29" s="198"/>
      <c r="B29" s="204"/>
      <c r="C29" s="198"/>
      <c r="D29" s="198"/>
      <c r="E29" s="198"/>
      <c r="F29" s="198"/>
      <c r="G29" s="198"/>
      <c r="H29" s="205"/>
      <c r="I29" s="198"/>
      <c r="J29" s="204"/>
      <c r="K29" s="10"/>
      <c r="L29" s="10"/>
      <c r="M29" s="10"/>
      <c r="N29" s="10"/>
      <c r="O29" s="10"/>
      <c r="P29" s="98"/>
    </row>
    <row r="30" spans="1:16" ht="15" thickBot="1" x14ac:dyDescent="0.25">
      <c r="B30" s="99"/>
      <c r="C30" s="100"/>
      <c r="D30" s="100"/>
      <c r="E30" s="100"/>
      <c r="F30" s="100"/>
      <c r="G30" s="100"/>
      <c r="H30" s="101"/>
      <c r="J30" s="99"/>
      <c r="K30" s="100"/>
      <c r="L30" s="100"/>
      <c r="M30" s="100"/>
      <c r="N30" s="100"/>
      <c r="O30" s="100"/>
      <c r="P30" s="101"/>
    </row>
    <row r="33" spans="1:13" s="106" customFormat="1" x14ac:dyDescent="0.2"/>
    <row r="34" spans="1:13" s="106" customFormat="1" x14ac:dyDescent="0.2"/>
    <row r="35" spans="1:13" s="106" customFormat="1" x14ac:dyDescent="0.2"/>
    <row r="36" spans="1:13" s="106" customFormat="1" x14ac:dyDescent="0.2"/>
    <row r="37" spans="1:13" s="106" customFormat="1" x14ac:dyDescent="0.2"/>
    <row r="38" spans="1:13" s="106" customFormat="1" x14ac:dyDescent="0.2"/>
    <row r="39" spans="1:13" s="106" customFormat="1" x14ac:dyDescent="0.2"/>
    <row r="40" spans="1:13" ht="15" thickBot="1" x14ac:dyDescent="0.25">
      <c r="A40" s="100"/>
      <c r="B40" s="100"/>
      <c r="C40" s="100"/>
      <c r="D40" s="100"/>
      <c r="E40" s="100"/>
      <c r="F40" s="100"/>
      <c r="G40" s="100"/>
      <c r="H40" s="100"/>
      <c r="I40" s="100"/>
      <c r="J40" s="100"/>
      <c r="K40" s="100"/>
      <c r="L40" s="100"/>
      <c r="M40" s="100"/>
    </row>
    <row r="41" spans="1:13" x14ac:dyDescent="0.2">
      <c r="A41" s="106" t="s">
        <v>868</v>
      </c>
      <c r="B41" s="106" t="s">
        <v>2303</v>
      </c>
      <c r="C41" s="106" t="s">
        <v>2304</v>
      </c>
      <c r="D41" s="106" t="s">
        <v>2305</v>
      </c>
      <c r="E41" s="106" t="s">
        <v>2306</v>
      </c>
      <c r="F41" s="106" t="s">
        <v>869</v>
      </c>
      <c r="G41" s="106" t="s">
        <v>870</v>
      </c>
      <c r="H41" s="106" t="s">
        <v>871</v>
      </c>
      <c r="I41" s="106" t="s">
        <v>872</v>
      </c>
      <c r="J41" s="106" t="s">
        <v>873</v>
      </c>
      <c r="K41" s="106" t="s">
        <v>2324</v>
      </c>
      <c r="L41" s="106" t="s">
        <v>2325</v>
      </c>
    </row>
    <row r="42" spans="1:13" x14ac:dyDescent="0.2">
      <c r="A42" s="14">
        <v>43819</v>
      </c>
      <c r="B42">
        <v>1020</v>
      </c>
      <c r="C42">
        <v>1016.5</v>
      </c>
      <c r="D42">
        <v>1429</v>
      </c>
      <c r="E42">
        <v>1433</v>
      </c>
      <c r="F42">
        <v>0.70935101186322402</v>
      </c>
      <c r="G42">
        <v>0.76685632855334696</v>
      </c>
      <c r="H42">
        <v>2.0434991391320101E-2</v>
      </c>
      <c r="I42">
        <v>-2.8140612143613999</v>
      </c>
      <c r="J42">
        <v>-8.11</v>
      </c>
      <c r="K42">
        <v>1433</v>
      </c>
      <c r="L42">
        <v>1313.0455971319739</v>
      </c>
    </row>
    <row r="43" spans="1:13" x14ac:dyDescent="0.2">
      <c r="A43" s="209">
        <v>43818</v>
      </c>
      <c r="B43" s="10">
        <v>1025</v>
      </c>
      <c r="C43" s="10">
        <v>1026.5</v>
      </c>
      <c r="D43" s="10">
        <v>1414</v>
      </c>
      <c r="E43" s="10">
        <v>1429</v>
      </c>
      <c r="F43" s="10">
        <v>0.71833449965010499</v>
      </c>
      <c r="G43" s="10">
        <v>0.76796321039195004</v>
      </c>
      <c r="H43" s="10">
        <v>1.9517929187571701E-2</v>
      </c>
      <c r="I43" s="10">
        <v>-2.5427241929664799</v>
      </c>
      <c r="J43" s="10">
        <v>-6.91</v>
      </c>
      <c r="K43" s="10">
        <v>1429</v>
      </c>
      <c r="L43" s="10">
        <v>1325.9629173201881</v>
      </c>
      <c r="M43" s="10"/>
    </row>
    <row r="44" spans="1:13" x14ac:dyDescent="0.2">
      <c r="A44" s="14">
        <v>43817</v>
      </c>
      <c r="B44" s="106">
        <v>1040.5</v>
      </c>
      <c r="C44" s="106">
        <v>1025.5</v>
      </c>
      <c r="D44" s="106">
        <v>1415</v>
      </c>
      <c r="E44" s="106">
        <v>1424</v>
      </c>
      <c r="F44" s="106">
        <v>0.72015449438202195</v>
      </c>
      <c r="G44" s="106">
        <v>0.76902326906066198</v>
      </c>
      <c r="H44" s="106">
        <v>1.8944299245301902E-2</v>
      </c>
      <c r="I44" s="106">
        <v>-2.5796031854152299</v>
      </c>
      <c r="J44" s="106">
        <v>-6.79</v>
      </c>
      <c r="K44">
        <v>1424</v>
      </c>
      <c r="L44" s="106">
        <v>1324.6711853013667</v>
      </c>
    </row>
    <row r="45" spans="1:13" x14ac:dyDescent="0.2">
      <c r="A45" s="14">
        <v>43816</v>
      </c>
      <c r="B45">
        <v>1044</v>
      </c>
      <c r="C45">
        <v>1046.5</v>
      </c>
      <c r="D45">
        <v>1392</v>
      </c>
      <c r="E45">
        <v>1412</v>
      </c>
      <c r="F45">
        <v>0.74114730878186896</v>
      </c>
      <c r="G45">
        <v>0.77017483232397499</v>
      </c>
      <c r="H45">
        <v>1.8559815485771802E-2</v>
      </c>
      <c r="I45">
        <v>-1.5639984979569499</v>
      </c>
      <c r="J45">
        <v>-3.92</v>
      </c>
      <c r="K45">
        <v>1412</v>
      </c>
      <c r="L45">
        <v>1351.7975576966166</v>
      </c>
    </row>
    <row r="46" spans="1:13" x14ac:dyDescent="0.2">
      <c r="A46" s="14">
        <v>43815</v>
      </c>
      <c r="B46">
        <v>1058</v>
      </c>
      <c r="C46">
        <v>1036.5</v>
      </c>
      <c r="D46">
        <v>1369</v>
      </c>
      <c r="E46">
        <v>1374</v>
      </c>
      <c r="F46">
        <v>0.75436681222707402</v>
      </c>
      <c r="G46">
        <v>0.77098332080021004</v>
      </c>
      <c r="H46">
        <v>1.8598394605723101E-2</v>
      </c>
      <c r="I46">
        <v>-0.89343778994895695</v>
      </c>
      <c r="J46">
        <v>-2.2000000000000002</v>
      </c>
      <c r="K46">
        <v>1374</v>
      </c>
      <c r="L46">
        <v>1338.8802375084024</v>
      </c>
    </row>
    <row r="47" spans="1:13" x14ac:dyDescent="0.2">
      <c r="A47" s="14">
        <v>43812</v>
      </c>
      <c r="B47">
        <v>1059</v>
      </c>
      <c r="C47">
        <v>1058</v>
      </c>
      <c r="D47">
        <v>1384</v>
      </c>
      <c r="E47">
        <v>1373</v>
      </c>
      <c r="F47">
        <v>0.77057538237436196</v>
      </c>
      <c r="G47">
        <v>0.77156670560520102</v>
      </c>
      <c r="H47">
        <v>1.8753603497846098E-2</v>
      </c>
      <c r="I47">
        <v>-5.2860413250826001E-2</v>
      </c>
      <c r="J47">
        <v>-0.13</v>
      </c>
      <c r="K47">
        <v>1373</v>
      </c>
      <c r="L47">
        <v>1366.652475913063</v>
      </c>
    </row>
    <row r="48" spans="1:13" x14ac:dyDescent="0.2">
      <c r="A48" s="14">
        <v>43811</v>
      </c>
      <c r="B48">
        <v>1058.5</v>
      </c>
      <c r="C48">
        <v>1036.5</v>
      </c>
      <c r="D48">
        <v>1338</v>
      </c>
      <c r="E48">
        <v>1335</v>
      </c>
      <c r="F48">
        <v>0.77640449438202197</v>
      </c>
      <c r="G48">
        <v>0.77192282304163196</v>
      </c>
      <c r="H48">
        <v>1.8983578210926898E-2</v>
      </c>
      <c r="I48">
        <v>0.23608148530242801</v>
      </c>
      <c r="J48">
        <v>0.57999999999999996</v>
      </c>
      <c r="K48">
        <v>1335</v>
      </c>
      <c r="L48">
        <v>1338.8802375084024</v>
      </c>
    </row>
    <row r="49" spans="1:12" x14ac:dyDescent="0.2">
      <c r="A49" s="14">
        <v>43810</v>
      </c>
      <c r="B49">
        <v>1059</v>
      </c>
      <c r="C49">
        <v>1060.5</v>
      </c>
      <c r="D49">
        <v>1362</v>
      </c>
      <c r="E49">
        <v>1348</v>
      </c>
      <c r="F49">
        <v>0.78672106824925803</v>
      </c>
      <c r="G49">
        <v>0.77229625331261598</v>
      </c>
      <c r="H49">
        <v>1.9340184527451801E-2</v>
      </c>
      <c r="I49">
        <v>0.74584681010495801</v>
      </c>
      <c r="J49">
        <v>1.83</v>
      </c>
      <c r="K49">
        <v>1348</v>
      </c>
      <c r="L49">
        <v>1369.8818059601165</v>
      </c>
    </row>
    <row r="50" spans="1:12" x14ac:dyDescent="0.2">
      <c r="A50" s="14">
        <v>43809</v>
      </c>
      <c r="B50">
        <v>1057.5</v>
      </c>
      <c r="C50">
        <v>1057.5</v>
      </c>
      <c r="D50">
        <v>1362</v>
      </c>
      <c r="E50">
        <v>1362</v>
      </c>
      <c r="F50">
        <v>0.77643171806167399</v>
      </c>
      <c r="G50">
        <v>0.77271452508652305</v>
      </c>
      <c r="H50">
        <v>1.99763890106846E-2</v>
      </c>
      <c r="I50">
        <v>0.186079324604777</v>
      </c>
      <c r="J50">
        <v>0.48</v>
      </c>
      <c r="K50">
        <v>1362</v>
      </c>
      <c r="L50">
        <v>1366.0066099036521</v>
      </c>
    </row>
    <row r="51" spans="1:12" x14ac:dyDescent="0.2">
      <c r="A51" s="14">
        <v>43808</v>
      </c>
      <c r="B51">
        <v>1045</v>
      </c>
      <c r="C51">
        <v>1057.5</v>
      </c>
      <c r="D51">
        <v>1380</v>
      </c>
      <c r="E51">
        <v>1374</v>
      </c>
      <c r="F51">
        <v>0.76965065502183405</v>
      </c>
      <c r="G51">
        <v>0.77316752008455103</v>
      </c>
      <c r="H51">
        <v>2.0435483556910002E-2</v>
      </c>
      <c r="I51">
        <v>-0.17209600413533299</v>
      </c>
      <c r="J51">
        <v>-0.46</v>
      </c>
      <c r="K51">
        <v>1374</v>
      </c>
      <c r="L51">
        <v>1366.0066099036521</v>
      </c>
    </row>
    <row r="52" spans="1:12" x14ac:dyDescent="0.2">
      <c r="A52" s="14">
        <v>43805</v>
      </c>
      <c r="B52">
        <v>1040.5</v>
      </c>
      <c r="C52">
        <v>1034.5</v>
      </c>
      <c r="D52">
        <v>1363</v>
      </c>
      <c r="E52">
        <v>1361</v>
      </c>
      <c r="F52">
        <v>0.76010286554004403</v>
      </c>
      <c r="G52">
        <v>0.77358939086102296</v>
      </c>
      <c r="H52">
        <v>2.0683612099104999E-2</v>
      </c>
      <c r="I52">
        <v>-0.65203917267247802</v>
      </c>
      <c r="J52">
        <v>-1.77</v>
      </c>
      <c r="K52">
        <v>1361</v>
      </c>
      <c r="L52">
        <v>1336.2967734707595</v>
      </c>
    </row>
    <row r="53" spans="1:12" x14ac:dyDescent="0.2">
      <c r="A53" s="14">
        <v>43804</v>
      </c>
      <c r="B53">
        <v>1040</v>
      </c>
      <c r="C53">
        <v>1044.5</v>
      </c>
      <c r="D53">
        <v>1329</v>
      </c>
      <c r="E53">
        <v>1343</v>
      </c>
      <c r="F53">
        <v>0.77773641102010405</v>
      </c>
      <c r="G53">
        <v>0.77434041959094202</v>
      </c>
      <c r="H53">
        <v>2.11965454929499E-2</v>
      </c>
      <c r="I53">
        <v>0.160214381644949</v>
      </c>
      <c r="J53">
        <v>0.44</v>
      </c>
      <c r="K53">
        <v>1343</v>
      </c>
      <c r="L53">
        <v>1349.2140936589738</v>
      </c>
    </row>
    <row r="54" spans="1:12" x14ac:dyDescent="0.2">
      <c r="A54" s="14">
        <v>43803</v>
      </c>
      <c r="B54">
        <v>1021.5</v>
      </c>
      <c r="C54">
        <v>1034.5</v>
      </c>
      <c r="D54">
        <v>1283</v>
      </c>
      <c r="E54">
        <v>1310</v>
      </c>
      <c r="F54">
        <v>0.78969465648854897</v>
      </c>
      <c r="G54">
        <v>0.774747593713768</v>
      </c>
      <c r="H54">
        <v>2.1548261581933899E-2</v>
      </c>
      <c r="I54">
        <v>0.69365515718968995</v>
      </c>
      <c r="J54">
        <v>1.89</v>
      </c>
      <c r="K54">
        <v>1310</v>
      </c>
      <c r="L54">
        <v>1336.2967734707595</v>
      </c>
    </row>
    <row r="55" spans="1:12" x14ac:dyDescent="0.2">
      <c r="A55" s="14">
        <v>43802</v>
      </c>
      <c r="B55">
        <v>1018.5</v>
      </c>
      <c r="C55">
        <v>1029.5</v>
      </c>
      <c r="D55">
        <v>1276</v>
      </c>
      <c r="E55">
        <v>1302</v>
      </c>
      <c r="F55">
        <v>0.79070660522273395</v>
      </c>
      <c r="G55">
        <v>0.77517966496058799</v>
      </c>
      <c r="H55">
        <v>2.2159844334166599E-2</v>
      </c>
      <c r="I55">
        <v>0.70067912156794498</v>
      </c>
      <c r="J55">
        <v>1.96</v>
      </c>
      <c r="K55">
        <v>1302</v>
      </c>
      <c r="L55">
        <v>1329.8381133766525</v>
      </c>
    </row>
    <row r="56" spans="1:12" x14ac:dyDescent="0.2">
      <c r="A56" s="14">
        <v>43801</v>
      </c>
      <c r="B56">
        <v>1030</v>
      </c>
      <c r="C56">
        <v>1032</v>
      </c>
      <c r="D56">
        <v>1285</v>
      </c>
      <c r="E56">
        <v>1295</v>
      </c>
      <c r="F56">
        <v>0.79691119691119605</v>
      </c>
      <c r="G56">
        <v>0.77569184787173995</v>
      </c>
      <c r="H56">
        <v>2.2942896212014102E-2</v>
      </c>
      <c r="I56">
        <v>0.92487665216151005</v>
      </c>
      <c r="J56">
        <v>2.66</v>
      </c>
      <c r="K56">
        <v>1295</v>
      </c>
      <c r="L56">
        <v>1333.067443423706</v>
      </c>
    </row>
    <row r="57" spans="1:12" x14ac:dyDescent="0.2">
      <c r="A57" s="14">
        <v>43798</v>
      </c>
      <c r="B57">
        <v>1025</v>
      </c>
      <c r="C57">
        <v>1032</v>
      </c>
      <c r="D57">
        <v>1282</v>
      </c>
      <c r="E57">
        <v>1288</v>
      </c>
      <c r="F57">
        <v>0.80124223602484401</v>
      </c>
      <c r="G57">
        <v>0.77555584058398896</v>
      </c>
      <c r="H57">
        <v>2.28467364204527E-2</v>
      </c>
      <c r="I57">
        <v>1.1242916698535701</v>
      </c>
      <c r="J57">
        <v>3.21</v>
      </c>
      <c r="K57">
        <v>1288</v>
      </c>
      <c r="L57">
        <v>1333.067443423706</v>
      </c>
    </row>
    <row r="58" spans="1:12" x14ac:dyDescent="0.2">
      <c r="A58" s="14">
        <v>43797</v>
      </c>
      <c r="B58">
        <v>988.5</v>
      </c>
      <c r="C58">
        <v>1009</v>
      </c>
      <c r="D58">
        <v>1285</v>
      </c>
      <c r="E58">
        <v>1279</v>
      </c>
      <c r="F58">
        <v>0.78889757623142998</v>
      </c>
      <c r="G58">
        <v>0.77510881181873603</v>
      </c>
      <c r="H58">
        <v>2.26670690395889E-2</v>
      </c>
      <c r="I58">
        <v>0.60831704304651402</v>
      </c>
      <c r="J58">
        <v>1.75</v>
      </c>
      <c r="K58">
        <v>1279</v>
      </c>
      <c r="L58">
        <v>1303.3576069908133</v>
      </c>
    </row>
    <row r="59" spans="1:12" x14ac:dyDescent="0.2">
      <c r="A59" s="14">
        <v>43796</v>
      </c>
      <c r="B59">
        <v>984.6</v>
      </c>
      <c r="C59">
        <v>981.3</v>
      </c>
      <c r="D59">
        <v>1266</v>
      </c>
      <c r="E59">
        <v>1274</v>
      </c>
      <c r="F59">
        <v>0.77025117739403404</v>
      </c>
      <c r="G59">
        <v>0.77469805625686305</v>
      </c>
      <c r="H59">
        <v>2.2692590976723701E-2</v>
      </c>
      <c r="I59">
        <v>-0.19596170694611001</v>
      </c>
      <c r="J59">
        <v>-0.57999999999999996</v>
      </c>
      <c r="K59">
        <v>1274</v>
      </c>
      <c r="L59">
        <v>1267.57663006946</v>
      </c>
    </row>
    <row r="60" spans="1:12" x14ac:dyDescent="0.2">
      <c r="A60" s="14">
        <v>43795</v>
      </c>
      <c r="B60">
        <v>978.8</v>
      </c>
      <c r="C60">
        <v>981</v>
      </c>
      <c r="D60">
        <v>1275</v>
      </c>
      <c r="E60">
        <v>1251</v>
      </c>
      <c r="F60">
        <v>0.78417266187050305</v>
      </c>
      <c r="G60">
        <v>0.774300659605895</v>
      </c>
      <c r="H60">
        <v>2.3025516672561901E-2</v>
      </c>
      <c r="I60">
        <v>0.42874183476509398</v>
      </c>
      <c r="J60">
        <v>1.26</v>
      </c>
      <c r="K60">
        <v>1251</v>
      </c>
      <c r="L60">
        <v>1267.1891104638134</v>
      </c>
    </row>
    <row r="61" spans="1:12" x14ac:dyDescent="0.2">
      <c r="A61" s="14">
        <v>43794</v>
      </c>
      <c r="B61">
        <v>995</v>
      </c>
      <c r="C61">
        <v>967.7</v>
      </c>
      <c r="D61">
        <v>1258</v>
      </c>
      <c r="E61">
        <v>1269</v>
      </c>
      <c r="F61">
        <v>0.76256895193065399</v>
      </c>
      <c r="G61">
        <v>0.77382321450627101</v>
      </c>
      <c r="H61">
        <v>2.31865547838058E-2</v>
      </c>
      <c r="I61">
        <v>-0.48537881891267898</v>
      </c>
      <c r="J61">
        <v>-1.48</v>
      </c>
      <c r="K61">
        <v>1269</v>
      </c>
      <c r="L61">
        <v>1250.0090746134888</v>
      </c>
    </row>
    <row r="62" spans="1:12" x14ac:dyDescent="0.2">
      <c r="A62" s="14">
        <v>43791</v>
      </c>
      <c r="B62">
        <v>1005.5</v>
      </c>
      <c r="C62">
        <v>990.4</v>
      </c>
      <c r="D62">
        <v>1260</v>
      </c>
      <c r="E62">
        <v>1250</v>
      </c>
      <c r="F62">
        <v>0.79232000000000002</v>
      </c>
      <c r="G62">
        <v>0.77370708645651598</v>
      </c>
      <c r="H62">
        <v>2.3264310379692801E-2</v>
      </c>
      <c r="I62">
        <v>0.80006298229802197</v>
      </c>
      <c r="J62">
        <v>2.35</v>
      </c>
      <c r="K62">
        <v>1250</v>
      </c>
      <c r="L62">
        <v>1279.3313914407349</v>
      </c>
    </row>
    <row r="63" spans="1:12" x14ac:dyDescent="0.2">
      <c r="A63" s="14">
        <v>43790</v>
      </c>
      <c r="B63">
        <v>998.1</v>
      </c>
      <c r="C63">
        <v>1005</v>
      </c>
      <c r="D63">
        <v>1254</v>
      </c>
      <c r="E63">
        <v>1243</v>
      </c>
      <c r="F63">
        <v>0.80852775543041</v>
      </c>
      <c r="G63">
        <v>0.77300905320441704</v>
      </c>
      <c r="H63">
        <v>2.34797743484839E-2</v>
      </c>
      <c r="I63">
        <v>1.5127360978358799</v>
      </c>
      <c r="J63">
        <v>4.3899999999999997</v>
      </c>
      <c r="K63">
        <v>1243</v>
      </c>
      <c r="L63">
        <v>1298.1906789155275</v>
      </c>
    </row>
    <row r="64" spans="1:12" x14ac:dyDescent="0.2">
      <c r="A64" s="14">
        <v>43789</v>
      </c>
      <c r="B64">
        <v>990.6</v>
      </c>
      <c r="C64">
        <v>1002</v>
      </c>
      <c r="D64">
        <v>1298</v>
      </c>
      <c r="E64">
        <v>1266</v>
      </c>
      <c r="F64">
        <v>0.79146919431279605</v>
      </c>
      <c r="G64">
        <v>0.77228523560618201</v>
      </c>
      <c r="H64">
        <v>2.32088595525182E-2</v>
      </c>
      <c r="I64">
        <v>0.826579120064168</v>
      </c>
      <c r="J64">
        <v>2.42</v>
      </c>
      <c r="K64">
        <v>1266</v>
      </c>
      <c r="L64">
        <v>1294.3154828590634</v>
      </c>
    </row>
    <row r="65" spans="1:12" x14ac:dyDescent="0.2">
      <c r="A65" s="14">
        <v>43788</v>
      </c>
      <c r="B65">
        <v>993</v>
      </c>
      <c r="C65">
        <v>1001.5</v>
      </c>
      <c r="D65">
        <v>1323</v>
      </c>
      <c r="E65">
        <v>1319</v>
      </c>
      <c r="F65">
        <v>0.75928733889309996</v>
      </c>
      <c r="G65">
        <v>0.77192184469578595</v>
      </c>
      <c r="H65">
        <v>2.31188349158831E-2</v>
      </c>
      <c r="I65">
        <v>-0.54650270433849801</v>
      </c>
      <c r="J65">
        <v>-1.66</v>
      </c>
      <c r="K65">
        <v>1319</v>
      </c>
      <c r="L65">
        <v>1293.6696168496526</v>
      </c>
    </row>
    <row r="66" spans="1:12" x14ac:dyDescent="0.2">
      <c r="A66" s="14">
        <v>43787</v>
      </c>
      <c r="B66">
        <v>998.9</v>
      </c>
      <c r="C66">
        <v>990.4</v>
      </c>
      <c r="D66">
        <v>1346</v>
      </c>
      <c r="E66">
        <v>1320</v>
      </c>
      <c r="F66">
        <v>0.75030303030303003</v>
      </c>
      <c r="G66">
        <v>0.77187504315864597</v>
      </c>
      <c r="H66">
        <v>2.31478993617131E-2</v>
      </c>
      <c r="I66">
        <v>-0.93192097125223206</v>
      </c>
      <c r="J66">
        <v>-2.88</v>
      </c>
      <c r="K66">
        <v>1320</v>
      </c>
      <c r="L66">
        <v>1279.3313914407349</v>
      </c>
    </row>
    <row r="67" spans="1:12" x14ac:dyDescent="0.2">
      <c r="A67" s="14">
        <v>43784</v>
      </c>
      <c r="B67">
        <v>997.9</v>
      </c>
      <c r="C67">
        <v>998.3</v>
      </c>
      <c r="D67">
        <v>1319</v>
      </c>
      <c r="E67">
        <v>1342</v>
      </c>
      <c r="F67">
        <v>0.74388971684053595</v>
      </c>
      <c r="G67">
        <v>0.77174895230708795</v>
      </c>
      <c r="H67">
        <v>2.32903806454995E-2</v>
      </c>
      <c r="I67">
        <v>-1.19616917776459</v>
      </c>
      <c r="J67">
        <v>-3.75</v>
      </c>
      <c r="K67">
        <v>1342</v>
      </c>
      <c r="L67">
        <v>1289.5360743894241</v>
      </c>
    </row>
    <row r="68" spans="1:12" x14ac:dyDescent="0.2">
      <c r="A68" s="14">
        <v>43783</v>
      </c>
      <c r="B68">
        <v>1007</v>
      </c>
      <c r="C68">
        <v>997.4</v>
      </c>
      <c r="D68">
        <v>1338</v>
      </c>
      <c r="E68">
        <v>1318</v>
      </c>
      <c r="F68">
        <v>0.75675265553869497</v>
      </c>
      <c r="G68">
        <v>0.77179826139734697</v>
      </c>
      <c r="H68">
        <v>2.3235195847941498E-2</v>
      </c>
      <c r="I68">
        <v>-0.64753514268249102</v>
      </c>
      <c r="J68">
        <v>-1.99</v>
      </c>
      <c r="K68">
        <v>1318</v>
      </c>
      <c r="L68">
        <v>1288.3735155724848</v>
      </c>
    </row>
    <row r="69" spans="1:12" x14ac:dyDescent="0.2">
      <c r="A69" s="14">
        <v>43782</v>
      </c>
      <c r="B69">
        <v>1023.5</v>
      </c>
      <c r="C69">
        <v>1016.5</v>
      </c>
      <c r="D69">
        <v>1356</v>
      </c>
      <c r="E69">
        <v>1333</v>
      </c>
      <c r="F69">
        <v>0.76256564141035199</v>
      </c>
      <c r="G69">
        <v>0.77181180725738197</v>
      </c>
      <c r="H69">
        <v>2.32267150719591E-2</v>
      </c>
      <c r="I69">
        <v>-0.39808323382725502</v>
      </c>
      <c r="J69">
        <v>-1.21</v>
      </c>
      <c r="K69">
        <v>1333</v>
      </c>
      <c r="L69">
        <v>1313.0455971319739</v>
      </c>
    </row>
    <row r="70" spans="1:12" x14ac:dyDescent="0.2">
      <c r="A70" s="14">
        <v>43781</v>
      </c>
      <c r="B70">
        <v>1034</v>
      </c>
      <c r="C70">
        <v>1021</v>
      </c>
      <c r="D70">
        <v>1344</v>
      </c>
      <c r="E70">
        <v>1358</v>
      </c>
      <c r="F70">
        <v>0.75184094256259204</v>
      </c>
      <c r="G70">
        <v>0.77179082184573999</v>
      </c>
      <c r="H70">
        <v>2.3235768782244499E-2</v>
      </c>
      <c r="I70">
        <v>-0.85858485983870703</v>
      </c>
      <c r="J70">
        <v>-2.65</v>
      </c>
      <c r="K70">
        <v>1358</v>
      </c>
      <c r="L70">
        <v>1318.8583912166703</v>
      </c>
    </row>
    <row r="71" spans="1:12" x14ac:dyDescent="0.2">
      <c r="A71" s="14">
        <v>43780</v>
      </c>
      <c r="B71">
        <v>1020</v>
      </c>
      <c r="C71">
        <v>1020</v>
      </c>
      <c r="D71">
        <v>1342</v>
      </c>
      <c r="E71">
        <v>1343</v>
      </c>
      <c r="F71">
        <v>0.759493670886076</v>
      </c>
      <c r="G71">
        <v>0.77193833680244295</v>
      </c>
      <c r="H71">
        <v>2.31435828852391E-2</v>
      </c>
      <c r="I71">
        <v>-0.53771561551538105</v>
      </c>
      <c r="J71">
        <v>-1.64</v>
      </c>
      <c r="K71">
        <v>1343</v>
      </c>
      <c r="L71">
        <v>1317.5666591978488</v>
      </c>
    </row>
    <row r="72" spans="1:12" x14ac:dyDescent="0.2">
      <c r="A72" s="14">
        <v>43777</v>
      </c>
      <c r="B72">
        <v>1022.5</v>
      </c>
      <c r="C72">
        <v>1022</v>
      </c>
      <c r="D72">
        <v>1341</v>
      </c>
      <c r="E72">
        <v>1329</v>
      </c>
      <c r="F72">
        <v>0.76899924755455196</v>
      </c>
      <c r="G72">
        <v>0.77199256428547103</v>
      </c>
      <c r="H72">
        <v>2.3119112197923002E-2</v>
      </c>
      <c r="I72">
        <v>-0.129473688491717</v>
      </c>
      <c r="J72">
        <v>-0.39</v>
      </c>
      <c r="K72">
        <v>1329</v>
      </c>
      <c r="L72">
        <v>1320.1501232354917</v>
      </c>
    </row>
    <row r="73" spans="1:12" x14ac:dyDescent="0.2">
      <c r="A73" s="14">
        <v>43776</v>
      </c>
      <c r="B73">
        <v>1009</v>
      </c>
      <c r="C73">
        <v>1021</v>
      </c>
      <c r="D73">
        <v>1283</v>
      </c>
      <c r="E73">
        <v>1297</v>
      </c>
      <c r="F73">
        <v>0.787201233616037</v>
      </c>
      <c r="G73">
        <v>0.77168633093183303</v>
      </c>
      <c r="H73">
        <v>2.3308073532818899E-2</v>
      </c>
      <c r="I73">
        <v>0.66564500332288001</v>
      </c>
      <c r="J73">
        <v>1.97</v>
      </c>
      <c r="K73">
        <v>1297</v>
      </c>
      <c r="L73">
        <v>1318.8583912166703</v>
      </c>
    </row>
    <row r="74" spans="1:12" x14ac:dyDescent="0.2">
      <c r="A74" s="14">
        <v>43775</v>
      </c>
      <c r="B74">
        <v>1020</v>
      </c>
      <c r="C74">
        <v>1015</v>
      </c>
      <c r="D74">
        <v>1271</v>
      </c>
      <c r="E74">
        <v>1300</v>
      </c>
      <c r="F74">
        <v>0.78076923076922999</v>
      </c>
      <c r="G74">
        <v>0.77139591160193499</v>
      </c>
      <c r="H74">
        <v>2.3248570863185099E-2</v>
      </c>
      <c r="I74">
        <v>0.40317829523613802</v>
      </c>
      <c r="J74">
        <v>1.2</v>
      </c>
      <c r="K74">
        <v>1300</v>
      </c>
      <c r="L74">
        <v>1311.1079991037418</v>
      </c>
    </row>
    <row r="75" spans="1:12" x14ac:dyDescent="0.2">
      <c r="A75" s="14">
        <v>43774</v>
      </c>
      <c r="B75">
        <v>995.8</v>
      </c>
      <c r="C75">
        <v>1009.5</v>
      </c>
      <c r="D75">
        <v>1257</v>
      </c>
      <c r="E75">
        <v>1248</v>
      </c>
      <c r="F75">
        <v>0.80889423076922995</v>
      </c>
      <c r="G75">
        <v>0.77126850037996297</v>
      </c>
      <c r="H75">
        <v>2.3223023121986298E-2</v>
      </c>
      <c r="I75">
        <v>1.6201908852101701</v>
      </c>
      <c r="J75">
        <v>4.6500000000000004</v>
      </c>
      <c r="K75">
        <v>1248</v>
      </c>
      <c r="L75">
        <v>1304.0034730002239</v>
      </c>
    </row>
    <row r="76" spans="1:12" x14ac:dyDescent="0.2">
      <c r="A76" s="14">
        <v>43770</v>
      </c>
      <c r="B76">
        <v>915</v>
      </c>
      <c r="C76">
        <v>980.8</v>
      </c>
      <c r="D76">
        <v>1200</v>
      </c>
      <c r="E76">
        <v>1202</v>
      </c>
      <c r="F76">
        <v>0.81597337770382605</v>
      </c>
      <c r="G76">
        <v>0.77089354343794003</v>
      </c>
      <c r="H76">
        <v>2.2836300175981001E-2</v>
      </c>
      <c r="I76">
        <v>1.97404281422524</v>
      </c>
      <c r="J76">
        <v>5.52</v>
      </c>
      <c r="K76">
        <v>1202</v>
      </c>
      <c r="L76">
        <v>1266.9307640600491</v>
      </c>
    </row>
    <row r="77" spans="1:12" x14ac:dyDescent="0.2">
      <c r="A77" s="14">
        <v>43769</v>
      </c>
      <c r="B77">
        <v>915</v>
      </c>
      <c r="C77">
        <v>916.9</v>
      </c>
      <c r="D77">
        <v>1220</v>
      </c>
      <c r="E77">
        <v>1220</v>
      </c>
      <c r="F77">
        <v>0.75155737704918002</v>
      </c>
      <c r="G77">
        <v>0.77030883440634101</v>
      </c>
      <c r="H77">
        <v>2.22278855825714E-2</v>
      </c>
      <c r="I77">
        <v>-0.84360058843671404</v>
      </c>
      <c r="J77">
        <v>-2.5</v>
      </c>
      <c r="K77">
        <v>1220</v>
      </c>
      <c r="L77">
        <v>1184.3890880573604</v>
      </c>
    </row>
    <row r="78" spans="1:12" x14ac:dyDescent="0.2">
      <c r="A78" s="14">
        <v>43768</v>
      </c>
      <c r="B78">
        <v>918</v>
      </c>
      <c r="C78">
        <v>912.1</v>
      </c>
      <c r="D78">
        <v>1259</v>
      </c>
      <c r="E78">
        <v>1222</v>
      </c>
      <c r="F78">
        <v>0.746399345335515</v>
      </c>
      <c r="G78">
        <v>0.77061945339461302</v>
      </c>
      <c r="H78">
        <v>2.2126219911698199E-2</v>
      </c>
      <c r="I78">
        <v>-1.0946337944644999</v>
      </c>
      <c r="J78">
        <v>-3.24</v>
      </c>
      <c r="K78">
        <v>1222</v>
      </c>
      <c r="L78">
        <v>1178.1887743670177</v>
      </c>
    </row>
    <row r="79" spans="1:12" x14ac:dyDescent="0.2">
      <c r="A79" s="14">
        <v>43767</v>
      </c>
      <c r="B79">
        <v>914.9</v>
      </c>
      <c r="C79">
        <v>918</v>
      </c>
      <c r="D79">
        <v>1223</v>
      </c>
      <c r="E79">
        <v>1259</v>
      </c>
      <c r="F79">
        <v>0.72915011914217598</v>
      </c>
      <c r="G79">
        <v>0.77104928534320105</v>
      </c>
      <c r="H79">
        <v>2.1964069804904601E-2</v>
      </c>
      <c r="I79">
        <v>-1.9076230668174901</v>
      </c>
      <c r="J79">
        <v>-5.75</v>
      </c>
      <c r="K79">
        <v>1259</v>
      </c>
      <c r="L79">
        <v>1185.809993278064</v>
      </c>
    </row>
    <row r="80" spans="1:12" x14ac:dyDescent="0.2">
      <c r="A80" s="14">
        <v>43766</v>
      </c>
      <c r="B80">
        <v>907.1</v>
      </c>
      <c r="C80">
        <v>912</v>
      </c>
      <c r="D80">
        <v>1213</v>
      </c>
      <c r="E80">
        <v>1222</v>
      </c>
      <c r="F80">
        <v>0.74631751227495902</v>
      </c>
      <c r="G80">
        <v>0.77175293328476602</v>
      </c>
      <c r="H80">
        <v>2.1449819341731399E-2</v>
      </c>
      <c r="I80">
        <v>-1.1858105005258499</v>
      </c>
      <c r="J80">
        <v>-3.41</v>
      </c>
      <c r="K80">
        <v>1222</v>
      </c>
      <c r="L80">
        <v>1178.0596011651355</v>
      </c>
    </row>
    <row r="81" spans="1:12" x14ac:dyDescent="0.2">
      <c r="A81" s="14">
        <v>43763</v>
      </c>
      <c r="B81">
        <v>906.3</v>
      </c>
      <c r="C81">
        <v>907.1</v>
      </c>
      <c r="D81">
        <v>1221</v>
      </c>
      <c r="E81">
        <v>1212</v>
      </c>
      <c r="F81">
        <v>0.74843234323432295</v>
      </c>
      <c r="G81">
        <v>0.7722820331211</v>
      </c>
      <c r="H81">
        <v>2.1304812759796801E-2</v>
      </c>
      <c r="I81">
        <v>-1.1194508093393201</v>
      </c>
      <c r="J81">
        <v>-3.19</v>
      </c>
      <c r="K81">
        <v>1212</v>
      </c>
      <c r="L81">
        <v>1171.7301142729107</v>
      </c>
    </row>
    <row r="82" spans="1:12" x14ac:dyDescent="0.2">
      <c r="A82" s="14">
        <v>43762</v>
      </c>
      <c r="B82">
        <v>912.4</v>
      </c>
      <c r="C82">
        <v>909.1</v>
      </c>
      <c r="D82">
        <v>1230</v>
      </c>
      <c r="E82">
        <v>1223</v>
      </c>
      <c r="F82">
        <v>0.74333605887162701</v>
      </c>
      <c r="G82">
        <v>0.77282527770367704</v>
      </c>
      <c r="H82">
        <v>2.1208986376926701E-2</v>
      </c>
      <c r="I82">
        <v>-1.39041151274119</v>
      </c>
      <c r="J82">
        <v>-3.97</v>
      </c>
      <c r="K82">
        <v>1223</v>
      </c>
      <c r="L82">
        <v>1174.3135783105533</v>
      </c>
    </row>
    <row r="83" spans="1:12" x14ac:dyDescent="0.2">
      <c r="A83" s="14">
        <v>43761</v>
      </c>
      <c r="B83">
        <v>897.9</v>
      </c>
      <c r="C83">
        <v>903</v>
      </c>
      <c r="D83">
        <v>1202</v>
      </c>
      <c r="E83">
        <v>1223</v>
      </c>
      <c r="F83">
        <v>0.73834832379394899</v>
      </c>
      <c r="G83">
        <v>0.77324022930603398</v>
      </c>
      <c r="H83">
        <v>2.09305896599578E-2</v>
      </c>
      <c r="I83">
        <v>-1.66702926572759</v>
      </c>
      <c r="J83">
        <v>-4.7300000000000004</v>
      </c>
      <c r="K83">
        <v>1223</v>
      </c>
      <c r="L83">
        <v>1166.4340129957427</v>
      </c>
    </row>
    <row r="84" spans="1:12" x14ac:dyDescent="0.2">
      <c r="A84" s="14">
        <v>43759</v>
      </c>
      <c r="B84">
        <v>893.2</v>
      </c>
      <c r="C84">
        <v>894.6</v>
      </c>
      <c r="D84">
        <v>1192</v>
      </c>
      <c r="E84">
        <v>1186</v>
      </c>
      <c r="F84">
        <v>0.75430016863406402</v>
      </c>
      <c r="G84">
        <v>0.77366214082142204</v>
      </c>
      <c r="H84">
        <v>2.0538249200923401E-2</v>
      </c>
      <c r="I84">
        <v>-0.94272749336821104</v>
      </c>
      <c r="J84">
        <v>-2.57</v>
      </c>
      <c r="K84">
        <v>1186</v>
      </c>
      <c r="L84">
        <v>1155.5834640376429</v>
      </c>
    </row>
    <row r="85" spans="1:12" x14ac:dyDescent="0.2">
      <c r="A85" s="14">
        <v>43756</v>
      </c>
      <c r="B85">
        <v>896.4</v>
      </c>
      <c r="C85">
        <v>888.2</v>
      </c>
      <c r="D85">
        <v>1189</v>
      </c>
      <c r="E85">
        <v>1190</v>
      </c>
      <c r="F85">
        <v>0.746386554621848</v>
      </c>
      <c r="G85">
        <v>0.77384662442987295</v>
      </c>
      <c r="H85">
        <v>2.04253342244325E-2</v>
      </c>
      <c r="I85">
        <v>-1.3444122630403299</v>
      </c>
      <c r="J85">
        <v>-3.68</v>
      </c>
      <c r="K85">
        <v>1190</v>
      </c>
      <c r="L85">
        <v>1147.3163791171858</v>
      </c>
    </row>
    <row r="86" spans="1:12" x14ac:dyDescent="0.2">
      <c r="A86" s="14">
        <v>43755</v>
      </c>
      <c r="B86">
        <v>910.6</v>
      </c>
      <c r="C86">
        <v>907</v>
      </c>
      <c r="D86">
        <v>1197</v>
      </c>
      <c r="E86">
        <v>1188</v>
      </c>
      <c r="F86">
        <v>0.76346801346801296</v>
      </c>
      <c r="G86">
        <v>0.774123863530641</v>
      </c>
      <c r="H86">
        <v>2.0190493318989599E-2</v>
      </c>
      <c r="I86">
        <v>-0.52776571103422598</v>
      </c>
      <c r="J86">
        <v>-1.4</v>
      </c>
      <c r="K86">
        <v>1188</v>
      </c>
      <c r="L86">
        <v>1171.6009410710285</v>
      </c>
    </row>
    <row r="87" spans="1:12" x14ac:dyDescent="0.2">
      <c r="A87" s="14">
        <v>43754</v>
      </c>
      <c r="B87">
        <v>910</v>
      </c>
      <c r="C87">
        <v>904.8</v>
      </c>
      <c r="D87">
        <v>1214</v>
      </c>
      <c r="E87">
        <v>1205</v>
      </c>
      <c r="F87">
        <v>0.75087136929460496</v>
      </c>
      <c r="G87">
        <v>0.77404274290099795</v>
      </c>
      <c r="H87">
        <v>2.02452908149547E-2</v>
      </c>
      <c r="I87">
        <v>-1.1445315267724401</v>
      </c>
      <c r="J87">
        <v>-3.09</v>
      </c>
      <c r="K87">
        <v>1205</v>
      </c>
      <c r="L87">
        <v>1168.7591306296213</v>
      </c>
    </row>
    <row r="88" spans="1:12" x14ac:dyDescent="0.2">
      <c r="A88" s="14">
        <v>43753</v>
      </c>
      <c r="B88">
        <v>890.3</v>
      </c>
      <c r="C88">
        <v>896.9</v>
      </c>
      <c r="D88">
        <v>1193</v>
      </c>
      <c r="E88">
        <v>1196</v>
      </c>
      <c r="F88">
        <v>0.74991638795986604</v>
      </c>
      <c r="G88">
        <v>0.77439055003218504</v>
      </c>
      <c r="H88">
        <v>2.0067516723800801E-2</v>
      </c>
      <c r="I88">
        <v>-1.2195909643016301</v>
      </c>
      <c r="J88">
        <v>-3.26</v>
      </c>
      <c r="K88">
        <v>1196</v>
      </c>
      <c r="L88">
        <v>1158.5544476809321</v>
      </c>
    </row>
    <row r="89" spans="1:12" x14ac:dyDescent="0.2">
      <c r="A89" s="14">
        <v>43749</v>
      </c>
      <c r="B89">
        <v>874.4</v>
      </c>
      <c r="C89">
        <v>877.9</v>
      </c>
      <c r="D89">
        <v>1151</v>
      </c>
      <c r="E89">
        <v>1165</v>
      </c>
      <c r="F89">
        <v>0.75356223175965598</v>
      </c>
      <c r="G89">
        <v>0.77472324687923499</v>
      </c>
      <c r="H89">
        <v>1.98648213321806E-2</v>
      </c>
      <c r="I89">
        <v>-1.0652507146036301</v>
      </c>
      <c r="J89">
        <v>-2.81</v>
      </c>
      <c r="K89">
        <v>1165</v>
      </c>
      <c r="L89">
        <v>1134.011539323325</v>
      </c>
    </row>
    <row r="90" spans="1:12" x14ac:dyDescent="0.2">
      <c r="A90" s="14">
        <v>43748</v>
      </c>
      <c r="B90">
        <v>864.3</v>
      </c>
      <c r="C90">
        <v>861.6</v>
      </c>
      <c r="D90">
        <v>1132</v>
      </c>
      <c r="E90">
        <v>1130</v>
      </c>
      <c r="F90">
        <v>0.762477876106194</v>
      </c>
      <c r="G90">
        <v>0.77507057246224598</v>
      </c>
      <c r="H90">
        <v>1.9718990775845002E-2</v>
      </c>
      <c r="I90">
        <v>-0.63860754838817402</v>
      </c>
      <c r="J90">
        <v>-1.65</v>
      </c>
      <c r="K90">
        <v>1130</v>
      </c>
      <c r="L90">
        <v>1112.956307416536</v>
      </c>
    </row>
    <row r="91" spans="1:12" x14ac:dyDescent="0.2">
      <c r="A91" s="14">
        <v>43747</v>
      </c>
      <c r="B91">
        <v>863.7</v>
      </c>
      <c r="C91">
        <v>869.3</v>
      </c>
      <c r="D91">
        <v>1135</v>
      </c>
      <c r="E91">
        <v>1143</v>
      </c>
      <c r="F91">
        <v>0.76054243219597495</v>
      </c>
      <c r="G91">
        <v>0.77534923467413897</v>
      </c>
      <c r="H91">
        <v>1.9686713145527099E-2</v>
      </c>
      <c r="I91">
        <v>-0.75212161464995297</v>
      </c>
      <c r="J91">
        <v>-1.95</v>
      </c>
      <c r="K91">
        <v>1143</v>
      </c>
      <c r="L91">
        <v>1122.9026439614609</v>
      </c>
    </row>
    <row r="92" spans="1:12" x14ac:dyDescent="0.2">
      <c r="A92" s="14">
        <v>43746</v>
      </c>
      <c r="B92">
        <v>877.2</v>
      </c>
      <c r="C92">
        <v>874.4</v>
      </c>
      <c r="D92">
        <v>1157</v>
      </c>
      <c r="E92">
        <v>1162</v>
      </c>
      <c r="F92">
        <v>0.75249569707400998</v>
      </c>
      <c r="G92">
        <v>0.77548722369008105</v>
      </c>
      <c r="H92">
        <v>1.96185971450147E-2</v>
      </c>
      <c r="I92">
        <v>-1.1719251099415899</v>
      </c>
      <c r="J92">
        <v>-3.06</v>
      </c>
      <c r="K92">
        <v>1162</v>
      </c>
      <c r="L92">
        <v>1129.49047725745</v>
      </c>
    </row>
    <row r="93" spans="1:12" x14ac:dyDescent="0.2">
      <c r="A93" s="14">
        <v>43745</v>
      </c>
      <c r="B93">
        <v>887.2</v>
      </c>
      <c r="C93">
        <v>875.7</v>
      </c>
      <c r="D93">
        <v>1155</v>
      </c>
      <c r="E93">
        <v>1145</v>
      </c>
      <c r="F93">
        <v>0.76480349344978105</v>
      </c>
      <c r="G93">
        <v>0.775712427261258</v>
      </c>
      <c r="H93">
        <v>1.9449597376905398E-2</v>
      </c>
      <c r="I93">
        <v>-0.56088224347667803</v>
      </c>
      <c r="J93">
        <v>-1.43</v>
      </c>
      <c r="K93">
        <v>1145</v>
      </c>
      <c r="L93">
        <v>1131.169728881918</v>
      </c>
    </row>
    <row r="94" spans="1:12" x14ac:dyDescent="0.2">
      <c r="A94" s="14">
        <v>43742</v>
      </c>
      <c r="B94">
        <v>880.4</v>
      </c>
      <c r="C94">
        <v>883.6</v>
      </c>
      <c r="D94">
        <v>1137</v>
      </c>
      <c r="E94">
        <v>1135</v>
      </c>
      <c r="F94">
        <v>0.77850220264317105</v>
      </c>
      <c r="G94">
        <v>0.77571866860119199</v>
      </c>
      <c r="H94">
        <v>1.9446170523145598E-2</v>
      </c>
      <c r="I94">
        <v>0.14314047275615299</v>
      </c>
      <c r="J94">
        <v>0.36</v>
      </c>
      <c r="K94">
        <v>1135</v>
      </c>
      <c r="L94">
        <v>1141.3744118306072</v>
      </c>
    </row>
    <row r="95" spans="1:12" x14ac:dyDescent="0.2">
      <c r="A95" s="14">
        <v>43741</v>
      </c>
      <c r="B95">
        <v>881.6</v>
      </c>
      <c r="C95">
        <v>880.4</v>
      </c>
      <c r="D95">
        <v>1125</v>
      </c>
      <c r="E95">
        <v>1152</v>
      </c>
      <c r="F95">
        <v>0.76423611111111101</v>
      </c>
      <c r="G95">
        <v>0.77540436693214598</v>
      </c>
      <c r="H95">
        <v>1.9588617590911201E-2</v>
      </c>
      <c r="I95">
        <v>-0.57014007084489804</v>
      </c>
      <c r="J95">
        <v>-1.46</v>
      </c>
      <c r="K95">
        <v>1152</v>
      </c>
      <c r="L95">
        <v>1137.2408693703785</v>
      </c>
    </row>
    <row r="96" spans="1:12" x14ac:dyDescent="0.2">
      <c r="A96" s="14">
        <v>43740</v>
      </c>
      <c r="B96">
        <v>894.9</v>
      </c>
      <c r="C96">
        <v>901.7</v>
      </c>
      <c r="D96">
        <v>1170</v>
      </c>
      <c r="E96">
        <v>1180</v>
      </c>
      <c r="F96">
        <v>0.76415254237288099</v>
      </c>
      <c r="G96">
        <v>0.77531012733857096</v>
      </c>
      <c r="H96">
        <v>1.9658996016475801E-2</v>
      </c>
      <c r="I96">
        <v>-0.56755619444342698</v>
      </c>
      <c r="J96">
        <v>-1.46</v>
      </c>
      <c r="K96">
        <v>1180</v>
      </c>
      <c r="L96">
        <v>1164.754761371275</v>
      </c>
    </row>
    <row r="97" spans="1:12" x14ac:dyDescent="0.2">
      <c r="A97" s="14">
        <v>43739</v>
      </c>
      <c r="B97">
        <v>886.5</v>
      </c>
      <c r="C97">
        <v>900.9</v>
      </c>
      <c r="D97">
        <v>1155</v>
      </c>
      <c r="E97">
        <v>1183</v>
      </c>
      <c r="F97">
        <v>0.76153846153846105</v>
      </c>
      <c r="G97">
        <v>0.77526496176766801</v>
      </c>
      <c r="H97">
        <v>1.9688447285054901E-2</v>
      </c>
      <c r="I97">
        <v>-0.69718551343690605</v>
      </c>
      <c r="J97">
        <v>-1.8</v>
      </c>
      <c r="K97">
        <v>1183</v>
      </c>
      <c r="L97">
        <v>1163.7213757562176</v>
      </c>
    </row>
    <row r="98" spans="1:12" x14ac:dyDescent="0.2">
      <c r="A98" s="14">
        <v>43738</v>
      </c>
      <c r="B98">
        <v>886.5</v>
      </c>
      <c r="C98">
        <v>875.6</v>
      </c>
      <c r="D98">
        <v>1155</v>
      </c>
      <c r="E98">
        <v>1145</v>
      </c>
      <c r="F98">
        <v>0.76471615720524</v>
      </c>
      <c r="G98">
        <v>0.77536716281146201</v>
      </c>
      <c r="H98">
        <v>1.9636755463730501E-2</v>
      </c>
      <c r="I98">
        <v>-0.54240149936655102</v>
      </c>
      <c r="J98">
        <v>-1.39</v>
      </c>
      <c r="K98">
        <v>1145</v>
      </c>
      <c r="L98">
        <v>1131.0405556800358</v>
      </c>
    </row>
    <row r="99" spans="1:12" x14ac:dyDescent="0.2">
      <c r="A99" s="14">
        <v>43735</v>
      </c>
      <c r="B99">
        <v>894</v>
      </c>
      <c r="C99">
        <v>890.9</v>
      </c>
      <c r="D99">
        <v>1159</v>
      </c>
      <c r="E99">
        <v>1165</v>
      </c>
      <c r="F99">
        <v>0.76472103004291803</v>
      </c>
      <c r="G99">
        <v>0.77542519459939896</v>
      </c>
      <c r="H99">
        <v>1.9611608304457399E-2</v>
      </c>
      <c r="I99">
        <v>-0.54580758448289401</v>
      </c>
      <c r="J99">
        <v>-1.4</v>
      </c>
      <c r="K99">
        <v>1165</v>
      </c>
      <c r="L99">
        <v>1150.8040555680036</v>
      </c>
    </row>
    <row r="100" spans="1:12" x14ac:dyDescent="0.2">
      <c r="A100" s="14">
        <v>43734</v>
      </c>
      <c r="B100">
        <v>906</v>
      </c>
      <c r="C100">
        <v>901.9</v>
      </c>
      <c r="D100">
        <v>1182</v>
      </c>
      <c r="E100">
        <v>1169</v>
      </c>
      <c r="F100">
        <v>0.77151411462788699</v>
      </c>
      <c r="G100">
        <v>0.77568291658831301</v>
      </c>
      <c r="H100">
        <v>1.95962473262946E-2</v>
      </c>
      <c r="I100">
        <v>-0.21273470838634601</v>
      </c>
      <c r="J100">
        <v>-0.54</v>
      </c>
      <c r="K100">
        <v>1169</v>
      </c>
      <c r="L100">
        <v>1165.0131077750391</v>
      </c>
    </row>
    <row r="101" spans="1:12" x14ac:dyDescent="0.2">
      <c r="A101" s="14">
        <v>43733</v>
      </c>
      <c r="B101">
        <v>884</v>
      </c>
      <c r="C101">
        <v>895.6</v>
      </c>
      <c r="D101">
        <v>1162</v>
      </c>
      <c r="E101">
        <v>1167</v>
      </c>
      <c r="F101">
        <v>0.76743787489288695</v>
      </c>
      <c r="G101">
        <v>0.77574725220279805</v>
      </c>
      <c r="H101">
        <v>1.9590375077503601E-2</v>
      </c>
      <c r="I101">
        <v>-0.42415611120446101</v>
      </c>
      <c r="J101">
        <v>-1.08</v>
      </c>
      <c r="K101">
        <v>1167</v>
      </c>
      <c r="L101">
        <v>1156.8751960564643</v>
      </c>
    </row>
    <row r="102" spans="1:12" x14ac:dyDescent="0.2">
      <c r="A102" s="14">
        <v>43732</v>
      </c>
      <c r="B102">
        <v>890</v>
      </c>
      <c r="C102">
        <v>886</v>
      </c>
      <c r="D102">
        <v>1162</v>
      </c>
      <c r="E102">
        <v>1170</v>
      </c>
      <c r="F102">
        <v>0.75726495726495702</v>
      </c>
      <c r="G102">
        <v>0.77589202672589996</v>
      </c>
      <c r="H102">
        <v>1.95685420619565E-2</v>
      </c>
      <c r="I102">
        <v>-0.95188846475981304</v>
      </c>
      <c r="J102">
        <v>-2.46</v>
      </c>
      <c r="K102">
        <v>1170</v>
      </c>
      <c r="L102">
        <v>1144.4745686757785</v>
      </c>
    </row>
    <row r="103" spans="1:12" x14ac:dyDescent="0.2">
      <c r="A103" s="14">
        <v>43728</v>
      </c>
      <c r="B103">
        <v>893.8</v>
      </c>
      <c r="C103">
        <v>894.7</v>
      </c>
      <c r="D103">
        <v>1155</v>
      </c>
      <c r="E103">
        <v>1147</v>
      </c>
      <c r="F103">
        <v>0.78003487358325996</v>
      </c>
      <c r="G103">
        <v>0.776163690649738</v>
      </c>
      <c r="H103">
        <v>1.9449126668000999E-2</v>
      </c>
      <c r="I103">
        <v>0.19904147880795001</v>
      </c>
      <c r="J103">
        <v>0.5</v>
      </c>
      <c r="K103">
        <v>1147</v>
      </c>
      <c r="L103">
        <v>1155.7126372395251</v>
      </c>
    </row>
    <row r="104" spans="1:12" x14ac:dyDescent="0.2">
      <c r="A104" s="14">
        <v>43727</v>
      </c>
      <c r="B104">
        <v>902.5</v>
      </c>
      <c r="C104">
        <v>892.6</v>
      </c>
      <c r="D104">
        <v>1167</v>
      </c>
      <c r="E104">
        <v>1153</v>
      </c>
      <c r="F104">
        <v>0.77415437987857705</v>
      </c>
      <c r="G104">
        <v>0.776271162176565</v>
      </c>
      <c r="H104">
        <v>1.9492442678657001E-2</v>
      </c>
      <c r="I104">
        <v>-0.108595024896758</v>
      </c>
      <c r="J104">
        <v>-0.27</v>
      </c>
      <c r="K104">
        <v>1153</v>
      </c>
      <c r="L104">
        <v>1153</v>
      </c>
    </row>
    <row r="105" spans="1:12" x14ac:dyDescent="0.2">
      <c r="A105" s="14"/>
    </row>
    <row r="106" spans="1:12" x14ac:dyDescent="0.2">
      <c r="A106" s="14"/>
    </row>
    <row r="107" spans="1:12" x14ac:dyDescent="0.2">
      <c r="A107" s="14"/>
    </row>
    <row r="108" spans="1:12" x14ac:dyDescent="0.2">
      <c r="A108" s="14"/>
    </row>
    <row r="109" spans="1:12" x14ac:dyDescent="0.2">
      <c r="A109" s="14"/>
    </row>
    <row r="110" spans="1:12" x14ac:dyDescent="0.2">
      <c r="A110" s="14"/>
    </row>
    <row r="111" spans="1:12" x14ac:dyDescent="0.2">
      <c r="A111" s="14"/>
    </row>
    <row r="112" spans="1:12" x14ac:dyDescent="0.2">
      <c r="A112" s="14"/>
    </row>
    <row r="113" spans="1:1" x14ac:dyDescent="0.2">
      <c r="A113" s="14"/>
    </row>
    <row r="114" spans="1:1" x14ac:dyDescent="0.2">
      <c r="A114" s="14"/>
    </row>
    <row r="115" spans="1:1" x14ac:dyDescent="0.2">
      <c r="A115" s="14"/>
    </row>
    <row r="116" spans="1:1" x14ac:dyDescent="0.2">
      <c r="A116" s="14"/>
    </row>
    <row r="117" spans="1:1" x14ac:dyDescent="0.2">
      <c r="A117" s="14"/>
    </row>
    <row r="118" spans="1:1" x14ac:dyDescent="0.2">
      <c r="A118" s="14"/>
    </row>
    <row r="119" spans="1:1" x14ac:dyDescent="0.2">
      <c r="A119" s="14"/>
    </row>
    <row r="120" spans="1:1" x14ac:dyDescent="0.2">
      <c r="A120" s="14"/>
    </row>
    <row r="121" spans="1:1" x14ac:dyDescent="0.2">
      <c r="A121" s="14"/>
    </row>
    <row r="122" spans="1:1" x14ac:dyDescent="0.2">
      <c r="A122" s="14"/>
    </row>
    <row r="123" spans="1:1" x14ac:dyDescent="0.2">
      <c r="A123" s="14"/>
    </row>
    <row r="124" spans="1:1" x14ac:dyDescent="0.2">
      <c r="A124" s="14"/>
    </row>
    <row r="125" spans="1:1" x14ac:dyDescent="0.2">
      <c r="A125" s="14"/>
    </row>
    <row r="126" spans="1:1" x14ac:dyDescent="0.2">
      <c r="A126" s="14"/>
    </row>
    <row r="127" spans="1:1" x14ac:dyDescent="0.2">
      <c r="A127" s="14"/>
    </row>
    <row r="128" spans="1:1" x14ac:dyDescent="0.2">
      <c r="A128" s="14"/>
    </row>
    <row r="129" spans="1:1" x14ac:dyDescent="0.2">
      <c r="A129" s="14"/>
    </row>
    <row r="130" spans="1:1" x14ac:dyDescent="0.2">
      <c r="A130" s="14"/>
    </row>
    <row r="131" spans="1:1" x14ac:dyDescent="0.2">
      <c r="A131" s="14"/>
    </row>
    <row r="132" spans="1:1" x14ac:dyDescent="0.2">
      <c r="A132" s="14"/>
    </row>
    <row r="133" spans="1:1" x14ac:dyDescent="0.2">
      <c r="A133" s="14"/>
    </row>
    <row r="134" spans="1:1" x14ac:dyDescent="0.2">
      <c r="A134" s="14"/>
    </row>
    <row r="135" spans="1:1" x14ac:dyDescent="0.2">
      <c r="A135" s="14"/>
    </row>
    <row r="136" spans="1:1" x14ac:dyDescent="0.2">
      <c r="A136" s="14"/>
    </row>
    <row r="137" spans="1:1" x14ac:dyDescent="0.2">
      <c r="A137" s="14"/>
    </row>
    <row r="138" spans="1:1" x14ac:dyDescent="0.2">
      <c r="A138" s="14"/>
    </row>
    <row r="139" spans="1:1" x14ac:dyDescent="0.2">
      <c r="A139" s="14"/>
    </row>
    <row r="140" spans="1:1" x14ac:dyDescent="0.2">
      <c r="A140" s="14"/>
    </row>
    <row r="141" spans="1:1" x14ac:dyDescent="0.2">
      <c r="A141" s="14"/>
    </row>
    <row r="142" spans="1:1" x14ac:dyDescent="0.2">
      <c r="A142" s="14"/>
    </row>
    <row r="143" spans="1:1" x14ac:dyDescent="0.2">
      <c r="A143" s="14"/>
    </row>
    <row r="144" spans="1:1" x14ac:dyDescent="0.2">
      <c r="A144" s="14"/>
    </row>
    <row r="145" spans="1:1" x14ac:dyDescent="0.2">
      <c r="A145" s="14"/>
    </row>
    <row r="146" spans="1:1" x14ac:dyDescent="0.2">
      <c r="A146" s="14"/>
    </row>
    <row r="147" spans="1:1" x14ac:dyDescent="0.2">
      <c r="A147" s="14"/>
    </row>
    <row r="148" spans="1:1" x14ac:dyDescent="0.2">
      <c r="A148" s="14"/>
    </row>
    <row r="149" spans="1:1" x14ac:dyDescent="0.2">
      <c r="A149" s="14"/>
    </row>
    <row r="150" spans="1:1" x14ac:dyDescent="0.2">
      <c r="A150" s="14"/>
    </row>
    <row r="151" spans="1:1" x14ac:dyDescent="0.2">
      <c r="A151" s="14"/>
    </row>
    <row r="152" spans="1:1" x14ac:dyDescent="0.2">
      <c r="A152" s="14"/>
    </row>
    <row r="153" spans="1:1" x14ac:dyDescent="0.2">
      <c r="A153" s="14"/>
    </row>
    <row r="154" spans="1:1" x14ac:dyDescent="0.2">
      <c r="A154" s="14"/>
    </row>
    <row r="155" spans="1:1" x14ac:dyDescent="0.2">
      <c r="A155" s="14"/>
    </row>
    <row r="156" spans="1:1" x14ac:dyDescent="0.2">
      <c r="A156" s="14"/>
    </row>
    <row r="157" spans="1:1" x14ac:dyDescent="0.2">
      <c r="A157" s="14"/>
    </row>
    <row r="158" spans="1:1" x14ac:dyDescent="0.2">
      <c r="A158" s="14"/>
    </row>
    <row r="159" spans="1:1" x14ac:dyDescent="0.2">
      <c r="A159" s="14"/>
    </row>
    <row r="160" spans="1:1" x14ac:dyDescent="0.2">
      <c r="A160" s="14"/>
    </row>
    <row r="161" spans="1:1" x14ac:dyDescent="0.2">
      <c r="A161" s="14"/>
    </row>
    <row r="162" spans="1:1" x14ac:dyDescent="0.2">
      <c r="A162" s="14"/>
    </row>
    <row r="163" spans="1:1" x14ac:dyDescent="0.2">
      <c r="A163" s="14"/>
    </row>
    <row r="164" spans="1:1" x14ac:dyDescent="0.2">
      <c r="A164" s="14"/>
    </row>
    <row r="165" spans="1:1" x14ac:dyDescent="0.2">
      <c r="A165" s="14"/>
    </row>
    <row r="166" spans="1:1" x14ac:dyDescent="0.2">
      <c r="A166" s="14"/>
    </row>
    <row r="167" spans="1:1" x14ac:dyDescent="0.2">
      <c r="A167" s="14"/>
    </row>
    <row r="168" spans="1:1" x14ac:dyDescent="0.2">
      <c r="A168" s="14"/>
    </row>
    <row r="169" spans="1:1" x14ac:dyDescent="0.2">
      <c r="A169" s="14"/>
    </row>
    <row r="170" spans="1:1" x14ac:dyDescent="0.2">
      <c r="A170" s="14"/>
    </row>
    <row r="171" spans="1:1" x14ac:dyDescent="0.2">
      <c r="A171" s="14"/>
    </row>
    <row r="172" spans="1:1" x14ac:dyDescent="0.2">
      <c r="A172" s="14"/>
    </row>
    <row r="173" spans="1:1" x14ac:dyDescent="0.2">
      <c r="A173" s="14"/>
    </row>
    <row r="174" spans="1:1" x14ac:dyDescent="0.2">
      <c r="A174" s="14"/>
    </row>
    <row r="175" spans="1:1" x14ac:dyDescent="0.2">
      <c r="A175" s="14"/>
    </row>
    <row r="176" spans="1:1" x14ac:dyDescent="0.2">
      <c r="A176" s="14"/>
    </row>
    <row r="177" spans="1:1" x14ac:dyDescent="0.2">
      <c r="A177" s="14"/>
    </row>
    <row r="178" spans="1:1" x14ac:dyDescent="0.2">
      <c r="A178" s="14"/>
    </row>
    <row r="179" spans="1:1" x14ac:dyDescent="0.2">
      <c r="A179" s="14"/>
    </row>
    <row r="180" spans="1:1" x14ac:dyDescent="0.2">
      <c r="A180" s="14"/>
    </row>
    <row r="181" spans="1:1" x14ac:dyDescent="0.2">
      <c r="A181" s="14"/>
    </row>
    <row r="182" spans="1:1" x14ac:dyDescent="0.2">
      <c r="A182" s="14"/>
    </row>
    <row r="183" spans="1:1" x14ac:dyDescent="0.2">
      <c r="A183" s="14"/>
    </row>
    <row r="184" spans="1:1" x14ac:dyDescent="0.2">
      <c r="A184" s="14"/>
    </row>
    <row r="185" spans="1:1" x14ac:dyDescent="0.2">
      <c r="A185" s="14"/>
    </row>
    <row r="186" spans="1:1" x14ac:dyDescent="0.2">
      <c r="A186" s="14"/>
    </row>
    <row r="187" spans="1:1" x14ac:dyDescent="0.2">
      <c r="A187" s="14"/>
    </row>
    <row r="188" spans="1:1" x14ac:dyDescent="0.2">
      <c r="A188" s="14"/>
    </row>
    <row r="189" spans="1:1" x14ac:dyDescent="0.2">
      <c r="A189" s="14"/>
    </row>
    <row r="190" spans="1:1" x14ac:dyDescent="0.2">
      <c r="A190" s="14"/>
    </row>
    <row r="191" spans="1:1" x14ac:dyDescent="0.2">
      <c r="A191" s="14"/>
    </row>
    <row r="192" spans="1:1" x14ac:dyDescent="0.2">
      <c r="A192" s="14"/>
    </row>
    <row r="193" spans="1:1" x14ac:dyDescent="0.2">
      <c r="A193" s="14"/>
    </row>
    <row r="194" spans="1:1" x14ac:dyDescent="0.2">
      <c r="A194" s="14"/>
    </row>
    <row r="195" spans="1:1" x14ac:dyDescent="0.2">
      <c r="A195" s="14"/>
    </row>
    <row r="196" spans="1:1" x14ac:dyDescent="0.2">
      <c r="A196" s="14"/>
    </row>
    <row r="197" spans="1:1" x14ac:dyDescent="0.2">
      <c r="A197" s="14"/>
    </row>
    <row r="198" spans="1:1" x14ac:dyDescent="0.2">
      <c r="A198" s="14"/>
    </row>
    <row r="199" spans="1:1" x14ac:dyDescent="0.2">
      <c r="A199" s="14"/>
    </row>
    <row r="200" spans="1:1" x14ac:dyDescent="0.2">
      <c r="A200" s="14"/>
    </row>
    <row r="201" spans="1:1" x14ac:dyDescent="0.2">
      <c r="A201" s="14"/>
    </row>
    <row r="202" spans="1:1" x14ac:dyDescent="0.2">
      <c r="A202" s="14"/>
    </row>
    <row r="203" spans="1:1" x14ac:dyDescent="0.2">
      <c r="A203" s="14"/>
    </row>
    <row r="204" spans="1:1" x14ac:dyDescent="0.2">
      <c r="A204" s="14"/>
    </row>
    <row r="205" spans="1:1" x14ac:dyDescent="0.2">
      <c r="A205" s="14"/>
    </row>
    <row r="206" spans="1:1" x14ac:dyDescent="0.2">
      <c r="A206" s="14"/>
    </row>
    <row r="207" spans="1:1" x14ac:dyDescent="0.2">
      <c r="A207" s="14"/>
    </row>
    <row r="208" spans="1:1" x14ac:dyDescent="0.2">
      <c r="A208" s="14"/>
    </row>
    <row r="209" spans="1:9" x14ac:dyDescent="0.2">
      <c r="A209" s="14"/>
    </row>
    <row r="210" spans="1:9" x14ac:dyDescent="0.2">
      <c r="A210" s="14"/>
    </row>
    <row r="211" spans="1:9" x14ac:dyDescent="0.2">
      <c r="A211" s="14"/>
    </row>
    <row r="212" spans="1:9" x14ac:dyDescent="0.2">
      <c r="A212" s="14"/>
    </row>
    <row r="213" spans="1:9" x14ac:dyDescent="0.2">
      <c r="A213" s="14"/>
    </row>
    <row r="214" spans="1:9" x14ac:dyDescent="0.2">
      <c r="A214" s="14"/>
    </row>
    <row r="215" spans="1:9" x14ac:dyDescent="0.2">
      <c r="A215" s="14"/>
    </row>
    <row r="216" spans="1:9" x14ac:dyDescent="0.2">
      <c r="A216" s="14"/>
    </row>
    <row r="217" spans="1:9" x14ac:dyDescent="0.2">
      <c r="A217" s="14"/>
      <c r="I217" s="15"/>
    </row>
    <row r="218" spans="1:9" x14ac:dyDescent="0.2">
      <c r="A218" s="14"/>
    </row>
    <row r="219" spans="1:9" x14ac:dyDescent="0.2">
      <c r="A219" s="14"/>
    </row>
    <row r="220" spans="1:9" x14ac:dyDescent="0.2">
      <c r="A220" s="14"/>
    </row>
    <row r="221" spans="1:9" x14ac:dyDescent="0.2">
      <c r="A221" s="14"/>
    </row>
    <row r="222" spans="1:9" x14ac:dyDescent="0.2">
      <c r="A222" s="14"/>
    </row>
    <row r="223" spans="1:9" x14ac:dyDescent="0.2">
      <c r="A223" s="14"/>
    </row>
    <row r="224" spans="1:9" x14ac:dyDescent="0.2">
      <c r="A224" s="14"/>
    </row>
    <row r="225" spans="1:1" x14ac:dyDescent="0.2">
      <c r="A225" s="14"/>
    </row>
    <row r="226" spans="1:1" x14ac:dyDescent="0.2">
      <c r="A226" s="14"/>
    </row>
    <row r="227" spans="1:1" x14ac:dyDescent="0.2">
      <c r="A227" s="14"/>
    </row>
    <row r="228" spans="1:1" x14ac:dyDescent="0.2">
      <c r="A228" s="14"/>
    </row>
    <row r="229" spans="1:1" x14ac:dyDescent="0.2">
      <c r="A229" s="14"/>
    </row>
    <row r="230" spans="1:1" x14ac:dyDescent="0.2">
      <c r="A230" s="14"/>
    </row>
    <row r="231" spans="1:1" x14ac:dyDescent="0.2">
      <c r="A231" s="14"/>
    </row>
    <row r="232" spans="1:1" x14ac:dyDescent="0.2">
      <c r="A232" s="14"/>
    </row>
    <row r="233" spans="1:1" x14ac:dyDescent="0.2">
      <c r="A233" s="14"/>
    </row>
    <row r="234" spans="1:1" x14ac:dyDescent="0.2">
      <c r="A234" s="14"/>
    </row>
    <row r="235" spans="1:1" x14ac:dyDescent="0.2">
      <c r="A235" s="14"/>
    </row>
    <row r="236" spans="1:1" x14ac:dyDescent="0.2">
      <c r="A236" s="14"/>
    </row>
    <row r="237" spans="1:1" x14ac:dyDescent="0.2">
      <c r="A237" s="14"/>
    </row>
    <row r="238" spans="1:1" x14ac:dyDescent="0.2">
      <c r="A238" s="14"/>
    </row>
    <row r="239" spans="1:1" x14ac:dyDescent="0.2">
      <c r="A239" s="14"/>
    </row>
    <row r="240" spans="1:1" x14ac:dyDescent="0.2">
      <c r="A240" s="14"/>
    </row>
    <row r="241" spans="1:1" x14ac:dyDescent="0.2">
      <c r="A241" s="14"/>
    </row>
    <row r="242" spans="1:1" x14ac:dyDescent="0.2">
      <c r="A242" s="14"/>
    </row>
    <row r="243" spans="1:1" x14ac:dyDescent="0.2">
      <c r="A243" s="14"/>
    </row>
    <row r="244" spans="1:1" x14ac:dyDescent="0.2">
      <c r="A244" s="14"/>
    </row>
    <row r="245" spans="1:1" x14ac:dyDescent="0.2">
      <c r="A245" s="14"/>
    </row>
    <row r="246" spans="1:1" x14ac:dyDescent="0.2">
      <c r="A246" s="14"/>
    </row>
    <row r="247" spans="1:1" x14ac:dyDescent="0.2">
      <c r="A247" s="14"/>
    </row>
    <row r="248" spans="1:1" x14ac:dyDescent="0.2">
      <c r="A248" s="14"/>
    </row>
    <row r="249" spans="1:1" x14ac:dyDescent="0.2">
      <c r="A249" s="14"/>
    </row>
    <row r="250" spans="1:1" x14ac:dyDescent="0.2">
      <c r="A250" s="14"/>
    </row>
    <row r="251" spans="1:1" x14ac:dyDescent="0.2">
      <c r="A251" s="14"/>
    </row>
    <row r="252" spans="1:1" x14ac:dyDescent="0.2">
      <c r="A252" s="14"/>
    </row>
    <row r="253" spans="1:1" x14ac:dyDescent="0.2">
      <c r="A253" s="14"/>
    </row>
    <row r="254" spans="1:1" x14ac:dyDescent="0.2">
      <c r="A254" s="14"/>
    </row>
    <row r="255" spans="1:1" x14ac:dyDescent="0.2">
      <c r="A255" s="14"/>
    </row>
    <row r="256" spans="1:1" x14ac:dyDescent="0.2">
      <c r="A256" s="14"/>
    </row>
    <row r="257" spans="1:1" x14ac:dyDescent="0.2">
      <c r="A257" s="14"/>
    </row>
    <row r="258" spans="1:1" x14ac:dyDescent="0.2">
      <c r="A258" s="14"/>
    </row>
    <row r="259" spans="1:1" x14ac:dyDescent="0.2">
      <c r="A259" s="14"/>
    </row>
    <row r="260" spans="1:1" x14ac:dyDescent="0.2">
      <c r="A260" s="14"/>
    </row>
    <row r="261" spans="1:1" x14ac:dyDescent="0.2">
      <c r="A261" s="14"/>
    </row>
    <row r="262" spans="1:1" x14ac:dyDescent="0.2">
      <c r="A262" s="14"/>
    </row>
    <row r="263" spans="1:1" x14ac:dyDescent="0.2">
      <c r="A263" s="14"/>
    </row>
    <row r="264" spans="1:1" x14ac:dyDescent="0.2">
      <c r="A264" s="14"/>
    </row>
    <row r="265" spans="1:1" x14ac:dyDescent="0.2">
      <c r="A265" s="14"/>
    </row>
    <row r="266" spans="1:1" x14ac:dyDescent="0.2">
      <c r="A266" s="14"/>
    </row>
    <row r="267" spans="1:1" x14ac:dyDescent="0.2">
      <c r="A267" s="14"/>
    </row>
    <row r="268" spans="1:1" x14ac:dyDescent="0.2">
      <c r="A268" s="14"/>
    </row>
    <row r="269" spans="1:1" x14ac:dyDescent="0.2">
      <c r="A269" s="14"/>
    </row>
    <row r="270" spans="1:1" x14ac:dyDescent="0.2">
      <c r="A270" s="14"/>
    </row>
    <row r="271" spans="1:1" x14ac:dyDescent="0.2">
      <c r="A271" s="14"/>
    </row>
    <row r="272" spans="1:1" x14ac:dyDescent="0.2">
      <c r="A272" s="14"/>
    </row>
    <row r="273" spans="1:1" x14ac:dyDescent="0.2">
      <c r="A273" s="14"/>
    </row>
    <row r="274" spans="1:1" x14ac:dyDescent="0.2">
      <c r="A274" s="14"/>
    </row>
    <row r="275" spans="1:1" x14ac:dyDescent="0.2">
      <c r="A275" s="14"/>
    </row>
    <row r="276" spans="1:1" x14ac:dyDescent="0.2">
      <c r="A276" s="14"/>
    </row>
    <row r="277" spans="1:1" x14ac:dyDescent="0.2">
      <c r="A277" s="14"/>
    </row>
    <row r="278" spans="1:1" x14ac:dyDescent="0.2">
      <c r="A278" s="14"/>
    </row>
    <row r="279" spans="1:1" x14ac:dyDescent="0.2">
      <c r="A279" s="14"/>
    </row>
    <row r="280" spans="1:1" x14ac:dyDescent="0.2">
      <c r="A280" s="14"/>
    </row>
    <row r="281" spans="1:1" x14ac:dyDescent="0.2">
      <c r="A281" s="14"/>
    </row>
    <row r="282" spans="1:1" x14ac:dyDescent="0.2">
      <c r="A282" s="14"/>
    </row>
    <row r="283" spans="1:1" x14ac:dyDescent="0.2">
      <c r="A283" s="14"/>
    </row>
    <row r="284" spans="1:1" x14ac:dyDescent="0.2">
      <c r="A284" s="14"/>
    </row>
    <row r="285" spans="1:1" x14ac:dyDescent="0.2">
      <c r="A285" s="14"/>
    </row>
    <row r="286" spans="1:1" x14ac:dyDescent="0.2">
      <c r="A286" s="14"/>
    </row>
    <row r="287" spans="1:1" x14ac:dyDescent="0.2">
      <c r="A287" s="14"/>
    </row>
    <row r="288" spans="1:1" x14ac:dyDescent="0.2">
      <c r="A288" s="14"/>
    </row>
    <row r="289" spans="1:1" x14ac:dyDescent="0.2">
      <c r="A289" s="14"/>
    </row>
    <row r="290" spans="1:1" x14ac:dyDescent="0.2">
      <c r="A290" s="14"/>
    </row>
    <row r="291" spans="1:1" x14ac:dyDescent="0.2">
      <c r="A291" s="14"/>
    </row>
    <row r="292" spans="1:1" x14ac:dyDescent="0.2">
      <c r="A292" s="14"/>
    </row>
    <row r="293" spans="1:1" x14ac:dyDescent="0.2">
      <c r="A293" s="14"/>
    </row>
    <row r="294" spans="1:1" x14ac:dyDescent="0.2">
      <c r="A294" s="14"/>
    </row>
    <row r="295" spans="1:1" x14ac:dyDescent="0.2">
      <c r="A295" s="14"/>
    </row>
    <row r="296" spans="1:1" x14ac:dyDescent="0.2">
      <c r="A296" s="14"/>
    </row>
    <row r="297" spans="1:1" x14ac:dyDescent="0.2">
      <c r="A297" s="14"/>
    </row>
    <row r="298" spans="1:1" x14ac:dyDescent="0.2">
      <c r="A298" s="14"/>
    </row>
    <row r="299" spans="1:1" x14ac:dyDescent="0.2">
      <c r="A299" s="14"/>
    </row>
    <row r="300" spans="1:1" x14ac:dyDescent="0.2">
      <c r="A300" s="14"/>
    </row>
    <row r="301" spans="1:1" x14ac:dyDescent="0.2">
      <c r="A301" s="14"/>
    </row>
    <row r="302" spans="1:1" x14ac:dyDescent="0.2">
      <c r="A302" s="14"/>
    </row>
    <row r="303" spans="1:1" x14ac:dyDescent="0.2">
      <c r="A303" s="14"/>
    </row>
    <row r="304" spans="1:1" x14ac:dyDescent="0.2">
      <c r="A304" s="14"/>
    </row>
    <row r="305" spans="1:1" x14ac:dyDescent="0.2">
      <c r="A305" s="14"/>
    </row>
    <row r="306" spans="1:1" x14ac:dyDescent="0.2">
      <c r="A306" s="14"/>
    </row>
    <row r="307" spans="1:1" x14ac:dyDescent="0.2">
      <c r="A307" s="14"/>
    </row>
    <row r="308" spans="1:1" x14ac:dyDescent="0.2">
      <c r="A308" s="14"/>
    </row>
    <row r="309" spans="1:1" x14ac:dyDescent="0.2">
      <c r="A309" s="14"/>
    </row>
    <row r="310" spans="1:1" x14ac:dyDescent="0.2">
      <c r="A310" s="14"/>
    </row>
    <row r="311" spans="1:1" x14ac:dyDescent="0.2">
      <c r="A311" s="14"/>
    </row>
    <row r="312" spans="1:1" x14ac:dyDescent="0.2">
      <c r="A312" s="14"/>
    </row>
    <row r="313" spans="1:1" x14ac:dyDescent="0.2">
      <c r="A313" s="14"/>
    </row>
    <row r="314" spans="1:1" x14ac:dyDescent="0.2">
      <c r="A314" s="14"/>
    </row>
    <row r="315" spans="1:1" x14ac:dyDescent="0.2">
      <c r="A315" s="14"/>
    </row>
    <row r="316" spans="1:1" x14ac:dyDescent="0.2">
      <c r="A316" s="14"/>
    </row>
    <row r="317" spans="1:1" x14ac:dyDescent="0.2">
      <c r="A317" s="14"/>
    </row>
    <row r="318" spans="1:1" x14ac:dyDescent="0.2">
      <c r="A318" s="14"/>
    </row>
    <row r="319" spans="1:1" x14ac:dyDescent="0.2">
      <c r="A319" s="14"/>
    </row>
    <row r="320" spans="1:1" x14ac:dyDescent="0.2">
      <c r="A320" s="14"/>
    </row>
    <row r="321" spans="1:1" x14ac:dyDescent="0.2">
      <c r="A321" s="14"/>
    </row>
    <row r="322" spans="1:1" x14ac:dyDescent="0.2">
      <c r="A322" s="14"/>
    </row>
    <row r="323" spans="1:1" x14ac:dyDescent="0.2">
      <c r="A323" s="14"/>
    </row>
    <row r="324" spans="1:1" x14ac:dyDescent="0.2">
      <c r="A324" s="14"/>
    </row>
    <row r="325" spans="1:1" x14ac:dyDescent="0.2">
      <c r="A325" s="14"/>
    </row>
    <row r="326" spans="1:1" x14ac:dyDescent="0.2">
      <c r="A326" s="14"/>
    </row>
    <row r="327" spans="1:1" x14ac:dyDescent="0.2">
      <c r="A327" s="14"/>
    </row>
    <row r="328" spans="1:1" x14ac:dyDescent="0.2">
      <c r="A328" s="14"/>
    </row>
    <row r="329" spans="1:1" x14ac:dyDescent="0.2">
      <c r="A329" s="14"/>
    </row>
    <row r="330" spans="1:1" x14ac:dyDescent="0.2">
      <c r="A330" s="14"/>
    </row>
    <row r="331" spans="1:1" x14ac:dyDescent="0.2">
      <c r="A331" s="14"/>
    </row>
    <row r="332" spans="1:1" x14ac:dyDescent="0.2">
      <c r="A332" s="14"/>
    </row>
    <row r="333" spans="1:1" x14ac:dyDescent="0.2">
      <c r="A333" s="14"/>
    </row>
    <row r="334" spans="1:1" x14ac:dyDescent="0.2">
      <c r="A334" s="14"/>
    </row>
    <row r="335" spans="1:1" x14ac:dyDescent="0.2">
      <c r="A335" s="14"/>
    </row>
    <row r="336" spans="1:1" x14ac:dyDescent="0.2">
      <c r="A336" s="14"/>
    </row>
    <row r="337" spans="1:1" x14ac:dyDescent="0.2">
      <c r="A337" s="14"/>
    </row>
    <row r="338" spans="1:1" x14ac:dyDescent="0.2">
      <c r="A338" s="14"/>
    </row>
    <row r="339" spans="1:1" x14ac:dyDescent="0.2">
      <c r="A339" s="14"/>
    </row>
    <row r="340" spans="1:1" x14ac:dyDescent="0.2">
      <c r="A340" s="14"/>
    </row>
    <row r="341" spans="1:1" x14ac:dyDescent="0.2">
      <c r="A341" s="14"/>
    </row>
    <row r="342" spans="1:1" x14ac:dyDescent="0.2">
      <c r="A342" s="14"/>
    </row>
    <row r="343" spans="1:1" x14ac:dyDescent="0.2">
      <c r="A343" s="14"/>
    </row>
    <row r="344" spans="1:1" x14ac:dyDescent="0.2">
      <c r="A344" s="14"/>
    </row>
    <row r="345" spans="1:1" x14ac:dyDescent="0.2">
      <c r="A345" s="14"/>
    </row>
    <row r="346" spans="1:1" x14ac:dyDescent="0.2">
      <c r="A346" s="14"/>
    </row>
    <row r="347" spans="1:1" x14ac:dyDescent="0.2">
      <c r="A347" s="14"/>
    </row>
    <row r="348" spans="1:1" x14ac:dyDescent="0.2">
      <c r="A348" s="14"/>
    </row>
    <row r="349" spans="1:1" x14ac:dyDescent="0.2">
      <c r="A349" s="14"/>
    </row>
    <row r="350" spans="1:1" x14ac:dyDescent="0.2">
      <c r="A350" s="14"/>
    </row>
    <row r="351" spans="1:1" x14ac:dyDescent="0.2">
      <c r="A351" s="14"/>
    </row>
    <row r="352" spans="1:1" x14ac:dyDescent="0.2">
      <c r="A352" s="14"/>
    </row>
    <row r="353" spans="1:1" x14ac:dyDescent="0.2">
      <c r="A353" s="14"/>
    </row>
    <row r="354" spans="1:1" x14ac:dyDescent="0.2">
      <c r="A354" s="14"/>
    </row>
    <row r="355" spans="1:1" x14ac:dyDescent="0.2">
      <c r="A355" s="14"/>
    </row>
    <row r="356" spans="1:1" x14ac:dyDescent="0.2">
      <c r="A356" s="14"/>
    </row>
    <row r="357" spans="1:1" x14ac:dyDescent="0.2">
      <c r="A357" s="14"/>
    </row>
    <row r="358" spans="1:1" x14ac:dyDescent="0.2">
      <c r="A358" s="14"/>
    </row>
    <row r="359" spans="1:1" x14ac:dyDescent="0.2">
      <c r="A359" s="14"/>
    </row>
    <row r="360" spans="1:1" x14ac:dyDescent="0.2">
      <c r="A360" s="14"/>
    </row>
    <row r="361" spans="1:1" x14ac:dyDescent="0.2">
      <c r="A361" s="14"/>
    </row>
    <row r="362" spans="1:1" x14ac:dyDescent="0.2">
      <c r="A362" s="14"/>
    </row>
    <row r="363" spans="1:1" x14ac:dyDescent="0.2">
      <c r="A363" s="14"/>
    </row>
    <row r="364" spans="1:1" x14ac:dyDescent="0.2">
      <c r="A364" s="14"/>
    </row>
    <row r="365" spans="1:1" x14ac:dyDescent="0.2">
      <c r="A365" s="14"/>
    </row>
    <row r="366" spans="1:1" x14ac:dyDescent="0.2">
      <c r="A366" s="14"/>
    </row>
    <row r="367" spans="1:1" x14ac:dyDescent="0.2">
      <c r="A367" s="14"/>
    </row>
    <row r="368" spans="1:1" x14ac:dyDescent="0.2">
      <c r="A368" s="14"/>
    </row>
    <row r="369" spans="1:1" x14ac:dyDescent="0.2">
      <c r="A369" s="14"/>
    </row>
    <row r="370" spans="1:1" x14ac:dyDescent="0.2">
      <c r="A370" s="14"/>
    </row>
    <row r="371" spans="1:1" x14ac:dyDescent="0.2">
      <c r="A371" s="14"/>
    </row>
    <row r="372" spans="1:1" x14ac:dyDescent="0.2">
      <c r="A372" s="14"/>
    </row>
    <row r="373" spans="1:1" x14ac:dyDescent="0.2">
      <c r="A373" s="14"/>
    </row>
    <row r="374" spans="1:1" x14ac:dyDescent="0.2">
      <c r="A374" s="14"/>
    </row>
    <row r="375" spans="1:1" x14ac:dyDescent="0.2">
      <c r="A375" s="14"/>
    </row>
    <row r="376" spans="1:1" x14ac:dyDescent="0.2">
      <c r="A376" s="14"/>
    </row>
    <row r="377" spans="1:1" x14ac:dyDescent="0.2">
      <c r="A377" s="14"/>
    </row>
    <row r="378" spans="1:1" x14ac:dyDescent="0.2">
      <c r="A378" s="14"/>
    </row>
    <row r="379" spans="1:1" x14ac:dyDescent="0.2">
      <c r="A379" s="14"/>
    </row>
    <row r="380" spans="1:1" x14ac:dyDescent="0.2">
      <c r="A380" s="14"/>
    </row>
    <row r="381" spans="1:1" x14ac:dyDescent="0.2">
      <c r="A381" s="14"/>
    </row>
    <row r="382" spans="1:1" x14ac:dyDescent="0.2">
      <c r="A382" s="14"/>
    </row>
    <row r="383" spans="1:1" x14ac:dyDescent="0.2">
      <c r="A383" s="14"/>
    </row>
    <row r="384" spans="1:1" x14ac:dyDescent="0.2">
      <c r="A384" s="14"/>
    </row>
    <row r="385" spans="1:1" x14ac:dyDescent="0.2">
      <c r="A385" s="14"/>
    </row>
    <row r="386" spans="1:1" x14ac:dyDescent="0.2">
      <c r="A386" s="14"/>
    </row>
    <row r="387" spans="1:1" x14ac:dyDescent="0.2">
      <c r="A387" s="14"/>
    </row>
    <row r="388" spans="1:1" x14ac:dyDescent="0.2">
      <c r="A388" s="14"/>
    </row>
    <row r="389" spans="1:1" x14ac:dyDescent="0.2">
      <c r="A389" s="14"/>
    </row>
    <row r="390" spans="1:1" x14ac:dyDescent="0.2">
      <c r="A390" s="14"/>
    </row>
    <row r="391" spans="1:1" x14ac:dyDescent="0.2">
      <c r="A391" s="14"/>
    </row>
    <row r="392" spans="1:1" x14ac:dyDescent="0.2">
      <c r="A392" s="14"/>
    </row>
    <row r="393" spans="1:1" x14ac:dyDescent="0.2">
      <c r="A393" s="14"/>
    </row>
    <row r="394" spans="1:1" x14ac:dyDescent="0.2">
      <c r="A394" s="14"/>
    </row>
    <row r="395" spans="1:1" x14ac:dyDescent="0.2">
      <c r="A395" s="14"/>
    </row>
    <row r="396" spans="1:1" x14ac:dyDescent="0.2">
      <c r="A396" s="14"/>
    </row>
    <row r="397" spans="1:1" x14ac:dyDescent="0.2">
      <c r="A397" s="14"/>
    </row>
    <row r="398" spans="1:1" x14ac:dyDescent="0.2">
      <c r="A398" s="14"/>
    </row>
    <row r="399" spans="1:1" x14ac:dyDescent="0.2">
      <c r="A399" s="14"/>
    </row>
    <row r="400" spans="1:1" x14ac:dyDescent="0.2">
      <c r="A400" s="14"/>
    </row>
    <row r="401" spans="1:1" x14ac:dyDescent="0.2">
      <c r="A401" s="14"/>
    </row>
    <row r="402" spans="1:1" x14ac:dyDescent="0.2">
      <c r="A402" s="14"/>
    </row>
    <row r="403" spans="1:1" x14ac:dyDescent="0.2">
      <c r="A403" s="14"/>
    </row>
    <row r="404" spans="1:1" x14ac:dyDescent="0.2">
      <c r="A404" s="14"/>
    </row>
    <row r="405" spans="1:1" x14ac:dyDescent="0.2">
      <c r="A405" s="14"/>
    </row>
    <row r="406" spans="1:1" x14ac:dyDescent="0.2">
      <c r="A406" s="14"/>
    </row>
    <row r="407" spans="1:1" x14ac:dyDescent="0.2">
      <c r="A407" s="14"/>
    </row>
    <row r="408" spans="1:1" x14ac:dyDescent="0.2">
      <c r="A408" s="14"/>
    </row>
    <row r="409" spans="1:1" x14ac:dyDescent="0.2">
      <c r="A409" s="14"/>
    </row>
    <row r="410" spans="1:1" x14ac:dyDescent="0.2">
      <c r="A410" s="14"/>
    </row>
    <row r="411" spans="1:1" x14ac:dyDescent="0.2">
      <c r="A411" s="14"/>
    </row>
    <row r="412" spans="1:1" x14ac:dyDescent="0.2">
      <c r="A412" s="14"/>
    </row>
    <row r="413" spans="1:1" x14ac:dyDescent="0.2">
      <c r="A413" s="14"/>
    </row>
    <row r="414" spans="1:1" x14ac:dyDescent="0.2">
      <c r="A414" s="14"/>
    </row>
    <row r="415" spans="1:1" x14ac:dyDescent="0.2">
      <c r="A415" s="14"/>
    </row>
    <row r="416" spans="1:1" x14ac:dyDescent="0.2">
      <c r="A416" s="14"/>
    </row>
    <row r="417" spans="1:1" x14ac:dyDescent="0.2">
      <c r="A417" s="14"/>
    </row>
    <row r="418" spans="1:1" x14ac:dyDescent="0.2">
      <c r="A418" s="14"/>
    </row>
    <row r="419" spans="1:1" x14ac:dyDescent="0.2">
      <c r="A419" s="14"/>
    </row>
    <row r="420" spans="1:1" x14ac:dyDescent="0.2">
      <c r="A420" s="14"/>
    </row>
    <row r="421" spans="1:1" x14ac:dyDescent="0.2">
      <c r="A421" s="14"/>
    </row>
    <row r="422" spans="1:1" x14ac:dyDescent="0.2">
      <c r="A422" s="14"/>
    </row>
    <row r="423" spans="1:1" x14ac:dyDescent="0.2">
      <c r="A423" s="14"/>
    </row>
    <row r="424" spans="1:1" x14ac:dyDescent="0.2">
      <c r="A424" s="14"/>
    </row>
    <row r="425" spans="1:1" x14ac:dyDescent="0.2">
      <c r="A425" s="14"/>
    </row>
    <row r="426" spans="1:1" x14ac:dyDescent="0.2">
      <c r="A426" s="14"/>
    </row>
    <row r="427" spans="1:1" x14ac:dyDescent="0.2">
      <c r="A427" s="14"/>
    </row>
    <row r="428" spans="1:1" x14ac:dyDescent="0.2">
      <c r="A428" s="14"/>
    </row>
    <row r="429" spans="1:1" x14ac:dyDescent="0.2">
      <c r="A429" s="14"/>
    </row>
    <row r="430" spans="1:1" x14ac:dyDescent="0.2">
      <c r="A430" s="14"/>
    </row>
    <row r="431" spans="1:1" x14ac:dyDescent="0.2">
      <c r="A431" s="14"/>
    </row>
    <row r="432" spans="1:1" x14ac:dyDescent="0.2">
      <c r="A432" s="14"/>
    </row>
    <row r="433" spans="1:1" x14ac:dyDescent="0.2">
      <c r="A433" s="14"/>
    </row>
    <row r="434" spans="1:1" x14ac:dyDescent="0.2">
      <c r="A434" s="14"/>
    </row>
    <row r="435" spans="1:1" x14ac:dyDescent="0.2">
      <c r="A435" s="14"/>
    </row>
    <row r="436" spans="1:1" x14ac:dyDescent="0.2">
      <c r="A436" s="14"/>
    </row>
    <row r="437" spans="1:1" x14ac:dyDescent="0.2">
      <c r="A437" s="14"/>
    </row>
    <row r="438" spans="1:1" x14ac:dyDescent="0.2">
      <c r="A438" s="14"/>
    </row>
    <row r="439" spans="1:1" x14ac:dyDescent="0.2">
      <c r="A439" s="14"/>
    </row>
    <row r="440" spans="1:1" x14ac:dyDescent="0.2">
      <c r="A440" s="14"/>
    </row>
    <row r="441" spans="1:1" x14ac:dyDescent="0.2">
      <c r="A441" s="14"/>
    </row>
    <row r="442" spans="1:1" x14ac:dyDescent="0.2">
      <c r="A442" s="14"/>
    </row>
    <row r="443" spans="1:1" x14ac:dyDescent="0.2">
      <c r="A443" s="14"/>
    </row>
    <row r="444" spans="1:1" x14ac:dyDescent="0.2">
      <c r="A444" s="14"/>
    </row>
    <row r="445" spans="1:1" x14ac:dyDescent="0.2">
      <c r="A445" s="14"/>
    </row>
    <row r="446" spans="1:1" x14ac:dyDescent="0.2">
      <c r="A446" s="14"/>
    </row>
    <row r="447" spans="1:1" x14ac:dyDescent="0.2">
      <c r="A447" s="14"/>
    </row>
    <row r="448" spans="1:1" x14ac:dyDescent="0.2">
      <c r="A448" s="14"/>
    </row>
    <row r="449" spans="1:1" x14ac:dyDescent="0.2">
      <c r="A449" s="14"/>
    </row>
    <row r="450" spans="1:1" x14ac:dyDescent="0.2">
      <c r="A450" s="14"/>
    </row>
    <row r="451" spans="1:1" x14ac:dyDescent="0.2">
      <c r="A451" s="14"/>
    </row>
    <row r="452" spans="1:1" x14ac:dyDescent="0.2">
      <c r="A452" s="14"/>
    </row>
    <row r="453" spans="1:1" x14ac:dyDescent="0.2">
      <c r="A453" s="14"/>
    </row>
    <row r="454" spans="1:1" x14ac:dyDescent="0.2">
      <c r="A454" s="14"/>
    </row>
    <row r="455" spans="1:1" x14ac:dyDescent="0.2">
      <c r="A455" s="14"/>
    </row>
    <row r="456" spans="1:1" x14ac:dyDescent="0.2">
      <c r="A456" s="14"/>
    </row>
    <row r="457" spans="1:1" x14ac:dyDescent="0.2">
      <c r="A457" s="14"/>
    </row>
    <row r="458" spans="1:1" x14ac:dyDescent="0.2">
      <c r="A458" s="14"/>
    </row>
    <row r="459" spans="1:1" x14ac:dyDescent="0.2">
      <c r="A459" s="14"/>
    </row>
    <row r="460" spans="1:1" x14ac:dyDescent="0.2">
      <c r="A460" s="14"/>
    </row>
    <row r="461" spans="1:1" x14ac:dyDescent="0.2">
      <c r="A461" s="14"/>
    </row>
    <row r="462" spans="1:1" x14ac:dyDescent="0.2">
      <c r="A462" s="14"/>
    </row>
    <row r="463" spans="1:1" x14ac:dyDescent="0.2">
      <c r="A463" s="14"/>
    </row>
    <row r="464" spans="1:1" x14ac:dyDescent="0.2">
      <c r="A464" s="14"/>
    </row>
    <row r="465" spans="1:1" x14ac:dyDescent="0.2">
      <c r="A465" s="14"/>
    </row>
    <row r="466" spans="1:1" x14ac:dyDescent="0.2">
      <c r="A466" s="14"/>
    </row>
    <row r="467" spans="1:1" x14ac:dyDescent="0.2">
      <c r="A467" s="14"/>
    </row>
    <row r="468" spans="1:1" x14ac:dyDescent="0.2">
      <c r="A468" s="14"/>
    </row>
    <row r="469" spans="1:1" x14ac:dyDescent="0.2">
      <c r="A469" s="14"/>
    </row>
    <row r="470" spans="1:1" x14ac:dyDescent="0.2">
      <c r="A470" s="14"/>
    </row>
    <row r="471" spans="1:1" x14ac:dyDescent="0.2">
      <c r="A471" s="14"/>
    </row>
    <row r="472" spans="1:1" x14ac:dyDescent="0.2">
      <c r="A472" s="14"/>
    </row>
    <row r="473" spans="1:1" x14ac:dyDescent="0.2">
      <c r="A473" s="14"/>
    </row>
    <row r="474" spans="1:1" x14ac:dyDescent="0.2">
      <c r="A474" s="14"/>
    </row>
    <row r="475" spans="1:1" x14ac:dyDescent="0.2">
      <c r="A475" s="14"/>
    </row>
    <row r="476" spans="1:1" x14ac:dyDescent="0.2">
      <c r="A476" s="14"/>
    </row>
    <row r="477" spans="1:1" x14ac:dyDescent="0.2">
      <c r="A477" s="14"/>
    </row>
    <row r="478" spans="1:1" x14ac:dyDescent="0.2">
      <c r="A478" s="14"/>
    </row>
    <row r="479" spans="1:1" x14ac:dyDescent="0.2">
      <c r="A479" s="14"/>
    </row>
    <row r="480" spans="1:1" x14ac:dyDescent="0.2">
      <c r="A480" s="14"/>
    </row>
    <row r="481" spans="1:1" x14ac:dyDescent="0.2">
      <c r="A481" s="14"/>
    </row>
    <row r="482" spans="1:1" x14ac:dyDescent="0.2">
      <c r="A482" s="14"/>
    </row>
    <row r="483" spans="1:1" x14ac:dyDescent="0.2">
      <c r="A483" s="14"/>
    </row>
    <row r="484" spans="1:1" x14ac:dyDescent="0.2">
      <c r="A484" s="14"/>
    </row>
    <row r="485" spans="1:1" x14ac:dyDescent="0.2">
      <c r="A485" s="14"/>
    </row>
    <row r="486" spans="1:1" x14ac:dyDescent="0.2">
      <c r="A486" s="14"/>
    </row>
    <row r="487" spans="1:1" x14ac:dyDescent="0.2">
      <c r="A487" s="14"/>
    </row>
    <row r="488" spans="1:1" x14ac:dyDescent="0.2">
      <c r="A488" s="14"/>
    </row>
    <row r="489" spans="1:1" x14ac:dyDescent="0.2">
      <c r="A489" s="14"/>
    </row>
    <row r="490" spans="1:1" x14ac:dyDescent="0.2">
      <c r="A490" s="14"/>
    </row>
    <row r="491" spans="1:1" x14ac:dyDescent="0.2">
      <c r="A491" s="14"/>
    </row>
    <row r="492" spans="1:1" x14ac:dyDescent="0.2">
      <c r="A492" s="14"/>
    </row>
    <row r="493" spans="1:1" x14ac:dyDescent="0.2">
      <c r="A493" s="14"/>
    </row>
    <row r="494" spans="1:1" x14ac:dyDescent="0.2">
      <c r="A494" s="14"/>
    </row>
    <row r="495" spans="1:1" x14ac:dyDescent="0.2">
      <c r="A495" s="14"/>
    </row>
    <row r="496" spans="1:1" x14ac:dyDescent="0.2">
      <c r="A496" s="14"/>
    </row>
    <row r="497" spans="1:1" x14ac:dyDescent="0.2">
      <c r="A497" s="14"/>
    </row>
    <row r="498" spans="1:1" x14ac:dyDescent="0.2">
      <c r="A498" s="14"/>
    </row>
    <row r="499" spans="1:1" x14ac:dyDescent="0.2">
      <c r="A499" s="14"/>
    </row>
    <row r="500" spans="1:1" x14ac:dyDescent="0.2">
      <c r="A500" s="14"/>
    </row>
    <row r="501" spans="1:1" x14ac:dyDescent="0.2">
      <c r="A501" s="14"/>
    </row>
    <row r="502" spans="1:1" x14ac:dyDescent="0.2">
      <c r="A502" s="14"/>
    </row>
    <row r="503" spans="1:1" x14ac:dyDescent="0.2">
      <c r="A503" s="14"/>
    </row>
    <row r="504" spans="1:1" x14ac:dyDescent="0.2">
      <c r="A504" s="14"/>
    </row>
    <row r="505" spans="1:1" x14ac:dyDescent="0.2">
      <c r="A505" s="14"/>
    </row>
    <row r="506" spans="1:1" x14ac:dyDescent="0.2">
      <c r="A506" s="14"/>
    </row>
    <row r="507" spans="1:1" x14ac:dyDescent="0.2">
      <c r="A507" s="14"/>
    </row>
    <row r="508" spans="1:1" x14ac:dyDescent="0.2">
      <c r="A508" s="14"/>
    </row>
    <row r="509" spans="1:1" x14ac:dyDescent="0.2">
      <c r="A509" s="14"/>
    </row>
    <row r="510" spans="1:1" x14ac:dyDescent="0.2">
      <c r="A510" s="14"/>
    </row>
    <row r="511" spans="1:1" x14ac:dyDescent="0.2">
      <c r="A511" s="14"/>
    </row>
    <row r="512" spans="1:1" x14ac:dyDescent="0.2">
      <c r="A512" s="14"/>
    </row>
    <row r="513" spans="1:1" x14ac:dyDescent="0.2">
      <c r="A513" s="14"/>
    </row>
    <row r="514" spans="1:1" x14ac:dyDescent="0.2">
      <c r="A514" s="14"/>
    </row>
    <row r="515" spans="1:1" x14ac:dyDescent="0.2">
      <c r="A515" s="14"/>
    </row>
    <row r="516" spans="1:1" x14ac:dyDescent="0.2">
      <c r="A516" s="14"/>
    </row>
    <row r="517" spans="1:1" x14ac:dyDescent="0.2">
      <c r="A517" s="14"/>
    </row>
    <row r="518" spans="1:1" x14ac:dyDescent="0.2">
      <c r="A518" s="14"/>
    </row>
    <row r="519" spans="1:1" x14ac:dyDescent="0.2">
      <c r="A519" s="14"/>
    </row>
    <row r="520" spans="1:1" x14ac:dyDescent="0.2">
      <c r="A520" s="14"/>
    </row>
    <row r="521" spans="1:1" x14ac:dyDescent="0.2">
      <c r="A521" s="14"/>
    </row>
    <row r="522" spans="1:1" x14ac:dyDescent="0.2">
      <c r="A522" s="14"/>
    </row>
    <row r="523" spans="1:1" x14ac:dyDescent="0.2">
      <c r="A523" s="14"/>
    </row>
    <row r="524" spans="1:1" x14ac:dyDescent="0.2">
      <c r="A524" s="14"/>
    </row>
    <row r="525" spans="1:1" x14ac:dyDescent="0.2">
      <c r="A525" s="14"/>
    </row>
    <row r="526" spans="1:1" x14ac:dyDescent="0.2">
      <c r="A526" s="14"/>
    </row>
    <row r="527" spans="1:1" x14ac:dyDescent="0.2">
      <c r="A527" s="14"/>
    </row>
    <row r="528" spans="1:1" x14ac:dyDescent="0.2">
      <c r="A528" s="14"/>
    </row>
    <row r="529" spans="1:1" x14ac:dyDescent="0.2">
      <c r="A529" s="14"/>
    </row>
    <row r="530" spans="1:1" x14ac:dyDescent="0.2">
      <c r="A530" s="14"/>
    </row>
    <row r="531" spans="1:1" x14ac:dyDescent="0.2">
      <c r="A531" s="14"/>
    </row>
    <row r="532" spans="1:1" x14ac:dyDescent="0.2">
      <c r="A532" s="14"/>
    </row>
    <row r="533" spans="1:1" x14ac:dyDescent="0.2">
      <c r="A533" s="14"/>
    </row>
    <row r="534" spans="1:1" x14ac:dyDescent="0.2">
      <c r="A534" s="14"/>
    </row>
    <row r="535" spans="1:1" x14ac:dyDescent="0.2">
      <c r="A535" s="14"/>
    </row>
    <row r="536" spans="1:1" x14ac:dyDescent="0.2">
      <c r="A536" s="14"/>
    </row>
    <row r="537" spans="1:1" x14ac:dyDescent="0.2">
      <c r="A537" s="14"/>
    </row>
    <row r="538" spans="1:1" x14ac:dyDescent="0.2">
      <c r="A538" s="14"/>
    </row>
    <row r="539" spans="1:1" x14ac:dyDescent="0.2">
      <c r="A539" s="14"/>
    </row>
    <row r="540" spans="1:1" x14ac:dyDescent="0.2">
      <c r="A540" s="14"/>
    </row>
    <row r="541" spans="1:1" x14ac:dyDescent="0.2">
      <c r="A541" s="14"/>
    </row>
    <row r="542" spans="1:1" x14ac:dyDescent="0.2">
      <c r="A542" s="14"/>
    </row>
    <row r="543" spans="1:1" x14ac:dyDescent="0.2">
      <c r="A543" s="14"/>
    </row>
    <row r="544" spans="1:1" x14ac:dyDescent="0.2">
      <c r="A544" s="14"/>
    </row>
    <row r="545" spans="1:1" x14ac:dyDescent="0.2">
      <c r="A545" s="14"/>
    </row>
    <row r="546" spans="1:1" x14ac:dyDescent="0.2">
      <c r="A546" s="14"/>
    </row>
    <row r="547" spans="1:1" x14ac:dyDescent="0.2">
      <c r="A547" s="14"/>
    </row>
    <row r="548" spans="1:1" x14ac:dyDescent="0.2">
      <c r="A548" s="14"/>
    </row>
    <row r="549" spans="1:1" x14ac:dyDescent="0.2">
      <c r="A549" s="14"/>
    </row>
    <row r="550" spans="1:1" x14ac:dyDescent="0.2">
      <c r="A550" s="14"/>
    </row>
    <row r="551" spans="1:1" x14ac:dyDescent="0.2">
      <c r="A551" s="14"/>
    </row>
    <row r="552" spans="1:1" x14ac:dyDescent="0.2">
      <c r="A552" s="14"/>
    </row>
    <row r="553" spans="1:1" x14ac:dyDescent="0.2">
      <c r="A553" s="14"/>
    </row>
    <row r="554" spans="1:1" x14ac:dyDescent="0.2">
      <c r="A554" s="14"/>
    </row>
    <row r="555" spans="1:1" x14ac:dyDescent="0.2">
      <c r="A555" s="14"/>
    </row>
    <row r="556" spans="1:1" x14ac:dyDescent="0.2">
      <c r="A556" s="14"/>
    </row>
    <row r="557" spans="1:1" x14ac:dyDescent="0.2">
      <c r="A557" s="14"/>
    </row>
    <row r="558" spans="1:1" x14ac:dyDescent="0.2">
      <c r="A558" s="14"/>
    </row>
    <row r="559" spans="1:1" x14ac:dyDescent="0.2">
      <c r="A559" s="14"/>
    </row>
    <row r="560" spans="1:1" x14ac:dyDescent="0.2">
      <c r="A560" s="14"/>
    </row>
    <row r="561" spans="1:1" x14ac:dyDescent="0.2">
      <c r="A561" s="14"/>
    </row>
    <row r="562" spans="1:1" x14ac:dyDescent="0.2">
      <c r="A562" s="14"/>
    </row>
    <row r="563" spans="1:1" x14ac:dyDescent="0.2">
      <c r="A563" s="14"/>
    </row>
    <row r="564" spans="1:1" x14ac:dyDescent="0.2">
      <c r="A564" s="14"/>
    </row>
    <row r="565" spans="1:1" x14ac:dyDescent="0.2">
      <c r="A565" s="14"/>
    </row>
    <row r="566" spans="1:1" x14ac:dyDescent="0.2">
      <c r="A566" s="14"/>
    </row>
    <row r="567" spans="1:1" x14ac:dyDescent="0.2">
      <c r="A567" s="14"/>
    </row>
    <row r="568" spans="1:1" x14ac:dyDescent="0.2">
      <c r="A568" s="14"/>
    </row>
    <row r="569" spans="1:1" x14ac:dyDescent="0.2">
      <c r="A569" s="14"/>
    </row>
    <row r="570" spans="1:1" x14ac:dyDescent="0.2">
      <c r="A570" s="14"/>
    </row>
    <row r="571" spans="1:1" x14ac:dyDescent="0.2">
      <c r="A571" s="14"/>
    </row>
    <row r="572" spans="1:1" x14ac:dyDescent="0.2">
      <c r="A572" s="14"/>
    </row>
    <row r="573" spans="1:1" x14ac:dyDescent="0.2">
      <c r="A573" s="14"/>
    </row>
    <row r="574" spans="1:1" x14ac:dyDescent="0.2">
      <c r="A574" s="14"/>
    </row>
    <row r="575" spans="1:1" x14ac:dyDescent="0.2">
      <c r="A575" s="14"/>
    </row>
    <row r="576" spans="1:1" x14ac:dyDescent="0.2">
      <c r="A576" s="14"/>
    </row>
    <row r="577" spans="1:1" x14ac:dyDescent="0.2">
      <c r="A577" s="14"/>
    </row>
    <row r="578" spans="1:1" x14ac:dyDescent="0.2">
      <c r="A578" s="14"/>
    </row>
    <row r="579" spans="1:1" x14ac:dyDescent="0.2">
      <c r="A579" s="14"/>
    </row>
    <row r="580" spans="1:1" x14ac:dyDescent="0.2">
      <c r="A580" s="14"/>
    </row>
    <row r="581" spans="1:1" x14ac:dyDescent="0.2">
      <c r="A581" s="14"/>
    </row>
    <row r="582" spans="1:1" x14ac:dyDescent="0.2">
      <c r="A582" s="14"/>
    </row>
    <row r="583" spans="1:1" x14ac:dyDescent="0.2">
      <c r="A583" s="14"/>
    </row>
    <row r="584" spans="1:1" x14ac:dyDescent="0.2">
      <c r="A584" s="14"/>
    </row>
    <row r="585" spans="1:1" x14ac:dyDescent="0.2">
      <c r="A585" s="14"/>
    </row>
    <row r="586" spans="1:1" x14ac:dyDescent="0.2">
      <c r="A586" s="14"/>
    </row>
    <row r="587" spans="1:1" x14ac:dyDescent="0.2">
      <c r="A587" s="14"/>
    </row>
    <row r="588" spans="1:1" x14ac:dyDescent="0.2">
      <c r="A588" s="14"/>
    </row>
    <row r="589" spans="1:1" x14ac:dyDescent="0.2">
      <c r="A589" s="14"/>
    </row>
    <row r="590" spans="1:1" x14ac:dyDescent="0.2">
      <c r="A590" s="14"/>
    </row>
    <row r="591" spans="1:1" x14ac:dyDescent="0.2">
      <c r="A591" s="14"/>
    </row>
    <row r="592" spans="1:1" x14ac:dyDescent="0.2">
      <c r="A592" s="14"/>
    </row>
    <row r="593" spans="1:1" x14ac:dyDescent="0.2">
      <c r="A593" s="14"/>
    </row>
    <row r="594" spans="1:1" x14ac:dyDescent="0.2">
      <c r="A594" s="14"/>
    </row>
    <row r="595" spans="1:1" x14ac:dyDescent="0.2">
      <c r="A595" s="14"/>
    </row>
    <row r="596" spans="1:1" x14ac:dyDescent="0.2">
      <c r="A596" s="14"/>
    </row>
    <row r="597" spans="1:1" x14ac:dyDescent="0.2">
      <c r="A597" s="14"/>
    </row>
    <row r="598" spans="1:1" x14ac:dyDescent="0.2">
      <c r="A598" s="14"/>
    </row>
    <row r="599" spans="1:1" x14ac:dyDescent="0.2">
      <c r="A599" s="14"/>
    </row>
    <row r="600" spans="1:1" x14ac:dyDescent="0.2">
      <c r="A600" s="14"/>
    </row>
    <row r="601" spans="1:1" x14ac:dyDescent="0.2">
      <c r="A601" s="14"/>
    </row>
    <row r="602" spans="1:1" x14ac:dyDescent="0.2">
      <c r="A602" s="14"/>
    </row>
    <row r="603" spans="1:1" x14ac:dyDescent="0.2">
      <c r="A603" s="14"/>
    </row>
    <row r="604" spans="1:1" x14ac:dyDescent="0.2">
      <c r="A604" s="14"/>
    </row>
    <row r="605" spans="1:1" x14ac:dyDescent="0.2">
      <c r="A605" s="14"/>
    </row>
    <row r="606" spans="1:1" x14ac:dyDescent="0.2">
      <c r="A606" s="14"/>
    </row>
    <row r="607" spans="1:1" x14ac:dyDescent="0.2">
      <c r="A607" s="14"/>
    </row>
    <row r="608" spans="1:1" x14ac:dyDescent="0.2">
      <c r="A608" s="14"/>
    </row>
    <row r="609" spans="1:1" x14ac:dyDescent="0.2">
      <c r="A609" s="14"/>
    </row>
    <row r="610" spans="1:1" x14ac:dyDescent="0.2">
      <c r="A610" s="14"/>
    </row>
    <row r="611" spans="1:1" x14ac:dyDescent="0.2">
      <c r="A611" s="14"/>
    </row>
    <row r="612" spans="1:1" x14ac:dyDescent="0.2">
      <c r="A612" s="14"/>
    </row>
    <row r="613" spans="1:1" x14ac:dyDescent="0.2">
      <c r="A613" s="14"/>
    </row>
    <row r="614" spans="1:1" x14ac:dyDescent="0.2">
      <c r="A614" s="14"/>
    </row>
    <row r="615" spans="1:1" x14ac:dyDescent="0.2">
      <c r="A615" s="14"/>
    </row>
    <row r="616" spans="1:1" x14ac:dyDescent="0.2">
      <c r="A616" s="14"/>
    </row>
    <row r="617" spans="1:1" x14ac:dyDescent="0.2">
      <c r="A617" s="14"/>
    </row>
    <row r="618" spans="1:1" x14ac:dyDescent="0.2">
      <c r="A618" s="14"/>
    </row>
    <row r="619" spans="1:1" x14ac:dyDescent="0.2">
      <c r="A619" s="14"/>
    </row>
    <row r="620" spans="1:1" x14ac:dyDescent="0.2">
      <c r="A620" s="14"/>
    </row>
    <row r="621" spans="1:1" x14ac:dyDescent="0.2">
      <c r="A621" s="14"/>
    </row>
    <row r="622" spans="1:1" x14ac:dyDescent="0.2">
      <c r="A622" s="14"/>
    </row>
    <row r="623" spans="1:1" x14ac:dyDescent="0.2">
      <c r="A623" s="14"/>
    </row>
    <row r="624" spans="1:1" x14ac:dyDescent="0.2">
      <c r="A624" s="14"/>
    </row>
    <row r="625" spans="1:1" x14ac:dyDescent="0.2">
      <c r="A625" s="14"/>
    </row>
    <row r="626" spans="1:1" x14ac:dyDescent="0.2">
      <c r="A626" s="14"/>
    </row>
    <row r="627" spans="1:1" x14ac:dyDescent="0.2">
      <c r="A627" s="14"/>
    </row>
    <row r="628" spans="1:1" x14ac:dyDescent="0.2">
      <c r="A628" s="14"/>
    </row>
    <row r="629" spans="1:1" x14ac:dyDescent="0.2">
      <c r="A629" s="14"/>
    </row>
    <row r="630" spans="1:1" x14ac:dyDescent="0.2">
      <c r="A630" s="14"/>
    </row>
    <row r="631" spans="1:1" x14ac:dyDescent="0.2">
      <c r="A631" s="14"/>
    </row>
    <row r="632" spans="1:1" x14ac:dyDescent="0.2">
      <c r="A632" s="14"/>
    </row>
    <row r="633" spans="1:1" x14ac:dyDescent="0.2">
      <c r="A633" s="14"/>
    </row>
    <row r="634" spans="1:1" x14ac:dyDescent="0.2">
      <c r="A634" s="14"/>
    </row>
    <row r="635" spans="1:1" x14ac:dyDescent="0.2">
      <c r="A635" s="14"/>
    </row>
    <row r="636" spans="1:1" x14ac:dyDescent="0.2">
      <c r="A636" s="14"/>
    </row>
    <row r="637" spans="1:1" x14ac:dyDescent="0.2">
      <c r="A637" s="14"/>
    </row>
    <row r="638" spans="1:1" x14ac:dyDescent="0.2">
      <c r="A638" s="14"/>
    </row>
    <row r="639" spans="1:1" x14ac:dyDescent="0.2">
      <c r="A639" s="14"/>
    </row>
    <row r="640" spans="1:1" x14ac:dyDescent="0.2">
      <c r="A640" s="14"/>
    </row>
    <row r="641" spans="1:1" x14ac:dyDescent="0.2">
      <c r="A641" s="14"/>
    </row>
    <row r="642" spans="1:1" x14ac:dyDescent="0.2">
      <c r="A642" s="14"/>
    </row>
    <row r="643" spans="1:1" x14ac:dyDescent="0.2">
      <c r="A643" s="14"/>
    </row>
    <row r="644" spans="1:1" x14ac:dyDescent="0.2">
      <c r="A644" s="14"/>
    </row>
    <row r="645" spans="1:1" x14ac:dyDescent="0.2">
      <c r="A645" s="14"/>
    </row>
    <row r="646" spans="1:1" x14ac:dyDescent="0.2">
      <c r="A646" s="14"/>
    </row>
    <row r="647" spans="1:1" x14ac:dyDescent="0.2">
      <c r="A647" s="14"/>
    </row>
    <row r="648" spans="1:1" x14ac:dyDescent="0.2">
      <c r="A648" s="14"/>
    </row>
    <row r="649" spans="1:1" x14ac:dyDescent="0.2">
      <c r="A649" s="14"/>
    </row>
    <row r="650" spans="1:1" x14ac:dyDescent="0.2">
      <c r="A650" s="14"/>
    </row>
    <row r="651" spans="1:1" x14ac:dyDescent="0.2">
      <c r="A651" s="14"/>
    </row>
    <row r="652" spans="1:1" x14ac:dyDescent="0.2">
      <c r="A652" s="14"/>
    </row>
    <row r="653" spans="1:1" x14ac:dyDescent="0.2">
      <c r="A653" s="14"/>
    </row>
    <row r="654" spans="1:1" x14ac:dyDescent="0.2">
      <c r="A654" s="14"/>
    </row>
    <row r="655" spans="1:1" x14ac:dyDescent="0.2">
      <c r="A655" s="14"/>
    </row>
    <row r="656" spans="1:1" x14ac:dyDescent="0.2">
      <c r="A656" s="14"/>
    </row>
    <row r="657" spans="1:1" x14ac:dyDescent="0.2">
      <c r="A657" s="14"/>
    </row>
    <row r="658" spans="1:1" x14ac:dyDescent="0.2">
      <c r="A658" s="14"/>
    </row>
    <row r="659" spans="1:1" x14ac:dyDescent="0.2">
      <c r="A659" s="14"/>
    </row>
    <row r="660" spans="1:1" x14ac:dyDescent="0.2">
      <c r="A660" s="14"/>
    </row>
    <row r="661" spans="1:1" x14ac:dyDescent="0.2">
      <c r="A661" s="14"/>
    </row>
    <row r="662" spans="1:1" x14ac:dyDescent="0.2">
      <c r="A662" s="14"/>
    </row>
    <row r="663" spans="1:1" x14ac:dyDescent="0.2">
      <c r="A663" s="14"/>
    </row>
    <row r="664" spans="1:1" x14ac:dyDescent="0.2">
      <c r="A664" s="14"/>
    </row>
    <row r="665" spans="1:1" x14ac:dyDescent="0.2">
      <c r="A665" s="14"/>
    </row>
    <row r="666" spans="1:1" x14ac:dyDescent="0.2">
      <c r="A666" s="14"/>
    </row>
    <row r="667" spans="1:1" x14ac:dyDescent="0.2">
      <c r="A667" s="14"/>
    </row>
    <row r="668" spans="1:1" x14ac:dyDescent="0.2">
      <c r="A668" s="14"/>
    </row>
    <row r="669" spans="1:1" x14ac:dyDescent="0.2">
      <c r="A669" s="14"/>
    </row>
    <row r="670" spans="1:1" x14ac:dyDescent="0.2">
      <c r="A670" s="14"/>
    </row>
    <row r="671" spans="1:1" x14ac:dyDescent="0.2">
      <c r="A671" s="14"/>
    </row>
    <row r="672" spans="1:1" x14ac:dyDescent="0.2">
      <c r="A672" s="14"/>
    </row>
    <row r="673" spans="1:1" x14ac:dyDescent="0.2">
      <c r="A673" s="14"/>
    </row>
    <row r="674" spans="1:1" x14ac:dyDescent="0.2">
      <c r="A674" s="14"/>
    </row>
    <row r="675" spans="1:1" x14ac:dyDescent="0.2">
      <c r="A675" s="14"/>
    </row>
    <row r="676" spans="1:1" x14ac:dyDescent="0.2">
      <c r="A676" s="14"/>
    </row>
    <row r="677" spans="1:1" x14ac:dyDescent="0.2">
      <c r="A677" s="14"/>
    </row>
    <row r="678" spans="1:1" x14ac:dyDescent="0.2">
      <c r="A678" s="14"/>
    </row>
    <row r="679" spans="1:1" x14ac:dyDescent="0.2">
      <c r="A679" s="14"/>
    </row>
    <row r="680" spans="1:1" x14ac:dyDescent="0.2">
      <c r="A680" s="14"/>
    </row>
    <row r="681" spans="1:1" x14ac:dyDescent="0.2">
      <c r="A681" s="14"/>
    </row>
    <row r="682" spans="1:1" x14ac:dyDescent="0.2">
      <c r="A682" s="14"/>
    </row>
    <row r="683" spans="1:1" x14ac:dyDescent="0.2">
      <c r="A683" s="14"/>
    </row>
    <row r="684" spans="1:1" x14ac:dyDescent="0.2">
      <c r="A684" s="14"/>
    </row>
    <row r="685" spans="1:1" x14ac:dyDescent="0.2">
      <c r="A685" s="14"/>
    </row>
    <row r="686" spans="1:1" x14ac:dyDescent="0.2">
      <c r="A686" s="14"/>
    </row>
    <row r="687" spans="1:1" x14ac:dyDescent="0.2">
      <c r="A687" s="14"/>
    </row>
    <row r="688" spans="1:1" x14ac:dyDescent="0.2">
      <c r="A688" s="14"/>
    </row>
    <row r="689" spans="1:1" x14ac:dyDescent="0.2">
      <c r="A689" s="14"/>
    </row>
    <row r="690" spans="1:1" x14ac:dyDescent="0.2">
      <c r="A690" s="14"/>
    </row>
    <row r="691" spans="1:1" x14ac:dyDescent="0.2">
      <c r="A691" s="14"/>
    </row>
    <row r="692" spans="1:1" x14ac:dyDescent="0.2">
      <c r="A692" s="14"/>
    </row>
    <row r="693" spans="1:1" x14ac:dyDescent="0.2">
      <c r="A693" s="14"/>
    </row>
    <row r="694" spans="1:1" x14ac:dyDescent="0.2">
      <c r="A694" s="14"/>
    </row>
    <row r="695" spans="1:1" x14ac:dyDescent="0.2">
      <c r="A695" s="14"/>
    </row>
    <row r="696" spans="1:1" x14ac:dyDescent="0.2">
      <c r="A696" s="14"/>
    </row>
    <row r="697" spans="1:1" x14ac:dyDescent="0.2">
      <c r="A697" s="14"/>
    </row>
    <row r="698" spans="1:1" x14ac:dyDescent="0.2">
      <c r="A698" s="14"/>
    </row>
    <row r="699" spans="1:1" x14ac:dyDescent="0.2">
      <c r="A699" s="14"/>
    </row>
    <row r="700" spans="1:1" x14ac:dyDescent="0.2">
      <c r="A700" s="14"/>
    </row>
    <row r="701" spans="1:1" x14ac:dyDescent="0.2">
      <c r="A701" s="14"/>
    </row>
    <row r="702" spans="1:1" x14ac:dyDescent="0.2">
      <c r="A702" s="14"/>
    </row>
    <row r="703" spans="1:1" x14ac:dyDescent="0.2">
      <c r="A703" s="14"/>
    </row>
    <row r="704" spans="1:1" x14ac:dyDescent="0.2">
      <c r="A704" s="14"/>
    </row>
    <row r="705" spans="1:1" x14ac:dyDescent="0.2">
      <c r="A705" s="14"/>
    </row>
    <row r="706" spans="1:1" x14ac:dyDescent="0.2">
      <c r="A706" s="14"/>
    </row>
    <row r="707" spans="1:1" x14ac:dyDescent="0.2">
      <c r="A707" s="14"/>
    </row>
    <row r="708" spans="1:1" x14ac:dyDescent="0.2">
      <c r="A708" s="14"/>
    </row>
    <row r="709" spans="1:1" x14ac:dyDescent="0.2">
      <c r="A709" s="14"/>
    </row>
    <row r="710" spans="1:1" x14ac:dyDescent="0.2">
      <c r="A710" s="14"/>
    </row>
    <row r="711" spans="1:1" x14ac:dyDescent="0.2">
      <c r="A711" s="14"/>
    </row>
    <row r="712" spans="1:1" x14ac:dyDescent="0.2">
      <c r="A712" s="14"/>
    </row>
    <row r="713" spans="1:1" x14ac:dyDescent="0.2">
      <c r="A713" s="14"/>
    </row>
    <row r="714" spans="1:1" x14ac:dyDescent="0.2">
      <c r="A714" s="14"/>
    </row>
    <row r="715" spans="1:1" x14ac:dyDescent="0.2">
      <c r="A715" s="14"/>
    </row>
    <row r="716" spans="1:1" x14ac:dyDescent="0.2">
      <c r="A716" s="14"/>
    </row>
    <row r="717" spans="1:1" x14ac:dyDescent="0.2">
      <c r="A717" s="14"/>
    </row>
    <row r="718" spans="1:1" x14ac:dyDescent="0.2">
      <c r="A718" s="14"/>
    </row>
    <row r="719" spans="1:1" x14ac:dyDescent="0.2">
      <c r="A719" s="14"/>
    </row>
    <row r="720" spans="1:1" x14ac:dyDescent="0.2">
      <c r="A720" s="14"/>
    </row>
    <row r="721" spans="1:1" x14ac:dyDescent="0.2">
      <c r="A721" s="14"/>
    </row>
    <row r="722" spans="1:1" x14ac:dyDescent="0.2">
      <c r="A722" s="14"/>
    </row>
    <row r="723" spans="1:1" x14ac:dyDescent="0.2">
      <c r="A723" s="14"/>
    </row>
    <row r="724" spans="1:1" x14ac:dyDescent="0.2">
      <c r="A724" s="14"/>
    </row>
    <row r="725" spans="1:1" x14ac:dyDescent="0.2">
      <c r="A725" s="14"/>
    </row>
    <row r="726" spans="1:1" x14ac:dyDescent="0.2">
      <c r="A726" s="14"/>
    </row>
    <row r="727" spans="1:1" x14ac:dyDescent="0.2">
      <c r="A727" s="14"/>
    </row>
    <row r="728" spans="1:1" x14ac:dyDescent="0.2">
      <c r="A728" s="14"/>
    </row>
    <row r="729" spans="1:1" x14ac:dyDescent="0.2">
      <c r="A729" s="14"/>
    </row>
    <row r="730" spans="1:1" x14ac:dyDescent="0.2">
      <c r="A730" s="14"/>
    </row>
    <row r="731" spans="1:1" x14ac:dyDescent="0.2">
      <c r="A731" s="14"/>
    </row>
    <row r="732" spans="1:1" x14ac:dyDescent="0.2">
      <c r="A732" s="14"/>
    </row>
    <row r="733" spans="1:1" x14ac:dyDescent="0.2">
      <c r="A733" s="14"/>
    </row>
    <row r="734" spans="1:1" x14ac:dyDescent="0.2">
      <c r="A734" s="14"/>
    </row>
    <row r="735" spans="1:1" x14ac:dyDescent="0.2">
      <c r="A735" s="14"/>
    </row>
    <row r="736" spans="1:1" x14ac:dyDescent="0.2">
      <c r="A736" s="14"/>
    </row>
    <row r="737" spans="1:1" x14ac:dyDescent="0.2">
      <c r="A737" s="14"/>
    </row>
    <row r="738" spans="1:1" x14ac:dyDescent="0.2">
      <c r="A738" s="14"/>
    </row>
    <row r="739" spans="1:1" x14ac:dyDescent="0.2">
      <c r="A739" s="14"/>
    </row>
    <row r="740" spans="1:1" x14ac:dyDescent="0.2">
      <c r="A740" s="14"/>
    </row>
    <row r="741" spans="1:1" x14ac:dyDescent="0.2">
      <c r="A741" s="14"/>
    </row>
    <row r="742" spans="1:1" x14ac:dyDescent="0.2">
      <c r="A742" s="14"/>
    </row>
    <row r="743" spans="1:1" x14ac:dyDescent="0.2">
      <c r="A743" s="14"/>
    </row>
    <row r="744" spans="1:1" x14ac:dyDescent="0.2">
      <c r="A744" s="14"/>
    </row>
    <row r="745" spans="1:1" x14ac:dyDescent="0.2">
      <c r="A745" s="14"/>
    </row>
    <row r="746" spans="1:1" x14ac:dyDescent="0.2">
      <c r="A746" s="14"/>
    </row>
    <row r="747" spans="1:1" x14ac:dyDescent="0.2">
      <c r="A747" s="14"/>
    </row>
    <row r="748" spans="1:1" x14ac:dyDescent="0.2">
      <c r="A748" s="14"/>
    </row>
    <row r="749" spans="1:1" x14ac:dyDescent="0.2">
      <c r="A749" s="14"/>
    </row>
    <row r="750" spans="1:1" x14ac:dyDescent="0.2">
      <c r="A750" s="14"/>
    </row>
    <row r="751" spans="1:1" x14ac:dyDescent="0.2">
      <c r="A751" s="14"/>
    </row>
    <row r="752" spans="1:1" x14ac:dyDescent="0.2">
      <c r="A752" s="14"/>
    </row>
    <row r="753" spans="1:1" x14ac:dyDescent="0.2">
      <c r="A753" s="14"/>
    </row>
    <row r="754" spans="1:1" x14ac:dyDescent="0.2">
      <c r="A754" s="14"/>
    </row>
    <row r="755" spans="1:1" x14ac:dyDescent="0.2">
      <c r="A755" s="14"/>
    </row>
    <row r="756" spans="1:1" x14ac:dyDescent="0.2">
      <c r="A756" s="14"/>
    </row>
    <row r="757" spans="1:1" x14ac:dyDescent="0.2">
      <c r="A757" s="14"/>
    </row>
    <row r="758" spans="1:1" x14ac:dyDescent="0.2">
      <c r="A758" s="14"/>
    </row>
    <row r="759" spans="1:1" x14ac:dyDescent="0.2">
      <c r="A759" s="14"/>
    </row>
    <row r="760" spans="1:1" x14ac:dyDescent="0.2">
      <c r="A760" s="14"/>
    </row>
    <row r="761" spans="1:1" x14ac:dyDescent="0.2">
      <c r="A761" s="14"/>
    </row>
    <row r="762" spans="1:1" x14ac:dyDescent="0.2">
      <c r="A762" s="14"/>
    </row>
    <row r="763" spans="1:1" x14ac:dyDescent="0.2">
      <c r="A763" s="14"/>
    </row>
    <row r="764" spans="1:1" x14ac:dyDescent="0.2">
      <c r="A764" s="14"/>
    </row>
    <row r="765" spans="1:1" x14ac:dyDescent="0.2">
      <c r="A765" s="14"/>
    </row>
    <row r="766" spans="1:1" x14ac:dyDescent="0.2">
      <c r="A766" s="14"/>
    </row>
    <row r="767" spans="1:1" x14ac:dyDescent="0.2">
      <c r="A767" s="14"/>
    </row>
    <row r="768" spans="1:1" x14ac:dyDescent="0.2">
      <c r="A768" s="14"/>
    </row>
    <row r="769" spans="1:1" x14ac:dyDescent="0.2">
      <c r="A769" s="14"/>
    </row>
    <row r="770" spans="1:1" x14ac:dyDescent="0.2">
      <c r="A770" s="14"/>
    </row>
    <row r="771" spans="1:1" x14ac:dyDescent="0.2">
      <c r="A771" s="14"/>
    </row>
    <row r="772" spans="1:1" x14ac:dyDescent="0.2">
      <c r="A772" s="14"/>
    </row>
    <row r="773" spans="1:1" x14ac:dyDescent="0.2">
      <c r="A773" s="14"/>
    </row>
    <row r="774" spans="1:1" x14ac:dyDescent="0.2">
      <c r="A774" s="14"/>
    </row>
    <row r="775" spans="1:1" x14ac:dyDescent="0.2">
      <c r="A775" s="14"/>
    </row>
    <row r="776" spans="1:1" x14ac:dyDescent="0.2">
      <c r="A776" s="14"/>
    </row>
    <row r="777" spans="1:1" x14ac:dyDescent="0.2">
      <c r="A777" s="14"/>
    </row>
    <row r="778" spans="1:1" x14ac:dyDescent="0.2">
      <c r="A778" s="14"/>
    </row>
    <row r="779" spans="1:1" x14ac:dyDescent="0.2">
      <c r="A779" s="14"/>
    </row>
    <row r="780" spans="1:1" x14ac:dyDescent="0.2">
      <c r="A780" s="14"/>
    </row>
    <row r="781" spans="1:1" x14ac:dyDescent="0.2">
      <c r="A781" s="14"/>
    </row>
    <row r="782" spans="1:1" x14ac:dyDescent="0.2">
      <c r="A782" s="14"/>
    </row>
  </sheetData>
  <mergeCells count="9">
    <mergeCell ref="C17:D17"/>
    <mergeCell ref="C18:D18"/>
    <mergeCell ref="C19:D19"/>
    <mergeCell ref="C11:D11"/>
    <mergeCell ref="C12:D12"/>
    <mergeCell ref="C13:D13"/>
    <mergeCell ref="C14:D14"/>
    <mergeCell ref="C15:D15"/>
    <mergeCell ref="C16:D16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Group Box 1">
              <controlPr defaultSize="0" autoFill="0" autoPict="0">
                <anchor moveWithCells="1">
                  <from>
                    <xdr:col>0</xdr:col>
                    <xdr:colOff>19050</xdr:colOff>
                    <xdr:row>16</xdr:row>
                    <xdr:rowOff>95250</xdr:rowOff>
                  </from>
                  <to>
                    <xdr:col>0</xdr:col>
                    <xdr:colOff>714375</xdr:colOff>
                    <xdr:row>27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Sheet6.select_one_year">
                <anchor moveWithCells="1" sizeWithCells="1">
                  <from>
                    <xdr:col>0</xdr:col>
                    <xdr:colOff>66675</xdr:colOff>
                    <xdr:row>17</xdr:row>
                    <xdr:rowOff>85725</xdr:rowOff>
                  </from>
                  <to>
                    <xdr:col>0</xdr:col>
                    <xdr:colOff>685800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Sheet6.select_two_year">
                <anchor moveWithCells="1" sizeWithCells="1">
                  <from>
                    <xdr:col>0</xdr:col>
                    <xdr:colOff>57150</xdr:colOff>
                    <xdr:row>19</xdr:row>
                    <xdr:rowOff>76200</xdr:rowOff>
                  </from>
                  <to>
                    <xdr:col>0</xdr:col>
                    <xdr:colOff>676275</xdr:colOff>
                    <xdr:row>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Button 4">
              <controlPr defaultSize="0" print="0" autoFill="0" autoPict="0" macro="[0]!Sheet6.select_six_month">
                <anchor moveWithCells="1" sizeWithCells="1">
                  <from>
                    <xdr:col>0</xdr:col>
                    <xdr:colOff>47625</xdr:colOff>
                    <xdr:row>21</xdr:row>
                    <xdr:rowOff>66675</xdr:rowOff>
                  </from>
                  <to>
                    <xdr:col>0</xdr:col>
                    <xdr:colOff>666750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Sheet6.select_three_month">
                <anchor moveWithCells="1" sizeWithCells="1">
                  <from>
                    <xdr:col>0</xdr:col>
                    <xdr:colOff>57150</xdr:colOff>
                    <xdr:row>23</xdr:row>
                    <xdr:rowOff>57150</xdr:rowOff>
                  </from>
                  <to>
                    <xdr:col>0</xdr:col>
                    <xdr:colOff>676275</xdr:colOff>
                    <xdr:row>24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Sheet6.select_ALL">
                <anchor moveWithCells="1" sizeWithCells="1">
                  <from>
                    <xdr:col>0</xdr:col>
                    <xdr:colOff>76200</xdr:colOff>
                    <xdr:row>25</xdr:row>
                    <xdr:rowOff>57150</xdr:rowOff>
                  </from>
                  <to>
                    <xdr:col>0</xdr:col>
                    <xdr:colOff>695325</xdr:colOff>
                    <xdr:row>26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Sheet6.move_to_last_record">
                <anchor moveWithCells="1" sizeWithCells="1">
                  <from>
                    <xdr:col>0</xdr:col>
                    <xdr:colOff>19050</xdr:colOff>
                    <xdr:row>4</xdr:row>
                    <xdr:rowOff>104775</xdr:rowOff>
                  </from>
                  <to>
                    <xdr:col>0</xdr:col>
                    <xdr:colOff>638175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Sheet6.move_to_next_record">
                <anchor moveWithCells="1" sizeWithCells="1">
                  <from>
                    <xdr:col>0</xdr:col>
                    <xdr:colOff>0</xdr:colOff>
                    <xdr:row>6</xdr:row>
                    <xdr:rowOff>66675</xdr:rowOff>
                  </from>
                  <to>
                    <xdr:col>0</xdr:col>
                    <xdr:colOff>619125</xdr:colOff>
                    <xdr:row>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Sheet6.return_to_list">
                <anchor moveWithCells="1" sizeWithCells="1">
                  <from>
                    <xdr:col>0</xdr:col>
                    <xdr:colOff>47625</xdr:colOff>
                    <xdr:row>28</xdr:row>
                    <xdr:rowOff>38100</xdr:rowOff>
                  </from>
                  <to>
                    <xdr:col>0</xdr:col>
                    <xdr:colOff>657225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12" name="Button 10">
              <controlPr defaultSize="0" print="0" autoFill="0" autoPict="0" macro="[0]!Sheet6.move_to_graph">
                <anchor moveWithCells="1" sizeWithCells="1">
                  <from>
                    <xdr:col>0</xdr:col>
                    <xdr:colOff>57150</xdr:colOff>
                    <xdr:row>30</xdr:row>
                    <xdr:rowOff>76200</xdr:rowOff>
                  </from>
                  <to>
                    <xdr:col>0</xdr:col>
                    <xdr:colOff>666750</xdr:colOff>
                    <xdr:row>32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7" tint="0.39997558519241921"/>
  </sheetPr>
  <dimension ref="A1:A2"/>
  <sheetViews>
    <sheetView workbookViewId="0">
      <selection activeCell="O36" sqref="O36"/>
    </sheetView>
  </sheetViews>
  <sheetFormatPr defaultRowHeight="14.25" x14ac:dyDescent="0.2"/>
  <sheetData>
    <row r="1" spans="1:1" x14ac:dyDescent="0.2">
      <c r="A1" s="1" t="s">
        <v>20</v>
      </c>
    </row>
    <row r="2" spans="1:1" x14ac:dyDescent="0.2">
      <c r="A2" s="1" t="s">
        <v>21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0000"/>
  </sheetPr>
  <dimension ref="A1"/>
  <sheetViews>
    <sheetView topLeftCell="A5" zoomScaleNormal="100" workbookViewId="0">
      <selection activeCell="K46" sqref="K46"/>
    </sheetView>
  </sheetViews>
  <sheetFormatPr defaultRowHeight="14.25" x14ac:dyDescent="0.2"/>
  <sheetData/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W6"/>
  <sheetViews>
    <sheetView zoomScale="130" zoomScaleNormal="130" workbookViewId="0">
      <selection activeCell="I25" sqref="I25"/>
    </sheetView>
  </sheetViews>
  <sheetFormatPr defaultRowHeight="14.25" x14ac:dyDescent="0.2"/>
  <cols>
    <col min="1" max="1" width="1.25" customWidth="1"/>
    <col min="3" max="3" width="11.125" bestFit="1" customWidth="1"/>
  </cols>
  <sheetData>
    <row r="1" spans="2:23" ht="15" thickBot="1" x14ac:dyDescent="0.25">
      <c r="B1" s="280" t="s">
        <v>2302</v>
      </c>
    </row>
    <row r="2" spans="2:23" s="106" customFormat="1" ht="24.75" thickBot="1" x14ac:dyDescent="0.25">
      <c r="C2" s="58" t="s">
        <v>83</v>
      </c>
      <c r="D2" s="68" t="s">
        <v>107</v>
      </c>
      <c r="E2" s="60"/>
      <c r="F2" s="59" t="s">
        <v>42</v>
      </c>
      <c r="G2" s="61" t="s">
        <v>43</v>
      </c>
      <c r="H2" s="62" t="s">
        <v>84</v>
      </c>
      <c r="I2" s="62" t="s">
        <v>85</v>
      </c>
      <c r="J2" s="60" t="s">
        <v>22</v>
      </c>
      <c r="K2" s="60" t="s">
        <v>86</v>
      </c>
      <c r="L2" s="62" t="s">
        <v>87</v>
      </c>
      <c r="M2" s="63" t="s">
        <v>108</v>
      </c>
      <c r="N2" s="60" t="s">
        <v>88</v>
      </c>
      <c r="O2" s="63" t="s">
        <v>102</v>
      </c>
      <c r="P2" s="60" t="s">
        <v>195</v>
      </c>
      <c r="Q2" s="60" t="s">
        <v>89</v>
      </c>
      <c r="R2" s="63" t="s">
        <v>104</v>
      </c>
      <c r="S2" s="66" t="s">
        <v>105</v>
      </c>
      <c r="T2" s="65"/>
      <c r="U2" s="67" t="s">
        <v>201</v>
      </c>
      <c r="V2" s="67" t="s">
        <v>106</v>
      </c>
      <c r="W2" s="64" t="s">
        <v>103</v>
      </c>
    </row>
    <row r="3" spans="2:23" s="106" customFormat="1" x14ac:dyDescent="0.2">
      <c r="B3" s="124" t="s">
        <v>210</v>
      </c>
      <c r="C3" s="286">
        <f>ROW()/2-1</f>
        <v>0.5</v>
      </c>
      <c r="D3" s="288">
        <v>43807</v>
      </c>
      <c r="E3" s="33" t="s">
        <v>198</v>
      </c>
      <c r="F3" s="33">
        <v>3105</v>
      </c>
      <c r="G3" s="55" t="s">
        <v>912</v>
      </c>
      <c r="H3" s="49"/>
      <c r="I3" s="49">
        <v>1000</v>
      </c>
      <c r="J3" s="50">
        <f>H3*I3</f>
        <v>0</v>
      </c>
      <c r="K3" s="52" t="s">
        <v>914</v>
      </c>
      <c r="L3" s="49"/>
      <c r="M3" s="33"/>
      <c r="N3" s="144">
        <f>IF(OR(K3="現物",J3=0),0,IF(E3="売",J3*Fee_Refer!$B$12/365*V3, J3*Fee_Refer!$B$11/365*#REF!))</f>
        <v>0</v>
      </c>
      <c r="O3" s="52">
        <v>0</v>
      </c>
      <c r="P3" s="147">
        <f>IF(L3 &gt;0,(H3-L3)*I3-M3-N3-O3,0)</f>
        <v>0</v>
      </c>
      <c r="Q3" s="51" t="e">
        <f>P3/J3</f>
        <v>#DIV/0!</v>
      </c>
      <c r="R3" s="290">
        <f>P3+P4</f>
        <v>0</v>
      </c>
      <c r="S3" s="291" t="e">
        <f>R3/(J3+J4)</f>
        <v>#DIV/0!</v>
      </c>
      <c r="U3" s="293">
        <f>$P$1</f>
        <v>0</v>
      </c>
      <c r="V3" s="284">
        <f>IF(U3&gt;D3,DATEDIF(D3,U3,"d"),0)</f>
        <v>0</v>
      </c>
      <c r="W3" s="285"/>
    </row>
    <row r="4" spans="2:23" s="106" customFormat="1" x14ac:dyDescent="0.2">
      <c r="B4" s="124" t="s">
        <v>764</v>
      </c>
      <c r="C4" s="287"/>
      <c r="D4" s="289">
        <v>43748</v>
      </c>
      <c r="E4" s="29" t="s">
        <v>200</v>
      </c>
      <c r="F4" s="29">
        <v>7762</v>
      </c>
      <c r="G4" s="54" t="s">
        <v>913</v>
      </c>
      <c r="H4" s="46"/>
      <c r="I4" s="46">
        <v>1700</v>
      </c>
      <c r="J4" s="47">
        <f>H4*I4</f>
        <v>0</v>
      </c>
      <c r="K4" s="145" t="s">
        <v>914</v>
      </c>
      <c r="L4" s="41"/>
      <c r="M4" s="31"/>
      <c r="N4" s="146">
        <f>IF(OR(K4="現物",J4=0),0,IF(E4="売",J4*Fee_Refer!$B$12/365*V4, J4*Fee_Refer!$B$11/365*V3))</f>
        <v>0</v>
      </c>
      <c r="O4" s="169">
        <v>0</v>
      </c>
      <c r="P4" s="148">
        <f>IF(L4&gt;0,(L4-H4)*I4-M4-N4-O4,0)</f>
        <v>0</v>
      </c>
      <c r="Q4" s="48" t="e">
        <f>P4/J4</f>
        <v>#DIV/0!</v>
      </c>
      <c r="R4" s="290"/>
      <c r="S4" s="292"/>
      <c r="U4" s="284"/>
      <c r="V4" s="284"/>
      <c r="W4" s="284"/>
    </row>
    <row r="6" spans="2:23" x14ac:dyDescent="0.2">
      <c r="C6" s="14">
        <v>43806</v>
      </c>
      <c r="D6" s="106" t="s">
        <v>917</v>
      </c>
    </row>
  </sheetData>
  <mergeCells count="7">
    <mergeCell ref="V3:V4"/>
    <mergeCell ref="W3:W4"/>
    <mergeCell ref="C3:C4"/>
    <mergeCell ref="D3:D4"/>
    <mergeCell ref="R3:R4"/>
    <mergeCell ref="S3:S4"/>
    <mergeCell ref="U3:U4"/>
  </mergeCells>
  <phoneticPr fontId="1" type="noConversion"/>
  <hyperlinks>
    <hyperlink ref="B3" display="Select"/>
    <hyperlink ref="B4" display="Close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H431"/>
  <sheetViews>
    <sheetView workbookViewId="0">
      <selection activeCell="I37" sqref="I37"/>
    </sheetView>
  </sheetViews>
  <sheetFormatPr defaultRowHeight="14.25" x14ac:dyDescent="0.2"/>
  <cols>
    <col min="1" max="1" width="9" style="102"/>
    <col min="4" max="4" width="9.875" customWidth="1"/>
    <col min="19" max="19" width="15" customWidth="1"/>
    <col min="22" max="22" width="11.25" customWidth="1"/>
  </cols>
  <sheetData>
    <row r="1" spans="2:34" x14ac:dyDescent="0.2">
      <c r="B1" s="106"/>
      <c r="C1" s="106"/>
      <c r="D1" s="106"/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6"/>
      <c r="R1" s="106"/>
      <c r="S1" s="106"/>
      <c r="T1" s="106"/>
      <c r="U1" s="106"/>
      <c r="V1" s="106"/>
      <c r="W1" s="106"/>
      <c r="X1" s="106"/>
      <c r="Y1" s="106"/>
      <c r="Z1" s="106"/>
      <c r="AA1" s="106"/>
      <c r="AB1" s="106"/>
      <c r="AC1" s="106"/>
      <c r="AD1" s="106"/>
      <c r="AE1" s="106"/>
      <c r="AF1" s="106"/>
      <c r="AG1" s="106"/>
      <c r="AH1" s="106"/>
    </row>
    <row r="2" spans="2:34" x14ac:dyDescent="0.2">
      <c r="B2" s="106"/>
      <c r="C2" s="106"/>
      <c r="D2" s="106"/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106"/>
      <c r="R2" s="15"/>
      <c r="S2" s="106"/>
      <c r="T2" s="106"/>
      <c r="U2" s="106"/>
      <c r="V2" s="106"/>
      <c r="W2" s="106"/>
      <c r="X2" s="106"/>
      <c r="Y2" s="106"/>
      <c r="Z2" s="106"/>
      <c r="AA2" s="106"/>
      <c r="AB2" s="106"/>
      <c r="AC2" s="106"/>
      <c r="AD2" s="106"/>
      <c r="AE2" s="106"/>
      <c r="AF2" s="106"/>
      <c r="AG2" s="106"/>
      <c r="AH2" s="106"/>
    </row>
    <row r="3" spans="2:34" x14ac:dyDescent="0.2">
      <c r="C3" s="106"/>
      <c r="D3" s="106"/>
      <c r="H3" s="106"/>
      <c r="J3" s="106"/>
      <c r="K3" s="106"/>
      <c r="O3" s="106"/>
      <c r="R3" s="15"/>
      <c r="S3" s="106"/>
    </row>
    <row r="4" spans="2:34" x14ac:dyDescent="0.2">
      <c r="C4" s="106"/>
      <c r="D4" s="106"/>
      <c r="H4" s="106"/>
      <c r="J4" s="106"/>
      <c r="K4" s="106"/>
      <c r="O4" s="106"/>
    </row>
    <row r="5" spans="2:34" x14ac:dyDescent="0.2">
      <c r="C5" s="106"/>
      <c r="D5" s="106"/>
      <c r="H5" s="106"/>
      <c r="J5" s="106"/>
      <c r="K5" s="106"/>
      <c r="O5" s="106"/>
    </row>
    <row r="6" spans="2:34" x14ac:dyDescent="0.2">
      <c r="C6" s="106"/>
      <c r="D6" s="106"/>
      <c r="H6" s="106"/>
      <c r="J6" s="106"/>
      <c r="K6" s="106"/>
      <c r="O6" s="106"/>
      <c r="S6" s="15"/>
    </row>
    <row r="7" spans="2:34" x14ac:dyDescent="0.2">
      <c r="C7" s="106"/>
      <c r="D7" s="106"/>
      <c r="H7" s="106"/>
      <c r="J7" s="106"/>
      <c r="K7" s="106"/>
      <c r="O7" s="106"/>
    </row>
    <row r="8" spans="2:34" x14ac:dyDescent="0.2">
      <c r="C8" s="106"/>
      <c r="D8" s="106"/>
      <c r="H8" s="106"/>
      <c r="J8" s="106"/>
      <c r="K8" s="106"/>
      <c r="O8" s="106"/>
      <c r="S8" s="15"/>
    </row>
    <row r="9" spans="2:34" x14ac:dyDescent="0.2">
      <c r="C9" s="106"/>
      <c r="D9" s="106"/>
      <c r="H9" s="106"/>
      <c r="J9" s="106"/>
      <c r="K9" s="106"/>
      <c r="O9" s="106"/>
      <c r="S9" s="15"/>
    </row>
    <row r="10" spans="2:34" x14ac:dyDescent="0.2">
      <c r="C10" s="106"/>
      <c r="D10" s="106"/>
      <c r="H10" s="106"/>
      <c r="J10" s="106"/>
      <c r="K10" s="106"/>
      <c r="O10" s="106"/>
    </row>
    <row r="11" spans="2:34" x14ac:dyDescent="0.2">
      <c r="C11" s="106"/>
      <c r="D11" s="106"/>
      <c r="H11" s="106"/>
      <c r="J11" s="106"/>
      <c r="K11" s="106"/>
      <c r="O11" s="106"/>
    </row>
    <row r="12" spans="2:34" x14ac:dyDescent="0.2">
      <c r="C12" s="106"/>
      <c r="D12" s="106"/>
      <c r="H12" s="106"/>
      <c r="J12" s="106"/>
      <c r="K12" s="106"/>
      <c r="O12" s="106"/>
      <c r="S12" s="15"/>
    </row>
    <row r="13" spans="2:34" x14ac:dyDescent="0.2">
      <c r="C13" s="106"/>
      <c r="D13" s="106"/>
      <c r="H13" s="106"/>
      <c r="J13" s="106"/>
      <c r="K13" s="106"/>
      <c r="O13" s="106"/>
      <c r="S13" s="15"/>
    </row>
    <row r="14" spans="2:34" x14ac:dyDescent="0.2">
      <c r="C14" s="106"/>
      <c r="D14" s="106"/>
      <c r="H14" s="106"/>
      <c r="J14" s="106"/>
      <c r="K14" s="106"/>
      <c r="O14" s="106"/>
      <c r="S14" s="15"/>
    </row>
    <row r="15" spans="2:34" x14ac:dyDescent="0.2">
      <c r="C15" s="106"/>
      <c r="D15" s="106"/>
      <c r="H15" s="106"/>
      <c r="J15" s="106"/>
      <c r="K15" s="106"/>
      <c r="O15" s="106"/>
      <c r="R15" s="106"/>
      <c r="S15" s="15"/>
    </row>
    <row r="16" spans="2:34" x14ac:dyDescent="0.2">
      <c r="C16" s="106"/>
      <c r="D16" s="106"/>
      <c r="H16" s="106"/>
      <c r="J16" s="106"/>
      <c r="K16" s="106"/>
      <c r="O16" s="106"/>
      <c r="S16" s="15"/>
    </row>
    <row r="17" spans="3:19" x14ac:dyDescent="0.2">
      <c r="C17" s="106"/>
      <c r="D17" s="106"/>
      <c r="H17" s="106"/>
      <c r="J17" s="106"/>
      <c r="K17" s="106"/>
      <c r="O17" s="106"/>
      <c r="S17" s="15"/>
    </row>
    <row r="18" spans="3:19" x14ac:dyDescent="0.2">
      <c r="C18" s="106"/>
      <c r="D18" s="106"/>
      <c r="H18" s="106"/>
      <c r="J18" s="106"/>
      <c r="K18" s="106"/>
      <c r="O18" s="106"/>
      <c r="R18" s="106"/>
      <c r="S18" s="15"/>
    </row>
    <row r="19" spans="3:19" x14ac:dyDescent="0.2">
      <c r="C19" s="106"/>
      <c r="D19" s="106"/>
      <c r="H19" s="106"/>
      <c r="J19" s="106"/>
      <c r="K19" s="106"/>
      <c r="O19" s="106"/>
      <c r="R19" s="15"/>
    </row>
    <row r="20" spans="3:19" x14ac:dyDescent="0.2">
      <c r="C20" s="106"/>
      <c r="D20" s="106"/>
      <c r="H20" s="106"/>
      <c r="J20" s="106"/>
      <c r="K20" s="106"/>
      <c r="O20" s="106"/>
    </row>
    <row r="21" spans="3:19" x14ac:dyDescent="0.2">
      <c r="C21" s="106"/>
      <c r="D21" s="106"/>
      <c r="H21" s="106"/>
      <c r="J21" s="106"/>
      <c r="K21" s="106"/>
      <c r="O21" s="106"/>
      <c r="S21" s="106"/>
    </row>
    <row r="22" spans="3:19" x14ac:dyDescent="0.2">
      <c r="C22" s="106"/>
      <c r="D22" s="106"/>
      <c r="H22" s="106"/>
      <c r="J22" s="106"/>
      <c r="K22" s="106"/>
      <c r="O22" s="106"/>
      <c r="R22" s="15"/>
      <c r="S22" s="15"/>
    </row>
    <row r="23" spans="3:19" x14ac:dyDescent="0.2">
      <c r="C23" s="106"/>
      <c r="D23" s="106"/>
      <c r="H23" s="106"/>
      <c r="J23" s="106"/>
      <c r="K23" s="106"/>
      <c r="O23" s="106"/>
      <c r="R23" s="106"/>
      <c r="S23" s="15"/>
    </row>
    <row r="24" spans="3:19" x14ac:dyDescent="0.2">
      <c r="C24" s="106"/>
      <c r="D24" s="106"/>
      <c r="H24" s="106"/>
      <c r="J24" s="106"/>
      <c r="K24" s="106"/>
      <c r="O24" s="106"/>
      <c r="R24" s="106"/>
    </row>
    <row r="25" spans="3:19" x14ac:dyDescent="0.2">
      <c r="C25" s="106"/>
      <c r="D25" s="106"/>
      <c r="H25" s="106"/>
      <c r="J25" s="106"/>
      <c r="K25" s="106"/>
      <c r="O25" s="106"/>
      <c r="S25" s="106"/>
    </row>
    <row r="26" spans="3:19" x14ac:dyDescent="0.2">
      <c r="C26" s="106"/>
      <c r="D26" s="106"/>
      <c r="H26" s="106"/>
      <c r="J26" s="106"/>
      <c r="K26" s="106"/>
      <c r="O26" s="106"/>
      <c r="R26" s="15"/>
      <c r="S26" s="15"/>
    </row>
    <row r="27" spans="3:19" x14ac:dyDescent="0.2">
      <c r="C27" s="106"/>
      <c r="D27" s="106"/>
      <c r="H27" s="106"/>
      <c r="J27" s="106"/>
      <c r="K27" s="106"/>
      <c r="O27" s="106"/>
      <c r="R27" s="106"/>
      <c r="S27" s="15"/>
    </row>
    <row r="28" spans="3:19" x14ac:dyDescent="0.2">
      <c r="C28" s="106"/>
      <c r="D28" s="106"/>
      <c r="H28" s="106"/>
      <c r="J28" s="106"/>
      <c r="K28" s="106"/>
      <c r="O28" s="106"/>
    </row>
    <row r="29" spans="3:19" x14ac:dyDescent="0.2">
      <c r="C29" s="106"/>
      <c r="D29" s="106"/>
      <c r="H29" s="106"/>
      <c r="J29" s="106"/>
      <c r="K29" s="106"/>
      <c r="O29" s="106"/>
      <c r="R29" s="15"/>
      <c r="S29" s="15"/>
    </row>
    <row r="30" spans="3:19" x14ac:dyDescent="0.2">
      <c r="C30" s="106"/>
      <c r="D30" s="106"/>
      <c r="H30" s="106"/>
      <c r="J30" s="106"/>
      <c r="K30" s="106"/>
      <c r="O30" s="106"/>
      <c r="S30" s="15"/>
    </row>
    <row r="31" spans="3:19" x14ac:dyDescent="0.2">
      <c r="C31" s="106"/>
      <c r="D31" s="106"/>
      <c r="H31" s="106"/>
      <c r="J31" s="106"/>
      <c r="K31" s="106"/>
      <c r="O31" s="106"/>
    </row>
    <row r="32" spans="3:19" x14ac:dyDescent="0.2">
      <c r="C32" s="106"/>
      <c r="D32" s="106"/>
      <c r="H32" s="106"/>
      <c r="J32" s="106"/>
      <c r="K32" s="106"/>
      <c r="O32" s="106"/>
      <c r="S32" s="106"/>
    </row>
    <row r="33" spans="3:19" x14ac:dyDescent="0.2">
      <c r="C33" s="106"/>
      <c r="D33" s="106"/>
      <c r="H33" s="106"/>
      <c r="J33" s="106"/>
      <c r="K33" s="106"/>
      <c r="O33" s="106"/>
      <c r="S33" s="106"/>
    </row>
    <row r="34" spans="3:19" x14ac:dyDescent="0.2">
      <c r="C34" s="106"/>
      <c r="D34" s="106"/>
      <c r="H34" s="106"/>
      <c r="J34" s="106"/>
      <c r="K34" s="106"/>
      <c r="O34" s="106"/>
      <c r="R34" s="15"/>
    </row>
    <row r="35" spans="3:19" x14ac:dyDescent="0.2">
      <c r="C35" s="106"/>
      <c r="D35" s="106"/>
      <c r="H35" s="106"/>
      <c r="J35" s="106"/>
      <c r="K35" s="106"/>
      <c r="O35" s="106"/>
      <c r="R35" s="106"/>
      <c r="S35" s="15"/>
    </row>
    <row r="36" spans="3:19" x14ac:dyDescent="0.2">
      <c r="C36" s="106"/>
      <c r="D36" s="106"/>
      <c r="H36" s="106"/>
      <c r="J36" s="106"/>
      <c r="K36" s="106"/>
      <c r="O36" s="106"/>
    </row>
    <row r="37" spans="3:19" x14ac:dyDescent="0.2">
      <c r="C37" s="106"/>
      <c r="D37" s="106"/>
      <c r="H37" s="106"/>
      <c r="J37" s="106"/>
      <c r="K37" s="106"/>
      <c r="O37" s="106"/>
      <c r="S37" s="15"/>
    </row>
    <row r="38" spans="3:19" x14ac:dyDescent="0.2">
      <c r="C38" s="106"/>
      <c r="D38" s="106"/>
      <c r="H38" s="106"/>
      <c r="J38" s="106"/>
      <c r="K38" s="106"/>
      <c r="O38" s="106"/>
      <c r="S38" s="15"/>
    </row>
    <row r="39" spans="3:19" x14ac:dyDescent="0.2">
      <c r="C39" s="106"/>
      <c r="D39" s="106"/>
      <c r="H39" s="106"/>
      <c r="J39" s="106"/>
      <c r="K39" s="106"/>
      <c r="O39" s="106"/>
      <c r="S39" s="15"/>
    </row>
    <row r="40" spans="3:19" x14ac:dyDescent="0.2">
      <c r="C40" s="106"/>
      <c r="D40" s="106"/>
      <c r="H40" s="106"/>
      <c r="J40" s="106"/>
      <c r="K40" s="106"/>
      <c r="O40" s="106"/>
      <c r="S40" s="106"/>
    </row>
    <row r="41" spans="3:19" x14ac:dyDescent="0.2">
      <c r="C41" s="106"/>
      <c r="D41" s="106"/>
      <c r="H41" s="106"/>
      <c r="J41" s="106"/>
      <c r="K41" s="106"/>
      <c r="O41" s="106"/>
    </row>
    <row r="42" spans="3:19" x14ac:dyDescent="0.2">
      <c r="C42" s="106"/>
      <c r="D42" s="106"/>
      <c r="H42" s="106"/>
      <c r="J42" s="106"/>
      <c r="K42" s="106"/>
      <c r="O42" s="106"/>
      <c r="S42" s="15"/>
    </row>
    <row r="43" spans="3:19" x14ac:dyDescent="0.2">
      <c r="C43" s="106"/>
      <c r="D43" s="106"/>
      <c r="H43" s="106"/>
      <c r="J43" s="106"/>
      <c r="K43" s="106"/>
      <c r="O43" s="106"/>
    </row>
    <row r="44" spans="3:19" x14ac:dyDescent="0.2">
      <c r="C44" s="106"/>
      <c r="D44" s="106"/>
      <c r="H44" s="106"/>
      <c r="J44" s="106"/>
      <c r="K44" s="106"/>
      <c r="O44" s="106"/>
      <c r="R44" s="15"/>
      <c r="S44" s="15"/>
    </row>
    <row r="45" spans="3:19" x14ac:dyDescent="0.2">
      <c r="C45" s="106"/>
      <c r="D45" s="106"/>
      <c r="H45" s="106"/>
      <c r="J45" s="106"/>
      <c r="K45" s="106"/>
      <c r="O45" s="106"/>
      <c r="R45" s="106"/>
      <c r="S45" s="15"/>
    </row>
    <row r="46" spans="3:19" x14ac:dyDescent="0.2">
      <c r="C46" s="106"/>
      <c r="D46" s="106"/>
      <c r="H46" s="106"/>
      <c r="J46" s="106"/>
      <c r="K46" s="106"/>
      <c r="O46" s="106"/>
      <c r="S46" s="15"/>
    </row>
    <row r="47" spans="3:19" x14ac:dyDescent="0.2">
      <c r="C47" s="106"/>
      <c r="D47" s="106"/>
      <c r="H47" s="106"/>
      <c r="J47" s="106"/>
      <c r="K47" s="106"/>
      <c r="O47" s="106"/>
      <c r="R47" s="15"/>
      <c r="S47" s="15"/>
    </row>
    <row r="48" spans="3:19" x14ac:dyDescent="0.2">
      <c r="C48" s="106"/>
      <c r="D48" s="106"/>
      <c r="H48" s="106"/>
      <c r="J48" s="106"/>
      <c r="K48" s="106"/>
      <c r="O48" s="106"/>
      <c r="S48" s="15"/>
    </row>
    <row r="49" spans="3:19" x14ac:dyDescent="0.2">
      <c r="C49" s="106"/>
      <c r="D49" s="106"/>
      <c r="H49" s="106"/>
      <c r="J49" s="106"/>
      <c r="K49" s="106"/>
      <c r="O49" s="106"/>
      <c r="S49" s="15"/>
    </row>
    <row r="50" spans="3:19" x14ac:dyDescent="0.2">
      <c r="C50" s="106"/>
      <c r="D50" s="106"/>
      <c r="H50" s="106"/>
      <c r="J50" s="106"/>
      <c r="K50" s="106"/>
      <c r="O50" s="106"/>
    </row>
    <row r="51" spans="3:19" x14ac:dyDescent="0.2">
      <c r="C51" s="106"/>
      <c r="D51" s="106"/>
      <c r="H51" s="106"/>
      <c r="J51" s="106"/>
      <c r="K51" s="106"/>
      <c r="O51" s="106"/>
      <c r="S51" s="15"/>
    </row>
    <row r="52" spans="3:19" x14ac:dyDescent="0.2">
      <c r="C52" s="106"/>
      <c r="D52" s="106"/>
      <c r="H52" s="106"/>
      <c r="J52" s="106"/>
      <c r="K52" s="106"/>
      <c r="O52" s="106"/>
      <c r="S52" s="15"/>
    </row>
    <row r="53" spans="3:19" x14ac:dyDescent="0.2">
      <c r="C53" s="106"/>
      <c r="D53" s="106"/>
      <c r="H53" s="106"/>
      <c r="J53" s="106"/>
      <c r="K53" s="106"/>
      <c r="O53" s="106"/>
      <c r="R53" s="106"/>
      <c r="S53" s="15"/>
    </row>
    <row r="54" spans="3:19" x14ac:dyDescent="0.2">
      <c r="C54" s="106"/>
      <c r="D54" s="106"/>
      <c r="H54" s="106"/>
      <c r="J54" s="106"/>
      <c r="K54" s="106"/>
      <c r="O54" s="106"/>
      <c r="R54" s="106"/>
      <c r="S54" s="15"/>
    </row>
    <row r="55" spans="3:19" x14ac:dyDescent="0.2">
      <c r="C55" s="106"/>
      <c r="D55" s="106"/>
      <c r="H55" s="106"/>
      <c r="J55" s="106"/>
      <c r="K55" s="106"/>
      <c r="O55" s="106"/>
      <c r="R55" s="106"/>
    </row>
    <row r="56" spans="3:19" x14ac:dyDescent="0.2">
      <c r="C56" s="106"/>
      <c r="D56" s="106"/>
      <c r="H56" s="106"/>
      <c r="J56" s="106"/>
      <c r="K56" s="106"/>
      <c r="O56" s="106"/>
      <c r="R56" s="15"/>
    </row>
    <row r="57" spans="3:19" x14ac:dyDescent="0.2">
      <c r="C57" s="106"/>
      <c r="D57" s="106"/>
      <c r="H57" s="106"/>
      <c r="J57" s="106"/>
      <c r="K57" s="106"/>
      <c r="O57" s="106"/>
      <c r="S57" s="15"/>
    </row>
    <row r="58" spans="3:19" x14ac:dyDescent="0.2">
      <c r="C58" s="106"/>
      <c r="D58" s="106"/>
      <c r="H58" s="106"/>
      <c r="J58" s="106"/>
      <c r="K58" s="106"/>
      <c r="O58" s="106"/>
      <c r="S58" s="15"/>
    </row>
    <row r="59" spans="3:19" x14ac:dyDescent="0.2">
      <c r="C59" s="106"/>
      <c r="D59" s="106"/>
      <c r="H59" s="106"/>
      <c r="J59" s="106"/>
      <c r="K59" s="106"/>
      <c r="O59" s="106"/>
      <c r="S59" s="15"/>
    </row>
    <row r="60" spans="3:19" x14ac:dyDescent="0.2">
      <c r="C60" s="106"/>
      <c r="D60" s="106"/>
      <c r="H60" s="106"/>
      <c r="J60" s="106"/>
      <c r="K60" s="106"/>
      <c r="O60" s="106"/>
      <c r="R60" s="15"/>
      <c r="S60" s="15"/>
    </row>
    <row r="61" spans="3:19" x14ac:dyDescent="0.2">
      <c r="C61" s="106"/>
      <c r="D61" s="106"/>
      <c r="H61" s="106"/>
      <c r="J61" s="106"/>
      <c r="K61" s="106"/>
      <c r="O61" s="106"/>
    </row>
    <row r="62" spans="3:19" x14ac:dyDescent="0.2">
      <c r="C62" s="106"/>
      <c r="D62" s="106"/>
      <c r="H62" s="106"/>
      <c r="J62" s="106"/>
      <c r="K62" s="106"/>
      <c r="O62" s="106"/>
      <c r="R62" s="15"/>
    </row>
    <row r="63" spans="3:19" x14ac:dyDescent="0.2">
      <c r="C63" s="106"/>
      <c r="D63" s="106"/>
      <c r="H63" s="106"/>
      <c r="J63" s="106"/>
      <c r="K63" s="106"/>
      <c r="O63" s="106"/>
      <c r="R63" s="15"/>
    </row>
    <row r="64" spans="3:19" x14ac:dyDescent="0.2">
      <c r="C64" s="106"/>
      <c r="D64" s="106"/>
      <c r="H64" s="106"/>
      <c r="J64" s="106"/>
      <c r="K64" s="106"/>
      <c r="O64" s="106"/>
      <c r="R64" s="15"/>
      <c r="S64" s="106"/>
    </row>
    <row r="65" spans="3:19" x14ac:dyDescent="0.2">
      <c r="C65" s="106"/>
      <c r="D65" s="106"/>
      <c r="H65" s="106"/>
      <c r="J65" s="106"/>
      <c r="K65" s="106"/>
      <c r="O65" s="106"/>
    </row>
    <row r="66" spans="3:19" x14ac:dyDescent="0.2">
      <c r="C66" s="106"/>
      <c r="D66" s="106"/>
      <c r="H66" s="106"/>
      <c r="J66" s="106"/>
      <c r="K66" s="106"/>
      <c r="O66" s="106"/>
    </row>
    <row r="67" spans="3:19" x14ac:dyDescent="0.2">
      <c r="C67" s="106"/>
      <c r="D67" s="106"/>
      <c r="H67" s="106"/>
      <c r="J67" s="106"/>
      <c r="K67" s="106"/>
      <c r="O67" s="106"/>
    </row>
    <row r="68" spans="3:19" x14ac:dyDescent="0.2">
      <c r="C68" s="106"/>
      <c r="D68" s="106"/>
      <c r="H68" s="106"/>
      <c r="J68" s="106"/>
      <c r="K68" s="106"/>
      <c r="O68" s="106"/>
    </row>
    <row r="69" spans="3:19" x14ac:dyDescent="0.2">
      <c r="C69" s="106"/>
      <c r="D69" s="106"/>
      <c r="H69" s="106"/>
      <c r="J69" s="106"/>
      <c r="K69" s="106"/>
      <c r="O69" s="106"/>
      <c r="R69" s="106"/>
      <c r="S69" s="106"/>
    </row>
    <row r="70" spans="3:19" x14ac:dyDescent="0.2">
      <c r="C70" s="106"/>
      <c r="D70" s="106"/>
      <c r="H70" s="106"/>
      <c r="J70" s="106"/>
      <c r="K70" s="106"/>
      <c r="O70" s="106"/>
      <c r="R70" s="106"/>
      <c r="S70" s="15"/>
    </row>
    <row r="71" spans="3:19" x14ac:dyDescent="0.2">
      <c r="C71" s="106"/>
      <c r="D71" s="106"/>
      <c r="H71" s="106"/>
      <c r="J71" s="106"/>
      <c r="K71" s="106"/>
      <c r="O71" s="106"/>
      <c r="S71" s="15"/>
    </row>
    <row r="72" spans="3:19" x14ac:dyDescent="0.2">
      <c r="C72" s="106"/>
      <c r="D72" s="106"/>
      <c r="H72" s="106"/>
      <c r="J72" s="106"/>
      <c r="K72" s="106"/>
      <c r="O72" s="106"/>
      <c r="S72" s="15"/>
    </row>
    <row r="73" spans="3:19" x14ac:dyDescent="0.2">
      <c r="C73" s="106"/>
      <c r="D73" s="106"/>
      <c r="H73" s="106"/>
      <c r="J73" s="106"/>
      <c r="K73" s="106"/>
      <c r="O73" s="106"/>
      <c r="R73" s="15"/>
    </row>
    <row r="74" spans="3:19" x14ac:dyDescent="0.2">
      <c r="C74" s="106"/>
      <c r="D74" s="106"/>
      <c r="H74" s="106"/>
      <c r="J74" s="106"/>
      <c r="K74" s="106"/>
      <c r="O74" s="106"/>
      <c r="R74" s="15"/>
      <c r="S74" s="15"/>
    </row>
    <row r="75" spans="3:19" x14ac:dyDescent="0.2">
      <c r="C75" s="106"/>
      <c r="D75" s="106"/>
      <c r="H75" s="106"/>
      <c r="J75" s="106"/>
      <c r="K75" s="106"/>
      <c r="O75" s="106"/>
      <c r="S75" s="106"/>
    </row>
    <row r="76" spans="3:19" x14ac:dyDescent="0.2">
      <c r="C76" s="106"/>
      <c r="D76" s="106"/>
      <c r="H76" s="106"/>
      <c r="J76" s="106"/>
      <c r="K76" s="106"/>
      <c r="O76" s="106"/>
    </row>
    <row r="77" spans="3:19" x14ac:dyDescent="0.2">
      <c r="C77" s="106"/>
      <c r="D77" s="106"/>
      <c r="H77" s="106"/>
      <c r="J77" s="106"/>
      <c r="K77" s="106"/>
      <c r="O77" s="106"/>
      <c r="S77" s="15"/>
    </row>
    <row r="78" spans="3:19" x14ac:dyDescent="0.2">
      <c r="C78" s="106"/>
      <c r="D78" s="106"/>
      <c r="H78" s="106"/>
      <c r="J78" s="106"/>
      <c r="K78" s="106"/>
      <c r="O78" s="106"/>
      <c r="S78" s="15"/>
    </row>
    <row r="79" spans="3:19" x14ac:dyDescent="0.2">
      <c r="C79" s="106"/>
      <c r="D79" s="106"/>
      <c r="H79" s="106"/>
      <c r="J79" s="106"/>
      <c r="K79" s="106"/>
      <c r="O79" s="106"/>
      <c r="R79" s="106"/>
    </row>
    <row r="80" spans="3:19" x14ac:dyDescent="0.2">
      <c r="C80" s="106"/>
      <c r="D80" s="106"/>
      <c r="H80" s="106"/>
      <c r="J80" s="106"/>
      <c r="K80" s="106"/>
      <c r="O80" s="106"/>
      <c r="S80" s="15"/>
    </row>
    <row r="81" spans="3:21" x14ac:dyDescent="0.2">
      <c r="C81" s="106"/>
      <c r="D81" s="106"/>
      <c r="H81" s="106"/>
      <c r="J81" s="106"/>
      <c r="K81" s="106"/>
      <c r="O81" s="106"/>
      <c r="R81" s="106"/>
      <c r="S81" s="15"/>
    </row>
    <row r="82" spans="3:21" x14ac:dyDescent="0.2">
      <c r="C82" s="106"/>
      <c r="D82" s="106"/>
      <c r="H82" s="106"/>
      <c r="J82" s="106"/>
      <c r="K82" s="106"/>
      <c r="O82" s="106"/>
      <c r="S82" s="15"/>
      <c r="T82" s="15"/>
      <c r="U82" s="15"/>
    </row>
    <row r="83" spans="3:21" x14ac:dyDescent="0.2">
      <c r="C83" s="106"/>
      <c r="D83" s="106"/>
      <c r="H83" s="106"/>
      <c r="J83" s="106"/>
      <c r="K83" s="106"/>
      <c r="O83" s="106"/>
      <c r="R83" s="15"/>
    </row>
    <row r="84" spans="3:21" x14ac:dyDescent="0.2">
      <c r="C84" s="106"/>
      <c r="D84" s="106"/>
      <c r="H84" s="106"/>
      <c r="J84" s="106"/>
      <c r="K84" s="106"/>
      <c r="O84" s="106"/>
      <c r="S84" s="106"/>
    </row>
    <row r="85" spans="3:21" x14ac:dyDescent="0.2">
      <c r="C85" s="106"/>
      <c r="D85" s="106"/>
      <c r="H85" s="106"/>
      <c r="J85" s="106"/>
      <c r="K85" s="106"/>
      <c r="O85" s="106"/>
      <c r="S85" s="15"/>
    </row>
    <row r="86" spans="3:21" x14ac:dyDescent="0.2">
      <c r="C86" s="106"/>
      <c r="D86" s="106"/>
      <c r="H86" s="106"/>
      <c r="J86" s="106"/>
      <c r="K86" s="106"/>
      <c r="O86" s="106"/>
      <c r="S86" s="15"/>
    </row>
    <row r="87" spans="3:21" x14ac:dyDescent="0.2">
      <c r="C87" s="106"/>
      <c r="D87" s="106"/>
      <c r="H87" s="106"/>
      <c r="J87" s="106"/>
      <c r="K87" s="106"/>
      <c r="O87" s="106"/>
    </row>
    <row r="88" spans="3:21" x14ac:dyDescent="0.2">
      <c r="C88" s="106"/>
      <c r="D88" s="106"/>
      <c r="H88" s="106"/>
      <c r="J88" s="106"/>
      <c r="K88" s="106"/>
      <c r="O88" s="106"/>
      <c r="S88" s="106"/>
    </row>
    <row r="89" spans="3:21" x14ac:dyDescent="0.2">
      <c r="C89" s="106"/>
      <c r="D89" s="106"/>
      <c r="H89" s="106"/>
      <c r="J89" s="106"/>
      <c r="K89" s="106"/>
      <c r="O89" s="106"/>
      <c r="R89" s="15"/>
    </row>
    <row r="90" spans="3:21" x14ac:dyDescent="0.2">
      <c r="C90" s="106"/>
      <c r="D90" s="106"/>
      <c r="H90" s="106"/>
      <c r="J90" s="106"/>
      <c r="K90" s="106"/>
      <c r="O90" s="106"/>
      <c r="S90" s="15"/>
    </row>
    <row r="91" spans="3:21" x14ac:dyDescent="0.2">
      <c r="C91" s="106"/>
      <c r="D91" s="106"/>
      <c r="H91" s="106"/>
      <c r="J91" s="106"/>
      <c r="K91" s="106"/>
      <c r="O91" s="106"/>
      <c r="R91" s="15"/>
    </row>
    <row r="92" spans="3:21" x14ac:dyDescent="0.2">
      <c r="C92" s="106"/>
      <c r="D92" s="106"/>
      <c r="H92" s="106"/>
      <c r="J92" s="106"/>
      <c r="K92" s="106"/>
      <c r="O92" s="106"/>
    </row>
    <row r="93" spans="3:21" x14ac:dyDescent="0.2">
      <c r="C93" s="106"/>
      <c r="D93" s="106"/>
      <c r="H93" s="106"/>
      <c r="J93" s="106"/>
      <c r="K93" s="106"/>
      <c r="O93" s="106"/>
      <c r="R93" s="106"/>
    </row>
    <row r="94" spans="3:21" x14ac:dyDescent="0.2">
      <c r="C94" s="106"/>
      <c r="D94" s="106"/>
      <c r="H94" s="106"/>
      <c r="J94" s="106"/>
      <c r="K94" s="106"/>
      <c r="O94" s="106"/>
      <c r="R94" s="15"/>
      <c r="S94" s="15"/>
    </row>
    <row r="95" spans="3:21" x14ac:dyDescent="0.2">
      <c r="C95" s="106"/>
      <c r="D95" s="106"/>
      <c r="H95" s="106"/>
      <c r="J95" s="106"/>
      <c r="K95" s="106"/>
      <c r="O95" s="106"/>
      <c r="S95" s="15"/>
    </row>
    <row r="96" spans="3:21" x14ac:dyDescent="0.2">
      <c r="C96" s="106"/>
      <c r="D96" s="106"/>
      <c r="H96" s="106"/>
      <c r="J96" s="106"/>
      <c r="K96" s="106"/>
      <c r="O96" s="106"/>
      <c r="S96" s="15"/>
    </row>
    <row r="97" spans="3:19" x14ac:dyDescent="0.2">
      <c r="C97" s="106"/>
      <c r="D97" s="106"/>
      <c r="H97" s="106"/>
      <c r="J97" s="106"/>
      <c r="K97" s="106"/>
      <c r="O97" s="106"/>
      <c r="S97" s="15"/>
    </row>
    <row r="98" spans="3:19" x14ac:dyDescent="0.2">
      <c r="C98" s="106"/>
      <c r="D98" s="106"/>
      <c r="H98" s="106"/>
      <c r="J98" s="106"/>
      <c r="K98" s="106"/>
      <c r="O98" s="106"/>
      <c r="R98" s="15"/>
    </row>
    <row r="99" spans="3:19" x14ac:dyDescent="0.2">
      <c r="C99" s="106"/>
      <c r="D99" s="106"/>
      <c r="H99" s="106"/>
      <c r="J99" s="106"/>
      <c r="K99" s="106"/>
      <c r="O99" s="106"/>
      <c r="S99" s="15"/>
    </row>
    <row r="100" spans="3:19" x14ac:dyDescent="0.2">
      <c r="C100" s="106"/>
      <c r="D100" s="106"/>
      <c r="H100" s="106"/>
      <c r="J100" s="106"/>
      <c r="K100" s="106"/>
      <c r="O100" s="106"/>
    </row>
    <row r="101" spans="3:19" x14ac:dyDescent="0.2">
      <c r="C101" s="106"/>
      <c r="D101" s="106"/>
      <c r="H101" s="106"/>
      <c r="J101" s="106"/>
      <c r="K101" s="106"/>
      <c r="O101" s="106"/>
    </row>
    <row r="102" spans="3:19" x14ac:dyDescent="0.2">
      <c r="C102" s="106"/>
      <c r="D102" s="106"/>
      <c r="H102" s="106"/>
      <c r="J102" s="106"/>
      <c r="K102" s="106"/>
      <c r="O102" s="106"/>
      <c r="S102" s="15"/>
    </row>
    <row r="103" spans="3:19" x14ac:dyDescent="0.2">
      <c r="C103" s="106"/>
      <c r="D103" s="106"/>
      <c r="H103" s="106"/>
      <c r="J103" s="106"/>
      <c r="K103" s="106"/>
      <c r="O103" s="106"/>
      <c r="R103" s="106"/>
      <c r="S103" s="106"/>
    </row>
    <row r="104" spans="3:19" x14ac:dyDescent="0.2">
      <c r="C104" s="106"/>
      <c r="D104" s="106"/>
      <c r="H104" s="106"/>
      <c r="J104" s="106"/>
      <c r="K104" s="106"/>
      <c r="O104" s="106"/>
      <c r="S104" s="15"/>
    </row>
    <row r="105" spans="3:19" x14ac:dyDescent="0.2">
      <c r="C105" s="106"/>
      <c r="D105" s="106"/>
      <c r="H105" s="106"/>
      <c r="J105" s="106"/>
      <c r="K105" s="106"/>
      <c r="O105" s="106"/>
      <c r="R105" s="106"/>
      <c r="S105" s="106"/>
    </row>
    <row r="106" spans="3:19" x14ac:dyDescent="0.2">
      <c r="C106" s="106"/>
      <c r="D106" s="106"/>
      <c r="H106" s="106"/>
      <c r="J106" s="106"/>
      <c r="K106" s="106"/>
      <c r="O106" s="106"/>
      <c r="S106" s="15"/>
    </row>
    <row r="107" spans="3:19" x14ac:dyDescent="0.2">
      <c r="C107" s="106"/>
      <c r="D107" s="106"/>
      <c r="H107" s="106"/>
      <c r="J107" s="106"/>
      <c r="K107" s="106"/>
      <c r="O107" s="106"/>
      <c r="R107" s="15"/>
      <c r="S107" s="106"/>
    </row>
    <row r="108" spans="3:19" x14ac:dyDescent="0.2">
      <c r="C108" s="106"/>
      <c r="D108" s="106"/>
      <c r="H108" s="106"/>
      <c r="J108" s="106"/>
      <c r="K108" s="106"/>
      <c r="O108" s="106"/>
      <c r="S108" s="106"/>
    </row>
    <row r="109" spans="3:19" x14ac:dyDescent="0.2">
      <c r="C109" s="106"/>
      <c r="D109" s="106"/>
      <c r="H109" s="106"/>
      <c r="J109" s="106"/>
      <c r="K109" s="106"/>
      <c r="O109" s="106"/>
      <c r="S109" s="15"/>
    </row>
    <row r="110" spans="3:19" x14ac:dyDescent="0.2">
      <c r="C110" s="106"/>
      <c r="D110" s="106"/>
      <c r="H110" s="106"/>
      <c r="J110" s="106"/>
      <c r="K110" s="106"/>
      <c r="O110" s="106"/>
      <c r="R110" s="15"/>
    </row>
    <row r="111" spans="3:19" x14ac:dyDescent="0.2">
      <c r="C111" s="106"/>
      <c r="D111" s="106"/>
      <c r="H111" s="106"/>
      <c r="J111" s="106"/>
      <c r="K111" s="106"/>
      <c r="O111" s="106"/>
      <c r="R111" s="106"/>
    </row>
    <row r="112" spans="3:19" x14ac:dyDescent="0.2">
      <c r="C112" s="106"/>
      <c r="D112" s="106"/>
      <c r="H112" s="106"/>
      <c r="J112" s="106"/>
      <c r="K112" s="106"/>
      <c r="O112" s="106"/>
    </row>
    <row r="113" spans="3:19" x14ac:dyDescent="0.2">
      <c r="C113" s="106"/>
      <c r="D113" s="106"/>
      <c r="H113" s="106"/>
      <c r="J113" s="106"/>
      <c r="K113" s="106"/>
      <c r="O113" s="106"/>
      <c r="S113" s="15"/>
    </row>
    <row r="114" spans="3:19" x14ac:dyDescent="0.2">
      <c r="C114" s="106"/>
      <c r="D114" s="106"/>
      <c r="H114" s="106"/>
      <c r="J114" s="106"/>
      <c r="K114" s="106"/>
      <c r="O114" s="106"/>
      <c r="S114" s="15"/>
    </row>
    <row r="115" spans="3:19" x14ac:dyDescent="0.2">
      <c r="C115" s="106"/>
      <c r="D115" s="106"/>
      <c r="H115" s="106"/>
      <c r="J115" s="106"/>
      <c r="K115" s="106"/>
      <c r="O115" s="106"/>
    </row>
    <row r="116" spans="3:19" x14ac:dyDescent="0.2">
      <c r="C116" s="106"/>
      <c r="D116" s="106"/>
      <c r="H116" s="106"/>
      <c r="J116" s="106"/>
      <c r="K116" s="106"/>
      <c r="O116" s="106"/>
    </row>
    <row r="117" spans="3:19" x14ac:dyDescent="0.2">
      <c r="C117" s="106"/>
      <c r="D117" s="106"/>
      <c r="H117" s="106"/>
      <c r="J117" s="106"/>
      <c r="K117" s="106"/>
      <c r="O117" s="106"/>
      <c r="R117" s="15"/>
      <c r="S117" s="15"/>
    </row>
    <row r="118" spans="3:19" x14ac:dyDescent="0.2">
      <c r="C118" s="106"/>
      <c r="D118" s="106"/>
      <c r="H118" s="106"/>
      <c r="J118" s="106"/>
      <c r="K118" s="106"/>
      <c r="O118" s="106"/>
    </row>
    <row r="119" spans="3:19" x14ac:dyDescent="0.2">
      <c r="C119" s="106"/>
      <c r="D119" s="106"/>
      <c r="H119" s="106"/>
      <c r="J119" s="106"/>
      <c r="K119" s="106"/>
      <c r="O119" s="106"/>
      <c r="R119" s="15"/>
    </row>
    <row r="120" spans="3:19" x14ac:dyDescent="0.2">
      <c r="C120" s="106"/>
      <c r="D120" s="106"/>
      <c r="H120" s="106"/>
      <c r="J120" s="106"/>
      <c r="K120" s="106"/>
      <c r="O120" s="106"/>
      <c r="S120" s="106"/>
    </row>
    <row r="121" spans="3:19" x14ac:dyDescent="0.2">
      <c r="C121" s="106"/>
      <c r="D121" s="106"/>
      <c r="H121" s="106"/>
      <c r="J121" s="106"/>
      <c r="K121" s="106"/>
      <c r="O121" s="106"/>
      <c r="R121" s="15"/>
      <c r="S121" s="15"/>
    </row>
    <row r="122" spans="3:19" x14ac:dyDescent="0.2">
      <c r="C122" s="106"/>
      <c r="D122" s="106"/>
      <c r="H122" s="106"/>
      <c r="J122" s="106"/>
      <c r="K122" s="106"/>
      <c r="O122" s="106"/>
      <c r="R122" s="106"/>
    </row>
    <row r="123" spans="3:19" x14ac:dyDescent="0.2">
      <c r="C123" s="106"/>
      <c r="D123" s="106"/>
      <c r="H123" s="106"/>
      <c r="J123" s="106"/>
      <c r="K123" s="106"/>
      <c r="O123" s="106"/>
      <c r="R123" s="106"/>
    </row>
    <row r="124" spans="3:19" x14ac:dyDescent="0.2">
      <c r="C124" s="106"/>
      <c r="D124" s="106"/>
      <c r="H124" s="106"/>
      <c r="J124" s="106"/>
      <c r="K124" s="106"/>
      <c r="O124" s="106"/>
      <c r="R124" s="15"/>
    </row>
    <row r="125" spans="3:19" x14ac:dyDescent="0.2">
      <c r="C125" s="106"/>
      <c r="D125" s="106"/>
      <c r="H125" s="106"/>
      <c r="J125" s="106"/>
      <c r="K125" s="106"/>
      <c r="O125" s="106"/>
      <c r="R125" s="15"/>
      <c r="S125" s="15"/>
    </row>
    <row r="126" spans="3:19" x14ac:dyDescent="0.2">
      <c r="C126" s="106"/>
      <c r="D126" s="106"/>
      <c r="H126" s="106"/>
      <c r="J126" s="106"/>
      <c r="K126" s="106"/>
      <c r="O126" s="106"/>
      <c r="S126" s="15"/>
    </row>
    <row r="127" spans="3:19" x14ac:dyDescent="0.2">
      <c r="C127" s="106"/>
      <c r="D127" s="106"/>
      <c r="H127" s="106"/>
      <c r="J127" s="106"/>
      <c r="K127" s="106"/>
      <c r="O127" s="106"/>
      <c r="S127" s="106"/>
    </row>
    <row r="128" spans="3:19" x14ac:dyDescent="0.2">
      <c r="C128" s="106"/>
      <c r="D128" s="106"/>
      <c r="H128" s="106"/>
      <c r="J128" s="106"/>
      <c r="K128" s="106"/>
      <c r="O128" s="106"/>
      <c r="R128" s="15"/>
    </row>
    <row r="129" spans="3:21" x14ac:dyDescent="0.2">
      <c r="C129" s="106"/>
      <c r="D129" s="106"/>
      <c r="H129" s="106"/>
      <c r="J129" s="106"/>
      <c r="K129" s="106"/>
      <c r="O129" s="106"/>
      <c r="S129" s="106"/>
    </row>
    <row r="130" spans="3:21" x14ac:dyDescent="0.2">
      <c r="C130" s="106"/>
      <c r="D130" s="106"/>
      <c r="H130" s="106"/>
      <c r="J130" s="106"/>
      <c r="K130" s="106"/>
      <c r="O130" s="106"/>
      <c r="R130" s="15"/>
    </row>
    <row r="131" spans="3:21" x14ac:dyDescent="0.2">
      <c r="C131" s="106"/>
      <c r="D131" s="106"/>
      <c r="H131" s="106"/>
      <c r="J131" s="106"/>
      <c r="K131" s="106"/>
      <c r="O131" s="106"/>
      <c r="R131" s="15"/>
      <c r="S131" s="106"/>
    </row>
    <row r="132" spans="3:21" x14ac:dyDescent="0.2">
      <c r="C132" s="106"/>
      <c r="D132" s="106"/>
      <c r="H132" s="106"/>
      <c r="J132" s="106"/>
      <c r="K132" s="106"/>
      <c r="O132" s="106"/>
      <c r="R132" s="15"/>
      <c r="S132" s="15"/>
    </row>
    <row r="133" spans="3:21" x14ac:dyDescent="0.2">
      <c r="C133" s="106"/>
      <c r="D133" s="106"/>
      <c r="H133" s="106"/>
      <c r="J133" s="106"/>
      <c r="K133" s="106"/>
      <c r="O133" s="106"/>
      <c r="S133" s="106"/>
    </row>
    <row r="134" spans="3:21" x14ac:dyDescent="0.2">
      <c r="C134" s="106"/>
      <c r="D134" s="106"/>
      <c r="H134" s="106"/>
      <c r="J134" s="106"/>
      <c r="K134" s="106"/>
      <c r="O134" s="106"/>
    </row>
    <row r="135" spans="3:21" x14ac:dyDescent="0.2">
      <c r="C135" s="106"/>
      <c r="D135" s="106"/>
      <c r="H135" s="106"/>
      <c r="J135" s="106"/>
      <c r="K135" s="106"/>
      <c r="O135" s="106"/>
      <c r="R135" s="15"/>
    </row>
    <row r="136" spans="3:21" x14ac:dyDescent="0.2">
      <c r="C136" s="106"/>
      <c r="D136" s="106"/>
      <c r="H136" s="106"/>
      <c r="J136" s="106"/>
      <c r="K136" s="106"/>
      <c r="O136" s="106"/>
      <c r="S136" s="106"/>
      <c r="T136" s="106"/>
      <c r="U136" s="106"/>
    </row>
    <row r="137" spans="3:21" x14ac:dyDescent="0.2">
      <c r="C137" s="106"/>
      <c r="D137" s="106"/>
      <c r="H137" s="106"/>
      <c r="J137" s="106"/>
      <c r="K137" s="106"/>
      <c r="O137" s="106"/>
      <c r="S137" s="106"/>
    </row>
    <row r="138" spans="3:21" x14ac:dyDescent="0.2">
      <c r="C138" s="106"/>
      <c r="D138" s="106"/>
      <c r="H138" s="106"/>
      <c r="J138" s="106"/>
      <c r="K138" s="106"/>
      <c r="O138" s="106"/>
    </row>
    <row r="139" spans="3:21" x14ac:dyDescent="0.2">
      <c r="C139" s="106"/>
      <c r="D139" s="106"/>
      <c r="H139" s="106"/>
      <c r="J139" s="106"/>
      <c r="K139" s="106"/>
      <c r="O139" s="106"/>
      <c r="R139" s="15"/>
    </row>
    <row r="140" spans="3:21" x14ac:dyDescent="0.2">
      <c r="C140" s="106"/>
      <c r="D140" s="106"/>
      <c r="H140" s="106"/>
      <c r="J140" s="106"/>
      <c r="K140" s="106"/>
      <c r="O140" s="106"/>
      <c r="R140" s="15"/>
    </row>
    <row r="141" spans="3:21" x14ac:dyDescent="0.2">
      <c r="C141" s="106"/>
      <c r="D141" s="106"/>
      <c r="H141" s="106"/>
      <c r="J141" s="106"/>
      <c r="K141" s="106"/>
      <c r="O141" s="106"/>
      <c r="R141" s="15"/>
    </row>
    <row r="142" spans="3:21" x14ac:dyDescent="0.2">
      <c r="C142" s="106"/>
      <c r="D142" s="106"/>
      <c r="H142" s="106"/>
      <c r="J142" s="106"/>
      <c r="K142" s="106"/>
      <c r="O142" s="106"/>
      <c r="S142" s="15"/>
    </row>
    <row r="143" spans="3:21" x14ac:dyDescent="0.2">
      <c r="C143" s="106"/>
      <c r="D143" s="106"/>
      <c r="H143" s="106"/>
      <c r="J143" s="106"/>
      <c r="K143" s="106"/>
      <c r="O143" s="106"/>
    </row>
    <row r="144" spans="3:21" x14ac:dyDescent="0.2">
      <c r="C144" s="106"/>
      <c r="D144" s="106"/>
      <c r="H144" s="106"/>
      <c r="J144" s="106"/>
      <c r="K144" s="106"/>
      <c r="O144" s="106"/>
    </row>
    <row r="145" spans="3:19" x14ac:dyDescent="0.2">
      <c r="C145" s="106"/>
      <c r="D145" s="106"/>
      <c r="H145" s="106"/>
      <c r="J145" s="106"/>
      <c r="K145" s="106"/>
      <c r="O145" s="106"/>
      <c r="R145" s="106"/>
    </row>
    <row r="146" spans="3:19" x14ac:dyDescent="0.2">
      <c r="C146" s="106"/>
      <c r="D146" s="106"/>
      <c r="H146" s="106"/>
      <c r="J146" s="106"/>
      <c r="K146" s="106"/>
      <c r="O146" s="106"/>
    </row>
    <row r="147" spans="3:19" x14ac:dyDescent="0.2">
      <c r="C147" s="106"/>
      <c r="D147" s="106"/>
      <c r="H147" s="106"/>
      <c r="J147" s="106"/>
      <c r="K147" s="106"/>
      <c r="O147" s="106"/>
      <c r="S147" s="15"/>
    </row>
    <row r="148" spans="3:19" x14ac:dyDescent="0.2">
      <c r="C148" s="106"/>
      <c r="D148" s="106"/>
      <c r="H148" s="106"/>
      <c r="J148" s="106"/>
      <c r="K148" s="106"/>
      <c r="O148" s="106"/>
      <c r="S148" s="15"/>
    </row>
    <row r="149" spans="3:19" x14ac:dyDescent="0.2">
      <c r="C149" s="106"/>
      <c r="D149" s="106"/>
      <c r="H149" s="106"/>
      <c r="J149" s="106"/>
      <c r="K149" s="106"/>
      <c r="O149" s="106"/>
    </row>
    <row r="150" spans="3:19" x14ac:dyDescent="0.2">
      <c r="C150" s="106"/>
      <c r="D150" s="106"/>
      <c r="H150" s="106"/>
      <c r="J150" s="106"/>
      <c r="K150" s="106"/>
      <c r="O150" s="106"/>
    </row>
    <row r="151" spans="3:19" x14ac:dyDescent="0.2">
      <c r="C151" s="106"/>
      <c r="D151" s="106"/>
      <c r="H151" s="106"/>
      <c r="J151" s="106"/>
      <c r="K151" s="106"/>
      <c r="O151" s="106"/>
    </row>
    <row r="152" spans="3:19" x14ac:dyDescent="0.2">
      <c r="C152" s="106"/>
      <c r="D152" s="106"/>
      <c r="H152" s="106"/>
      <c r="J152" s="106"/>
      <c r="K152" s="106"/>
      <c r="O152" s="106"/>
      <c r="R152" s="15"/>
      <c r="S152" s="15"/>
    </row>
    <row r="153" spans="3:19" x14ac:dyDescent="0.2">
      <c r="C153" s="106"/>
      <c r="D153" s="106"/>
      <c r="H153" s="106"/>
      <c r="J153" s="106"/>
      <c r="K153" s="106"/>
      <c r="O153" s="106"/>
      <c r="R153" s="106"/>
      <c r="S153" s="15"/>
    </row>
    <row r="154" spans="3:19" x14ac:dyDescent="0.2">
      <c r="C154" s="106"/>
      <c r="D154" s="106"/>
      <c r="H154" s="106"/>
      <c r="J154" s="106"/>
      <c r="K154" s="106"/>
      <c r="O154" s="106"/>
      <c r="S154" s="15"/>
    </row>
    <row r="155" spans="3:19" x14ac:dyDescent="0.2">
      <c r="C155" s="106"/>
      <c r="D155" s="106"/>
      <c r="H155" s="106"/>
      <c r="J155" s="106"/>
      <c r="K155" s="106"/>
      <c r="O155" s="106"/>
    </row>
    <row r="156" spans="3:19" x14ac:dyDescent="0.2">
      <c r="C156" s="106"/>
      <c r="D156" s="106"/>
      <c r="H156" s="106"/>
      <c r="J156" s="106"/>
      <c r="K156" s="106"/>
      <c r="O156" s="106"/>
      <c r="S156" s="15"/>
    </row>
    <row r="157" spans="3:19" x14ac:dyDescent="0.2">
      <c r="C157" s="106"/>
      <c r="D157" s="106"/>
      <c r="H157" s="106"/>
      <c r="J157" s="106"/>
      <c r="K157" s="106"/>
      <c r="O157" s="106"/>
      <c r="R157" s="106"/>
    </row>
    <row r="158" spans="3:19" x14ac:dyDescent="0.2">
      <c r="C158" s="106"/>
      <c r="D158" s="106"/>
      <c r="H158" s="106"/>
      <c r="J158" s="106"/>
      <c r="K158" s="106"/>
      <c r="O158" s="106"/>
      <c r="R158" s="15"/>
      <c r="S158" s="15"/>
    </row>
    <row r="159" spans="3:19" x14ac:dyDescent="0.2">
      <c r="C159" s="106"/>
      <c r="D159" s="106"/>
      <c r="H159" s="106"/>
      <c r="J159" s="106"/>
      <c r="K159" s="106"/>
      <c r="O159" s="106"/>
    </row>
    <row r="160" spans="3:19" x14ac:dyDescent="0.2">
      <c r="C160" s="106"/>
      <c r="D160" s="106"/>
      <c r="H160" s="106"/>
      <c r="J160" s="106"/>
      <c r="K160" s="106"/>
      <c r="O160" s="106"/>
      <c r="S160" s="15"/>
    </row>
    <row r="161" spans="3:19" x14ac:dyDescent="0.2">
      <c r="C161" s="106"/>
      <c r="D161" s="106"/>
      <c r="H161" s="106"/>
      <c r="J161" s="106"/>
      <c r="K161" s="106"/>
      <c r="O161" s="106"/>
    </row>
    <row r="162" spans="3:19" x14ac:dyDescent="0.2">
      <c r="C162" s="106"/>
      <c r="D162" s="106"/>
      <c r="H162" s="106"/>
      <c r="J162" s="106"/>
      <c r="K162" s="106"/>
      <c r="O162" s="106"/>
      <c r="R162" s="15"/>
    </row>
    <row r="163" spans="3:19" x14ac:dyDescent="0.2">
      <c r="C163" s="106"/>
      <c r="D163" s="106"/>
      <c r="H163" s="106"/>
      <c r="J163" s="106"/>
      <c r="K163" s="106"/>
      <c r="O163" s="106"/>
      <c r="S163" s="15"/>
    </row>
    <row r="164" spans="3:19" x14ac:dyDescent="0.2">
      <c r="C164" s="106"/>
      <c r="D164" s="106"/>
      <c r="H164" s="106"/>
      <c r="J164" s="106"/>
      <c r="K164" s="106"/>
      <c r="O164" s="106"/>
    </row>
    <row r="165" spans="3:19" x14ac:dyDescent="0.2">
      <c r="C165" s="106"/>
      <c r="D165" s="106"/>
      <c r="H165" s="106"/>
      <c r="J165" s="106"/>
      <c r="K165" s="106"/>
      <c r="O165" s="106"/>
      <c r="R165" s="15"/>
    </row>
    <row r="166" spans="3:19" x14ac:dyDescent="0.2">
      <c r="C166" s="106"/>
      <c r="D166" s="106"/>
      <c r="H166" s="106"/>
      <c r="J166" s="106"/>
      <c r="K166" s="106"/>
      <c r="O166" s="106"/>
      <c r="R166" s="15"/>
    </row>
    <row r="167" spans="3:19" x14ac:dyDescent="0.2">
      <c r="C167" s="106"/>
      <c r="D167" s="106"/>
      <c r="H167" s="106"/>
      <c r="J167" s="106"/>
      <c r="K167" s="106"/>
      <c r="O167" s="106"/>
    </row>
    <row r="168" spans="3:19" x14ac:dyDescent="0.2">
      <c r="C168" s="106"/>
      <c r="D168" s="106"/>
      <c r="H168" s="106"/>
      <c r="J168" s="106"/>
      <c r="K168" s="106"/>
      <c r="O168" s="106"/>
    </row>
    <row r="169" spans="3:19" x14ac:dyDescent="0.2">
      <c r="C169" s="106"/>
      <c r="D169" s="106"/>
      <c r="H169" s="106"/>
      <c r="J169" s="106"/>
      <c r="K169" s="106"/>
      <c r="O169" s="106"/>
    </row>
    <row r="170" spans="3:19" x14ac:dyDescent="0.2">
      <c r="C170" s="106"/>
      <c r="D170" s="106"/>
      <c r="H170" s="106"/>
      <c r="J170" s="106"/>
      <c r="K170" s="106"/>
      <c r="O170" s="106"/>
      <c r="R170" s="15"/>
    </row>
    <row r="171" spans="3:19" x14ac:dyDescent="0.2">
      <c r="C171" s="106"/>
      <c r="D171" s="106"/>
      <c r="H171" s="106"/>
      <c r="J171" s="106"/>
      <c r="K171" s="106"/>
      <c r="O171" s="106"/>
    </row>
    <row r="172" spans="3:19" x14ac:dyDescent="0.2">
      <c r="C172" s="106"/>
      <c r="D172" s="106"/>
      <c r="H172" s="106"/>
      <c r="J172" s="106"/>
      <c r="K172" s="106"/>
      <c r="O172" s="106"/>
    </row>
    <row r="173" spans="3:19" x14ac:dyDescent="0.2">
      <c r="C173" s="106"/>
      <c r="D173" s="106"/>
      <c r="H173" s="106"/>
      <c r="J173" s="106"/>
      <c r="K173" s="106"/>
      <c r="O173" s="106"/>
    </row>
    <row r="174" spans="3:19" x14ac:dyDescent="0.2">
      <c r="C174" s="106"/>
      <c r="D174" s="106"/>
      <c r="H174" s="106"/>
      <c r="J174" s="106"/>
      <c r="K174" s="106"/>
      <c r="O174" s="106"/>
      <c r="S174" s="15"/>
    </row>
    <row r="175" spans="3:19" x14ac:dyDescent="0.2">
      <c r="C175" s="106"/>
      <c r="D175" s="106"/>
      <c r="H175" s="106"/>
      <c r="J175" s="106"/>
      <c r="K175" s="106"/>
      <c r="O175" s="106"/>
      <c r="S175" s="15"/>
    </row>
    <row r="176" spans="3:19" x14ac:dyDescent="0.2">
      <c r="C176" s="106"/>
      <c r="D176" s="106"/>
      <c r="H176" s="106"/>
      <c r="J176" s="106"/>
      <c r="K176" s="106"/>
      <c r="O176" s="106"/>
    </row>
    <row r="177" spans="3:19" x14ac:dyDescent="0.2">
      <c r="C177" s="106"/>
      <c r="D177" s="106"/>
      <c r="H177" s="106"/>
      <c r="J177" s="106"/>
      <c r="K177" s="106"/>
      <c r="O177" s="106"/>
    </row>
    <row r="178" spans="3:19" x14ac:dyDescent="0.2">
      <c r="C178" s="106"/>
      <c r="D178" s="106"/>
      <c r="H178" s="106"/>
      <c r="J178" s="106"/>
      <c r="K178" s="106"/>
      <c r="O178" s="106"/>
    </row>
    <row r="179" spans="3:19" x14ac:dyDescent="0.2">
      <c r="C179" s="106"/>
      <c r="D179" s="106"/>
      <c r="H179" s="106"/>
      <c r="J179" s="106"/>
      <c r="K179" s="106"/>
      <c r="O179" s="106"/>
    </row>
    <row r="180" spans="3:19" x14ac:dyDescent="0.2">
      <c r="C180" s="106"/>
      <c r="D180" s="106"/>
      <c r="H180" s="106"/>
      <c r="J180" s="106"/>
      <c r="K180" s="106"/>
      <c r="O180" s="106"/>
    </row>
    <row r="181" spans="3:19" x14ac:dyDescent="0.2">
      <c r="C181" s="106"/>
      <c r="D181" s="106"/>
      <c r="H181" s="106"/>
      <c r="J181" s="106"/>
      <c r="K181" s="106"/>
      <c r="O181" s="106"/>
      <c r="S181" s="15"/>
    </row>
    <row r="182" spans="3:19" x14ac:dyDescent="0.2">
      <c r="C182" s="106"/>
      <c r="D182" s="106"/>
      <c r="H182" s="106"/>
      <c r="J182" s="106"/>
      <c r="K182" s="106"/>
      <c r="O182" s="106"/>
      <c r="R182" s="15"/>
    </row>
    <row r="183" spans="3:19" x14ac:dyDescent="0.2">
      <c r="C183" s="106"/>
      <c r="D183" s="106"/>
      <c r="H183" s="106"/>
      <c r="J183" s="106"/>
      <c r="K183" s="106"/>
      <c r="O183" s="106"/>
    </row>
    <row r="184" spans="3:19" x14ac:dyDescent="0.2">
      <c r="C184" s="106"/>
      <c r="D184" s="106"/>
      <c r="H184" s="106"/>
      <c r="J184" s="106"/>
      <c r="K184" s="106"/>
      <c r="O184" s="106"/>
      <c r="R184" s="15"/>
    </row>
    <row r="185" spans="3:19" x14ac:dyDescent="0.2">
      <c r="C185" s="106"/>
      <c r="D185" s="106"/>
      <c r="H185" s="106"/>
      <c r="J185" s="106"/>
      <c r="K185" s="106"/>
      <c r="O185" s="106"/>
    </row>
    <row r="186" spans="3:19" x14ac:dyDescent="0.2">
      <c r="C186" s="106"/>
      <c r="D186" s="106"/>
      <c r="H186" s="106"/>
      <c r="J186" s="106"/>
      <c r="K186" s="106"/>
      <c r="O186" s="106"/>
    </row>
    <row r="187" spans="3:19" x14ac:dyDescent="0.2">
      <c r="C187" s="106"/>
      <c r="D187" s="106"/>
      <c r="H187" s="106"/>
      <c r="J187" s="106"/>
      <c r="K187" s="106"/>
      <c r="O187" s="106"/>
    </row>
    <row r="188" spans="3:19" x14ac:dyDescent="0.2">
      <c r="C188" s="106"/>
      <c r="D188" s="106"/>
      <c r="H188" s="106"/>
      <c r="J188" s="106"/>
      <c r="K188" s="106"/>
      <c r="O188" s="106"/>
    </row>
    <row r="189" spans="3:19" x14ac:dyDescent="0.2">
      <c r="C189" s="106"/>
      <c r="D189" s="106"/>
      <c r="H189" s="106"/>
      <c r="J189" s="106"/>
      <c r="K189" s="106"/>
      <c r="O189" s="106"/>
    </row>
    <row r="190" spans="3:19" x14ac:dyDescent="0.2">
      <c r="C190" s="106"/>
      <c r="D190" s="106"/>
      <c r="H190" s="106"/>
      <c r="J190" s="106"/>
      <c r="K190" s="106"/>
      <c r="O190" s="106"/>
      <c r="S190" s="15"/>
    </row>
    <row r="191" spans="3:19" x14ac:dyDescent="0.2">
      <c r="C191" s="106"/>
      <c r="D191" s="106"/>
      <c r="H191" s="106"/>
      <c r="J191" s="106"/>
      <c r="K191" s="106"/>
      <c r="O191" s="106"/>
      <c r="S191" s="15"/>
    </row>
    <row r="192" spans="3:19" x14ac:dyDescent="0.2">
      <c r="C192" s="106"/>
      <c r="D192" s="106"/>
      <c r="H192" s="106"/>
      <c r="J192" s="106"/>
      <c r="K192" s="106"/>
      <c r="O192" s="106"/>
    </row>
    <row r="193" spans="3:19" x14ac:dyDescent="0.2">
      <c r="C193" s="106"/>
      <c r="D193" s="106"/>
      <c r="H193" s="106"/>
      <c r="J193" s="106"/>
      <c r="K193" s="106"/>
      <c r="O193" s="106"/>
    </row>
    <row r="194" spans="3:19" x14ac:dyDescent="0.2">
      <c r="C194" s="106"/>
      <c r="D194" s="106"/>
      <c r="H194" s="106"/>
      <c r="J194" s="106"/>
      <c r="K194" s="106"/>
      <c r="O194" s="106"/>
    </row>
    <row r="195" spans="3:19" x14ac:dyDescent="0.2">
      <c r="C195" s="106"/>
      <c r="D195" s="106"/>
      <c r="H195" s="106"/>
      <c r="J195" s="106"/>
      <c r="K195" s="106"/>
      <c r="O195" s="106"/>
    </row>
    <row r="196" spans="3:19" x14ac:dyDescent="0.2">
      <c r="C196" s="106"/>
      <c r="D196" s="106"/>
      <c r="H196" s="106"/>
      <c r="J196" s="106"/>
      <c r="K196" s="106"/>
      <c r="O196" s="106"/>
    </row>
    <row r="197" spans="3:19" x14ac:dyDescent="0.2">
      <c r="C197" s="106"/>
      <c r="D197" s="106"/>
      <c r="H197" s="106"/>
      <c r="J197" s="106"/>
      <c r="K197" s="106"/>
      <c r="O197" s="106"/>
      <c r="R197" s="15"/>
      <c r="S197" s="15"/>
    </row>
    <row r="198" spans="3:19" x14ac:dyDescent="0.2">
      <c r="C198" s="106"/>
      <c r="D198" s="106"/>
      <c r="H198" s="106"/>
      <c r="J198" s="106"/>
      <c r="K198" s="106"/>
      <c r="O198" s="106"/>
    </row>
    <row r="199" spans="3:19" x14ac:dyDescent="0.2">
      <c r="C199" s="106"/>
      <c r="D199" s="106"/>
      <c r="H199" s="106"/>
      <c r="J199" s="106"/>
      <c r="K199" s="106"/>
      <c r="O199" s="106"/>
    </row>
    <row r="200" spans="3:19" x14ac:dyDescent="0.2">
      <c r="C200" s="106"/>
      <c r="D200" s="106"/>
      <c r="H200" s="106"/>
      <c r="J200" s="106"/>
      <c r="K200" s="106"/>
      <c r="O200" s="106"/>
    </row>
    <row r="201" spans="3:19" x14ac:dyDescent="0.2">
      <c r="C201" s="106"/>
      <c r="D201" s="106"/>
      <c r="H201" s="106"/>
      <c r="J201" s="106"/>
      <c r="K201" s="106"/>
      <c r="O201" s="106"/>
    </row>
    <row r="202" spans="3:19" x14ac:dyDescent="0.2">
      <c r="C202" s="106"/>
      <c r="D202" s="106"/>
      <c r="H202" s="106"/>
      <c r="J202" s="106"/>
      <c r="K202" s="106"/>
      <c r="O202" s="106"/>
    </row>
    <row r="203" spans="3:19" x14ac:dyDescent="0.2">
      <c r="C203" s="106"/>
      <c r="D203" s="106"/>
      <c r="H203" s="106"/>
      <c r="J203" s="106"/>
      <c r="K203" s="106"/>
      <c r="O203" s="106"/>
    </row>
    <row r="204" spans="3:19" x14ac:dyDescent="0.2">
      <c r="C204" s="106"/>
      <c r="D204" s="106"/>
      <c r="H204" s="106"/>
      <c r="J204" s="106"/>
      <c r="K204" s="106"/>
      <c r="O204" s="106"/>
    </row>
    <row r="205" spans="3:19" x14ac:dyDescent="0.2">
      <c r="C205" s="106"/>
      <c r="D205" s="106"/>
      <c r="H205" s="106"/>
      <c r="J205" s="106"/>
      <c r="K205" s="106"/>
      <c r="O205" s="106"/>
    </row>
    <row r="206" spans="3:19" x14ac:dyDescent="0.2">
      <c r="C206" s="106"/>
      <c r="D206" s="106"/>
      <c r="H206" s="106"/>
      <c r="J206" s="106"/>
      <c r="K206" s="106"/>
      <c r="O206" s="106"/>
      <c r="R206" s="15"/>
    </row>
    <row r="207" spans="3:19" x14ac:dyDescent="0.2">
      <c r="C207" s="106"/>
      <c r="D207" s="106"/>
      <c r="H207" s="106"/>
      <c r="J207" s="106"/>
      <c r="K207" s="106"/>
      <c r="O207" s="106"/>
    </row>
    <row r="208" spans="3:19" x14ac:dyDescent="0.2">
      <c r="C208" s="106"/>
      <c r="D208" s="106"/>
      <c r="H208" s="106"/>
      <c r="J208" s="106"/>
      <c r="K208" s="106"/>
      <c r="O208" s="106"/>
    </row>
    <row r="209" spans="3:19" x14ac:dyDescent="0.2">
      <c r="C209" s="106"/>
      <c r="D209" s="106"/>
      <c r="H209" s="106"/>
      <c r="J209" s="106"/>
      <c r="K209" s="106"/>
      <c r="O209" s="106"/>
      <c r="S209" s="15"/>
    </row>
    <row r="210" spans="3:19" x14ac:dyDescent="0.2">
      <c r="C210" s="106"/>
      <c r="D210" s="106"/>
      <c r="H210" s="106"/>
      <c r="J210" s="106"/>
      <c r="K210" s="106"/>
      <c r="O210" s="106"/>
      <c r="S210" s="15"/>
    </row>
    <row r="211" spans="3:19" x14ac:dyDescent="0.2">
      <c r="C211" s="106"/>
      <c r="D211" s="106"/>
      <c r="H211" s="106"/>
      <c r="J211" s="106"/>
      <c r="K211" s="106"/>
      <c r="O211" s="106"/>
    </row>
    <row r="212" spans="3:19" x14ac:dyDescent="0.2">
      <c r="C212" s="106"/>
      <c r="D212" s="106"/>
      <c r="H212" s="106"/>
      <c r="J212" s="106"/>
      <c r="K212" s="106"/>
      <c r="O212" s="106"/>
    </row>
    <row r="213" spans="3:19" x14ac:dyDescent="0.2">
      <c r="C213" s="106"/>
      <c r="D213" s="106"/>
      <c r="H213" s="106"/>
      <c r="J213" s="106"/>
      <c r="K213" s="106"/>
      <c r="O213" s="106"/>
      <c r="S213" s="15"/>
    </row>
    <row r="214" spans="3:19" x14ac:dyDescent="0.2">
      <c r="C214" s="106"/>
      <c r="D214" s="106"/>
      <c r="H214" s="106"/>
      <c r="J214" s="106"/>
      <c r="K214" s="106"/>
      <c r="O214" s="106"/>
    </row>
    <row r="215" spans="3:19" x14ac:dyDescent="0.2">
      <c r="C215" s="106"/>
      <c r="D215" s="106"/>
      <c r="H215" s="106"/>
      <c r="J215" s="106"/>
      <c r="K215" s="106"/>
      <c r="O215" s="106"/>
      <c r="R215" s="15"/>
    </row>
    <row r="216" spans="3:19" x14ac:dyDescent="0.2">
      <c r="C216" s="106"/>
      <c r="D216" s="106"/>
      <c r="H216" s="106"/>
      <c r="J216" s="106"/>
      <c r="K216" s="106"/>
      <c r="O216" s="106"/>
    </row>
    <row r="217" spans="3:19" x14ac:dyDescent="0.2">
      <c r="C217" s="106"/>
      <c r="D217" s="106"/>
      <c r="H217" s="106"/>
      <c r="J217" s="106"/>
      <c r="K217" s="106"/>
      <c r="O217" s="106"/>
    </row>
    <row r="218" spans="3:19" x14ac:dyDescent="0.2">
      <c r="C218" s="106"/>
      <c r="D218" s="106"/>
      <c r="H218" s="106"/>
      <c r="J218" s="106"/>
      <c r="K218" s="106"/>
      <c r="O218" s="106"/>
    </row>
    <row r="219" spans="3:19" x14ac:dyDescent="0.2">
      <c r="C219" s="106"/>
      <c r="D219" s="106"/>
      <c r="H219" s="106"/>
      <c r="J219" s="106"/>
      <c r="K219" s="106"/>
      <c r="O219" s="106"/>
    </row>
    <row r="220" spans="3:19" x14ac:dyDescent="0.2">
      <c r="C220" s="106"/>
      <c r="D220" s="106"/>
      <c r="H220" s="106"/>
      <c r="J220" s="106"/>
      <c r="K220" s="106"/>
      <c r="O220" s="106"/>
    </row>
    <row r="221" spans="3:19" x14ac:dyDescent="0.2">
      <c r="C221" s="106"/>
      <c r="D221" s="106"/>
      <c r="H221" s="106"/>
      <c r="J221" s="106"/>
      <c r="K221" s="106"/>
      <c r="O221" s="106"/>
      <c r="R221" s="15"/>
    </row>
    <row r="222" spans="3:19" x14ac:dyDescent="0.2">
      <c r="C222" s="106"/>
      <c r="D222" s="106"/>
      <c r="H222" s="106"/>
      <c r="J222" s="106"/>
      <c r="K222" s="106"/>
      <c r="O222" s="106"/>
      <c r="R222" s="15"/>
    </row>
    <row r="223" spans="3:19" x14ac:dyDescent="0.2">
      <c r="C223" s="106"/>
      <c r="D223" s="106"/>
      <c r="H223" s="106"/>
      <c r="J223" s="106"/>
      <c r="K223" s="106"/>
      <c r="O223" s="106"/>
    </row>
    <row r="224" spans="3:19" x14ac:dyDescent="0.2">
      <c r="C224" s="106"/>
      <c r="D224" s="106"/>
      <c r="H224" s="106"/>
      <c r="J224" s="106"/>
      <c r="K224" s="106"/>
      <c r="O224" s="106"/>
    </row>
    <row r="225" spans="3:19" x14ac:dyDescent="0.2">
      <c r="C225" s="106"/>
      <c r="D225" s="106"/>
      <c r="H225" s="106"/>
      <c r="J225" s="106"/>
      <c r="K225" s="106"/>
      <c r="O225" s="106"/>
      <c r="R225" s="15"/>
    </row>
    <row r="226" spans="3:19" x14ac:dyDescent="0.2">
      <c r="C226" s="106"/>
      <c r="D226" s="106"/>
      <c r="H226" s="106"/>
      <c r="J226" s="106"/>
      <c r="K226" s="106"/>
      <c r="O226" s="106"/>
    </row>
    <row r="227" spans="3:19" x14ac:dyDescent="0.2">
      <c r="C227" s="106"/>
      <c r="D227" s="106"/>
      <c r="H227" s="106"/>
      <c r="J227" s="106"/>
      <c r="K227" s="106"/>
      <c r="O227" s="106"/>
    </row>
    <row r="228" spans="3:19" x14ac:dyDescent="0.2">
      <c r="C228" s="106"/>
      <c r="D228" s="106"/>
      <c r="H228" s="106"/>
      <c r="J228" s="106"/>
      <c r="K228" s="106"/>
      <c r="O228" s="106"/>
    </row>
    <row r="229" spans="3:19" x14ac:dyDescent="0.2">
      <c r="C229" s="106"/>
      <c r="D229" s="106"/>
      <c r="H229" s="106"/>
      <c r="J229" s="106"/>
      <c r="K229" s="106"/>
      <c r="O229" s="106"/>
    </row>
    <row r="230" spans="3:19" x14ac:dyDescent="0.2">
      <c r="C230" s="106"/>
      <c r="D230" s="106"/>
      <c r="H230" s="106"/>
      <c r="J230" s="106"/>
      <c r="K230" s="106"/>
      <c r="O230" s="106"/>
    </row>
    <row r="231" spans="3:19" x14ac:dyDescent="0.2">
      <c r="C231" s="106"/>
      <c r="D231" s="106"/>
      <c r="H231" s="106"/>
      <c r="J231" s="106"/>
      <c r="K231" s="106"/>
      <c r="O231" s="106"/>
    </row>
    <row r="232" spans="3:19" x14ac:dyDescent="0.2">
      <c r="C232" s="106"/>
      <c r="D232" s="106"/>
      <c r="H232" s="106"/>
      <c r="J232" s="106"/>
      <c r="K232" s="106"/>
      <c r="O232" s="106"/>
    </row>
    <row r="233" spans="3:19" x14ac:dyDescent="0.2">
      <c r="C233" s="106"/>
      <c r="D233" s="106"/>
      <c r="H233" s="106"/>
      <c r="J233" s="106"/>
      <c r="K233" s="106"/>
      <c r="O233" s="106"/>
      <c r="R233" s="15"/>
    </row>
    <row r="234" spans="3:19" x14ac:dyDescent="0.2">
      <c r="C234" s="106"/>
      <c r="D234" s="106"/>
      <c r="H234" s="106"/>
      <c r="J234" s="106"/>
      <c r="K234" s="106"/>
      <c r="O234" s="106"/>
    </row>
    <row r="235" spans="3:19" x14ac:dyDescent="0.2">
      <c r="C235" s="106"/>
      <c r="D235" s="106"/>
      <c r="H235" s="106"/>
      <c r="J235" s="106"/>
      <c r="K235" s="106"/>
      <c r="O235" s="106"/>
    </row>
    <row r="236" spans="3:19" x14ac:dyDescent="0.2">
      <c r="C236" s="106"/>
      <c r="D236" s="106"/>
      <c r="H236" s="106"/>
      <c r="J236" s="106"/>
      <c r="K236" s="106"/>
      <c r="O236" s="106"/>
    </row>
    <row r="237" spans="3:19" x14ac:dyDescent="0.2">
      <c r="C237" s="106"/>
      <c r="D237" s="106"/>
      <c r="H237" s="106"/>
      <c r="J237" s="106"/>
      <c r="K237" s="106"/>
      <c r="O237" s="106"/>
      <c r="R237" s="15"/>
      <c r="S237" s="15"/>
    </row>
    <row r="238" spans="3:19" x14ac:dyDescent="0.2">
      <c r="C238" s="106"/>
      <c r="D238" s="106"/>
      <c r="H238" s="106"/>
      <c r="J238" s="106"/>
      <c r="K238" s="106"/>
      <c r="O238" s="106"/>
    </row>
    <row r="239" spans="3:19" x14ac:dyDescent="0.2">
      <c r="C239" s="106"/>
      <c r="D239" s="106"/>
      <c r="H239" s="106"/>
      <c r="J239" s="106"/>
      <c r="K239" s="106"/>
      <c r="O239" s="106"/>
    </row>
    <row r="240" spans="3:19" x14ac:dyDescent="0.2">
      <c r="C240" s="106"/>
      <c r="D240" s="106"/>
      <c r="H240" s="106"/>
      <c r="J240" s="106"/>
      <c r="K240" s="106"/>
      <c r="O240" s="106"/>
      <c r="R240" s="15"/>
    </row>
    <row r="241" spans="3:19" x14ac:dyDescent="0.2">
      <c r="C241" s="106"/>
      <c r="D241" s="106"/>
      <c r="H241" s="106"/>
      <c r="J241" s="106"/>
      <c r="K241" s="106"/>
      <c r="O241" s="106"/>
    </row>
    <row r="242" spans="3:19" x14ac:dyDescent="0.2">
      <c r="C242" s="106"/>
      <c r="D242" s="106"/>
      <c r="H242" s="106"/>
      <c r="J242" s="106"/>
      <c r="K242" s="106"/>
      <c r="O242" s="106"/>
    </row>
    <row r="243" spans="3:19" x14ac:dyDescent="0.2">
      <c r="C243" s="106"/>
      <c r="D243" s="106"/>
      <c r="H243" s="106"/>
      <c r="J243" s="106"/>
      <c r="K243" s="106"/>
      <c r="O243" s="106"/>
      <c r="R243" s="15"/>
    </row>
    <row r="244" spans="3:19" x14ac:dyDescent="0.2">
      <c r="C244" s="106"/>
      <c r="D244" s="106"/>
      <c r="H244" s="106"/>
      <c r="J244" s="106"/>
      <c r="K244" s="106"/>
      <c r="O244" s="106"/>
      <c r="R244" s="15"/>
      <c r="S244" s="15"/>
    </row>
    <row r="245" spans="3:19" x14ac:dyDescent="0.2">
      <c r="C245" s="106"/>
      <c r="D245" s="106"/>
      <c r="H245" s="106"/>
      <c r="J245" s="106"/>
      <c r="K245" s="106"/>
      <c r="O245" s="106"/>
    </row>
    <row r="246" spans="3:19" x14ac:dyDescent="0.2">
      <c r="C246" s="106"/>
      <c r="D246" s="106"/>
      <c r="H246" s="106"/>
      <c r="J246" s="106"/>
      <c r="K246" s="106"/>
      <c r="O246" s="106"/>
    </row>
    <row r="247" spans="3:19" x14ac:dyDescent="0.2">
      <c r="C247" s="106"/>
      <c r="D247" s="106"/>
      <c r="H247" s="106"/>
      <c r="J247" s="106"/>
      <c r="K247" s="106"/>
      <c r="O247" s="106"/>
    </row>
    <row r="248" spans="3:19" x14ac:dyDescent="0.2">
      <c r="C248" s="106"/>
      <c r="D248" s="106"/>
      <c r="H248" s="106"/>
      <c r="J248" s="106"/>
      <c r="K248" s="106"/>
      <c r="O248" s="106"/>
    </row>
    <row r="249" spans="3:19" x14ac:dyDescent="0.2">
      <c r="C249" s="106"/>
      <c r="D249" s="106"/>
      <c r="H249" s="106"/>
      <c r="J249" s="106"/>
      <c r="K249" s="106"/>
      <c r="O249" s="106"/>
    </row>
    <row r="250" spans="3:19" x14ac:dyDescent="0.2">
      <c r="C250" s="106"/>
      <c r="D250" s="106"/>
      <c r="H250" s="106"/>
      <c r="J250" s="106"/>
      <c r="K250" s="106"/>
      <c r="O250" s="106"/>
    </row>
    <row r="251" spans="3:19" x14ac:dyDescent="0.2">
      <c r="C251" s="106"/>
      <c r="D251" s="106"/>
      <c r="H251" s="106"/>
      <c r="J251" s="106"/>
      <c r="K251" s="106"/>
      <c r="O251" s="106"/>
    </row>
    <row r="252" spans="3:19" x14ac:dyDescent="0.2">
      <c r="C252" s="106"/>
      <c r="D252" s="106"/>
      <c r="H252" s="106"/>
      <c r="J252" s="106"/>
      <c r="K252" s="106"/>
      <c r="O252" s="106"/>
    </row>
    <row r="253" spans="3:19" x14ac:dyDescent="0.2">
      <c r="C253" s="106"/>
      <c r="D253" s="106"/>
      <c r="H253" s="106"/>
      <c r="J253" s="106"/>
      <c r="K253" s="106"/>
      <c r="O253" s="106"/>
    </row>
    <row r="254" spans="3:19" x14ac:dyDescent="0.2">
      <c r="C254" s="106"/>
      <c r="D254" s="106"/>
      <c r="H254" s="106"/>
      <c r="J254" s="106"/>
      <c r="K254" s="106"/>
      <c r="O254" s="106"/>
    </row>
    <row r="255" spans="3:19" x14ac:dyDescent="0.2">
      <c r="C255" s="106"/>
      <c r="D255" s="106"/>
      <c r="H255" s="106"/>
      <c r="J255" s="106"/>
      <c r="K255" s="106"/>
      <c r="O255" s="106"/>
    </row>
    <row r="256" spans="3:19" x14ac:dyDescent="0.2">
      <c r="C256" s="106"/>
      <c r="D256" s="106"/>
      <c r="H256" s="106"/>
      <c r="J256" s="106"/>
      <c r="K256" s="106"/>
      <c r="O256" s="106"/>
    </row>
    <row r="257" spans="3:18" x14ac:dyDescent="0.2">
      <c r="C257" s="106"/>
      <c r="D257" s="106"/>
      <c r="H257" s="106"/>
      <c r="J257" s="106"/>
      <c r="K257" s="106"/>
      <c r="O257" s="106"/>
      <c r="R257" s="15"/>
    </row>
    <row r="258" spans="3:18" x14ac:dyDescent="0.2">
      <c r="C258" s="106"/>
      <c r="D258" s="106"/>
      <c r="H258" s="106"/>
      <c r="J258" s="106"/>
      <c r="K258" s="106"/>
      <c r="O258" s="106"/>
    </row>
    <row r="259" spans="3:18" x14ac:dyDescent="0.2">
      <c r="C259" s="106"/>
      <c r="D259" s="106"/>
      <c r="H259" s="106"/>
      <c r="J259" s="106"/>
      <c r="K259" s="106"/>
      <c r="O259" s="106"/>
      <c r="R259" s="15"/>
    </row>
    <row r="260" spans="3:18" x14ac:dyDescent="0.2">
      <c r="C260" s="106"/>
      <c r="D260" s="106"/>
      <c r="H260" s="106"/>
      <c r="J260" s="106"/>
      <c r="K260" s="106"/>
      <c r="O260" s="106"/>
    </row>
    <row r="261" spans="3:18" x14ac:dyDescent="0.2">
      <c r="C261" s="106"/>
      <c r="D261" s="106"/>
      <c r="H261" s="106"/>
      <c r="J261" s="106"/>
      <c r="K261" s="106"/>
      <c r="O261" s="106"/>
    </row>
    <row r="262" spans="3:18" x14ac:dyDescent="0.2">
      <c r="C262" s="106"/>
      <c r="D262" s="106"/>
      <c r="H262" s="106"/>
      <c r="J262" s="106"/>
      <c r="K262" s="106"/>
      <c r="O262" s="106"/>
      <c r="R262" s="15"/>
    </row>
    <row r="263" spans="3:18" x14ac:dyDescent="0.2">
      <c r="C263" s="106"/>
      <c r="D263" s="106"/>
      <c r="H263" s="106"/>
      <c r="J263" s="106"/>
      <c r="K263" s="106"/>
      <c r="O263" s="106"/>
    </row>
    <row r="264" spans="3:18" x14ac:dyDescent="0.2">
      <c r="C264" s="106"/>
      <c r="D264" s="106"/>
      <c r="H264" s="106"/>
      <c r="J264" s="106"/>
      <c r="K264" s="106"/>
      <c r="O264" s="106"/>
    </row>
    <row r="265" spans="3:18" x14ac:dyDescent="0.2">
      <c r="C265" s="106"/>
      <c r="D265" s="106"/>
      <c r="H265" s="106"/>
      <c r="J265" s="106"/>
      <c r="K265" s="106"/>
      <c r="O265" s="106"/>
    </row>
    <row r="266" spans="3:18" x14ac:dyDescent="0.2">
      <c r="C266" s="106"/>
      <c r="D266" s="106"/>
      <c r="H266" s="106"/>
      <c r="J266" s="106"/>
      <c r="K266" s="106"/>
      <c r="O266" s="106"/>
    </row>
    <row r="267" spans="3:18" x14ac:dyDescent="0.2">
      <c r="C267" s="106"/>
      <c r="D267" s="106"/>
      <c r="H267" s="106"/>
      <c r="J267" s="106"/>
      <c r="K267" s="106"/>
      <c r="O267" s="106"/>
    </row>
    <row r="268" spans="3:18" x14ac:dyDescent="0.2">
      <c r="C268" s="106"/>
      <c r="D268" s="106"/>
      <c r="H268" s="106"/>
      <c r="J268" s="106"/>
      <c r="K268" s="106"/>
      <c r="O268" s="106"/>
    </row>
    <row r="269" spans="3:18" x14ac:dyDescent="0.2">
      <c r="C269" s="106"/>
      <c r="D269" s="106"/>
      <c r="H269" s="106"/>
      <c r="J269" s="106"/>
      <c r="K269" s="106"/>
      <c r="O269" s="106"/>
    </row>
    <row r="270" spans="3:18" x14ac:dyDescent="0.2">
      <c r="C270" s="106"/>
      <c r="D270" s="106"/>
      <c r="H270" s="106"/>
      <c r="J270" s="106"/>
      <c r="K270" s="106"/>
      <c r="O270" s="106"/>
    </row>
    <row r="271" spans="3:18" x14ac:dyDescent="0.2">
      <c r="C271" s="106"/>
      <c r="D271" s="106"/>
      <c r="H271" s="106"/>
      <c r="J271" s="106"/>
      <c r="K271" s="106"/>
      <c r="O271" s="106"/>
    </row>
    <row r="272" spans="3:18" x14ac:dyDescent="0.2">
      <c r="C272" s="106"/>
      <c r="D272" s="106"/>
      <c r="H272" s="106"/>
      <c r="J272" s="106"/>
      <c r="K272" s="106"/>
      <c r="O272" s="106"/>
    </row>
    <row r="273" spans="3:18" x14ac:dyDescent="0.2">
      <c r="C273" s="106"/>
      <c r="D273" s="106"/>
      <c r="H273" s="106"/>
      <c r="J273" s="106"/>
      <c r="K273" s="106"/>
      <c r="O273" s="106"/>
    </row>
    <row r="274" spans="3:18" x14ac:dyDescent="0.2">
      <c r="C274" s="106"/>
      <c r="D274" s="106"/>
      <c r="H274" s="106"/>
      <c r="J274" s="106"/>
      <c r="K274" s="106"/>
      <c r="O274" s="106"/>
    </row>
    <row r="275" spans="3:18" x14ac:dyDescent="0.2">
      <c r="C275" s="106"/>
      <c r="D275" s="106"/>
      <c r="H275" s="106"/>
      <c r="J275" s="106"/>
      <c r="K275" s="106"/>
      <c r="O275" s="106"/>
    </row>
    <row r="276" spans="3:18" x14ac:dyDescent="0.2">
      <c r="C276" s="106"/>
      <c r="D276" s="106"/>
      <c r="H276" s="106"/>
      <c r="J276" s="106"/>
      <c r="K276" s="106"/>
      <c r="O276" s="106"/>
    </row>
    <row r="277" spans="3:18" x14ac:dyDescent="0.2">
      <c r="C277" s="106"/>
      <c r="D277" s="106"/>
      <c r="H277" s="106"/>
      <c r="J277" s="106"/>
      <c r="K277" s="106"/>
      <c r="O277" s="106"/>
    </row>
    <row r="278" spans="3:18" x14ac:dyDescent="0.2">
      <c r="C278" s="106"/>
      <c r="D278" s="106"/>
      <c r="H278" s="106"/>
      <c r="J278" s="106"/>
      <c r="K278" s="106"/>
      <c r="O278" s="106"/>
    </row>
    <row r="279" spans="3:18" x14ac:dyDescent="0.2">
      <c r="C279" s="106"/>
      <c r="D279" s="106"/>
      <c r="H279" s="106"/>
      <c r="J279" s="106"/>
      <c r="K279" s="106"/>
      <c r="O279" s="106"/>
    </row>
    <row r="280" spans="3:18" x14ac:dyDescent="0.2">
      <c r="C280" s="106"/>
      <c r="D280" s="106"/>
      <c r="H280" s="106"/>
      <c r="J280" s="106"/>
      <c r="K280" s="106"/>
      <c r="O280" s="106"/>
    </row>
    <row r="281" spans="3:18" x14ac:dyDescent="0.2">
      <c r="C281" s="106"/>
      <c r="D281" s="106"/>
      <c r="H281" s="106"/>
      <c r="J281" s="106"/>
      <c r="K281" s="106"/>
      <c r="O281" s="106"/>
      <c r="R281" s="15"/>
    </row>
    <row r="282" spans="3:18" x14ac:dyDescent="0.2">
      <c r="C282" s="106"/>
      <c r="D282" s="106"/>
      <c r="H282" s="106"/>
      <c r="J282" s="106"/>
      <c r="K282" s="106"/>
      <c r="O282" s="106"/>
    </row>
    <row r="283" spans="3:18" x14ac:dyDescent="0.2">
      <c r="C283" s="106"/>
      <c r="D283" s="106"/>
      <c r="H283" s="106"/>
      <c r="J283" s="106"/>
      <c r="K283" s="106"/>
      <c r="O283" s="106"/>
    </row>
    <row r="284" spans="3:18" x14ac:dyDescent="0.2">
      <c r="C284" s="106"/>
      <c r="D284" s="106"/>
      <c r="H284" s="106"/>
      <c r="J284" s="106"/>
      <c r="K284" s="106"/>
      <c r="O284" s="106"/>
    </row>
    <row r="285" spans="3:18" x14ac:dyDescent="0.2">
      <c r="C285" s="106"/>
      <c r="D285" s="106"/>
      <c r="H285" s="106"/>
      <c r="J285" s="106"/>
      <c r="K285" s="106"/>
      <c r="O285" s="106"/>
    </row>
    <row r="286" spans="3:18" x14ac:dyDescent="0.2">
      <c r="C286" s="106"/>
      <c r="D286" s="106"/>
      <c r="H286" s="106"/>
      <c r="J286" s="106"/>
      <c r="K286" s="106"/>
      <c r="O286" s="106"/>
    </row>
    <row r="287" spans="3:18" x14ac:dyDescent="0.2">
      <c r="C287" s="106"/>
      <c r="D287" s="106"/>
      <c r="H287" s="106"/>
      <c r="J287" s="106"/>
      <c r="K287" s="106"/>
      <c r="O287" s="106"/>
    </row>
    <row r="288" spans="3:18" x14ac:dyDescent="0.2">
      <c r="C288" s="106"/>
      <c r="D288" s="106"/>
      <c r="H288" s="106"/>
      <c r="J288" s="106"/>
      <c r="K288" s="106"/>
      <c r="O288" s="106"/>
    </row>
    <row r="289" spans="3:19" x14ac:dyDescent="0.2">
      <c r="C289" s="106"/>
      <c r="D289" s="106"/>
      <c r="H289" s="106"/>
      <c r="J289" s="106"/>
      <c r="K289" s="106"/>
      <c r="O289" s="106"/>
    </row>
    <row r="290" spans="3:19" x14ac:dyDescent="0.2">
      <c r="C290" s="106"/>
      <c r="D290" s="106"/>
      <c r="H290" s="106"/>
      <c r="J290" s="106"/>
      <c r="K290" s="106"/>
      <c r="O290" s="106"/>
    </row>
    <row r="291" spans="3:19" x14ac:dyDescent="0.2">
      <c r="C291" s="106"/>
      <c r="D291" s="106"/>
      <c r="H291" s="106"/>
      <c r="J291" s="106"/>
      <c r="K291" s="106"/>
      <c r="O291" s="106"/>
    </row>
    <row r="292" spans="3:19" x14ac:dyDescent="0.2">
      <c r="C292" s="106"/>
      <c r="D292" s="106"/>
      <c r="H292" s="106"/>
      <c r="J292" s="106"/>
      <c r="K292" s="106"/>
      <c r="O292" s="106"/>
    </row>
    <row r="293" spans="3:19" x14ac:dyDescent="0.2">
      <c r="C293" s="106"/>
      <c r="D293" s="106"/>
      <c r="H293" s="106"/>
      <c r="J293" s="106"/>
      <c r="K293" s="106"/>
      <c r="O293" s="106"/>
    </row>
    <row r="294" spans="3:19" x14ac:dyDescent="0.2">
      <c r="C294" s="106"/>
      <c r="D294" s="106"/>
      <c r="H294" s="106"/>
      <c r="J294" s="106"/>
      <c r="K294" s="106"/>
      <c r="O294" s="106"/>
    </row>
    <row r="295" spans="3:19" x14ac:dyDescent="0.2">
      <c r="C295" s="106"/>
      <c r="D295" s="106"/>
      <c r="H295" s="106"/>
      <c r="J295" s="106"/>
      <c r="K295" s="106"/>
      <c r="O295" s="106"/>
    </row>
    <row r="296" spans="3:19" x14ac:dyDescent="0.2">
      <c r="C296" s="106"/>
      <c r="D296" s="106"/>
      <c r="H296" s="106"/>
      <c r="J296" s="106"/>
      <c r="K296" s="106"/>
      <c r="O296" s="106"/>
      <c r="R296" s="15"/>
    </row>
    <row r="297" spans="3:19" x14ac:dyDescent="0.2">
      <c r="C297" s="106"/>
      <c r="D297" s="106"/>
      <c r="H297" s="106"/>
      <c r="J297" s="106"/>
      <c r="K297" s="106"/>
      <c r="O297" s="106"/>
      <c r="R297" s="15"/>
    </row>
    <row r="298" spans="3:19" x14ac:dyDescent="0.2">
      <c r="C298" s="106"/>
      <c r="D298" s="106"/>
      <c r="H298" s="106"/>
      <c r="J298" s="106"/>
      <c r="K298" s="106"/>
      <c r="O298" s="106"/>
    </row>
    <row r="299" spans="3:19" x14ac:dyDescent="0.2">
      <c r="C299" s="106"/>
      <c r="D299" s="106"/>
      <c r="H299" s="106"/>
      <c r="J299" s="106"/>
      <c r="K299" s="106"/>
      <c r="O299" s="106"/>
    </row>
    <row r="300" spans="3:19" x14ac:dyDescent="0.2">
      <c r="C300" s="106"/>
      <c r="D300" s="106"/>
      <c r="H300" s="106"/>
      <c r="J300" s="106"/>
      <c r="K300" s="106"/>
      <c r="O300" s="106"/>
    </row>
    <row r="301" spans="3:19" x14ac:dyDescent="0.2">
      <c r="C301" s="106"/>
      <c r="D301" s="106"/>
      <c r="H301" s="106"/>
      <c r="J301" s="106"/>
      <c r="K301" s="106"/>
      <c r="O301" s="106"/>
      <c r="S301" s="15"/>
    </row>
    <row r="302" spans="3:19" x14ac:dyDescent="0.2">
      <c r="C302" s="106"/>
      <c r="D302" s="106"/>
      <c r="H302" s="106"/>
      <c r="J302" s="106"/>
      <c r="K302" s="106"/>
      <c r="O302" s="106"/>
    </row>
    <row r="303" spans="3:19" x14ac:dyDescent="0.2">
      <c r="C303" s="106"/>
      <c r="D303" s="106"/>
      <c r="H303" s="106"/>
      <c r="J303" s="106"/>
      <c r="K303" s="106"/>
      <c r="O303" s="106"/>
    </row>
    <row r="304" spans="3:19" x14ac:dyDescent="0.2">
      <c r="C304" s="106"/>
      <c r="D304" s="106"/>
      <c r="H304" s="106"/>
      <c r="J304" s="106"/>
      <c r="K304" s="106"/>
      <c r="O304" s="106"/>
    </row>
    <row r="305" spans="3:19" x14ac:dyDescent="0.2">
      <c r="C305" s="106"/>
      <c r="D305" s="106"/>
      <c r="H305" s="106"/>
      <c r="J305" s="106"/>
      <c r="K305" s="106"/>
      <c r="O305" s="106"/>
    </row>
    <row r="306" spans="3:19" x14ac:dyDescent="0.2">
      <c r="C306" s="106"/>
      <c r="D306" s="106"/>
      <c r="H306" s="106"/>
      <c r="J306" s="106"/>
      <c r="K306" s="106"/>
      <c r="O306" s="106"/>
      <c r="S306" s="15"/>
    </row>
    <row r="307" spans="3:19" x14ac:dyDescent="0.2">
      <c r="C307" s="106"/>
      <c r="D307" s="106"/>
      <c r="H307" s="106"/>
      <c r="J307" s="106"/>
      <c r="K307" s="106"/>
      <c r="O307" s="106"/>
    </row>
    <row r="308" spans="3:19" x14ac:dyDescent="0.2">
      <c r="C308" s="106"/>
      <c r="D308" s="106"/>
      <c r="H308" s="106"/>
      <c r="J308" s="106"/>
      <c r="K308" s="106"/>
      <c r="O308" s="106"/>
    </row>
    <row r="309" spans="3:19" x14ac:dyDescent="0.2">
      <c r="C309" s="106"/>
      <c r="D309" s="106"/>
      <c r="H309" s="106"/>
      <c r="J309" s="106"/>
      <c r="K309" s="106"/>
      <c r="O309" s="106"/>
    </row>
    <row r="310" spans="3:19" x14ac:dyDescent="0.2">
      <c r="C310" s="106"/>
      <c r="D310" s="106"/>
      <c r="H310" s="106"/>
      <c r="J310" s="106"/>
      <c r="K310" s="106"/>
      <c r="O310" s="106"/>
    </row>
    <row r="311" spans="3:19" x14ac:dyDescent="0.2">
      <c r="C311" s="106"/>
      <c r="D311" s="106"/>
      <c r="H311" s="106"/>
      <c r="J311" s="106"/>
      <c r="K311" s="106"/>
      <c r="O311" s="106"/>
    </row>
    <row r="312" spans="3:19" x14ac:dyDescent="0.2">
      <c r="C312" s="106"/>
      <c r="D312" s="106"/>
      <c r="H312" s="106"/>
      <c r="J312" s="106"/>
      <c r="K312" s="106"/>
      <c r="O312" s="106"/>
    </row>
    <row r="313" spans="3:19" x14ac:dyDescent="0.2">
      <c r="C313" s="106"/>
      <c r="D313" s="106"/>
      <c r="H313" s="106"/>
      <c r="J313" s="106"/>
      <c r="K313" s="106"/>
      <c r="O313" s="106"/>
    </row>
    <row r="314" spans="3:19" x14ac:dyDescent="0.2">
      <c r="C314" s="106"/>
      <c r="D314" s="106"/>
      <c r="H314" s="106"/>
      <c r="J314" s="106"/>
      <c r="K314" s="106"/>
      <c r="O314" s="106"/>
    </row>
    <row r="315" spans="3:19" x14ac:dyDescent="0.2">
      <c r="C315" s="106"/>
      <c r="D315" s="106"/>
      <c r="H315" s="106"/>
      <c r="J315" s="106"/>
      <c r="K315" s="106"/>
      <c r="O315" s="106"/>
    </row>
    <row r="316" spans="3:19" x14ac:dyDescent="0.2">
      <c r="C316" s="106"/>
      <c r="D316" s="106"/>
      <c r="H316" s="106"/>
      <c r="J316" s="106"/>
      <c r="K316" s="106"/>
      <c r="O316" s="106"/>
    </row>
    <row r="317" spans="3:19" x14ac:dyDescent="0.2">
      <c r="C317" s="106"/>
      <c r="D317" s="106"/>
      <c r="H317" s="106"/>
      <c r="J317" s="106"/>
      <c r="K317" s="106"/>
      <c r="O317" s="106"/>
    </row>
    <row r="318" spans="3:19" x14ac:dyDescent="0.2">
      <c r="C318" s="106"/>
      <c r="D318" s="106"/>
      <c r="H318" s="106"/>
      <c r="J318" s="106"/>
      <c r="K318" s="106"/>
      <c r="O318" s="106"/>
    </row>
    <row r="319" spans="3:19" x14ac:dyDescent="0.2">
      <c r="C319" s="106"/>
      <c r="D319" s="106"/>
      <c r="H319" s="106"/>
      <c r="J319" s="106"/>
      <c r="K319" s="106"/>
      <c r="O319" s="106"/>
    </row>
    <row r="320" spans="3:19" x14ac:dyDescent="0.2">
      <c r="C320" s="106"/>
      <c r="D320" s="106"/>
      <c r="H320" s="106"/>
      <c r="J320" s="106"/>
      <c r="K320" s="106"/>
      <c r="O320" s="106"/>
    </row>
    <row r="321" spans="3:18" x14ac:dyDescent="0.2">
      <c r="C321" s="106"/>
      <c r="D321" s="106"/>
      <c r="H321" s="106"/>
      <c r="J321" s="106"/>
      <c r="K321" s="106"/>
      <c r="O321" s="106"/>
      <c r="R321" s="15"/>
    </row>
    <row r="322" spans="3:18" x14ac:dyDescent="0.2">
      <c r="C322" s="106"/>
      <c r="D322" s="106"/>
      <c r="H322" s="106"/>
      <c r="J322" s="106"/>
      <c r="K322" s="106"/>
      <c r="O322" s="106"/>
    </row>
    <row r="323" spans="3:18" x14ac:dyDescent="0.2">
      <c r="C323" s="106"/>
      <c r="D323" s="106"/>
      <c r="H323" s="106"/>
      <c r="J323" s="106"/>
      <c r="K323" s="106"/>
      <c r="O323" s="106"/>
    </row>
    <row r="324" spans="3:18" x14ac:dyDescent="0.2">
      <c r="C324" s="106"/>
      <c r="D324" s="106"/>
      <c r="H324" s="106"/>
      <c r="J324" s="106"/>
      <c r="K324" s="106"/>
      <c r="O324" s="106"/>
    </row>
    <row r="325" spans="3:18" x14ac:dyDescent="0.2">
      <c r="C325" s="106"/>
      <c r="D325" s="106"/>
      <c r="H325" s="106"/>
      <c r="J325" s="106"/>
      <c r="K325" s="106"/>
      <c r="O325" s="106"/>
    </row>
    <row r="326" spans="3:18" x14ac:dyDescent="0.2">
      <c r="C326" s="106"/>
      <c r="D326" s="106"/>
      <c r="H326" s="106"/>
      <c r="J326" s="106"/>
      <c r="K326" s="106"/>
      <c r="O326" s="106"/>
    </row>
    <row r="327" spans="3:18" x14ac:dyDescent="0.2">
      <c r="C327" s="106"/>
      <c r="D327" s="106"/>
      <c r="H327" s="106"/>
      <c r="J327" s="106"/>
      <c r="K327" s="106"/>
      <c r="O327" s="106"/>
    </row>
    <row r="328" spans="3:18" x14ac:dyDescent="0.2">
      <c r="C328" s="106"/>
      <c r="D328" s="106"/>
      <c r="H328" s="106"/>
      <c r="J328" s="106"/>
      <c r="K328" s="106"/>
      <c r="O328" s="106"/>
    </row>
    <row r="329" spans="3:18" x14ac:dyDescent="0.2">
      <c r="C329" s="106"/>
      <c r="D329" s="106"/>
      <c r="H329" s="106"/>
      <c r="J329" s="106"/>
      <c r="K329" s="106"/>
      <c r="O329" s="106"/>
    </row>
    <row r="330" spans="3:18" x14ac:dyDescent="0.2">
      <c r="C330" s="106"/>
      <c r="D330" s="106"/>
      <c r="H330" s="106"/>
      <c r="J330" s="106"/>
      <c r="K330" s="106"/>
      <c r="O330" s="106"/>
    </row>
    <row r="331" spans="3:18" x14ac:dyDescent="0.2">
      <c r="C331" s="106"/>
      <c r="D331" s="106"/>
      <c r="H331" s="106"/>
      <c r="J331" s="106"/>
      <c r="K331" s="106"/>
      <c r="O331" s="106"/>
    </row>
    <row r="332" spans="3:18" x14ac:dyDescent="0.2">
      <c r="C332" s="106"/>
      <c r="D332" s="106"/>
      <c r="H332" s="106"/>
      <c r="J332" s="106"/>
      <c r="K332" s="106"/>
      <c r="O332" s="106"/>
    </row>
    <row r="333" spans="3:18" x14ac:dyDescent="0.2">
      <c r="C333" s="106"/>
      <c r="D333" s="106"/>
      <c r="H333" s="106"/>
      <c r="J333" s="106"/>
      <c r="K333" s="106"/>
      <c r="O333" s="106"/>
    </row>
    <row r="334" spans="3:18" x14ac:dyDescent="0.2">
      <c r="C334" s="106"/>
      <c r="D334" s="106"/>
      <c r="H334" s="106"/>
      <c r="J334" s="106"/>
      <c r="K334" s="106"/>
      <c r="O334" s="106"/>
    </row>
    <row r="335" spans="3:18" x14ac:dyDescent="0.2">
      <c r="C335" s="106"/>
      <c r="D335" s="106"/>
      <c r="H335" s="106"/>
      <c r="J335" s="106"/>
      <c r="K335" s="106"/>
      <c r="O335" s="106"/>
    </row>
    <row r="336" spans="3:18" x14ac:dyDescent="0.2">
      <c r="C336" s="106"/>
      <c r="D336" s="106"/>
      <c r="H336" s="106"/>
      <c r="J336" s="106"/>
      <c r="K336" s="106"/>
      <c r="O336" s="106"/>
      <c r="R336" s="15"/>
    </row>
    <row r="337" spans="3:18" x14ac:dyDescent="0.2">
      <c r="C337" s="106"/>
      <c r="D337" s="106"/>
      <c r="H337" s="106"/>
      <c r="J337" s="106"/>
      <c r="K337" s="106"/>
      <c r="O337" s="106"/>
    </row>
    <row r="338" spans="3:18" x14ac:dyDescent="0.2">
      <c r="C338" s="106"/>
      <c r="D338" s="106"/>
      <c r="H338" s="106"/>
      <c r="J338" s="106"/>
      <c r="K338" s="106"/>
      <c r="O338" s="106"/>
    </row>
    <row r="339" spans="3:18" x14ac:dyDescent="0.2">
      <c r="C339" s="106"/>
      <c r="D339" s="106"/>
      <c r="H339" s="106"/>
      <c r="J339" s="106"/>
      <c r="K339" s="106"/>
      <c r="O339" s="106"/>
    </row>
    <row r="340" spans="3:18" x14ac:dyDescent="0.2">
      <c r="C340" s="106"/>
      <c r="D340" s="106"/>
      <c r="H340" s="106"/>
      <c r="J340" s="106"/>
      <c r="K340" s="106"/>
      <c r="O340" s="106"/>
    </row>
    <row r="341" spans="3:18" x14ac:dyDescent="0.2">
      <c r="C341" s="106"/>
      <c r="D341" s="106"/>
      <c r="H341" s="106"/>
      <c r="J341" s="106"/>
      <c r="K341" s="106"/>
      <c r="O341" s="106"/>
      <c r="R341" s="15"/>
    </row>
    <row r="342" spans="3:18" x14ac:dyDescent="0.2">
      <c r="C342" s="106"/>
      <c r="D342" s="106"/>
      <c r="H342" s="106"/>
      <c r="J342" s="106"/>
      <c r="K342" s="106"/>
      <c r="O342" s="106"/>
    </row>
    <row r="343" spans="3:18" x14ac:dyDescent="0.2">
      <c r="C343" s="106"/>
      <c r="D343" s="106"/>
      <c r="H343" s="106"/>
      <c r="J343" s="106"/>
      <c r="K343" s="106"/>
      <c r="O343" s="106"/>
    </row>
    <row r="344" spans="3:18" x14ac:dyDescent="0.2">
      <c r="C344" s="106"/>
      <c r="D344" s="106"/>
      <c r="H344" s="106"/>
      <c r="J344" s="106"/>
      <c r="K344" s="106"/>
      <c r="O344" s="106"/>
    </row>
    <row r="345" spans="3:18" x14ac:dyDescent="0.2">
      <c r="C345" s="106"/>
      <c r="D345" s="106"/>
      <c r="H345" s="106"/>
      <c r="J345" s="106"/>
      <c r="K345" s="106"/>
      <c r="O345" s="106"/>
    </row>
    <row r="346" spans="3:18" x14ac:dyDescent="0.2">
      <c r="C346" s="106"/>
      <c r="D346" s="106"/>
      <c r="H346" s="106"/>
      <c r="J346" s="106"/>
      <c r="K346" s="106"/>
      <c r="O346" s="106"/>
    </row>
    <row r="347" spans="3:18" x14ac:dyDescent="0.2">
      <c r="C347" s="106"/>
      <c r="D347" s="106"/>
      <c r="H347" s="106"/>
      <c r="J347" s="106"/>
      <c r="K347" s="106"/>
      <c r="O347" s="106"/>
    </row>
    <row r="348" spans="3:18" x14ac:dyDescent="0.2">
      <c r="C348" s="106"/>
      <c r="D348" s="106"/>
      <c r="H348" s="106"/>
      <c r="J348" s="106"/>
      <c r="K348" s="106"/>
      <c r="O348" s="106"/>
    </row>
    <row r="349" spans="3:18" x14ac:dyDescent="0.2">
      <c r="C349" s="106"/>
      <c r="D349" s="106"/>
      <c r="H349" s="106"/>
      <c r="J349" s="106"/>
      <c r="K349" s="106"/>
      <c r="O349" s="106"/>
    </row>
    <row r="350" spans="3:18" x14ac:dyDescent="0.2">
      <c r="C350" s="106"/>
      <c r="D350" s="106"/>
      <c r="H350" s="106"/>
      <c r="J350" s="106"/>
      <c r="K350" s="106"/>
      <c r="O350" s="106"/>
    </row>
    <row r="351" spans="3:18" x14ac:dyDescent="0.2">
      <c r="C351" s="106"/>
      <c r="D351" s="106"/>
      <c r="H351" s="106"/>
      <c r="J351" s="106"/>
      <c r="K351" s="106"/>
      <c r="O351" s="106"/>
    </row>
    <row r="352" spans="3:18" x14ac:dyDescent="0.2">
      <c r="C352" s="106"/>
      <c r="D352" s="106"/>
      <c r="H352" s="106"/>
      <c r="J352" s="106"/>
      <c r="K352" s="106"/>
      <c r="O352" s="106"/>
    </row>
    <row r="353" spans="3:15" x14ac:dyDescent="0.2">
      <c r="C353" s="106"/>
      <c r="D353" s="106"/>
      <c r="H353" s="106"/>
      <c r="J353" s="106"/>
      <c r="K353" s="106"/>
      <c r="O353" s="106"/>
    </row>
    <row r="354" spans="3:15" x14ac:dyDescent="0.2">
      <c r="C354" s="106"/>
      <c r="D354" s="106"/>
      <c r="H354" s="106"/>
      <c r="J354" s="106"/>
      <c r="K354" s="106"/>
      <c r="O354" s="106"/>
    </row>
    <row r="355" spans="3:15" x14ac:dyDescent="0.2">
      <c r="C355" s="106"/>
      <c r="D355" s="106"/>
      <c r="H355" s="106"/>
      <c r="J355" s="106"/>
      <c r="K355" s="106"/>
      <c r="O355" s="106"/>
    </row>
    <row r="356" spans="3:15" x14ac:dyDescent="0.2">
      <c r="C356" s="106"/>
      <c r="D356" s="106"/>
      <c r="H356" s="106"/>
      <c r="J356" s="106"/>
      <c r="K356" s="106"/>
      <c r="O356" s="106"/>
    </row>
    <row r="357" spans="3:15" x14ac:dyDescent="0.2">
      <c r="C357" s="106"/>
      <c r="D357" s="106"/>
      <c r="H357" s="106"/>
      <c r="J357" s="106"/>
      <c r="K357" s="106"/>
      <c r="O357" s="106"/>
    </row>
    <row r="358" spans="3:15" x14ac:dyDescent="0.2">
      <c r="C358" s="106"/>
      <c r="D358" s="106"/>
      <c r="H358" s="106"/>
      <c r="J358" s="106"/>
      <c r="K358" s="106"/>
      <c r="O358" s="106"/>
    </row>
    <row r="359" spans="3:15" x14ac:dyDescent="0.2">
      <c r="C359" s="106"/>
      <c r="D359" s="106"/>
      <c r="H359" s="106"/>
      <c r="J359" s="106"/>
      <c r="K359" s="106"/>
      <c r="O359" s="106"/>
    </row>
    <row r="360" spans="3:15" x14ac:dyDescent="0.2">
      <c r="C360" s="106"/>
      <c r="D360" s="106"/>
      <c r="H360" s="106"/>
      <c r="J360" s="106"/>
      <c r="K360" s="106"/>
      <c r="O360" s="106"/>
    </row>
    <row r="361" spans="3:15" x14ac:dyDescent="0.2">
      <c r="C361" s="106"/>
      <c r="D361" s="106"/>
      <c r="H361" s="106"/>
      <c r="J361" s="106"/>
      <c r="K361" s="106"/>
      <c r="O361" s="106"/>
    </row>
    <row r="362" spans="3:15" x14ac:dyDescent="0.2">
      <c r="C362" s="106"/>
      <c r="D362" s="106"/>
      <c r="H362" s="106"/>
      <c r="J362" s="106"/>
      <c r="K362" s="106"/>
      <c r="O362" s="106"/>
    </row>
    <row r="363" spans="3:15" x14ac:dyDescent="0.2">
      <c r="C363" s="106"/>
      <c r="D363" s="106"/>
      <c r="H363" s="106"/>
      <c r="J363" s="106"/>
      <c r="K363" s="106"/>
      <c r="O363" s="106"/>
    </row>
    <row r="364" spans="3:15" x14ac:dyDescent="0.2">
      <c r="C364" s="106"/>
      <c r="D364" s="106"/>
      <c r="H364" s="106"/>
      <c r="J364" s="106"/>
      <c r="K364" s="106"/>
      <c r="O364" s="106"/>
    </row>
    <row r="365" spans="3:15" x14ac:dyDescent="0.2">
      <c r="C365" s="106"/>
      <c r="D365" s="106"/>
      <c r="H365" s="106"/>
      <c r="J365" s="106"/>
      <c r="K365" s="106"/>
      <c r="O365" s="106"/>
    </row>
    <row r="366" spans="3:15" x14ac:dyDescent="0.2">
      <c r="C366" s="106"/>
      <c r="D366" s="106"/>
      <c r="H366" s="106"/>
      <c r="J366" s="106"/>
      <c r="K366" s="106"/>
      <c r="O366" s="106"/>
    </row>
    <row r="367" spans="3:15" x14ac:dyDescent="0.2">
      <c r="C367" s="106"/>
      <c r="D367" s="106"/>
      <c r="H367" s="106"/>
      <c r="J367" s="106"/>
      <c r="K367" s="106"/>
      <c r="O367" s="106"/>
    </row>
    <row r="368" spans="3:15" x14ac:dyDescent="0.2">
      <c r="C368" s="106"/>
      <c r="D368" s="106"/>
      <c r="H368" s="106"/>
      <c r="J368" s="106"/>
      <c r="K368" s="106"/>
      <c r="O368" s="106"/>
    </row>
    <row r="369" spans="3:19" x14ac:dyDescent="0.2">
      <c r="C369" s="106"/>
      <c r="D369" s="106"/>
      <c r="H369" s="106"/>
      <c r="J369" s="106"/>
      <c r="K369" s="106"/>
      <c r="O369" s="106"/>
    </row>
    <row r="370" spans="3:19" x14ac:dyDescent="0.2">
      <c r="C370" s="106"/>
      <c r="D370" s="106"/>
      <c r="H370" s="106"/>
      <c r="J370" s="106"/>
      <c r="K370" s="106"/>
      <c r="O370" s="106"/>
    </row>
    <row r="371" spans="3:19" x14ac:dyDescent="0.2">
      <c r="C371" s="106"/>
      <c r="D371" s="106"/>
      <c r="H371" s="106"/>
      <c r="J371" s="106"/>
      <c r="K371" s="106"/>
      <c r="O371" s="106"/>
    </row>
    <row r="372" spans="3:19" x14ac:dyDescent="0.2">
      <c r="C372" s="106"/>
      <c r="D372" s="106"/>
      <c r="H372" s="106"/>
      <c r="J372" s="106"/>
      <c r="K372" s="106"/>
      <c r="O372" s="106"/>
    </row>
    <row r="373" spans="3:19" x14ac:dyDescent="0.2">
      <c r="C373" s="106"/>
      <c r="D373" s="106"/>
      <c r="H373" s="106"/>
      <c r="J373" s="106"/>
      <c r="K373" s="106"/>
      <c r="O373" s="106"/>
    </row>
    <row r="374" spans="3:19" x14ac:dyDescent="0.2">
      <c r="C374" s="106"/>
      <c r="D374" s="106"/>
      <c r="H374" s="106"/>
      <c r="J374" s="106"/>
      <c r="K374" s="106"/>
      <c r="O374" s="106"/>
    </row>
    <row r="375" spans="3:19" x14ac:dyDescent="0.2">
      <c r="C375" s="106"/>
      <c r="D375" s="106"/>
      <c r="H375" s="106"/>
      <c r="J375" s="106"/>
      <c r="K375" s="106"/>
      <c r="O375" s="106"/>
    </row>
    <row r="376" spans="3:19" x14ac:dyDescent="0.2">
      <c r="C376" s="106"/>
      <c r="D376" s="106"/>
      <c r="H376" s="106"/>
      <c r="J376" s="106"/>
      <c r="K376" s="106"/>
      <c r="O376" s="106"/>
    </row>
    <row r="377" spans="3:19" x14ac:dyDescent="0.2">
      <c r="C377" s="106"/>
      <c r="D377" s="106"/>
      <c r="H377" s="106"/>
      <c r="J377" s="106"/>
      <c r="K377" s="106"/>
      <c r="O377" s="106"/>
      <c r="S377" s="15"/>
    </row>
    <row r="378" spans="3:19" x14ac:dyDescent="0.2">
      <c r="C378" s="106"/>
      <c r="D378" s="106"/>
      <c r="H378" s="106"/>
      <c r="J378" s="106"/>
      <c r="K378" s="106"/>
      <c r="O378" s="106"/>
    </row>
    <row r="379" spans="3:19" x14ac:dyDescent="0.2">
      <c r="C379" s="106"/>
      <c r="D379" s="106"/>
      <c r="H379" s="106"/>
      <c r="J379" s="106"/>
      <c r="K379" s="106"/>
      <c r="O379" s="106"/>
      <c r="R379" s="15"/>
    </row>
    <row r="380" spans="3:19" x14ac:dyDescent="0.2">
      <c r="C380" s="106"/>
      <c r="D380" s="106"/>
      <c r="H380" s="106"/>
      <c r="J380" s="106"/>
      <c r="K380" s="106"/>
      <c r="O380" s="106"/>
    </row>
    <row r="381" spans="3:19" x14ac:dyDescent="0.2">
      <c r="C381" s="106"/>
      <c r="D381" s="106"/>
      <c r="H381" s="106"/>
      <c r="J381" s="106"/>
      <c r="K381" s="106"/>
      <c r="O381" s="106"/>
    </row>
    <row r="382" spans="3:19" x14ac:dyDescent="0.2">
      <c r="C382" s="106"/>
      <c r="D382" s="106"/>
      <c r="H382" s="106"/>
      <c r="J382" s="106"/>
      <c r="K382" s="106"/>
      <c r="O382" s="106"/>
    </row>
    <row r="383" spans="3:19" x14ac:dyDescent="0.2">
      <c r="C383" s="106"/>
      <c r="D383" s="106"/>
      <c r="H383" s="106"/>
      <c r="J383" s="106"/>
      <c r="K383" s="106"/>
      <c r="O383" s="106"/>
    </row>
    <row r="384" spans="3:19" x14ac:dyDescent="0.2">
      <c r="C384" s="106"/>
      <c r="D384" s="106"/>
      <c r="H384" s="106"/>
      <c r="J384" s="106"/>
      <c r="K384" s="106"/>
      <c r="O384" s="106"/>
    </row>
    <row r="385" spans="3:19" x14ac:dyDescent="0.2">
      <c r="C385" s="106"/>
      <c r="D385" s="106"/>
      <c r="H385" s="106"/>
      <c r="J385" s="106"/>
      <c r="K385" s="106"/>
      <c r="O385" s="106"/>
    </row>
    <row r="386" spans="3:19" x14ac:dyDescent="0.2">
      <c r="C386" s="106"/>
      <c r="D386" s="106"/>
      <c r="H386" s="106"/>
      <c r="J386" s="106"/>
      <c r="K386" s="106"/>
      <c r="O386" s="106"/>
    </row>
    <row r="387" spans="3:19" x14ac:dyDescent="0.2">
      <c r="C387" s="106"/>
      <c r="D387" s="106"/>
      <c r="H387" s="106"/>
      <c r="J387" s="106"/>
      <c r="K387" s="106"/>
      <c r="O387" s="106"/>
    </row>
    <row r="388" spans="3:19" x14ac:dyDescent="0.2">
      <c r="C388" s="106"/>
      <c r="D388" s="106"/>
      <c r="H388" s="106"/>
      <c r="J388" s="106"/>
      <c r="K388" s="106"/>
      <c r="O388" s="106"/>
    </row>
    <row r="389" spans="3:19" x14ac:dyDescent="0.2">
      <c r="C389" s="106"/>
      <c r="D389" s="106"/>
      <c r="H389" s="106"/>
      <c r="J389" s="106"/>
      <c r="K389" s="106"/>
      <c r="O389" s="106"/>
    </row>
    <row r="390" spans="3:19" x14ac:dyDescent="0.2">
      <c r="C390" s="106"/>
      <c r="D390" s="106"/>
      <c r="H390" s="106"/>
      <c r="J390" s="106"/>
      <c r="K390" s="106"/>
      <c r="O390" s="106"/>
      <c r="R390" s="15"/>
    </row>
    <row r="391" spans="3:19" x14ac:dyDescent="0.2">
      <c r="C391" s="106"/>
      <c r="D391" s="106"/>
      <c r="H391" s="106"/>
      <c r="J391" s="106"/>
      <c r="K391" s="106"/>
      <c r="O391" s="106"/>
    </row>
    <row r="392" spans="3:19" x14ac:dyDescent="0.2">
      <c r="C392" s="106"/>
      <c r="D392" s="106"/>
      <c r="H392" s="106"/>
      <c r="J392" s="106"/>
      <c r="K392" s="106"/>
      <c r="O392" s="106"/>
    </row>
    <row r="393" spans="3:19" x14ac:dyDescent="0.2">
      <c r="C393" s="106"/>
      <c r="D393" s="106"/>
      <c r="H393" s="106"/>
      <c r="J393" s="106"/>
      <c r="K393" s="106"/>
      <c r="O393" s="106"/>
    </row>
    <row r="394" spans="3:19" x14ac:dyDescent="0.2">
      <c r="C394" s="106"/>
      <c r="D394" s="106"/>
      <c r="H394" s="106"/>
      <c r="J394" s="106"/>
      <c r="K394" s="106"/>
      <c r="O394" s="106"/>
    </row>
    <row r="395" spans="3:19" x14ac:dyDescent="0.2">
      <c r="C395" s="106"/>
      <c r="D395" s="106"/>
      <c r="H395" s="106"/>
      <c r="J395" s="106"/>
      <c r="K395" s="106"/>
      <c r="O395" s="106"/>
    </row>
    <row r="396" spans="3:19" x14ac:dyDescent="0.2">
      <c r="C396" s="106"/>
      <c r="D396" s="106"/>
      <c r="H396" s="106"/>
      <c r="J396" s="106"/>
      <c r="K396" s="106"/>
      <c r="O396" s="106"/>
    </row>
    <row r="397" spans="3:19" x14ac:dyDescent="0.2">
      <c r="C397" s="106"/>
      <c r="D397" s="106"/>
      <c r="H397" s="106"/>
      <c r="J397" s="106"/>
      <c r="K397" s="106"/>
      <c r="O397" s="106"/>
    </row>
    <row r="398" spans="3:19" x14ac:dyDescent="0.2">
      <c r="C398" s="106"/>
      <c r="D398" s="106"/>
      <c r="H398" s="106"/>
      <c r="J398" s="106"/>
      <c r="K398" s="106"/>
      <c r="O398" s="106"/>
      <c r="S398" s="15"/>
    </row>
    <row r="399" spans="3:19" x14ac:dyDescent="0.2">
      <c r="C399" s="106"/>
      <c r="D399" s="106"/>
      <c r="H399" s="106"/>
      <c r="J399" s="106"/>
      <c r="K399" s="106"/>
      <c r="O399" s="106"/>
    </row>
    <row r="400" spans="3:19" x14ac:dyDescent="0.2">
      <c r="C400" s="106"/>
      <c r="D400" s="106"/>
      <c r="H400" s="106"/>
      <c r="J400" s="106"/>
      <c r="K400" s="106"/>
      <c r="O400" s="106"/>
    </row>
    <row r="401" spans="3:15" x14ac:dyDescent="0.2">
      <c r="C401" s="106"/>
      <c r="D401" s="106"/>
      <c r="H401" s="106"/>
      <c r="J401" s="106"/>
      <c r="K401" s="106"/>
      <c r="O401" s="106"/>
    </row>
    <row r="402" spans="3:15" x14ac:dyDescent="0.2">
      <c r="C402" s="106"/>
      <c r="D402" s="106"/>
      <c r="H402" s="106"/>
      <c r="J402" s="106"/>
      <c r="K402" s="106"/>
      <c r="O402" s="106"/>
    </row>
    <row r="403" spans="3:15" x14ac:dyDescent="0.2">
      <c r="C403" s="106"/>
      <c r="D403" s="106"/>
      <c r="H403" s="106"/>
      <c r="J403" s="106"/>
      <c r="K403" s="106"/>
      <c r="O403" s="106"/>
    </row>
    <row r="404" spans="3:15" x14ac:dyDescent="0.2">
      <c r="C404" s="106"/>
      <c r="D404" s="106"/>
      <c r="H404" s="106"/>
      <c r="J404" s="106"/>
      <c r="K404" s="106"/>
      <c r="O404" s="106"/>
    </row>
    <row r="405" spans="3:15" x14ac:dyDescent="0.2">
      <c r="C405" s="106"/>
      <c r="D405" s="106"/>
      <c r="H405" s="106"/>
      <c r="J405" s="106"/>
      <c r="K405" s="106"/>
      <c r="O405" s="106"/>
    </row>
    <row r="406" spans="3:15" x14ac:dyDescent="0.2">
      <c r="C406" s="106"/>
      <c r="D406" s="106"/>
      <c r="H406" s="106"/>
      <c r="J406" s="106"/>
      <c r="K406" s="106"/>
      <c r="O406" s="106"/>
    </row>
    <row r="407" spans="3:15" x14ac:dyDescent="0.2">
      <c r="C407" s="106"/>
      <c r="D407" s="106"/>
      <c r="H407" s="106"/>
      <c r="J407" s="106"/>
      <c r="K407" s="106"/>
      <c r="O407" s="106"/>
    </row>
    <row r="408" spans="3:15" x14ac:dyDescent="0.2">
      <c r="C408" s="106"/>
      <c r="D408" s="106"/>
      <c r="H408" s="106"/>
      <c r="J408" s="106"/>
      <c r="K408" s="106"/>
      <c r="O408" s="106"/>
    </row>
    <row r="409" spans="3:15" x14ac:dyDescent="0.2">
      <c r="C409" s="106"/>
      <c r="D409" s="106"/>
      <c r="H409" s="106"/>
      <c r="J409" s="106"/>
      <c r="K409" s="106"/>
      <c r="O409" s="106"/>
    </row>
    <row r="410" spans="3:15" x14ac:dyDescent="0.2">
      <c r="C410" s="106"/>
      <c r="D410" s="106"/>
      <c r="H410" s="106"/>
      <c r="J410" s="106"/>
      <c r="K410" s="106"/>
      <c r="O410" s="106"/>
    </row>
    <row r="411" spans="3:15" x14ac:dyDescent="0.2">
      <c r="C411" s="106"/>
      <c r="D411" s="106"/>
      <c r="H411" s="106"/>
      <c r="J411" s="106"/>
      <c r="K411" s="106"/>
      <c r="O411" s="106"/>
    </row>
    <row r="412" spans="3:15" x14ac:dyDescent="0.2">
      <c r="C412" s="106"/>
      <c r="D412" s="106"/>
      <c r="H412" s="106"/>
      <c r="J412" s="106"/>
      <c r="K412" s="106"/>
      <c r="O412" s="106"/>
    </row>
    <row r="413" spans="3:15" x14ac:dyDescent="0.2">
      <c r="C413" s="106"/>
      <c r="D413" s="106"/>
      <c r="H413" s="106"/>
      <c r="J413" s="106"/>
      <c r="K413" s="106"/>
      <c r="O413" s="106"/>
    </row>
    <row r="414" spans="3:15" x14ac:dyDescent="0.2">
      <c r="C414" s="106"/>
      <c r="D414" s="106"/>
      <c r="H414" s="106"/>
      <c r="J414" s="106"/>
      <c r="K414" s="106"/>
      <c r="O414" s="106"/>
    </row>
    <row r="415" spans="3:15" x14ac:dyDescent="0.2">
      <c r="C415" s="106"/>
      <c r="D415" s="106"/>
      <c r="H415" s="106"/>
      <c r="J415" s="106"/>
      <c r="K415" s="106"/>
      <c r="O415" s="106"/>
    </row>
    <row r="416" spans="3:15" x14ac:dyDescent="0.2">
      <c r="C416" s="106"/>
      <c r="D416" s="106"/>
      <c r="H416" s="106"/>
      <c r="J416" s="106"/>
      <c r="K416" s="106"/>
      <c r="O416" s="106"/>
    </row>
    <row r="417" spans="3:15" x14ac:dyDescent="0.2">
      <c r="C417" s="106"/>
      <c r="D417" s="106"/>
      <c r="H417" s="106"/>
      <c r="J417" s="106"/>
      <c r="K417" s="106"/>
      <c r="O417" s="106"/>
    </row>
    <row r="418" spans="3:15" x14ac:dyDescent="0.2">
      <c r="C418" s="106"/>
      <c r="D418" s="106"/>
      <c r="H418" s="106"/>
      <c r="J418" s="106"/>
      <c r="K418" s="106"/>
      <c r="O418" s="106"/>
    </row>
    <row r="419" spans="3:15" x14ac:dyDescent="0.2">
      <c r="C419" s="106"/>
      <c r="D419" s="106"/>
      <c r="H419" s="106"/>
      <c r="J419" s="106"/>
      <c r="K419" s="106"/>
      <c r="O419" s="106"/>
    </row>
    <row r="420" spans="3:15" x14ac:dyDescent="0.2">
      <c r="C420" s="106"/>
      <c r="D420" s="106"/>
      <c r="H420" s="106"/>
      <c r="J420" s="106"/>
      <c r="K420" s="106"/>
      <c r="O420" s="106"/>
    </row>
    <row r="421" spans="3:15" x14ac:dyDescent="0.2">
      <c r="C421" s="106"/>
      <c r="D421" s="106"/>
      <c r="H421" s="106"/>
      <c r="J421" s="106"/>
      <c r="K421" s="106"/>
      <c r="O421" s="106"/>
    </row>
    <row r="422" spans="3:15" x14ac:dyDescent="0.2">
      <c r="C422" s="106"/>
      <c r="D422" s="106"/>
      <c r="H422" s="106"/>
      <c r="J422" s="106"/>
      <c r="K422" s="106"/>
      <c r="O422" s="106"/>
    </row>
    <row r="423" spans="3:15" x14ac:dyDescent="0.2">
      <c r="C423" s="106"/>
      <c r="D423" s="106"/>
      <c r="H423" s="106"/>
      <c r="J423" s="106"/>
      <c r="K423" s="106"/>
      <c r="O423" s="106"/>
    </row>
    <row r="424" spans="3:15" x14ac:dyDescent="0.2">
      <c r="C424" s="106"/>
      <c r="D424" s="106"/>
      <c r="H424" s="106"/>
      <c r="J424" s="106"/>
      <c r="K424" s="106"/>
      <c r="O424" s="106"/>
    </row>
    <row r="425" spans="3:15" x14ac:dyDescent="0.2">
      <c r="C425" s="106"/>
      <c r="D425" s="106"/>
      <c r="H425" s="106"/>
      <c r="J425" s="106"/>
      <c r="K425" s="106"/>
      <c r="O425" s="106"/>
    </row>
    <row r="426" spans="3:15" x14ac:dyDescent="0.2">
      <c r="C426" s="106"/>
      <c r="D426" s="106"/>
      <c r="H426" s="106"/>
      <c r="J426" s="106"/>
      <c r="K426" s="106"/>
      <c r="O426" s="106"/>
    </row>
    <row r="427" spans="3:15" x14ac:dyDescent="0.2">
      <c r="C427" s="106"/>
      <c r="D427" s="106"/>
      <c r="H427" s="106"/>
      <c r="J427" s="106"/>
      <c r="K427" s="106"/>
      <c r="O427" s="106"/>
    </row>
    <row r="428" spans="3:15" x14ac:dyDescent="0.2">
      <c r="C428" s="106"/>
      <c r="D428" s="106"/>
      <c r="H428" s="106"/>
      <c r="J428" s="106"/>
      <c r="K428" s="106"/>
      <c r="O428" s="106"/>
    </row>
    <row r="429" spans="3:15" x14ac:dyDescent="0.2">
      <c r="C429" s="106"/>
      <c r="D429" s="106"/>
      <c r="H429" s="106"/>
      <c r="J429" s="106"/>
      <c r="K429" s="106"/>
      <c r="O429" s="106"/>
    </row>
    <row r="430" spans="3:15" x14ac:dyDescent="0.2">
      <c r="C430" s="106"/>
      <c r="D430" s="106"/>
      <c r="H430" s="106"/>
      <c r="J430" s="106"/>
      <c r="K430" s="106"/>
      <c r="O430" s="106"/>
    </row>
    <row r="431" spans="3:15" x14ac:dyDescent="0.2">
      <c r="C431" s="106"/>
      <c r="D431" s="106"/>
      <c r="H431" s="106"/>
      <c r="J431" s="106"/>
      <c r="K431" s="106"/>
      <c r="O431" s="106"/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J798"/>
  <sheetViews>
    <sheetView showGridLines="0" zoomScaleNormal="100" workbookViewId="0">
      <selection activeCell="C3" sqref="C2:C3"/>
    </sheetView>
  </sheetViews>
  <sheetFormatPr defaultRowHeight="14.25" x14ac:dyDescent="0.2"/>
  <cols>
    <col min="5" max="5" width="7" customWidth="1"/>
    <col min="8" max="8" width="26.5" customWidth="1"/>
  </cols>
  <sheetData>
    <row r="1" spans="1:10" x14ac:dyDescent="0.2">
      <c r="A1" s="106" t="s">
        <v>268</v>
      </c>
      <c r="B1" s="106" t="s">
        <v>269</v>
      </c>
      <c r="C1" s="106" t="s">
        <v>270</v>
      </c>
      <c r="D1" s="106" t="s">
        <v>271</v>
      </c>
      <c r="E1" s="106" t="s">
        <v>272</v>
      </c>
      <c r="F1" s="106" t="s">
        <v>273</v>
      </c>
      <c r="G1" s="106" t="s">
        <v>274</v>
      </c>
      <c r="H1" s="106" t="s">
        <v>275</v>
      </c>
      <c r="I1" s="106" t="s">
        <v>276</v>
      </c>
    </row>
    <row r="2" spans="1:10" x14ac:dyDescent="0.2">
      <c r="A2" s="106" t="s">
        <v>1780</v>
      </c>
      <c r="B2" s="106" t="s">
        <v>277</v>
      </c>
      <c r="C2" s="106" t="s">
        <v>289</v>
      </c>
      <c r="D2" s="106" t="s">
        <v>279</v>
      </c>
      <c r="E2" s="106">
        <v>3160</v>
      </c>
      <c r="F2" s="106" t="s">
        <v>700</v>
      </c>
      <c r="G2" s="106" t="s">
        <v>280</v>
      </c>
      <c r="H2" s="106" t="s">
        <v>286</v>
      </c>
      <c r="I2" s="106">
        <v>89</v>
      </c>
    </row>
    <row r="3" spans="1:10" x14ac:dyDescent="0.2">
      <c r="A3" s="106" t="s">
        <v>1780</v>
      </c>
      <c r="B3" s="106" t="s">
        <v>277</v>
      </c>
      <c r="C3" s="106" t="s">
        <v>278</v>
      </c>
      <c r="D3" s="106" t="s">
        <v>283</v>
      </c>
      <c r="E3">
        <v>3333</v>
      </c>
      <c r="F3" s="106" t="s">
        <v>1781</v>
      </c>
      <c r="G3" s="106" t="s">
        <v>280</v>
      </c>
      <c r="H3" s="106" t="s">
        <v>290</v>
      </c>
      <c r="I3">
        <v>348</v>
      </c>
    </row>
    <row r="4" spans="1:10" x14ac:dyDescent="0.2">
      <c r="A4" s="106" t="s">
        <v>768</v>
      </c>
      <c r="B4" s="106" t="s">
        <v>277</v>
      </c>
      <c r="C4" s="106" t="s">
        <v>278</v>
      </c>
      <c r="D4" s="106" t="s">
        <v>279</v>
      </c>
      <c r="E4">
        <v>2925</v>
      </c>
      <c r="F4" s="106" t="s">
        <v>1782</v>
      </c>
      <c r="G4" s="106" t="s">
        <v>280</v>
      </c>
      <c r="H4" s="106" t="s">
        <v>281</v>
      </c>
      <c r="I4">
        <v>193</v>
      </c>
    </row>
    <row r="5" spans="1:10" x14ac:dyDescent="0.2">
      <c r="A5" s="106" t="s">
        <v>768</v>
      </c>
      <c r="B5" s="106" t="s">
        <v>277</v>
      </c>
      <c r="C5" s="106" t="s">
        <v>282</v>
      </c>
      <c r="D5" s="106" t="s">
        <v>283</v>
      </c>
      <c r="E5">
        <v>3174</v>
      </c>
      <c r="F5" s="106" t="s">
        <v>1783</v>
      </c>
      <c r="G5" s="106" t="s">
        <v>284</v>
      </c>
      <c r="H5" s="106" t="s">
        <v>290</v>
      </c>
      <c r="I5">
        <v>26</v>
      </c>
    </row>
    <row r="6" spans="1:10" x14ac:dyDescent="0.2">
      <c r="A6" s="106" t="s">
        <v>768</v>
      </c>
      <c r="B6" s="106" t="s">
        <v>277</v>
      </c>
      <c r="C6" s="106" t="s">
        <v>282</v>
      </c>
      <c r="D6" s="106" t="s">
        <v>283</v>
      </c>
      <c r="E6">
        <v>6196</v>
      </c>
      <c r="F6" s="106" t="s">
        <v>1784</v>
      </c>
      <c r="G6" s="106" t="s">
        <v>280</v>
      </c>
      <c r="H6" s="106" t="s">
        <v>285</v>
      </c>
      <c r="I6">
        <v>864</v>
      </c>
    </row>
    <row r="7" spans="1:10" x14ac:dyDescent="0.2">
      <c r="A7" s="106" t="s">
        <v>768</v>
      </c>
      <c r="B7" s="106" t="s">
        <v>277</v>
      </c>
      <c r="C7" s="106" t="s">
        <v>278</v>
      </c>
      <c r="D7" s="106" t="s">
        <v>279</v>
      </c>
      <c r="E7">
        <v>8227</v>
      </c>
      <c r="F7" s="106" t="s">
        <v>704</v>
      </c>
      <c r="G7" s="106" t="s">
        <v>280</v>
      </c>
      <c r="H7" s="106" t="s">
        <v>290</v>
      </c>
      <c r="I7" s="106" t="s">
        <v>364</v>
      </c>
      <c r="J7" s="106" t="s">
        <v>2343</v>
      </c>
    </row>
    <row r="8" spans="1:10" x14ac:dyDescent="0.2">
      <c r="A8" s="106" t="s">
        <v>340</v>
      </c>
      <c r="B8" s="106" t="s">
        <v>304</v>
      </c>
      <c r="C8" s="106" t="s">
        <v>287</v>
      </c>
      <c r="D8" s="106" t="s">
        <v>279</v>
      </c>
      <c r="E8">
        <v>7965</v>
      </c>
      <c r="F8" s="106" t="s">
        <v>719</v>
      </c>
      <c r="G8" s="106" t="s">
        <v>280</v>
      </c>
      <c r="H8" s="106" t="s">
        <v>305</v>
      </c>
      <c r="I8" s="106" t="s">
        <v>311</v>
      </c>
      <c r="J8" s="106" t="s">
        <v>2344</v>
      </c>
    </row>
    <row r="9" spans="1:10" x14ac:dyDescent="0.2">
      <c r="A9" s="106" t="s">
        <v>340</v>
      </c>
      <c r="B9" s="106" t="s">
        <v>277</v>
      </c>
      <c r="C9" s="106" t="s">
        <v>282</v>
      </c>
      <c r="D9" s="106" t="s">
        <v>279</v>
      </c>
      <c r="E9">
        <v>3035</v>
      </c>
      <c r="F9" s="106" t="s">
        <v>341</v>
      </c>
      <c r="G9" s="106" t="s">
        <v>284</v>
      </c>
      <c r="H9" s="106" t="s">
        <v>286</v>
      </c>
      <c r="I9" s="106">
        <v>23</v>
      </c>
      <c r="J9" s="106"/>
    </row>
    <row r="10" spans="1:10" x14ac:dyDescent="0.2">
      <c r="A10" s="106" t="s">
        <v>340</v>
      </c>
      <c r="B10" s="106" t="s">
        <v>277</v>
      </c>
      <c r="C10" s="106" t="s">
        <v>278</v>
      </c>
      <c r="D10" s="106" t="s">
        <v>279</v>
      </c>
      <c r="E10">
        <v>7624</v>
      </c>
      <c r="F10" s="106" t="s">
        <v>342</v>
      </c>
      <c r="G10" s="106" t="s">
        <v>284</v>
      </c>
      <c r="H10" s="106" t="s">
        <v>286</v>
      </c>
      <c r="I10" s="106">
        <v>125</v>
      </c>
      <c r="J10" s="106"/>
    </row>
    <row r="11" spans="1:10" x14ac:dyDescent="0.2">
      <c r="A11" s="106" t="s">
        <v>340</v>
      </c>
      <c r="B11" s="106" t="s">
        <v>277</v>
      </c>
      <c r="C11" s="106" t="s">
        <v>278</v>
      </c>
      <c r="D11" s="106" t="s">
        <v>279</v>
      </c>
      <c r="E11">
        <v>7630</v>
      </c>
      <c r="F11" s="106" t="s">
        <v>701</v>
      </c>
      <c r="G11" s="106" t="s">
        <v>280</v>
      </c>
      <c r="H11" s="106" t="s">
        <v>290</v>
      </c>
      <c r="I11" t="s">
        <v>311</v>
      </c>
      <c r="J11" t="s">
        <v>2345</v>
      </c>
    </row>
    <row r="12" spans="1:10" x14ac:dyDescent="0.2">
      <c r="A12" s="106" t="s">
        <v>340</v>
      </c>
      <c r="B12" s="106" t="s">
        <v>277</v>
      </c>
      <c r="C12" s="106" t="s">
        <v>278</v>
      </c>
      <c r="D12" s="106" t="s">
        <v>279</v>
      </c>
      <c r="E12">
        <v>8251</v>
      </c>
      <c r="F12" s="106" t="s">
        <v>1785</v>
      </c>
      <c r="G12" s="106" t="s">
        <v>280</v>
      </c>
      <c r="H12" s="106" t="s">
        <v>290</v>
      </c>
      <c r="I12" t="s">
        <v>311</v>
      </c>
      <c r="J12" t="s">
        <v>2346</v>
      </c>
    </row>
    <row r="13" spans="1:10" x14ac:dyDescent="0.2">
      <c r="A13" s="106" t="s">
        <v>343</v>
      </c>
      <c r="B13" s="106" t="s">
        <v>344</v>
      </c>
      <c r="C13" s="106" t="s">
        <v>289</v>
      </c>
      <c r="D13" s="106" t="s">
        <v>279</v>
      </c>
      <c r="E13">
        <v>3321</v>
      </c>
      <c r="F13" s="106" t="s">
        <v>1786</v>
      </c>
      <c r="G13" s="106" t="s">
        <v>280</v>
      </c>
      <c r="H13" s="106" t="s">
        <v>286</v>
      </c>
      <c r="I13" s="106">
        <v>60</v>
      </c>
      <c r="J13" s="106"/>
    </row>
    <row r="14" spans="1:10" x14ac:dyDescent="0.2">
      <c r="A14" s="106" t="s">
        <v>343</v>
      </c>
      <c r="B14" s="106" t="s">
        <v>344</v>
      </c>
      <c r="C14" s="106" t="s">
        <v>287</v>
      </c>
      <c r="D14" s="106" t="s">
        <v>279</v>
      </c>
      <c r="E14">
        <v>6664</v>
      </c>
      <c r="F14" s="106" t="s">
        <v>345</v>
      </c>
      <c r="G14" s="106" t="s">
        <v>284</v>
      </c>
      <c r="H14" s="106" t="s">
        <v>305</v>
      </c>
      <c r="I14" s="106">
        <v>43</v>
      </c>
      <c r="J14" s="106"/>
    </row>
    <row r="15" spans="1:10" x14ac:dyDescent="0.2">
      <c r="A15" s="106" t="s">
        <v>343</v>
      </c>
      <c r="B15" s="106" t="s">
        <v>344</v>
      </c>
      <c r="C15" s="106" t="s">
        <v>278</v>
      </c>
      <c r="D15" s="106" t="s">
        <v>283</v>
      </c>
      <c r="E15">
        <v>7611</v>
      </c>
      <c r="F15" s="106" t="s">
        <v>346</v>
      </c>
      <c r="G15" s="106" t="s">
        <v>280</v>
      </c>
      <c r="H15" s="106" t="s">
        <v>290</v>
      </c>
      <c r="I15">
        <v>834</v>
      </c>
    </row>
    <row r="16" spans="1:10" x14ac:dyDescent="0.2">
      <c r="A16" s="106" t="s">
        <v>343</v>
      </c>
      <c r="B16" s="106" t="s">
        <v>277</v>
      </c>
      <c r="C16" s="106" t="s">
        <v>278</v>
      </c>
      <c r="D16" s="106" t="s">
        <v>279</v>
      </c>
      <c r="E16">
        <v>2354</v>
      </c>
      <c r="F16" s="106" t="s">
        <v>699</v>
      </c>
      <c r="G16" s="106" t="s">
        <v>288</v>
      </c>
      <c r="H16" s="106" t="s">
        <v>291</v>
      </c>
      <c r="I16" s="106">
        <v>103</v>
      </c>
      <c r="J16" s="106"/>
    </row>
    <row r="17" spans="1:10" x14ac:dyDescent="0.2">
      <c r="A17" s="106" t="s">
        <v>343</v>
      </c>
      <c r="B17" s="106" t="s">
        <v>277</v>
      </c>
      <c r="C17" s="106" t="s">
        <v>282</v>
      </c>
      <c r="D17" s="106" t="s">
        <v>279</v>
      </c>
      <c r="E17">
        <v>2484</v>
      </c>
      <c r="F17" s="106" t="s">
        <v>1787</v>
      </c>
      <c r="G17" s="106" t="s">
        <v>284</v>
      </c>
      <c r="H17" s="106" t="s">
        <v>291</v>
      </c>
      <c r="I17" s="106">
        <v>481</v>
      </c>
      <c r="J17" s="106"/>
    </row>
    <row r="18" spans="1:10" x14ac:dyDescent="0.2">
      <c r="A18" s="106" t="s">
        <v>343</v>
      </c>
      <c r="B18" s="106" t="s">
        <v>277</v>
      </c>
      <c r="C18" s="106" t="s">
        <v>278</v>
      </c>
      <c r="D18" s="106" t="s">
        <v>279</v>
      </c>
      <c r="E18">
        <v>2778</v>
      </c>
      <c r="F18" s="106" t="s">
        <v>1788</v>
      </c>
      <c r="G18" s="106" t="s">
        <v>288</v>
      </c>
      <c r="H18" s="106" t="s">
        <v>290</v>
      </c>
      <c r="I18">
        <v>38</v>
      </c>
    </row>
    <row r="19" spans="1:10" x14ac:dyDescent="0.2">
      <c r="A19" s="106" t="s">
        <v>343</v>
      </c>
      <c r="B19" s="106" t="s">
        <v>277</v>
      </c>
      <c r="C19" s="106" t="s">
        <v>278</v>
      </c>
      <c r="D19" s="106" t="s">
        <v>279</v>
      </c>
      <c r="E19">
        <v>3086</v>
      </c>
      <c r="F19" s="106" t="s">
        <v>1789</v>
      </c>
      <c r="G19" s="106" t="s">
        <v>280</v>
      </c>
      <c r="H19" s="106" t="s">
        <v>290</v>
      </c>
      <c r="I19" t="s">
        <v>364</v>
      </c>
      <c r="J19" t="s">
        <v>2347</v>
      </c>
    </row>
    <row r="20" spans="1:10" x14ac:dyDescent="0.2">
      <c r="A20" s="106" t="s">
        <v>343</v>
      </c>
      <c r="B20" s="106" t="s">
        <v>277</v>
      </c>
      <c r="C20" s="106" t="s">
        <v>289</v>
      </c>
      <c r="D20" s="106" t="s">
        <v>279</v>
      </c>
      <c r="E20">
        <v>4465</v>
      </c>
      <c r="F20" s="106" t="s">
        <v>1790</v>
      </c>
      <c r="G20" s="106" t="s">
        <v>280</v>
      </c>
      <c r="H20" s="106" t="s">
        <v>293</v>
      </c>
      <c r="I20">
        <v>107</v>
      </c>
    </row>
    <row r="21" spans="1:10" x14ac:dyDescent="0.2">
      <c r="A21" s="106" t="s">
        <v>343</v>
      </c>
      <c r="B21" s="106" t="s">
        <v>277</v>
      </c>
      <c r="C21" s="106" t="s">
        <v>289</v>
      </c>
      <c r="D21" s="106" t="s">
        <v>279</v>
      </c>
      <c r="E21">
        <v>4825</v>
      </c>
      <c r="F21" s="106" t="s">
        <v>1791</v>
      </c>
      <c r="G21" s="106" t="s">
        <v>280</v>
      </c>
      <c r="H21" s="106" t="s">
        <v>291</v>
      </c>
      <c r="I21" s="106">
        <v>411</v>
      </c>
      <c r="J21" s="106"/>
    </row>
    <row r="22" spans="1:10" x14ac:dyDescent="0.2">
      <c r="A22" s="106" t="s">
        <v>343</v>
      </c>
      <c r="B22" s="106" t="s">
        <v>277</v>
      </c>
      <c r="C22" s="106" t="s">
        <v>278</v>
      </c>
      <c r="D22" s="106" t="s">
        <v>279</v>
      </c>
      <c r="E22">
        <v>6279</v>
      </c>
      <c r="F22" s="106" t="s">
        <v>347</v>
      </c>
      <c r="G22" s="106" t="s">
        <v>288</v>
      </c>
      <c r="H22" s="106" t="s">
        <v>301</v>
      </c>
      <c r="I22" s="106">
        <v>274</v>
      </c>
      <c r="J22" s="106"/>
    </row>
    <row r="23" spans="1:10" x14ac:dyDescent="0.2">
      <c r="A23" s="106" t="s">
        <v>343</v>
      </c>
      <c r="B23" s="106" t="s">
        <v>277</v>
      </c>
      <c r="C23" s="106" t="s">
        <v>282</v>
      </c>
      <c r="D23" s="106" t="s">
        <v>279</v>
      </c>
      <c r="E23">
        <v>7447</v>
      </c>
      <c r="F23" s="106" t="s">
        <v>1792</v>
      </c>
      <c r="G23" s="106" t="s">
        <v>280</v>
      </c>
      <c r="H23" s="106" t="s">
        <v>286</v>
      </c>
      <c r="I23">
        <v>985</v>
      </c>
    </row>
    <row r="24" spans="1:10" x14ac:dyDescent="0.2">
      <c r="A24" s="106" t="s">
        <v>343</v>
      </c>
      <c r="B24" s="106" t="s">
        <v>277</v>
      </c>
      <c r="C24" s="106" t="s">
        <v>278</v>
      </c>
      <c r="D24" s="106" t="s">
        <v>279</v>
      </c>
      <c r="E24">
        <v>7649</v>
      </c>
      <c r="F24" s="106" t="s">
        <v>1793</v>
      </c>
      <c r="G24" s="106" t="s">
        <v>280</v>
      </c>
      <c r="H24" s="106" t="s">
        <v>290</v>
      </c>
      <c r="I24" s="106" t="s">
        <v>364</v>
      </c>
      <c r="J24" s="106" t="s">
        <v>2348</v>
      </c>
    </row>
    <row r="25" spans="1:10" x14ac:dyDescent="0.2">
      <c r="A25" s="106" t="s">
        <v>343</v>
      </c>
      <c r="B25" s="106" t="s">
        <v>277</v>
      </c>
      <c r="C25" s="106" t="s">
        <v>289</v>
      </c>
      <c r="D25" s="106" t="s">
        <v>279</v>
      </c>
      <c r="E25">
        <v>7921</v>
      </c>
      <c r="F25" s="106" t="s">
        <v>769</v>
      </c>
      <c r="G25" s="106" t="s">
        <v>280</v>
      </c>
      <c r="H25" s="106" t="s">
        <v>302</v>
      </c>
      <c r="I25" s="106">
        <v>226</v>
      </c>
      <c r="J25" s="106"/>
    </row>
    <row r="26" spans="1:10" x14ac:dyDescent="0.2">
      <c r="A26" s="106" t="s">
        <v>343</v>
      </c>
      <c r="B26" s="106" t="s">
        <v>277</v>
      </c>
      <c r="C26" s="106" t="s">
        <v>278</v>
      </c>
      <c r="D26" s="106" t="s">
        <v>279</v>
      </c>
      <c r="E26">
        <v>8217</v>
      </c>
      <c r="F26" s="106" t="s">
        <v>703</v>
      </c>
      <c r="G26" s="106" t="s">
        <v>280</v>
      </c>
      <c r="H26" s="106" t="s">
        <v>290</v>
      </c>
      <c r="I26" s="106">
        <v>636</v>
      </c>
      <c r="J26" s="106"/>
    </row>
    <row r="27" spans="1:10" x14ac:dyDescent="0.2">
      <c r="A27" s="106" t="s">
        <v>343</v>
      </c>
      <c r="B27" s="106" t="s">
        <v>277</v>
      </c>
      <c r="C27" s="106" t="s">
        <v>278</v>
      </c>
      <c r="D27" s="106" t="s">
        <v>279</v>
      </c>
      <c r="E27">
        <v>8233</v>
      </c>
      <c r="F27" s="106" t="s">
        <v>1794</v>
      </c>
      <c r="G27" s="106" t="s">
        <v>280</v>
      </c>
      <c r="H27" s="106" t="s">
        <v>290</v>
      </c>
      <c r="I27" t="s">
        <v>303</v>
      </c>
      <c r="J27" t="s">
        <v>2124</v>
      </c>
    </row>
    <row r="28" spans="1:10" x14ac:dyDescent="0.2">
      <c r="A28" s="106" t="s">
        <v>343</v>
      </c>
      <c r="B28" s="106" t="s">
        <v>277</v>
      </c>
      <c r="C28" s="106" t="s">
        <v>278</v>
      </c>
      <c r="D28" s="106" t="s">
        <v>279</v>
      </c>
      <c r="E28">
        <v>8276</v>
      </c>
      <c r="F28" s="106" t="s">
        <v>1795</v>
      </c>
      <c r="G28" s="106" t="s">
        <v>280</v>
      </c>
      <c r="H28" s="106" t="s">
        <v>290</v>
      </c>
      <c r="I28" t="s">
        <v>311</v>
      </c>
      <c r="J28" t="s">
        <v>2349</v>
      </c>
    </row>
    <row r="29" spans="1:10" x14ac:dyDescent="0.2">
      <c r="A29" s="106" t="s">
        <v>343</v>
      </c>
      <c r="B29" s="106" t="s">
        <v>277</v>
      </c>
      <c r="C29" s="106" t="s">
        <v>278</v>
      </c>
      <c r="D29" s="106" t="s">
        <v>283</v>
      </c>
      <c r="E29">
        <v>9976</v>
      </c>
      <c r="F29" s="106" t="s">
        <v>1796</v>
      </c>
      <c r="G29" s="106" t="s">
        <v>284</v>
      </c>
      <c r="H29" s="106" t="s">
        <v>290</v>
      </c>
      <c r="I29" s="106">
        <v>69</v>
      </c>
      <c r="J29" s="106"/>
    </row>
    <row r="30" spans="1:10" x14ac:dyDescent="0.2">
      <c r="A30" s="106" t="s">
        <v>343</v>
      </c>
      <c r="B30" s="106" t="s">
        <v>277</v>
      </c>
      <c r="C30" s="106" t="s">
        <v>278</v>
      </c>
      <c r="D30" s="106" t="s">
        <v>279</v>
      </c>
      <c r="E30">
        <v>9982</v>
      </c>
      <c r="F30" s="106" t="s">
        <v>349</v>
      </c>
      <c r="G30" s="106" t="s">
        <v>280</v>
      </c>
      <c r="H30" s="106" t="s">
        <v>286</v>
      </c>
      <c r="I30" s="106">
        <v>188</v>
      </c>
      <c r="J30" s="106"/>
    </row>
    <row r="31" spans="1:10" x14ac:dyDescent="0.2">
      <c r="A31" s="106" t="s">
        <v>350</v>
      </c>
      <c r="B31" s="106" t="s">
        <v>277</v>
      </c>
      <c r="C31" s="106" t="s">
        <v>278</v>
      </c>
      <c r="D31" s="106" t="s">
        <v>279</v>
      </c>
      <c r="E31">
        <v>2186</v>
      </c>
      <c r="F31" s="106" t="s">
        <v>351</v>
      </c>
      <c r="G31" s="106" t="s">
        <v>284</v>
      </c>
      <c r="H31" s="106" t="s">
        <v>285</v>
      </c>
      <c r="I31">
        <v>107</v>
      </c>
    </row>
    <row r="32" spans="1:10" x14ac:dyDescent="0.2">
      <c r="A32" s="106" t="s">
        <v>350</v>
      </c>
      <c r="B32" s="106" t="s">
        <v>277</v>
      </c>
      <c r="C32" s="106" t="s">
        <v>278</v>
      </c>
      <c r="D32" s="106" t="s">
        <v>279</v>
      </c>
      <c r="E32">
        <v>2685</v>
      </c>
      <c r="F32" s="106" t="s">
        <v>352</v>
      </c>
      <c r="G32" s="106" t="s">
        <v>280</v>
      </c>
      <c r="H32" s="106" t="s">
        <v>290</v>
      </c>
      <c r="I32" t="s">
        <v>311</v>
      </c>
      <c r="J32" t="s">
        <v>1797</v>
      </c>
    </row>
    <row r="33" spans="1:10" x14ac:dyDescent="0.2">
      <c r="A33" s="106" t="s">
        <v>350</v>
      </c>
      <c r="B33" s="106" t="s">
        <v>277</v>
      </c>
      <c r="C33" s="106" t="s">
        <v>278</v>
      </c>
      <c r="D33" s="106" t="s">
        <v>283</v>
      </c>
      <c r="E33">
        <v>2742</v>
      </c>
      <c r="F33" s="106" t="s">
        <v>1798</v>
      </c>
      <c r="G33" s="106" t="s">
        <v>280</v>
      </c>
      <c r="H33" s="106" t="s">
        <v>290</v>
      </c>
      <c r="I33" s="106">
        <v>549</v>
      </c>
      <c r="J33" s="106"/>
    </row>
    <row r="34" spans="1:10" x14ac:dyDescent="0.2">
      <c r="A34" s="106" t="s">
        <v>350</v>
      </c>
      <c r="B34" s="106" t="s">
        <v>277</v>
      </c>
      <c r="C34" s="106" t="s">
        <v>289</v>
      </c>
      <c r="D34" s="106" t="s">
        <v>279</v>
      </c>
      <c r="E34">
        <v>2761</v>
      </c>
      <c r="F34" s="106" t="s">
        <v>1799</v>
      </c>
      <c r="G34" s="106" t="s">
        <v>284</v>
      </c>
      <c r="H34" s="106" t="s">
        <v>286</v>
      </c>
      <c r="I34" s="106">
        <v>787</v>
      </c>
      <c r="J34" s="106"/>
    </row>
    <row r="35" spans="1:10" x14ac:dyDescent="0.2">
      <c r="A35" s="106" t="s">
        <v>350</v>
      </c>
      <c r="B35" s="106" t="s">
        <v>277</v>
      </c>
      <c r="C35" s="106" t="s">
        <v>278</v>
      </c>
      <c r="D35" s="106" t="s">
        <v>279</v>
      </c>
      <c r="E35">
        <v>3050</v>
      </c>
      <c r="F35" s="106" t="s">
        <v>1800</v>
      </c>
      <c r="G35" s="106" t="s">
        <v>280</v>
      </c>
      <c r="H35" s="106" t="s">
        <v>290</v>
      </c>
      <c r="I35" t="s">
        <v>311</v>
      </c>
      <c r="J35" t="s">
        <v>2350</v>
      </c>
    </row>
    <row r="36" spans="1:10" x14ac:dyDescent="0.2">
      <c r="A36" s="106" t="s">
        <v>350</v>
      </c>
      <c r="B36" s="106" t="s">
        <v>277</v>
      </c>
      <c r="C36" s="106" t="s">
        <v>287</v>
      </c>
      <c r="D36" s="106" t="s">
        <v>279</v>
      </c>
      <c r="E36">
        <v>3089</v>
      </c>
      <c r="F36" s="106" t="s">
        <v>1801</v>
      </c>
      <c r="G36" s="106" t="s">
        <v>284</v>
      </c>
      <c r="H36" s="106" t="s">
        <v>286</v>
      </c>
      <c r="I36">
        <v>25</v>
      </c>
    </row>
    <row r="37" spans="1:10" x14ac:dyDescent="0.2">
      <c r="A37" s="106" t="s">
        <v>350</v>
      </c>
      <c r="B37" s="106" t="s">
        <v>277</v>
      </c>
      <c r="C37" s="106" t="s">
        <v>278</v>
      </c>
      <c r="D37" s="106" t="s">
        <v>279</v>
      </c>
      <c r="E37">
        <v>3919</v>
      </c>
      <c r="F37" s="106" t="s">
        <v>353</v>
      </c>
      <c r="G37" s="106" t="s">
        <v>280</v>
      </c>
      <c r="H37" s="106" t="s">
        <v>291</v>
      </c>
      <c r="I37" s="106">
        <v>154</v>
      </c>
      <c r="J37" s="106"/>
    </row>
    <row r="38" spans="1:10" x14ac:dyDescent="0.2">
      <c r="A38" s="106" t="s">
        <v>350</v>
      </c>
      <c r="B38" s="106" t="s">
        <v>277</v>
      </c>
      <c r="C38" s="106" t="s">
        <v>289</v>
      </c>
      <c r="D38" s="106" t="s">
        <v>279</v>
      </c>
      <c r="E38">
        <v>6083</v>
      </c>
      <c r="F38" s="106" t="s">
        <v>1802</v>
      </c>
      <c r="G38" s="106" t="s">
        <v>280</v>
      </c>
      <c r="H38" s="106" t="s">
        <v>285</v>
      </c>
      <c r="I38">
        <v>61</v>
      </c>
    </row>
    <row r="39" spans="1:10" x14ac:dyDescent="0.2">
      <c r="A39" s="106" t="s">
        <v>350</v>
      </c>
      <c r="B39" s="106" t="s">
        <v>277</v>
      </c>
      <c r="C39" s="106" t="s">
        <v>282</v>
      </c>
      <c r="D39" s="106" t="s">
        <v>279</v>
      </c>
      <c r="E39">
        <v>7514</v>
      </c>
      <c r="F39" s="106" t="s">
        <v>720</v>
      </c>
      <c r="G39" s="106" t="s">
        <v>280</v>
      </c>
      <c r="H39" s="106" t="s">
        <v>290</v>
      </c>
      <c r="I39">
        <v>103</v>
      </c>
    </row>
    <row r="40" spans="1:10" x14ac:dyDescent="0.2">
      <c r="A40" s="106" t="s">
        <v>350</v>
      </c>
      <c r="B40" s="106" t="s">
        <v>277</v>
      </c>
      <c r="C40" s="106" t="s">
        <v>278</v>
      </c>
      <c r="D40" s="106" t="s">
        <v>283</v>
      </c>
      <c r="E40">
        <v>8166</v>
      </c>
      <c r="F40" s="106" t="s">
        <v>1803</v>
      </c>
      <c r="G40" s="106" t="s">
        <v>280</v>
      </c>
      <c r="H40" s="106" t="s">
        <v>290</v>
      </c>
      <c r="I40">
        <v>46</v>
      </c>
    </row>
    <row r="41" spans="1:10" x14ac:dyDescent="0.2">
      <c r="A41" s="106" t="s">
        <v>350</v>
      </c>
      <c r="B41" s="106" t="s">
        <v>277</v>
      </c>
      <c r="C41" s="106" t="s">
        <v>278</v>
      </c>
      <c r="D41" s="106" t="s">
        <v>283</v>
      </c>
      <c r="E41">
        <v>8168</v>
      </c>
      <c r="F41" s="106" t="s">
        <v>1804</v>
      </c>
      <c r="G41" s="106" t="s">
        <v>280</v>
      </c>
      <c r="H41" s="106" t="s">
        <v>290</v>
      </c>
      <c r="I41">
        <v>362</v>
      </c>
    </row>
    <row r="42" spans="1:10" x14ac:dyDescent="0.2">
      <c r="A42" s="106" t="s">
        <v>350</v>
      </c>
      <c r="B42" s="106" t="s">
        <v>277</v>
      </c>
      <c r="C42" s="106" t="s">
        <v>289</v>
      </c>
      <c r="D42" s="106" t="s">
        <v>279</v>
      </c>
      <c r="E42">
        <v>9651</v>
      </c>
      <c r="F42" s="106" t="s">
        <v>354</v>
      </c>
      <c r="G42" s="106" t="s">
        <v>284</v>
      </c>
      <c r="H42" s="106" t="s">
        <v>291</v>
      </c>
      <c r="I42">
        <v>101</v>
      </c>
    </row>
    <row r="43" spans="1:10" x14ac:dyDescent="0.2">
      <c r="A43" s="106" t="s">
        <v>350</v>
      </c>
      <c r="B43" s="106" t="s">
        <v>277</v>
      </c>
      <c r="C43" s="106" t="s">
        <v>278</v>
      </c>
      <c r="D43" s="106" t="s">
        <v>279</v>
      </c>
      <c r="E43">
        <v>9843</v>
      </c>
      <c r="F43" s="106" t="s">
        <v>1805</v>
      </c>
      <c r="G43" s="106" t="s">
        <v>280</v>
      </c>
      <c r="H43" s="106" t="s">
        <v>290</v>
      </c>
      <c r="I43" t="s">
        <v>2236</v>
      </c>
      <c r="J43" t="s">
        <v>2351</v>
      </c>
    </row>
    <row r="44" spans="1:10" x14ac:dyDescent="0.2">
      <c r="A44" s="106" t="s">
        <v>350</v>
      </c>
      <c r="B44" s="106" t="s">
        <v>277</v>
      </c>
      <c r="C44" s="106" t="s">
        <v>287</v>
      </c>
      <c r="D44" s="106" t="s">
        <v>279</v>
      </c>
      <c r="E44">
        <v>9872</v>
      </c>
      <c r="F44" s="106" t="s">
        <v>1806</v>
      </c>
      <c r="G44" s="106" t="s">
        <v>280</v>
      </c>
      <c r="H44" s="106" t="s">
        <v>286</v>
      </c>
      <c r="I44">
        <v>97</v>
      </c>
    </row>
    <row r="45" spans="1:10" x14ac:dyDescent="0.2">
      <c r="A45" s="106" t="s">
        <v>355</v>
      </c>
      <c r="B45" s="106" t="s">
        <v>277</v>
      </c>
      <c r="C45" s="106" t="s">
        <v>289</v>
      </c>
      <c r="D45" s="106" t="s">
        <v>279</v>
      </c>
      <c r="E45">
        <v>1376</v>
      </c>
      <c r="F45" s="106" t="s">
        <v>1807</v>
      </c>
      <c r="G45" s="106" t="s">
        <v>280</v>
      </c>
      <c r="H45" s="106" t="s">
        <v>328</v>
      </c>
      <c r="I45" s="106">
        <v>175</v>
      </c>
      <c r="J45" s="106"/>
    </row>
    <row r="46" spans="1:10" x14ac:dyDescent="0.2">
      <c r="A46" s="106" t="s">
        <v>355</v>
      </c>
      <c r="B46" s="106" t="s">
        <v>277</v>
      </c>
      <c r="C46" s="106" t="s">
        <v>278</v>
      </c>
      <c r="D46" s="106" t="s">
        <v>279</v>
      </c>
      <c r="E46">
        <v>1712</v>
      </c>
      <c r="F46" s="106" t="s">
        <v>356</v>
      </c>
      <c r="G46" s="106" t="s">
        <v>280</v>
      </c>
      <c r="H46" s="106" t="s">
        <v>307</v>
      </c>
      <c r="I46">
        <v>175</v>
      </c>
    </row>
    <row r="47" spans="1:10" x14ac:dyDescent="0.2">
      <c r="A47" s="106" t="s">
        <v>355</v>
      </c>
      <c r="B47" s="106" t="s">
        <v>277</v>
      </c>
      <c r="C47" s="106" t="s">
        <v>278</v>
      </c>
      <c r="D47" s="106" t="s">
        <v>279</v>
      </c>
      <c r="E47">
        <v>2305</v>
      </c>
      <c r="F47" s="106" t="s">
        <v>1808</v>
      </c>
      <c r="G47" s="106" t="s">
        <v>280</v>
      </c>
      <c r="H47" s="106" t="s">
        <v>285</v>
      </c>
      <c r="I47">
        <v>328</v>
      </c>
    </row>
    <row r="48" spans="1:10" x14ac:dyDescent="0.2">
      <c r="A48" s="106" t="s">
        <v>355</v>
      </c>
      <c r="B48" s="106" t="s">
        <v>277</v>
      </c>
      <c r="C48" s="106" t="s">
        <v>282</v>
      </c>
      <c r="D48" s="106" t="s">
        <v>283</v>
      </c>
      <c r="E48">
        <v>6264</v>
      </c>
      <c r="F48" s="106" t="s">
        <v>563</v>
      </c>
      <c r="G48" s="106" t="s">
        <v>280</v>
      </c>
      <c r="H48" s="106" t="s">
        <v>301</v>
      </c>
      <c r="I48">
        <v>136</v>
      </c>
    </row>
    <row r="49" spans="1:10" x14ac:dyDescent="0.2">
      <c r="A49" s="106" t="s">
        <v>355</v>
      </c>
      <c r="B49" s="106" t="s">
        <v>277</v>
      </c>
      <c r="C49" s="106" t="s">
        <v>278</v>
      </c>
      <c r="D49" s="106" t="s">
        <v>279</v>
      </c>
      <c r="E49">
        <v>9793</v>
      </c>
      <c r="F49" s="106" t="s">
        <v>357</v>
      </c>
      <c r="G49" s="106" t="s">
        <v>280</v>
      </c>
      <c r="H49" s="106" t="s">
        <v>285</v>
      </c>
      <c r="I49" t="s">
        <v>311</v>
      </c>
      <c r="J49" t="s">
        <v>2346</v>
      </c>
    </row>
    <row r="50" spans="1:10" x14ac:dyDescent="0.2">
      <c r="A50" s="106" t="s">
        <v>355</v>
      </c>
      <c r="B50" s="106" t="s">
        <v>277</v>
      </c>
      <c r="C50" s="106" t="s">
        <v>278</v>
      </c>
      <c r="D50" s="106" t="s">
        <v>283</v>
      </c>
      <c r="E50">
        <v>9977</v>
      </c>
      <c r="F50" s="106" t="s">
        <v>1809</v>
      </c>
      <c r="G50" s="106" t="s">
        <v>284</v>
      </c>
      <c r="H50" s="106" t="s">
        <v>290</v>
      </c>
      <c r="I50" s="106">
        <v>169</v>
      </c>
      <c r="J50" s="106"/>
    </row>
    <row r="51" spans="1:10" x14ac:dyDescent="0.2">
      <c r="A51" s="106" t="s">
        <v>358</v>
      </c>
      <c r="B51" s="106" t="s">
        <v>344</v>
      </c>
      <c r="C51" s="106" t="s">
        <v>287</v>
      </c>
      <c r="D51" s="106" t="s">
        <v>279</v>
      </c>
      <c r="E51">
        <v>3186</v>
      </c>
      <c r="F51" s="106" t="s">
        <v>556</v>
      </c>
      <c r="G51" s="106" t="s">
        <v>280</v>
      </c>
      <c r="H51" s="106" t="s">
        <v>290</v>
      </c>
      <c r="I51" s="106">
        <v>950</v>
      </c>
      <c r="J51" s="106"/>
    </row>
    <row r="52" spans="1:10" x14ac:dyDescent="0.2">
      <c r="A52" s="106" t="s">
        <v>358</v>
      </c>
      <c r="B52" s="106" t="s">
        <v>277</v>
      </c>
      <c r="C52" s="106" t="s">
        <v>282</v>
      </c>
      <c r="D52" s="106" t="s">
        <v>283</v>
      </c>
      <c r="E52">
        <v>1997</v>
      </c>
      <c r="F52" s="106" t="s">
        <v>1810</v>
      </c>
      <c r="G52" s="106" t="s">
        <v>284</v>
      </c>
      <c r="H52" s="106" t="s">
        <v>307</v>
      </c>
      <c r="I52">
        <v>37</v>
      </c>
    </row>
    <row r="53" spans="1:10" x14ac:dyDescent="0.2">
      <c r="A53" s="106" t="s">
        <v>358</v>
      </c>
      <c r="B53" s="106" t="s">
        <v>277</v>
      </c>
      <c r="C53" s="106" t="s">
        <v>278</v>
      </c>
      <c r="D53" s="106" t="s">
        <v>279</v>
      </c>
      <c r="E53">
        <v>2659</v>
      </c>
      <c r="F53" s="106" t="s">
        <v>1811</v>
      </c>
      <c r="G53" s="106" t="s">
        <v>280</v>
      </c>
      <c r="H53" s="106" t="s">
        <v>290</v>
      </c>
      <c r="I53" t="s">
        <v>311</v>
      </c>
      <c r="J53" t="s">
        <v>2352</v>
      </c>
    </row>
    <row r="54" spans="1:10" x14ac:dyDescent="0.2">
      <c r="A54" s="106" t="s">
        <v>358</v>
      </c>
      <c r="B54" s="106" t="s">
        <v>277</v>
      </c>
      <c r="C54" s="106" t="s">
        <v>289</v>
      </c>
      <c r="D54" s="106" t="s">
        <v>279</v>
      </c>
      <c r="E54">
        <v>2792</v>
      </c>
      <c r="F54" s="106" t="s">
        <v>359</v>
      </c>
      <c r="G54" s="106" t="s">
        <v>280</v>
      </c>
      <c r="H54" s="106" t="s">
        <v>290</v>
      </c>
      <c r="I54">
        <v>458</v>
      </c>
    </row>
    <row r="55" spans="1:10" x14ac:dyDescent="0.2">
      <c r="A55" s="106" t="s">
        <v>358</v>
      </c>
      <c r="B55" s="106" t="s">
        <v>277</v>
      </c>
      <c r="C55" s="106" t="s">
        <v>287</v>
      </c>
      <c r="D55" s="106" t="s">
        <v>279</v>
      </c>
      <c r="E55">
        <v>3244</v>
      </c>
      <c r="F55" s="106" t="s">
        <v>1812</v>
      </c>
      <c r="G55" s="106" t="s">
        <v>280</v>
      </c>
      <c r="H55" s="106" t="s">
        <v>306</v>
      </c>
      <c r="I55" s="106">
        <v>918</v>
      </c>
      <c r="J55" s="106"/>
    </row>
    <row r="56" spans="1:10" x14ac:dyDescent="0.2">
      <c r="A56" s="106" t="s">
        <v>358</v>
      </c>
      <c r="B56" s="106" t="s">
        <v>277</v>
      </c>
      <c r="C56" s="106" t="s">
        <v>289</v>
      </c>
      <c r="D56" s="106" t="s">
        <v>279</v>
      </c>
      <c r="E56">
        <v>4735</v>
      </c>
      <c r="F56" s="106" t="s">
        <v>1813</v>
      </c>
      <c r="G56" s="106" t="s">
        <v>288</v>
      </c>
      <c r="H56" s="106" t="s">
        <v>285</v>
      </c>
      <c r="I56">
        <v>78</v>
      </c>
    </row>
    <row r="57" spans="1:10" x14ac:dyDescent="0.2">
      <c r="A57" s="106" t="s">
        <v>358</v>
      </c>
      <c r="B57" s="106" t="s">
        <v>277</v>
      </c>
      <c r="C57" s="106" t="s">
        <v>289</v>
      </c>
      <c r="D57" s="106" t="s">
        <v>283</v>
      </c>
      <c r="E57">
        <v>7673</v>
      </c>
      <c r="F57" s="106" t="s">
        <v>590</v>
      </c>
      <c r="G57" s="106" t="s">
        <v>288</v>
      </c>
      <c r="H57" s="106" t="s">
        <v>286</v>
      </c>
      <c r="I57">
        <v>86</v>
      </c>
    </row>
    <row r="58" spans="1:10" x14ac:dyDescent="0.2">
      <c r="A58" s="106" t="s">
        <v>358</v>
      </c>
      <c r="B58" s="106" t="s">
        <v>277</v>
      </c>
      <c r="C58" s="106" t="s">
        <v>278</v>
      </c>
      <c r="D58" s="106" t="s">
        <v>279</v>
      </c>
      <c r="E58">
        <v>7679</v>
      </c>
      <c r="F58" s="106" t="s">
        <v>1814</v>
      </c>
      <c r="G58" s="106" t="s">
        <v>280</v>
      </c>
      <c r="H58" s="106" t="s">
        <v>290</v>
      </c>
      <c r="I58">
        <v>492</v>
      </c>
    </row>
    <row r="59" spans="1:10" x14ac:dyDescent="0.2">
      <c r="A59" s="106" t="s">
        <v>358</v>
      </c>
      <c r="B59" s="106" t="s">
        <v>277</v>
      </c>
      <c r="C59" s="106" t="s">
        <v>278</v>
      </c>
      <c r="D59" s="106" t="s">
        <v>279</v>
      </c>
      <c r="E59">
        <v>8008</v>
      </c>
      <c r="F59" s="106" t="s">
        <v>565</v>
      </c>
      <c r="G59" s="106" t="s">
        <v>280</v>
      </c>
      <c r="H59" s="106" t="s">
        <v>290</v>
      </c>
      <c r="I59">
        <v>640</v>
      </c>
    </row>
    <row r="60" spans="1:10" x14ac:dyDescent="0.2">
      <c r="A60" s="106" t="s">
        <v>358</v>
      </c>
      <c r="B60" s="106" t="s">
        <v>277</v>
      </c>
      <c r="C60" s="106" t="s">
        <v>278</v>
      </c>
      <c r="D60" s="106" t="s">
        <v>279</v>
      </c>
      <c r="E60">
        <v>8125</v>
      </c>
      <c r="F60" s="106" t="s">
        <v>566</v>
      </c>
      <c r="G60" s="106" t="s">
        <v>280</v>
      </c>
      <c r="H60" s="106" t="s">
        <v>286</v>
      </c>
      <c r="I60">
        <v>586</v>
      </c>
    </row>
    <row r="61" spans="1:10" x14ac:dyDescent="0.2">
      <c r="A61" s="106" t="s">
        <v>358</v>
      </c>
      <c r="B61" s="106" t="s">
        <v>277</v>
      </c>
      <c r="C61" s="106" t="s">
        <v>278</v>
      </c>
      <c r="D61" s="106" t="s">
        <v>283</v>
      </c>
      <c r="E61">
        <v>8931</v>
      </c>
      <c r="F61" s="106" t="s">
        <v>1815</v>
      </c>
      <c r="G61" s="106" t="s">
        <v>284</v>
      </c>
      <c r="H61" s="106" t="s">
        <v>306</v>
      </c>
      <c r="I61">
        <v>92</v>
      </c>
    </row>
    <row r="62" spans="1:10" x14ac:dyDescent="0.2">
      <c r="A62" s="106" t="s">
        <v>358</v>
      </c>
      <c r="B62" s="106" t="s">
        <v>277</v>
      </c>
      <c r="C62" s="106" t="s">
        <v>278</v>
      </c>
      <c r="D62" s="106" t="s">
        <v>279</v>
      </c>
      <c r="E62">
        <v>9974</v>
      </c>
      <c r="F62" s="106" t="s">
        <v>1816</v>
      </c>
      <c r="G62" s="106" t="s">
        <v>280</v>
      </c>
      <c r="H62" s="106" t="s">
        <v>290</v>
      </c>
      <c r="I62" t="s">
        <v>311</v>
      </c>
      <c r="J62" t="s">
        <v>2249</v>
      </c>
    </row>
    <row r="63" spans="1:10" x14ac:dyDescent="0.2">
      <c r="A63" s="106" t="s">
        <v>360</v>
      </c>
      <c r="B63" s="106" t="s">
        <v>277</v>
      </c>
      <c r="C63" s="106" t="s">
        <v>278</v>
      </c>
      <c r="D63" s="106" t="s">
        <v>279</v>
      </c>
      <c r="E63">
        <v>2178</v>
      </c>
      <c r="F63" s="106" t="s">
        <v>1817</v>
      </c>
      <c r="G63" s="106" t="s">
        <v>292</v>
      </c>
      <c r="H63" s="106" t="s">
        <v>285</v>
      </c>
      <c r="I63">
        <v>93</v>
      </c>
    </row>
    <row r="64" spans="1:10" x14ac:dyDescent="0.2">
      <c r="A64" s="106" t="s">
        <v>360</v>
      </c>
      <c r="B64" s="106" t="s">
        <v>277</v>
      </c>
      <c r="C64" s="106" t="s">
        <v>278</v>
      </c>
      <c r="D64" s="106" t="s">
        <v>279</v>
      </c>
      <c r="E64">
        <v>2670</v>
      </c>
      <c r="F64" s="106" t="s">
        <v>1818</v>
      </c>
      <c r="G64" s="106" t="s">
        <v>280</v>
      </c>
      <c r="H64" s="106" t="s">
        <v>290</v>
      </c>
      <c r="I64" s="106" t="s">
        <v>339</v>
      </c>
      <c r="J64" s="106" t="s">
        <v>2353</v>
      </c>
    </row>
    <row r="65" spans="1:10" x14ac:dyDescent="0.2">
      <c r="A65" s="106" t="s">
        <v>360</v>
      </c>
      <c r="B65" s="106" t="s">
        <v>277</v>
      </c>
      <c r="C65" s="106" t="s">
        <v>278</v>
      </c>
      <c r="D65" s="106" t="s">
        <v>279</v>
      </c>
      <c r="E65">
        <v>3141</v>
      </c>
      <c r="F65" s="106" t="s">
        <v>1819</v>
      </c>
      <c r="G65" s="106" t="s">
        <v>280</v>
      </c>
      <c r="H65" s="106" t="s">
        <v>290</v>
      </c>
      <c r="I65" t="s">
        <v>595</v>
      </c>
      <c r="J65" t="s">
        <v>2354</v>
      </c>
    </row>
    <row r="66" spans="1:10" x14ac:dyDescent="0.2">
      <c r="A66" s="106" t="s">
        <v>360</v>
      </c>
      <c r="B66" s="106" t="s">
        <v>277</v>
      </c>
      <c r="C66" s="106" t="s">
        <v>278</v>
      </c>
      <c r="D66" s="106" t="s">
        <v>279</v>
      </c>
      <c r="E66">
        <v>3550</v>
      </c>
      <c r="F66" s="106" t="s">
        <v>1820</v>
      </c>
      <c r="G66" s="106" t="s">
        <v>292</v>
      </c>
      <c r="H66" s="106" t="s">
        <v>290</v>
      </c>
      <c r="I66" s="106">
        <v>88</v>
      </c>
      <c r="J66" s="106"/>
    </row>
    <row r="67" spans="1:10" x14ac:dyDescent="0.2">
      <c r="A67" s="106" t="s">
        <v>360</v>
      </c>
      <c r="B67" s="106" t="s">
        <v>277</v>
      </c>
      <c r="C67" s="106" t="s">
        <v>278</v>
      </c>
      <c r="D67" s="106" t="s">
        <v>279</v>
      </c>
      <c r="E67">
        <v>4714</v>
      </c>
      <c r="F67" s="106" t="s">
        <v>361</v>
      </c>
      <c r="G67" s="106" t="s">
        <v>280</v>
      </c>
      <c r="H67" s="106" t="s">
        <v>285</v>
      </c>
      <c r="I67" s="106">
        <v>597</v>
      </c>
      <c r="J67" s="106"/>
    </row>
    <row r="68" spans="1:10" x14ac:dyDescent="0.2">
      <c r="A68" s="106" t="s">
        <v>360</v>
      </c>
      <c r="B68" s="106" t="s">
        <v>277</v>
      </c>
      <c r="C68" s="106" t="s">
        <v>278</v>
      </c>
      <c r="D68" s="106" t="s">
        <v>279</v>
      </c>
      <c r="E68">
        <v>6183</v>
      </c>
      <c r="F68" s="106" t="s">
        <v>1821</v>
      </c>
      <c r="G68" s="106" t="s">
        <v>280</v>
      </c>
      <c r="H68" s="106" t="s">
        <v>285</v>
      </c>
      <c r="I68" t="s">
        <v>311</v>
      </c>
      <c r="J68" t="s">
        <v>2355</v>
      </c>
    </row>
    <row r="69" spans="1:10" x14ac:dyDescent="0.2">
      <c r="A69" s="106" t="s">
        <v>360</v>
      </c>
      <c r="B69" s="106" t="s">
        <v>277</v>
      </c>
      <c r="C69" s="106" t="s">
        <v>278</v>
      </c>
      <c r="D69" s="106" t="s">
        <v>283</v>
      </c>
      <c r="E69">
        <v>6469</v>
      </c>
      <c r="F69" s="106" t="s">
        <v>1822</v>
      </c>
      <c r="G69" s="106" t="s">
        <v>284</v>
      </c>
      <c r="H69" s="106" t="s">
        <v>301</v>
      </c>
      <c r="I69" s="106">
        <v>70</v>
      </c>
      <c r="J69" s="106"/>
    </row>
    <row r="70" spans="1:10" x14ac:dyDescent="0.2">
      <c r="A70" s="106" t="s">
        <v>360</v>
      </c>
      <c r="B70" s="106" t="s">
        <v>277</v>
      </c>
      <c r="C70" s="106" t="s">
        <v>289</v>
      </c>
      <c r="D70" s="106" t="s">
        <v>283</v>
      </c>
      <c r="E70">
        <v>6552</v>
      </c>
      <c r="F70" s="106" t="s">
        <v>1823</v>
      </c>
      <c r="G70" s="106" t="s">
        <v>280</v>
      </c>
      <c r="H70" s="106" t="s">
        <v>285</v>
      </c>
      <c r="I70" s="106">
        <v>144</v>
      </c>
      <c r="J70" s="106"/>
    </row>
    <row r="71" spans="1:10" x14ac:dyDescent="0.2">
      <c r="A71" s="106" t="s">
        <v>360</v>
      </c>
      <c r="B71" s="106" t="s">
        <v>277</v>
      </c>
      <c r="C71" s="106" t="s">
        <v>282</v>
      </c>
      <c r="D71" s="106" t="s">
        <v>279</v>
      </c>
      <c r="E71">
        <v>7581</v>
      </c>
      <c r="F71" s="106" t="s">
        <v>1824</v>
      </c>
      <c r="G71" s="106" t="s">
        <v>280</v>
      </c>
      <c r="H71" s="106" t="s">
        <v>290</v>
      </c>
      <c r="I71" t="s">
        <v>311</v>
      </c>
      <c r="J71" t="s">
        <v>2356</v>
      </c>
    </row>
    <row r="72" spans="1:10" x14ac:dyDescent="0.2">
      <c r="A72" s="106" t="s">
        <v>360</v>
      </c>
      <c r="B72" s="106" t="s">
        <v>277</v>
      </c>
      <c r="C72" s="106" t="s">
        <v>278</v>
      </c>
      <c r="D72" s="106" t="s">
        <v>279</v>
      </c>
      <c r="E72">
        <v>8278</v>
      </c>
      <c r="F72" s="106" t="s">
        <v>1825</v>
      </c>
      <c r="G72" s="106" t="s">
        <v>280</v>
      </c>
      <c r="H72" s="106" t="s">
        <v>290</v>
      </c>
      <c r="I72">
        <v>759</v>
      </c>
    </row>
    <row r="73" spans="1:10" x14ac:dyDescent="0.2">
      <c r="A73" s="106" t="s">
        <v>360</v>
      </c>
      <c r="B73" s="106" t="s">
        <v>277</v>
      </c>
      <c r="C73" s="106" t="s">
        <v>289</v>
      </c>
      <c r="D73" s="106" t="s">
        <v>279</v>
      </c>
      <c r="E73">
        <v>9265</v>
      </c>
      <c r="F73" s="106" t="s">
        <v>1826</v>
      </c>
      <c r="G73" s="106" t="s">
        <v>280</v>
      </c>
      <c r="H73" s="106" t="s">
        <v>286</v>
      </c>
      <c r="I73" s="106">
        <v>39</v>
      </c>
      <c r="J73" s="106"/>
    </row>
    <row r="74" spans="1:10" x14ac:dyDescent="0.2">
      <c r="A74" s="106" t="s">
        <v>360</v>
      </c>
      <c r="B74" s="106" t="s">
        <v>277</v>
      </c>
      <c r="C74" s="106" t="s">
        <v>282</v>
      </c>
      <c r="D74" s="106" t="s">
        <v>279</v>
      </c>
      <c r="E74">
        <v>9414</v>
      </c>
      <c r="F74" s="106" t="s">
        <v>1827</v>
      </c>
      <c r="G74" s="106" t="s">
        <v>280</v>
      </c>
      <c r="H74" s="106" t="s">
        <v>291</v>
      </c>
      <c r="I74" s="106">
        <v>209</v>
      </c>
      <c r="J74" s="106"/>
    </row>
    <row r="75" spans="1:10" x14ac:dyDescent="0.2">
      <c r="A75" s="106" t="s">
        <v>360</v>
      </c>
      <c r="B75" s="106" t="s">
        <v>277</v>
      </c>
      <c r="C75" s="106" t="s">
        <v>278</v>
      </c>
      <c r="D75" s="106" t="s">
        <v>279</v>
      </c>
      <c r="E75">
        <v>9846</v>
      </c>
      <c r="F75" s="106" t="s">
        <v>1828</v>
      </c>
      <c r="G75" s="106" t="s">
        <v>288</v>
      </c>
      <c r="H75" s="106" t="s">
        <v>290</v>
      </c>
      <c r="I75" s="106">
        <v>140</v>
      </c>
      <c r="J75" s="106"/>
    </row>
    <row r="76" spans="1:10" x14ac:dyDescent="0.2">
      <c r="A76" s="106" t="s">
        <v>360</v>
      </c>
      <c r="B76" s="106" t="s">
        <v>277</v>
      </c>
      <c r="C76" s="106" t="s">
        <v>278</v>
      </c>
      <c r="D76" s="106" t="s">
        <v>279</v>
      </c>
      <c r="E76">
        <v>9993</v>
      </c>
      <c r="F76" s="106" t="s">
        <v>1829</v>
      </c>
      <c r="G76" s="106" t="s">
        <v>280</v>
      </c>
      <c r="H76" s="106" t="s">
        <v>290</v>
      </c>
      <c r="I76">
        <v>188</v>
      </c>
    </row>
    <row r="77" spans="1:10" x14ac:dyDescent="0.2">
      <c r="A77" s="106" t="s">
        <v>362</v>
      </c>
      <c r="B77" s="106" t="s">
        <v>344</v>
      </c>
      <c r="C77" s="106" t="s">
        <v>289</v>
      </c>
      <c r="D77" s="106" t="s">
        <v>283</v>
      </c>
      <c r="E77">
        <v>4430</v>
      </c>
      <c r="F77" s="106" t="s">
        <v>561</v>
      </c>
      <c r="G77" s="106" t="s">
        <v>288</v>
      </c>
      <c r="H77" s="106" t="s">
        <v>291</v>
      </c>
      <c r="I77">
        <v>52</v>
      </c>
    </row>
    <row r="78" spans="1:10" x14ac:dyDescent="0.2">
      <c r="A78" s="106" t="s">
        <v>362</v>
      </c>
      <c r="B78" s="106" t="s">
        <v>277</v>
      </c>
      <c r="C78" s="106" t="s">
        <v>289</v>
      </c>
      <c r="D78" s="106" t="s">
        <v>279</v>
      </c>
      <c r="E78">
        <v>1377</v>
      </c>
      <c r="F78" s="106" t="s">
        <v>568</v>
      </c>
      <c r="G78" s="106" t="s">
        <v>280</v>
      </c>
      <c r="H78" s="106" t="s">
        <v>328</v>
      </c>
      <c r="I78" t="s">
        <v>311</v>
      </c>
      <c r="J78" t="s">
        <v>2357</v>
      </c>
    </row>
    <row r="79" spans="1:10" x14ac:dyDescent="0.2">
      <c r="A79" s="106" t="s">
        <v>362</v>
      </c>
      <c r="B79" s="106" t="s">
        <v>277</v>
      </c>
      <c r="C79" s="106" t="s">
        <v>289</v>
      </c>
      <c r="D79" s="106" t="s">
        <v>283</v>
      </c>
      <c r="E79">
        <v>2303</v>
      </c>
      <c r="F79" s="106" t="s">
        <v>571</v>
      </c>
      <c r="G79" s="106" t="s">
        <v>284</v>
      </c>
      <c r="H79" s="106" t="s">
        <v>291</v>
      </c>
      <c r="I79">
        <v>52</v>
      </c>
    </row>
    <row r="80" spans="1:10" x14ac:dyDescent="0.2">
      <c r="A80" s="106" t="s">
        <v>362</v>
      </c>
      <c r="B80" s="106" t="s">
        <v>277</v>
      </c>
      <c r="C80" s="106" t="s">
        <v>278</v>
      </c>
      <c r="D80" s="106" t="s">
        <v>279</v>
      </c>
      <c r="E80">
        <v>2341</v>
      </c>
      <c r="F80" s="106" t="s">
        <v>1830</v>
      </c>
      <c r="G80" s="106" t="s">
        <v>284</v>
      </c>
      <c r="H80" s="106" t="s">
        <v>285</v>
      </c>
      <c r="I80" s="106">
        <v>66</v>
      </c>
      <c r="J80" s="106"/>
    </row>
    <row r="81" spans="1:10" x14ac:dyDescent="0.2">
      <c r="A81" s="106" t="s">
        <v>362</v>
      </c>
      <c r="B81" s="106" t="s">
        <v>277</v>
      </c>
      <c r="C81" s="106" t="s">
        <v>289</v>
      </c>
      <c r="D81" s="106" t="s">
        <v>279</v>
      </c>
      <c r="E81">
        <v>2462</v>
      </c>
      <c r="F81" s="106" t="s">
        <v>572</v>
      </c>
      <c r="G81" s="106" t="s">
        <v>280</v>
      </c>
      <c r="H81" s="106" t="s">
        <v>285</v>
      </c>
      <c r="I81">
        <v>324</v>
      </c>
    </row>
    <row r="82" spans="1:10" x14ac:dyDescent="0.2">
      <c r="A82" s="106" t="s">
        <v>362</v>
      </c>
      <c r="B82" s="106" t="s">
        <v>277</v>
      </c>
      <c r="C82" s="106" t="s">
        <v>289</v>
      </c>
      <c r="D82" s="106" t="s">
        <v>279</v>
      </c>
      <c r="E82">
        <v>2791</v>
      </c>
      <c r="F82" s="106" t="s">
        <v>1831</v>
      </c>
      <c r="G82" s="106" t="s">
        <v>280</v>
      </c>
      <c r="H82" s="106" t="s">
        <v>290</v>
      </c>
      <c r="I82">
        <v>478</v>
      </c>
    </row>
    <row r="83" spans="1:10" x14ac:dyDescent="0.2">
      <c r="A83" s="106" t="s">
        <v>362</v>
      </c>
      <c r="B83" s="106" t="s">
        <v>277</v>
      </c>
      <c r="C83" s="106" t="s">
        <v>287</v>
      </c>
      <c r="D83" s="106" t="s">
        <v>279</v>
      </c>
      <c r="E83">
        <v>2809</v>
      </c>
      <c r="F83" s="106" t="s">
        <v>363</v>
      </c>
      <c r="G83" s="106" t="s">
        <v>280</v>
      </c>
      <c r="H83" s="106" t="s">
        <v>281</v>
      </c>
      <c r="I83" t="s">
        <v>364</v>
      </c>
      <c r="J83" t="s">
        <v>2358</v>
      </c>
    </row>
    <row r="84" spans="1:10" x14ac:dyDescent="0.2">
      <c r="A84" s="106" t="s">
        <v>362</v>
      </c>
      <c r="B84" s="106" t="s">
        <v>277</v>
      </c>
      <c r="C84" s="106" t="s">
        <v>287</v>
      </c>
      <c r="D84" s="106" t="s">
        <v>279</v>
      </c>
      <c r="E84">
        <v>2830</v>
      </c>
      <c r="F84" s="106" t="s">
        <v>1832</v>
      </c>
      <c r="G84" s="106" t="s">
        <v>288</v>
      </c>
      <c r="H84" s="106" t="s">
        <v>281</v>
      </c>
      <c r="I84">
        <v>190</v>
      </c>
    </row>
    <row r="85" spans="1:10" x14ac:dyDescent="0.2">
      <c r="A85" s="106" t="s">
        <v>362</v>
      </c>
      <c r="B85" s="106" t="s">
        <v>277</v>
      </c>
      <c r="C85" s="106" t="s">
        <v>278</v>
      </c>
      <c r="D85" s="106" t="s">
        <v>279</v>
      </c>
      <c r="E85">
        <v>2918</v>
      </c>
      <c r="F85" s="106" t="s">
        <v>1833</v>
      </c>
      <c r="G85" s="106" t="s">
        <v>280</v>
      </c>
      <c r="H85" s="106" t="s">
        <v>281</v>
      </c>
      <c r="I85" s="106">
        <v>303</v>
      </c>
      <c r="J85" s="106"/>
    </row>
    <row r="86" spans="1:10" x14ac:dyDescent="0.2">
      <c r="A86" s="106" t="s">
        <v>362</v>
      </c>
      <c r="B86" s="106" t="s">
        <v>277</v>
      </c>
      <c r="C86" s="106" t="s">
        <v>282</v>
      </c>
      <c r="D86" s="106" t="s">
        <v>279</v>
      </c>
      <c r="E86">
        <v>2927</v>
      </c>
      <c r="F86" s="106" t="s">
        <v>365</v>
      </c>
      <c r="G86" s="106" t="s">
        <v>284</v>
      </c>
      <c r="H86" s="106" t="s">
        <v>281</v>
      </c>
      <c r="I86">
        <v>94</v>
      </c>
    </row>
    <row r="87" spans="1:10" x14ac:dyDescent="0.2">
      <c r="A87" s="106" t="s">
        <v>362</v>
      </c>
      <c r="B87" s="106" t="s">
        <v>277</v>
      </c>
      <c r="C87" s="106" t="s">
        <v>278</v>
      </c>
      <c r="D87" s="106" t="s">
        <v>283</v>
      </c>
      <c r="E87">
        <v>3083</v>
      </c>
      <c r="F87" s="106" t="s">
        <v>1834</v>
      </c>
      <c r="G87" s="106" t="s">
        <v>284</v>
      </c>
      <c r="H87" s="106" t="s">
        <v>290</v>
      </c>
      <c r="I87">
        <v>14</v>
      </c>
    </row>
    <row r="88" spans="1:10" x14ac:dyDescent="0.2">
      <c r="A88" s="106" t="s">
        <v>362</v>
      </c>
      <c r="B88" s="106" t="s">
        <v>277</v>
      </c>
      <c r="C88" s="106" t="s">
        <v>282</v>
      </c>
      <c r="D88" s="106" t="s">
        <v>279</v>
      </c>
      <c r="E88">
        <v>3376</v>
      </c>
      <c r="F88" s="106" t="s">
        <v>1835</v>
      </c>
      <c r="G88" s="106" t="s">
        <v>280</v>
      </c>
      <c r="H88" s="106" t="s">
        <v>290</v>
      </c>
      <c r="I88">
        <v>48</v>
      </c>
    </row>
    <row r="89" spans="1:10" x14ac:dyDescent="0.2">
      <c r="A89" s="106" t="s">
        <v>362</v>
      </c>
      <c r="B89" s="106" t="s">
        <v>277</v>
      </c>
      <c r="C89" s="106" t="s">
        <v>278</v>
      </c>
      <c r="D89" s="106" t="s">
        <v>279</v>
      </c>
      <c r="E89">
        <v>3382</v>
      </c>
      <c r="F89" s="106" t="s">
        <v>558</v>
      </c>
      <c r="G89" s="106" t="s">
        <v>280</v>
      </c>
      <c r="H89" s="106" t="s">
        <v>290</v>
      </c>
      <c r="I89" t="s">
        <v>2239</v>
      </c>
      <c r="J89" t="s">
        <v>2359</v>
      </c>
    </row>
    <row r="90" spans="1:10" x14ac:dyDescent="0.2">
      <c r="A90" s="106" t="s">
        <v>362</v>
      </c>
      <c r="B90" s="106" t="s">
        <v>277</v>
      </c>
      <c r="C90" s="106" t="s">
        <v>278</v>
      </c>
      <c r="D90" s="106" t="s">
        <v>279</v>
      </c>
      <c r="E90">
        <v>3396</v>
      </c>
      <c r="F90" s="106" t="s">
        <v>366</v>
      </c>
      <c r="G90" s="106" t="s">
        <v>280</v>
      </c>
      <c r="H90" s="106" t="s">
        <v>290</v>
      </c>
      <c r="I90">
        <v>104</v>
      </c>
    </row>
    <row r="91" spans="1:10" x14ac:dyDescent="0.2">
      <c r="A91" s="106" t="s">
        <v>362</v>
      </c>
      <c r="B91" s="106" t="s">
        <v>277</v>
      </c>
      <c r="C91" s="106" t="s">
        <v>282</v>
      </c>
      <c r="D91" s="106" t="s">
        <v>279</v>
      </c>
      <c r="E91">
        <v>3697</v>
      </c>
      <c r="F91" s="106" t="s">
        <v>1837</v>
      </c>
      <c r="G91" s="106" t="s">
        <v>280</v>
      </c>
      <c r="H91" s="106" t="s">
        <v>291</v>
      </c>
      <c r="I91" s="106" t="s">
        <v>311</v>
      </c>
      <c r="J91" s="106" t="s">
        <v>2124</v>
      </c>
    </row>
    <row r="92" spans="1:10" x14ac:dyDescent="0.2">
      <c r="A92" s="106" t="s">
        <v>362</v>
      </c>
      <c r="B92" s="106" t="s">
        <v>277</v>
      </c>
      <c r="C92" s="106" t="s">
        <v>287</v>
      </c>
      <c r="D92" s="106" t="s">
        <v>279</v>
      </c>
      <c r="E92">
        <v>4187</v>
      </c>
      <c r="F92" s="106" t="s">
        <v>1838</v>
      </c>
      <c r="G92" s="106" t="s">
        <v>280</v>
      </c>
      <c r="H92" s="106" t="s">
        <v>293</v>
      </c>
      <c r="I92" s="106">
        <v>336</v>
      </c>
      <c r="J92" s="106"/>
    </row>
    <row r="93" spans="1:10" x14ac:dyDescent="0.2">
      <c r="A93" s="106" t="s">
        <v>362</v>
      </c>
      <c r="B93" s="106" t="s">
        <v>277</v>
      </c>
      <c r="C93" s="106" t="s">
        <v>278</v>
      </c>
      <c r="D93" s="106" t="s">
        <v>283</v>
      </c>
      <c r="E93">
        <v>4745</v>
      </c>
      <c r="F93" s="106" t="s">
        <v>1839</v>
      </c>
      <c r="G93" s="106" t="s">
        <v>280</v>
      </c>
      <c r="H93" s="106" t="s">
        <v>285</v>
      </c>
      <c r="I93" s="106">
        <v>391</v>
      </c>
      <c r="J93" s="106"/>
    </row>
    <row r="94" spans="1:10" x14ac:dyDescent="0.2">
      <c r="A94" s="106" t="s">
        <v>362</v>
      </c>
      <c r="B94" s="106" t="s">
        <v>277</v>
      </c>
      <c r="C94" s="106" t="s">
        <v>278</v>
      </c>
      <c r="D94" s="106" t="s">
        <v>279</v>
      </c>
      <c r="E94">
        <v>4763</v>
      </c>
      <c r="F94" s="106" t="s">
        <v>1840</v>
      </c>
      <c r="G94" s="106" t="s">
        <v>280</v>
      </c>
      <c r="H94" s="106" t="s">
        <v>285</v>
      </c>
      <c r="I94">
        <v>253</v>
      </c>
    </row>
    <row r="95" spans="1:10" x14ac:dyDescent="0.2">
      <c r="A95" s="106" t="s">
        <v>362</v>
      </c>
      <c r="B95" s="106" t="s">
        <v>277</v>
      </c>
      <c r="C95" s="106" t="s">
        <v>289</v>
      </c>
      <c r="D95" s="106" t="s">
        <v>279</v>
      </c>
      <c r="E95">
        <v>5932</v>
      </c>
      <c r="F95" s="106" t="s">
        <v>1841</v>
      </c>
      <c r="G95" s="106" t="s">
        <v>280</v>
      </c>
      <c r="H95" s="106" t="s">
        <v>295</v>
      </c>
      <c r="I95" s="106">
        <v>404</v>
      </c>
      <c r="J95" s="106"/>
    </row>
    <row r="96" spans="1:10" x14ac:dyDescent="0.2">
      <c r="A96" s="106" t="s">
        <v>362</v>
      </c>
      <c r="B96" s="106" t="s">
        <v>277</v>
      </c>
      <c r="C96" s="106" t="s">
        <v>287</v>
      </c>
      <c r="D96" s="106" t="s">
        <v>279</v>
      </c>
      <c r="E96">
        <v>5942</v>
      </c>
      <c r="F96" s="106" t="s">
        <v>1842</v>
      </c>
      <c r="G96" s="106" t="s">
        <v>280</v>
      </c>
      <c r="H96" s="106" t="s">
        <v>295</v>
      </c>
      <c r="I96">
        <v>114</v>
      </c>
    </row>
    <row r="97" spans="1:10" x14ac:dyDescent="0.2">
      <c r="A97" s="106" t="s">
        <v>362</v>
      </c>
      <c r="B97" s="106" t="s">
        <v>277</v>
      </c>
      <c r="C97" s="106" t="s">
        <v>278</v>
      </c>
      <c r="D97" s="106" t="s">
        <v>279</v>
      </c>
      <c r="E97">
        <v>6093</v>
      </c>
      <c r="F97" s="106" t="s">
        <v>1843</v>
      </c>
      <c r="G97" s="106" t="s">
        <v>280</v>
      </c>
      <c r="H97" s="106" t="s">
        <v>285</v>
      </c>
      <c r="I97">
        <v>96</v>
      </c>
    </row>
    <row r="98" spans="1:10" x14ac:dyDescent="0.2">
      <c r="A98" s="106" t="s">
        <v>362</v>
      </c>
      <c r="B98" s="106" t="s">
        <v>277</v>
      </c>
      <c r="C98" s="106" t="s">
        <v>278</v>
      </c>
      <c r="D98" s="106" t="s">
        <v>279</v>
      </c>
      <c r="E98">
        <v>6312</v>
      </c>
      <c r="F98" s="106" t="s">
        <v>1844</v>
      </c>
      <c r="G98" s="106" t="s">
        <v>284</v>
      </c>
      <c r="H98" s="106" t="s">
        <v>301</v>
      </c>
      <c r="I98">
        <v>149</v>
      </c>
    </row>
    <row r="99" spans="1:10" x14ac:dyDescent="0.2">
      <c r="A99" s="106" t="s">
        <v>362</v>
      </c>
      <c r="B99" s="106" t="s">
        <v>277</v>
      </c>
      <c r="C99" s="106" t="s">
        <v>289</v>
      </c>
      <c r="D99" s="106" t="s">
        <v>279</v>
      </c>
      <c r="E99">
        <v>6489</v>
      </c>
      <c r="F99" s="106" t="s">
        <v>585</v>
      </c>
      <c r="G99" s="106" t="s">
        <v>280</v>
      </c>
      <c r="H99" s="106" t="s">
        <v>301</v>
      </c>
      <c r="I99">
        <v>82</v>
      </c>
    </row>
    <row r="100" spans="1:10" x14ac:dyDescent="0.2">
      <c r="A100" s="106" t="s">
        <v>362</v>
      </c>
      <c r="B100" s="106" t="s">
        <v>277</v>
      </c>
      <c r="C100" s="106" t="s">
        <v>289</v>
      </c>
      <c r="D100" s="106" t="s">
        <v>283</v>
      </c>
      <c r="E100">
        <v>6496</v>
      </c>
      <c r="F100" s="106" t="s">
        <v>564</v>
      </c>
      <c r="G100" s="106" t="s">
        <v>288</v>
      </c>
      <c r="H100" s="106" t="s">
        <v>301</v>
      </c>
      <c r="I100" s="106">
        <v>101</v>
      </c>
      <c r="J100" s="106"/>
    </row>
    <row r="101" spans="1:10" x14ac:dyDescent="0.2">
      <c r="A101" s="106" t="s">
        <v>362</v>
      </c>
      <c r="B101" s="106" t="s">
        <v>277</v>
      </c>
      <c r="C101" s="106" t="s">
        <v>278</v>
      </c>
      <c r="D101" s="106" t="s">
        <v>279</v>
      </c>
      <c r="E101">
        <v>6506</v>
      </c>
      <c r="F101" s="106" t="s">
        <v>1845</v>
      </c>
      <c r="G101" s="106" t="s">
        <v>280</v>
      </c>
      <c r="H101" s="106" t="s">
        <v>305</v>
      </c>
      <c r="I101" s="106" t="s">
        <v>547</v>
      </c>
      <c r="J101" s="106" t="s">
        <v>2360</v>
      </c>
    </row>
    <row r="102" spans="1:10" x14ac:dyDescent="0.2">
      <c r="A102" s="106" t="s">
        <v>362</v>
      </c>
      <c r="B102" s="106" t="s">
        <v>277</v>
      </c>
      <c r="C102" s="106" t="s">
        <v>278</v>
      </c>
      <c r="D102" s="106" t="s">
        <v>279</v>
      </c>
      <c r="E102">
        <v>6734</v>
      </c>
      <c r="F102" s="106" t="s">
        <v>1846</v>
      </c>
      <c r="G102" s="106" t="s">
        <v>284</v>
      </c>
      <c r="H102" s="106" t="s">
        <v>305</v>
      </c>
      <c r="I102">
        <v>24</v>
      </c>
    </row>
    <row r="103" spans="1:10" x14ac:dyDescent="0.2">
      <c r="A103" s="106" t="s">
        <v>362</v>
      </c>
      <c r="B103" s="106" t="s">
        <v>277</v>
      </c>
      <c r="C103" s="106" t="s">
        <v>278</v>
      </c>
      <c r="D103" s="106" t="s">
        <v>279</v>
      </c>
      <c r="E103">
        <v>7544</v>
      </c>
      <c r="F103" s="106" t="s">
        <v>1847</v>
      </c>
      <c r="G103" s="106" t="s">
        <v>288</v>
      </c>
      <c r="H103" s="106" t="s">
        <v>290</v>
      </c>
      <c r="I103" s="106">
        <v>32</v>
      </c>
      <c r="J103" s="106"/>
    </row>
    <row r="104" spans="1:10" x14ac:dyDescent="0.2">
      <c r="A104" s="106" t="s">
        <v>362</v>
      </c>
      <c r="B104" s="106" t="s">
        <v>277</v>
      </c>
      <c r="C104" s="106" t="s">
        <v>278</v>
      </c>
      <c r="D104" s="106" t="s">
        <v>279</v>
      </c>
      <c r="E104">
        <v>7601</v>
      </c>
      <c r="F104" s="106" t="s">
        <v>1848</v>
      </c>
      <c r="G104" s="106" t="s">
        <v>280</v>
      </c>
      <c r="H104" s="106" t="s">
        <v>290</v>
      </c>
      <c r="I104" s="106">
        <v>63</v>
      </c>
      <c r="J104" s="106"/>
    </row>
    <row r="105" spans="1:10" x14ac:dyDescent="0.2">
      <c r="A105" s="106" t="s">
        <v>362</v>
      </c>
      <c r="B105" s="106" t="s">
        <v>277</v>
      </c>
      <c r="C105" s="106" t="s">
        <v>278</v>
      </c>
      <c r="D105" s="106" t="s">
        <v>283</v>
      </c>
      <c r="E105">
        <v>7847</v>
      </c>
      <c r="F105" s="106" t="s">
        <v>1849</v>
      </c>
      <c r="G105" s="106" t="s">
        <v>284</v>
      </c>
      <c r="H105" s="106" t="s">
        <v>302</v>
      </c>
      <c r="I105" s="106">
        <v>35</v>
      </c>
      <c r="J105" s="106"/>
    </row>
    <row r="106" spans="1:10" x14ac:dyDescent="0.2">
      <c r="A106" s="106" t="s">
        <v>362</v>
      </c>
      <c r="B106" s="106" t="s">
        <v>277</v>
      </c>
      <c r="C106" s="106" t="s">
        <v>289</v>
      </c>
      <c r="D106" s="106" t="s">
        <v>279</v>
      </c>
      <c r="E106">
        <v>7888</v>
      </c>
      <c r="F106" s="106" t="s">
        <v>1850</v>
      </c>
      <c r="G106" s="106" t="s">
        <v>280</v>
      </c>
      <c r="H106" s="106" t="s">
        <v>293</v>
      </c>
      <c r="I106" s="106">
        <v>134</v>
      </c>
      <c r="J106" s="106"/>
    </row>
    <row r="107" spans="1:10" x14ac:dyDescent="0.2">
      <c r="A107" s="106" t="s">
        <v>362</v>
      </c>
      <c r="B107" s="106" t="s">
        <v>277</v>
      </c>
      <c r="C107" s="106" t="s">
        <v>278</v>
      </c>
      <c r="D107" s="106" t="s">
        <v>279</v>
      </c>
      <c r="E107">
        <v>7975</v>
      </c>
      <c r="F107" s="106" t="s">
        <v>1851</v>
      </c>
      <c r="G107" s="106" t="s">
        <v>288</v>
      </c>
      <c r="H107" s="106" t="s">
        <v>302</v>
      </c>
      <c r="I107">
        <v>35</v>
      </c>
    </row>
    <row r="108" spans="1:10" x14ac:dyDescent="0.2">
      <c r="A108" s="106" t="s">
        <v>362</v>
      </c>
      <c r="B108" s="106" t="s">
        <v>277</v>
      </c>
      <c r="C108" s="106" t="s">
        <v>282</v>
      </c>
      <c r="D108" s="106" t="s">
        <v>283</v>
      </c>
      <c r="E108">
        <v>8184</v>
      </c>
      <c r="F108" s="106" t="s">
        <v>1852</v>
      </c>
      <c r="G108" s="106" t="s">
        <v>280</v>
      </c>
      <c r="H108" s="106" t="s">
        <v>290</v>
      </c>
      <c r="I108" s="106" t="s">
        <v>311</v>
      </c>
      <c r="J108" s="106" t="s">
        <v>2361</v>
      </c>
    </row>
    <row r="109" spans="1:10" x14ac:dyDescent="0.2">
      <c r="A109" s="106" t="s">
        <v>362</v>
      </c>
      <c r="B109" s="106" t="s">
        <v>277</v>
      </c>
      <c r="C109" s="106" t="s">
        <v>278</v>
      </c>
      <c r="D109" s="106" t="s">
        <v>279</v>
      </c>
      <c r="E109">
        <v>8237</v>
      </c>
      <c r="F109" s="106" t="s">
        <v>1853</v>
      </c>
      <c r="G109" s="106" t="s">
        <v>280</v>
      </c>
      <c r="H109" s="106" t="s">
        <v>290</v>
      </c>
      <c r="I109" s="106">
        <v>468</v>
      </c>
      <c r="J109" s="106"/>
    </row>
    <row r="110" spans="1:10" x14ac:dyDescent="0.2">
      <c r="A110" s="106" t="s">
        <v>362</v>
      </c>
      <c r="B110" s="106" t="s">
        <v>277</v>
      </c>
      <c r="C110" s="106" t="s">
        <v>278</v>
      </c>
      <c r="D110" s="106" t="s">
        <v>279</v>
      </c>
      <c r="E110">
        <v>8260</v>
      </c>
      <c r="F110" s="106" t="s">
        <v>1854</v>
      </c>
      <c r="G110" s="106" t="s">
        <v>280</v>
      </c>
      <c r="H110" s="106" t="s">
        <v>290</v>
      </c>
      <c r="I110" s="106">
        <v>29</v>
      </c>
      <c r="J110" s="106"/>
    </row>
    <row r="111" spans="1:10" x14ac:dyDescent="0.2">
      <c r="A111" s="106" t="s">
        <v>362</v>
      </c>
      <c r="B111" s="106" t="s">
        <v>277</v>
      </c>
      <c r="C111" s="106" t="s">
        <v>278</v>
      </c>
      <c r="D111" s="106" t="s">
        <v>279</v>
      </c>
      <c r="E111">
        <v>8273</v>
      </c>
      <c r="F111" s="106" t="s">
        <v>1855</v>
      </c>
      <c r="G111" s="106" t="s">
        <v>280</v>
      </c>
      <c r="H111" s="106" t="s">
        <v>290</v>
      </c>
      <c r="I111" t="s">
        <v>303</v>
      </c>
      <c r="J111" t="s">
        <v>2129</v>
      </c>
    </row>
    <row r="112" spans="1:10" x14ac:dyDescent="0.2">
      <c r="A112" s="106" t="s">
        <v>362</v>
      </c>
      <c r="B112" s="106" t="s">
        <v>277</v>
      </c>
      <c r="C112" s="106" t="s">
        <v>289</v>
      </c>
      <c r="D112" s="106" t="s">
        <v>283</v>
      </c>
      <c r="E112">
        <v>8887</v>
      </c>
      <c r="F112" s="106" t="s">
        <v>1856</v>
      </c>
      <c r="G112" s="106" t="s">
        <v>284</v>
      </c>
      <c r="H112" s="106" t="s">
        <v>306</v>
      </c>
      <c r="I112">
        <v>106</v>
      </c>
    </row>
    <row r="113" spans="1:10" x14ac:dyDescent="0.2">
      <c r="A113" s="106" t="s">
        <v>362</v>
      </c>
      <c r="B113" s="106" t="s">
        <v>277</v>
      </c>
      <c r="C113" s="106" t="s">
        <v>278</v>
      </c>
      <c r="D113" s="106" t="s">
        <v>279</v>
      </c>
      <c r="E113">
        <v>8905</v>
      </c>
      <c r="F113" s="106" t="s">
        <v>1857</v>
      </c>
      <c r="G113" s="106" t="s">
        <v>280</v>
      </c>
      <c r="H113" s="106" t="s">
        <v>306</v>
      </c>
      <c r="I113" s="106" t="s">
        <v>330</v>
      </c>
      <c r="J113" s="106" t="s">
        <v>2362</v>
      </c>
    </row>
    <row r="114" spans="1:10" x14ac:dyDescent="0.2">
      <c r="A114" s="106" t="s">
        <v>362</v>
      </c>
      <c r="B114" s="106" t="s">
        <v>277</v>
      </c>
      <c r="C114" s="106" t="s">
        <v>289</v>
      </c>
      <c r="D114" s="106" t="s">
        <v>279</v>
      </c>
      <c r="E114">
        <v>8908</v>
      </c>
      <c r="F114" s="106" t="s">
        <v>367</v>
      </c>
      <c r="G114" s="106" t="s">
        <v>280</v>
      </c>
      <c r="H114" s="106" t="s">
        <v>306</v>
      </c>
      <c r="I114">
        <v>157</v>
      </c>
    </row>
    <row r="115" spans="1:10" x14ac:dyDescent="0.2">
      <c r="A115" s="106" t="s">
        <v>362</v>
      </c>
      <c r="B115" s="106" t="s">
        <v>277</v>
      </c>
      <c r="C115" s="106" t="s">
        <v>287</v>
      </c>
      <c r="D115" s="106" t="s">
        <v>279</v>
      </c>
      <c r="E115">
        <v>8923</v>
      </c>
      <c r="F115" s="106" t="s">
        <v>380</v>
      </c>
      <c r="G115" s="106" t="s">
        <v>280</v>
      </c>
      <c r="H115" s="106" t="s">
        <v>306</v>
      </c>
      <c r="I115" s="106">
        <v>734</v>
      </c>
      <c r="J115" s="106"/>
    </row>
    <row r="116" spans="1:10" x14ac:dyDescent="0.2">
      <c r="A116" s="106" t="s">
        <v>362</v>
      </c>
      <c r="B116" s="106" t="s">
        <v>277</v>
      </c>
      <c r="C116" s="106" t="s">
        <v>287</v>
      </c>
      <c r="D116" s="106" t="s">
        <v>279</v>
      </c>
      <c r="E116">
        <v>9369</v>
      </c>
      <c r="F116" s="106" t="s">
        <v>1858</v>
      </c>
      <c r="G116" s="106" t="s">
        <v>280</v>
      </c>
      <c r="H116" s="106" t="s">
        <v>633</v>
      </c>
      <c r="I116">
        <v>242</v>
      </c>
    </row>
    <row r="117" spans="1:10" x14ac:dyDescent="0.2">
      <c r="A117" s="106" t="s">
        <v>362</v>
      </c>
      <c r="B117" s="106" t="s">
        <v>277</v>
      </c>
      <c r="C117" s="106" t="s">
        <v>278</v>
      </c>
      <c r="D117" s="106" t="s">
        <v>279</v>
      </c>
      <c r="E117">
        <v>9716</v>
      </c>
      <c r="F117" s="106" t="s">
        <v>1859</v>
      </c>
      <c r="G117" s="106" t="s">
        <v>280</v>
      </c>
      <c r="H117" s="106" t="s">
        <v>285</v>
      </c>
      <c r="I117" t="s">
        <v>311</v>
      </c>
      <c r="J117" t="s">
        <v>2363</v>
      </c>
    </row>
    <row r="118" spans="1:10" x14ac:dyDescent="0.2">
      <c r="A118" s="106" t="s">
        <v>362</v>
      </c>
      <c r="B118" s="106" t="s">
        <v>277</v>
      </c>
      <c r="C118" s="106" t="s">
        <v>289</v>
      </c>
      <c r="D118" s="106" t="s">
        <v>279</v>
      </c>
      <c r="E118">
        <v>9765</v>
      </c>
      <c r="F118" s="106" t="s">
        <v>1860</v>
      </c>
      <c r="G118" s="106" t="s">
        <v>280</v>
      </c>
      <c r="H118" s="106" t="s">
        <v>285</v>
      </c>
      <c r="I118" s="106">
        <v>167</v>
      </c>
      <c r="J118" s="106"/>
    </row>
    <row r="119" spans="1:10" x14ac:dyDescent="0.2">
      <c r="A119" s="106" t="s">
        <v>362</v>
      </c>
      <c r="B119" s="106" t="s">
        <v>277</v>
      </c>
      <c r="C119" s="106" t="s">
        <v>278</v>
      </c>
      <c r="D119" s="106" t="s">
        <v>283</v>
      </c>
      <c r="E119">
        <v>9778</v>
      </c>
      <c r="F119" s="106" t="s">
        <v>1861</v>
      </c>
      <c r="G119" s="106" t="s">
        <v>284</v>
      </c>
      <c r="H119" s="106" t="s">
        <v>285</v>
      </c>
      <c r="I119" s="106">
        <v>31</v>
      </c>
      <c r="J119" s="106"/>
    </row>
    <row r="120" spans="1:10" x14ac:dyDescent="0.2">
      <c r="A120" s="106" t="s">
        <v>362</v>
      </c>
      <c r="B120" s="106" t="s">
        <v>277</v>
      </c>
      <c r="C120" s="106" t="s">
        <v>278</v>
      </c>
      <c r="D120" s="106" t="s">
        <v>279</v>
      </c>
      <c r="E120">
        <v>9903</v>
      </c>
      <c r="F120" s="106" t="s">
        <v>1862</v>
      </c>
      <c r="G120" s="106" t="s">
        <v>284</v>
      </c>
      <c r="H120" s="106" t="s">
        <v>290</v>
      </c>
      <c r="I120" s="106">
        <v>139</v>
      </c>
      <c r="J120" s="106"/>
    </row>
    <row r="121" spans="1:10" x14ac:dyDescent="0.2">
      <c r="A121" s="106" t="s">
        <v>362</v>
      </c>
      <c r="B121" s="106" t="s">
        <v>277</v>
      </c>
      <c r="C121" s="106" t="s">
        <v>282</v>
      </c>
      <c r="D121" s="106" t="s">
        <v>279</v>
      </c>
      <c r="E121">
        <v>9983</v>
      </c>
      <c r="F121" s="106" t="s">
        <v>368</v>
      </c>
      <c r="G121" s="106" t="s">
        <v>280</v>
      </c>
      <c r="H121" s="106" t="s">
        <v>290</v>
      </c>
      <c r="I121" s="106" t="s">
        <v>2069</v>
      </c>
      <c r="J121" s="106" t="s">
        <v>2263</v>
      </c>
    </row>
    <row r="122" spans="1:10" x14ac:dyDescent="0.2">
      <c r="A122" s="106" t="s">
        <v>369</v>
      </c>
      <c r="B122" s="106" t="s">
        <v>344</v>
      </c>
      <c r="C122" s="106" t="s">
        <v>278</v>
      </c>
      <c r="D122" s="106" t="s">
        <v>279</v>
      </c>
      <c r="E122">
        <v>3093</v>
      </c>
      <c r="F122" s="106" t="s">
        <v>770</v>
      </c>
      <c r="G122" s="106" t="s">
        <v>280</v>
      </c>
      <c r="H122" s="106" t="s">
        <v>290</v>
      </c>
      <c r="I122">
        <v>127</v>
      </c>
    </row>
    <row r="123" spans="1:10" x14ac:dyDescent="0.2">
      <c r="A123" s="106" t="s">
        <v>369</v>
      </c>
      <c r="B123" s="106" t="s">
        <v>344</v>
      </c>
      <c r="C123" s="106" t="s">
        <v>287</v>
      </c>
      <c r="D123" s="106" t="s">
        <v>279</v>
      </c>
      <c r="E123">
        <v>6136</v>
      </c>
      <c r="F123" s="106" t="s">
        <v>1863</v>
      </c>
      <c r="G123" s="106" t="s">
        <v>280</v>
      </c>
      <c r="H123" s="106" t="s">
        <v>301</v>
      </c>
      <c r="I123" s="106" t="s">
        <v>303</v>
      </c>
      <c r="J123" s="106" t="s">
        <v>2364</v>
      </c>
    </row>
    <row r="124" spans="1:10" x14ac:dyDescent="0.2">
      <c r="A124" s="106" t="s">
        <v>369</v>
      </c>
      <c r="B124" s="106" t="s">
        <v>344</v>
      </c>
      <c r="C124" s="106" t="s">
        <v>278</v>
      </c>
      <c r="D124" s="106" t="s">
        <v>279</v>
      </c>
      <c r="E124">
        <v>6432</v>
      </c>
      <c r="F124" s="106" t="s">
        <v>1864</v>
      </c>
      <c r="G124" s="106" t="s">
        <v>280</v>
      </c>
      <c r="H124" s="106" t="s">
        <v>301</v>
      </c>
      <c r="I124" s="106">
        <v>830</v>
      </c>
      <c r="J124" s="106"/>
    </row>
    <row r="125" spans="1:10" x14ac:dyDescent="0.2">
      <c r="A125" s="106" t="s">
        <v>369</v>
      </c>
      <c r="B125" s="106" t="s">
        <v>344</v>
      </c>
      <c r="C125" s="106" t="s">
        <v>289</v>
      </c>
      <c r="D125" s="106" t="s">
        <v>279</v>
      </c>
      <c r="E125">
        <v>6567</v>
      </c>
      <c r="F125" s="106" t="s">
        <v>370</v>
      </c>
      <c r="G125" s="106" t="s">
        <v>292</v>
      </c>
      <c r="H125" s="106" t="s">
        <v>285</v>
      </c>
      <c r="I125" s="106">
        <v>28</v>
      </c>
      <c r="J125" s="106"/>
    </row>
    <row r="126" spans="1:10" x14ac:dyDescent="0.2">
      <c r="A126" s="106" t="s">
        <v>369</v>
      </c>
      <c r="B126" s="106" t="s">
        <v>1865</v>
      </c>
      <c r="C126" s="106" t="s">
        <v>289</v>
      </c>
      <c r="D126" s="106" t="s">
        <v>279</v>
      </c>
      <c r="E126">
        <v>8886</v>
      </c>
      <c r="F126" s="106" t="s">
        <v>1866</v>
      </c>
      <c r="G126" s="106" t="s">
        <v>284</v>
      </c>
      <c r="H126" s="106" t="s">
        <v>306</v>
      </c>
      <c r="I126">
        <v>37</v>
      </c>
    </row>
    <row r="127" spans="1:10" x14ac:dyDescent="0.2">
      <c r="A127" s="106" t="s">
        <v>369</v>
      </c>
      <c r="B127" s="106" t="s">
        <v>277</v>
      </c>
      <c r="C127" s="106" t="s">
        <v>289</v>
      </c>
      <c r="D127" s="106" t="s">
        <v>283</v>
      </c>
      <c r="E127">
        <v>1401</v>
      </c>
      <c r="F127" s="106" t="s">
        <v>1867</v>
      </c>
      <c r="G127" s="106" t="s">
        <v>292</v>
      </c>
      <c r="H127" s="106" t="s">
        <v>307</v>
      </c>
      <c r="I127">
        <v>76</v>
      </c>
    </row>
    <row r="128" spans="1:10" x14ac:dyDescent="0.2">
      <c r="A128" s="106" t="s">
        <v>369</v>
      </c>
      <c r="B128" s="106" t="s">
        <v>277</v>
      </c>
      <c r="C128" s="106" t="s">
        <v>289</v>
      </c>
      <c r="D128" s="106" t="s">
        <v>283</v>
      </c>
      <c r="E128">
        <v>1430</v>
      </c>
      <c r="F128" s="106" t="s">
        <v>553</v>
      </c>
      <c r="G128" s="106" t="s">
        <v>280</v>
      </c>
      <c r="H128" s="106" t="s">
        <v>307</v>
      </c>
      <c r="I128">
        <v>83</v>
      </c>
    </row>
    <row r="129" spans="1:10" x14ac:dyDescent="0.2">
      <c r="A129" s="106" t="s">
        <v>369</v>
      </c>
      <c r="B129" s="106" t="s">
        <v>277</v>
      </c>
      <c r="C129" s="106" t="s">
        <v>289</v>
      </c>
      <c r="D129" s="106" t="s">
        <v>279</v>
      </c>
      <c r="E129">
        <v>2153</v>
      </c>
      <c r="F129" s="106" t="s">
        <v>1868</v>
      </c>
      <c r="G129" s="106" t="s">
        <v>280</v>
      </c>
      <c r="H129" s="106" t="s">
        <v>285</v>
      </c>
      <c r="I129">
        <v>127</v>
      </c>
    </row>
    <row r="130" spans="1:10" x14ac:dyDescent="0.2">
      <c r="A130" s="106" t="s">
        <v>369</v>
      </c>
      <c r="B130" s="106" t="s">
        <v>277</v>
      </c>
      <c r="C130" s="106" t="s">
        <v>282</v>
      </c>
      <c r="D130" s="106" t="s">
        <v>279</v>
      </c>
      <c r="E130">
        <v>2157</v>
      </c>
      <c r="F130" s="106" t="s">
        <v>1869</v>
      </c>
      <c r="G130" s="106" t="s">
        <v>280</v>
      </c>
      <c r="H130" s="106" t="s">
        <v>285</v>
      </c>
      <c r="I130" t="s">
        <v>311</v>
      </c>
      <c r="J130" t="s">
        <v>2365</v>
      </c>
    </row>
    <row r="131" spans="1:10" x14ac:dyDescent="0.2">
      <c r="A131" s="106" t="s">
        <v>369</v>
      </c>
      <c r="B131" s="106" t="s">
        <v>277</v>
      </c>
      <c r="C131" s="106" t="s">
        <v>282</v>
      </c>
      <c r="D131" s="106" t="s">
        <v>279</v>
      </c>
      <c r="E131">
        <v>2164</v>
      </c>
      <c r="F131" s="106" t="s">
        <v>1870</v>
      </c>
      <c r="G131" s="106" t="s">
        <v>284</v>
      </c>
      <c r="H131" s="106" t="s">
        <v>285</v>
      </c>
      <c r="I131" s="106">
        <v>14</v>
      </c>
      <c r="J131" s="106"/>
    </row>
    <row r="132" spans="1:10" x14ac:dyDescent="0.2">
      <c r="A132" s="106" t="s">
        <v>369</v>
      </c>
      <c r="B132" s="106" t="s">
        <v>277</v>
      </c>
      <c r="C132" s="106" t="s">
        <v>278</v>
      </c>
      <c r="D132" s="106" t="s">
        <v>279</v>
      </c>
      <c r="E132">
        <v>2292</v>
      </c>
      <c r="F132" s="106" t="s">
        <v>1871</v>
      </c>
      <c r="G132" s="106" t="s">
        <v>280</v>
      </c>
      <c r="H132" s="106" t="s">
        <v>281</v>
      </c>
      <c r="I132" s="106">
        <v>905</v>
      </c>
      <c r="J132" s="106"/>
    </row>
    <row r="133" spans="1:10" x14ac:dyDescent="0.2">
      <c r="A133" s="106" t="s">
        <v>369</v>
      </c>
      <c r="B133" s="106" t="s">
        <v>277</v>
      </c>
      <c r="C133" s="106" t="s">
        <v>278</v>
      </c>
      <c r="D133" s="106" t="s">
        <v>283</v>
      </c>
      <c r="E133">
        <v>2294</v>
      </c>
      <c r="F133" s="106" t="s">
        <v>570</v>
      </c>
      <c r="G133" s="106" t="s">
        <v>280</v>
      </c>
      <c r="H133" s="106" t="s">
        <v>281</v>
      </c>
      <c r="I133">
        <v>373</v>
      </c>
    </row>
    <row r="134" spans="1:10" x14ac:dyDescent="0.2">
      <c r="A134" s="106" t="s">
        <v>369</v>
      </c>
      <c r="B134" s="106" t="s">
        <v>277</v>
      </c>
      <c r="C134" s="106" t="s">
        <v>278</v>
      </c>
      <c r="D134" s="106" t="s">
        <v>279</v>
      </c>
      <c r="E134">
        <v>2337</v>
      </c>
      <c r="F134" s="106" t="s">
        <v>771</v>
      </c>
      <c r="G134" s="106" t="s">
        <v>280</v>
      </c>
      <c r="H134" s="106" t="s">
        <v>306</v>
      </c>
      <c r="I134" s="106" t="s">
        <v>303</v>
      </c>
      <c r="J134" s="106" t="s">
        <v>2240</v>
      </c>
    </row>
    <row r="135" spans="1:10" x14ac:dyDescent="0.2">
      <c r="A135" s="106" t="s">
        <v>369</v>
      </c>
      <c r="B135" s="106" t="s">
        <v>277</v>
      </c>
      <c r="C135" s="106" t="s">
        <v>278</v>
      </c>
      <c r="D135" s="106" t="s">
        <v>279</v>
      </c>
      <c r="E135">
        <v>2338</v>
      </c>
      <c r="F135" s="106" t="s">
        <v>371</v>
      </c>
      <c r="G135" s="106" t="s">
        <v>288</v>
      </c>
      <c r="H135" s="106" t="s">
        <v>291</v>
      </c>
      <c r="I135" s="106">
        <v>24</v>
      </c>
      <c r="J135" s="106"/>
    </row>
    <row r="136" spans="1:10" x14ac:dyDescent="0.2">
      <c r="A136" s="106" t="s">
        <v>369</v>
      </c>
      <c r="B136" s="106" t="s">
        <v>277</v>
      </c>
      <c r="C136" s="106" t="s">
        <v>278</v>
      </c>
      <c r="D136" s="106" t="s">
        <v>283</v>
      </c>
      <c r="E136">
        <v>2379</v>
      </c>
      <c r="F136" s="106" t="s">
        <v>1872</v>
      </c>
      <c r="G136" s="106" t="s">
        <v>280</v>
      </c>
      <c r="H136" s="106" t="s">
        <v>285</v>
      </c>
      <c r="I136" s="106" t="s">
        <v>303</v>
      </c>
      <c r="J136" s="106" t="s">
        <v>2366</v>
      </c>
    </row>
    <row r="137" spans="1:10" x14ac:dyDescent="0.2">
      <c r="A137" s="106" t="s">
        <v>369</v>
      </c>
      <c r="B137" s="106" t="s">
        <v>277</v>
      </c>
      <c r="C137" s="106" t="s">
        <v>289</v>
      </c>
      <c r="D137" s="106" t="s">
        <v>279</v>
      </c>
      <c r="E137">
        <v>2459</v>
      </c>
      <c r="F137" s="106" t="s">
        <v>1873</v>
      </c>
      <c r="G137" s="106" t="s">
        <v>288</v>
      </c>
      <c r="H137" s="106" t="s">
        <v>285</v>
      </c>
      <c r="I137">
        <v>18</v>
      </c>
    </row>
    <row r="138" spans="1:10" x14ac:dyDescent="0.2">
      <c r="A138" s="106" t="s">
        <v>369</v>
      </c>
      <c r="B138" s="106" t="s">
        <v>277</v>
      </c>
      <c r="C138" s="106" t="s">
        <v>278</v>
      </c>
      <c r="D138" s="106" t="s">
        <v>279</v>
      </c>
      <c r="E138">
        <v>2651</v>
      </c>
      <c r="F138" s="106" t="s">
        <v>372</v>
      </c>
      <c r="G138" s="106" t="s">
        <v>280</v>
      </c>
      <c r="H138" s="106" t="s">
        <v>290</v>
      </c>
      <c r="I138" s="106" t="s">
        <v>339</v>
      </c>
      <c r="J138" s="106" t="s">
        <v>2367</v>
      </c>
    </row>
    <row r="139" spans="1:10" x14ac:dyDescent="0.2">
      <c r="A139" s="106" t="s">
        <v>369</v>
      </c>
      <c r="B139" s="106" t="s">
        <v>277</v>
      </c>
      <c r="C139" s="106" t="s">
        <v>278</v>
      </c>
      <c r="D139" s="106" t="s">
        <v>279</v>
      </c>
      <c r="E139">
        <v>2668</v>
      </c>
      <c r="F139" s="106" t="s">
        <v>1874</v>
      </c>
      <c r="G139" s="106" t="s">
        <v>288</v>
      </c>
      <c r="H139" s="106" t="s">
        <v>286</v>
      </c>
      <c r="I139">
        <v>77</v>
      </c>
    </row>
    <row r="140" spans="1:10" x14ac:dyDescent="0.2">
      <c r="A140" s="106" t="s">
        <v>369</v>
      </c>
      <c r="B140" s="106" t="s">
        <v>277</v>
      </c>
      <c r="C140" s="106" t="s">
        <v>278</v>
      </c>
      <c r="D140" s="106" t="s">
        <v>283</v>
      </c>
      <c r="E140">
        <v>2669</v>
      </c>
      <c r="F140" s="106" t="s">
        <v>1875</v>
      </c>
      <c r="G140" s="106" t="s">
        <v>284</v>
      </c>
      <c r="H140" s="106" t="s">
        <v>290</v>
      </c>
      <c r="I140" s="106">
        <v>302</v>
      </c>
      <c r="J140" s="106"/>
    </row>
    <row r="141" spans="1:10" x14ac:dyDescent="0.2">
      <c r="A141" s="106" t="s">
        <v>369</v>
      </c>
      <c r="B141" s="106" t="s">
        <v>277</v>
      </c>
      <c r="C141" s="106" t="s">
        <v>278</v>
      </c>
      <c r="D141" s="106" t="s">
        <v>279</v>
      </c>
      <c r="E141">
        <v>2686</v>
      </c>
      <c r="F141" s="106" t="s">
        <v>1876</v>
      </c>
      <c r="G141" s="106" t="s">
        <v>280</v>
      </c>
      <c r="H141" s="106" t="s">
        <v>290</v>
      </c>
      <c r="I141">
        <v>265</v>
      </c>
    </row>
    <row r="142" spans="1:10" x14ac:dyDescent="0.2">
      <c r="A142" s="106" t="s">
        <v>369</v>
      </c>
      <c r="B142" s="106" t="s">
        <v>277</v>
      </c>
      <c r="C142" s="106" t="s">
        <v>278</v>
      </c>
      <c r="D142" s="106" t="s">
        <v>279</v>
      </c>
      <c r="E142">
        <v>2687</v>
      </c>
      <c r="F142" s="106" t="s">
        <v>1877</v>
      </c>
      <c r="G142" s="106" t="s">
        <v>280</v>
      </c>
      <c r="H142" s="106" t="s">
        <v>290</v>
      </c>
      <c r="I142">
        <v>35</v>
      </c>
    </row>
    <row r="143" spans="1:10" x14ac:dyDescent="0.2">
      <c r="A143" s="106" t="s">
        <v>369</v>
      </c>
      <c r="B143" s="106" t="s">
        <v>277</v>
      </c>
      <c r="C143" s="106" t="s">
        <v>278</v>
      </c>
      <c r="D143" s="106" t="s">
        <v>283</v>
      </c>
      <c r="E143">
        <v>2706</v>
      </c>
      <c r="F143" s="106" t="s">
        <v>373</v>
      </c>
      <c r="G143" s="106" t="s">
        <v>284</v>
      </c>
      <c r="H143" s="106" t="s">
        <v>302</v>
      </c>
      <c r="I143">
        <v>130</v>
      </c>
    </row>
    <row r="144" spans="1:10" x14ac:dyDescent="0.2">
      <c r="A144" s="106" t="s">
        <v>369</v>
      </c>
      <c r="B144" s="106" t="s">
        <v>277</v>
      </c>
      <c r="C144" s="106" t="s">
        <v>282</v>
      </c>
      <c r="D144" s="106" t="s">
        <v>279</v>
      </c>
      <c r="E144">
        <v>2735</v>
      </c>
      <c r="F144" s="106" t="s">
        <v>1878</v>
      </c>
      <c r="G144" s="106" t="s">
        <v>280</v>
      </c>
      <c r="H144" s="106" t="s">
        <v>290</v>
      </c>
      <c r="I144">
        <v>84</v>
      </c>
    </row>
    <row r="145" spans="1:10" x14ac:dyDescent="0.2">
      <c r="A145" s="106" t="s">
        <v>369</v>
      </c>
      <c r="B145" s="106" t="s">
        <v>277</v>
      </c>
      <c r="C145" s="106" t="s">
        <v>282</v>
      </c>
      <c r="D145" s="106" t="s">
        <v>279</v>
      </c>
      <c r="E145">
        <v>2736</v>
      </c>
      <c r="F145" s="106" t="s">
        <v>1879</v>
      </c>
      <c r="G145" s="106" t="s">
        <v>284</v>
      </c>
      <c r="H145" s="106" t="s">
        <v>290</v>
      </c>
      <c r="I145">
        <v>21</v>
      </c>
    </row>
    <row r="146" spans="1:10" x14ac:dyDescent="0.2">
      <c r="A146" s="106" t="s">
        <v>369</v>
      </c>
      <c r="B146" s="106" t="s">
        <v>277</v>
      </c>
      <c r="C146" s="106" t="s">
        <v>278</v>
      </c>
      <c r="D146" s="106" t="s">
        <v>283</v>
      </c>
      <c r="E146">
        <v>2747</v>
      </c>
      <c r="F146" s="106" t="s">
        <v>1880</v>
      </c>
      <c r="G146" s="106" t="s">
        <v>284</v>
      </c>
      <c r="H146" s="106" t="s">
        <v>290</v>
      </c>
      <c r="I146" s="106">
        <v>41</v>
      </c>
      <c r="J146" s="106"/>
    </row>
    <row r="147" spans="1:10" x14ac:dyDescent="0.2">
      <c r="A147" s="106" t="s">
        <v>369</v>
      </c>
      <c r="B147" s="106" t="s">
        <v>277</v>
      </c>
      <c r="C147" s="106" t="s">
        <v>278</v>
      </c>
      <c r="D147" s="106" t="s">
        <v>283</v>
      </c>
      <c r="E147">
        <v>2872</v>
      </c>
      <c r="F147" s="106" t="s">
        <v>1881</v>
      </c>
      <c r="G147" s="106" t="s">
        <v>288</v>
      </c>
      <c r="H147" s="106" t="s">
        <v>281</v>
      </c>
      <c r="I147" s="106">
        <v>15</v>
      </c>
      <c r="J147" s="106"/>
    </row>
    <row r="148" spans="1:10" x14ac:dyDescent="0.2">
      <c r="A148" s="106" t="s">
        <v>369</v>
      </c>
      <c r="B148" s="106" t="s">
        <v>277</v>
      </c>
      <c r="C148" s="106" t="s">
        <v>287</v>
      </c>
      <c r="D148" s="106" t="s">
        <v>279</v>
      </c>
      <c r="E148">
        <v>2975</v>
      </c>
      <c r="F148" s="106" t="s">
        <v>1882</v>
      </c>
      <c r="G148" s="106" t="s">
        <v>280</v>
      </c>
      <c r="H148" s="106" t="s">
        <v>306</v>
      </c>
      <c r="I148">
        <v>309</v>
      </c>
    </row>
    <row r="149" spans="1:10" x14ac:dyDescent="0.2">
      <c r="A149" s="106" t="s">
        <v>369</v>
      </c>
      <c r="B149" s="106" t="s">
        <v>277</v>
      </c>
      <c r="C149" s="106" t="s">
        <v>282</v>
      </c>
      <c r="D149" s="106" t="s">
        <v>279</v>
      </c>
      <c r="E149">
        <v>3045</v>
      </c>
      <c r="F149" s="106" t="s">
        <v>1883</v>
      </c>
      <c r="G149" s="106" t="s">
        <v>288</v>
      </c>
      <c r="H149" s="106" t="s">
        <v>286</v>
      </c>
      <c r="I149" s="106">
        <v>28</v>
      </c>
      <c r="J149" s="106"/>
    </row>
    <row r="150" spans="1:10" x14ac:dyDescent="0.2">
      <c r="A150" s="106" t="s">
        <v>369</v>
      </c>
      <c r="B150" s="106" t="s">
        <v>277</v>
      </c>
      <c r="C150" s="106" t="s">
        <v>282</v>
      </c>
      <c r="D150" s="106" t="s">
        <v>279</v>
      </c>
      <c r="E150">
        <v>3046</v>
      </c>
      <c r="F150" s="106" t="s">
        <v>1884</v>
      </c>
      <c r="G150" s="106" t="s">
        <v>280</v>
      </c>
      <c r="H150" s="106" t="s">
        <v>290</v>
      </c>
      <c r="I150" s="106" t="s">
        <v>311</v>
      </c>
      <c r="J150" s="106" t="s">
        <v>2368</v>
      </c>
    </row>
    <row r="151" spans="1:10" x14ac:dyDescent="0.2">
      <c r="A151" s="106" t="s">
        <v>369</v>
      </c>
      <c r="B151" s="106" t="s">
        <v>277</v>
      </c>
      <c r="C151" s="106" t="s">
        <v>282</v>
      </c>
      <c r="D151" s="106" t="s">
        <v>279</v>
      </c>
      <c r="E151">
        <v>3048</v>
      </c>
      <c r="F151" s="106" t="s">
        <v>1885</v>
      </c>
      <c r="G151" s="106" t="s">
        <v>280</v>
      </c>
      <c r="H151" s="106" t="s">
        <v>290</v>
      </c>
      <c r="I151" t="s">
        <v>303</v>
      </c>
      <c r="J151" t="s">
        <v>2369</v>
      </c>
    </row>
    <row r="152" spans="1:10" x14ac:dyDescent="0.2">
      <c r="A152" s="106" t="s">
        <v>369</v>
      </c>
      <c r="B152" s="106" t="s">
        <v>277</v>
      </c>
      <c r="C152" s="106" t="s">
        <v>278</v>
      </c>
      <c r="D152" s="106" t="s">
        <v>279</v>
      </c>
      <c r="E152">
        <v>3063</v>
      </c>
      <c r="F152" s="106" t="s">
        <v>1886</v>
      </c>
      <c r="G152" s="106" t="s">
        <v>292</v>
      </c>
      <c r="H152" s="106" t="s">
        <v>290</v>
      </c>
      <c r="I152" s="106">
        <v>67</v>
      </c>
      <c r="J152" s="106"/>
    </row>
    <row r="153" spans="1:10" x14ac:dyDescent="0.2">
      <c r="A153" s="106" t="s">
        <v>369</v>
      </c>
      <c r="B153" s="106" t="s">
        <v>277</v>
      </c>
      <c r="C153" s="106" t="s">
        <v>278</v>
      </c>
      <c r="D153" s="106" t="s">
        <v>283</v>
      </c>
      <c r="E153">
        <v>3065</v>
      </c>
      <c r="F153" s="106" t="s">
        <v>1887</v>
      </c>
      <c r="G153" s="106" t="s">
        <v>284</v>
      </c>
      <c r="H153" s="106" t="s">
        <v>290</v>
      </c>
      <c r="I153" s="106">
        <v>67</v>
      </c>
      <c r="J153" s="106"/>
    </row>
    <row r="154" spans="1:10" x14ac:dyDescent="0.2">
      <c r="A154" s="106" t="s">
        <v>369</v>
      </c>
      <c r="B154" s="106" t="s">
        <v>277</v>
      </c>
      <c r="C154" s="106" t="s">
        <v>278</v>
      </c>
      <c r="D154" s="106" t="s">
        <v>283</v>
      </c>
      <c r="E154">
        <v>3094</v>
      </c>
      <c r="F154" s="106" t="s">
        <v>1888</v>
      </c>
      <c r="G154" s="106" t="s">
        <v>284</v>
      </c>
      <c r="H154" s="106" t="s">
        <v>290</v>
      </c>
      <c r="I154" s="106">
        <v>34</v>
      </c>
      <c r="J154" s="106"/>
    </row>
    <row r="155" spans="1:10" x14ac:dyDescent="0.2">
      <c r="A155" s="106" t="s">
        <v>369</v>
      </c>
      <c r="B155" s="106" t="s">
        <v>277</v>
      </c>
      <c r="C155" s="106" t="s">
        <v>282</v>
      </c>
      <c r="D155" s="106" t="s">
        <v>279</v>
      </c>
      <c r="E155">
        <v>3189</v>
      </c>
      <c r="F155" s="106" t="s">
        <v>1889</v>
      </c>
      <c r="G155" s="106" t="s">
        <v>284</v>
      </c>
      <c r="H155" s="106" t="s">
        <v>290</v>
      </c>
      <c r="I155" s="106">
        <v>27</v>
      </c>
      <c r="J155" s="106"/>
    </row>
    <row r="156" spans="1:10" x14ac:dyDescent="0.2">
      <c r="A156" s="106" t="s">
        <v>369</v>
      </c>
      <c r="B156" s="106" t="s">
        <v>277</v>
      </c>
      <c r="C156" s="106" t="s">
        <v>278</v>
      </c>
      <c r="D156" s="106" t="s">
        <v>279</v>
      </c>
      <c r="E156">
        <v>3194</v>
      </c>
      <c r="F156" s="106" t="s">
        <v>1890</v>
      </c>
      <c r="G156" s="106" t="s">
        <v>280</v>
      </c>
      <c r="H156" s="106" t="s">
        <v>290</v>
      </c>
      <c r="I156" s="106">
        <v>237</v>
      </c>
      <c r="J156" s="106"/>
    </row>
    <row r="157" spans="1:10" x14ac:dyDescent="0.2">
      <c r="A157" s="106" t="s">
        <v>369</v>
      </c>
      <c r="B157" s="106" t="s">
        <v>277</v>
      </c>
      <c r="C157" s="106" t="s">
        <v>287</v>
      </c>
      <c r="D157" s="106" t="s">
        <v>279</v>
      </c>
      <c r="E157">
        <v>3267</v>
      </c>
      <c r="F157" s="106" t="s">
        <v>1891</v>
      </c>
      <c r="G157" s="106" t="s">
        <v>292</v>
      </c>
      <c r="H157" s="106" t="s">
        <v>307</v>
      </c>
      <c r="I157">
        <v>245</v>
      </c>
    </row>
    <row r="158" spans="1:10" x14ac:dyDescent="0.2">
      <c r="A158" s="106" t="s">
        <v>369</v>
      </c>
      <c r="B158" s="106" t="s">
        <v>277</v>
      </c>
      <c r="C158" s="106" t="s">
        <v>278</v>
      </c>
      <c r="D158" s="106" t="s">
        <v>279</v>
      </c>
      <c r="E158">
        <v>3280</v>
      </c>
      <c r="F158" s="106" t="s">
        <v>1892</v>
      </c>
      <c r="G158" s="106" t="s">
        <v>280</v>
      </c>
      <c r="H158" s="106" t="s">
        <v>306</v>
      </c>
      <c r="I158" s="106">
        <v>50</v>
      </c>
      <c r="J158" s="106"/>
    </row>
    <row r="159" spans="1:10" x14ac:dyDescent="0.2">
      <c r="A159" s="106" t="s">
        <v>369</v>
      </c>
      <c r="B159" s="106" t="s">
        <v>277</v>
      </c>
      <c r="C159" s="106" t="s">
        <v>289</v>
      </c>
      <c r="D159" s="106" t="s">
        <v>283</v>
      </c>
      <c r="E159">
        <v>3297</v>
      </c>
      <c r="F159" s="106" t="s">
        <v>574</v>
      </c>
      <c r="G159" s="106" t="s">
        <v>284</v>
      </c>
      <c r="H159" s="106" t="s">
        <v>306</v>
      </c>
      <c r="I159" s="106">
        <v>29</v>
      </c>
      <c r="J159" s="106"/>
    </row>
    <row r="160" spans="1:10" x14ac:dyDescent="0.2">
      <c r="A160" s="106" t="s">
        <v>369</v>
      </c>
      <c r="B160" s="106" t="s">
        <v>277</v>
      </c>
      <c r="C160" s="106" t="s">
        <v>289</v>
      </c>
      <c r="D160" s="106" t="s">
        <v>279</v>
      </c>
      <c r="E160">
        <v>3349</v>
      </c>
      <c r="F160" s="106" t="s">
        <v>772</v>
      </c>
      <c r="G160" s="106" t="s">
        <v>280</v>
      </c>
      <c r="H160" s="106" t="s">
        <v>290</v>
      </c>
      <c r="I160" s="106" t="s">
        <v>330</v>
      </c>
      <c r="J160" s="106" t="s">
        <v>2370</v>
      </c>
    </row>
    <row r="161" spans="1:10" x14ac:dyDescent="0.2">
      <c r="A161" s="106" t="s">
        <v>369</v>
      </c>
      <c r="B161" s="106" t="s">
        <v>277</v>
      </c>
      <c r="C161" s="106" t="s">
        <v>287</v>
      </c>
      <c r="D161" s="106" t="s">
        <v>283</v>
      </c>
      <c r="E161">
        <v>3377</v>
      </c>
      <c r="F161" s="106" t="s">
        <v>575</v>
      </c>
      <c r="G161" s="106" t="s">
        <v>288</v>
      </c>
      <c r="H161" s="106" t="s">
        <v>286</v>
      </c>
      <c r="I161" s="106">
        <v>30</v>
      </c>
      <c r="J161" s="106"/>
    </row>
    <row r="162" spans="1:10" x14ac:dyDescent="0.2">
      <c r="A162" s="106" t="s">
        <v>369</v>
      </c>
      <c r="B162" s="106" t="s">
        <v>277</v>
      </c>
      <c r="C162" s="106" t="s">
        <v>287</v>
      </c>
      <c r="D162" s="106" t="s">
        <v>279</v>
      </c>
      <c r="E162">
        <v>3454</v>
      </c>
      <c r="F162" s="106" t="s">
        <v>559</v>
      </c>
      <c r="G162" s="106" t="s">
        <v>280</v>
      </c>
      <c r="H162" s="106" t="s">
        <v>306</v>
      </c>
      <c r="I162" s="106">
        <v>195</v>
      </c>
      <c r="J162" s="106"/>
    </row>
    <row r="163" spans="1:10" x14ac:dyDescent="0.2">
      <c r="A163" s="106" t="s">
        <v>369</v>
      </c>
      <c r="B163" s="106" t="s">
        <v>277</v>
      </c>
      <c r="C163" s="106" t="s">
        <v>278</v>
      </c>
      <c r="D163" s="106" t="s">
        <v>283</v>
      </c>
      <c r="E163">
        <v>3490</v>
      </c>
      <c r="F163" s="106" t="s">
        <v>1893</v>
      </c>
      <c r="G163" s="106" t="s">
        <v>284</v>
      </c>
      <c r="H163" s="106" t="s">
        <v>306</v>
      </c>
      <c r="I163" s="106">
        <v>14</v>
      </c>
      <c r="J163" s="106"/>
    </row>
    <row r="164" spans="1:10" x14ac:dyDescent="0.2">
      <c r="A164" s="106" t="s">
        <v>369</v>
      </c>
      <c r="B164" s="106" t="s">
        <v>277</v>
      </c>
      <c r="C164" s="106" t="s">
        <v>278</v>
      </c>
      <c r="D164" s="106" t="s">
        <v>279</v>
      </c>
      <c r="E164">
        <v>3543</v>
      </c>
      <c r="F164" s="106" t="s">
        <v>1894</v>
      </c>
      <c r="G164" s="106" t="s">
        <v>280</v>
      </c>
      <c r="H164" s="106" t="s">
        <v>286</v>
      </c>
      <c r="I164">
        <v>964</v>
      </c>
    </row>
    <row r="165" spans="1:10" x14ac:dyDescent="0.2">
      <c r="A165" s="106" t="s">
        <v>369</v>
      </c>
      <c r="B165" s="106" t="s">
        <v>277</v>
      </c>
      <c r="C165" s="106" t="s">
        <v>278</v>
      </c>
      <c r="D165" s="106" t="s">
        <v>279</v>
      </c>
      <c r="E165">
        <v>3546</v>
      </c>
      <c r="F165" s="106" t="s">
        <v>374</v>
      </c>
      <c r="G165" s="106" t="s">
        <v>280</v>
      </c>
      <c r="H165" s="106" t="s">
        <v>290</v>
      </c>
      <c r="I165" s="106">
        <v>285</v>
      </c>
      <c r="J165" s="106"/>
    </row>
    <row r="166" spans="1:10" x14ac:dyDescent="0.2">
      <c r="A166" s="106" t="s">
        <v>369</v>
      </c>
      <c r="B166" s="106" t="s">
        <v>277</v>
      </c>
      <c r="C166" s="106" t="s">
        <v>282</v>
      </c>
      <c r="D166" s="106" t="s">
        <v>283</v>
      </c>
      <c r="E166">
        <v>3560</v>
      </c>
      <c r="F166" s="106" t="s">
        <v>1895</v>
      </c>
      <c r="G166" s="106" t="s">
        <v>284</v>
      </c>
      <c r="H166" s="106" t="s">
        <v>290</v>
      </c>
      <c r="I166" s="106">
        <v>125</v>
      </c>
      <c r="J166" s="106"/>
    </row>
    <row r="167" spans="1:10" x14ac:dyDescent="0.2">
      <c r="A167" s="106" t="s">
        <v>369</v>
      </c>
      <c r="B167" s="106" t="s">
        <v>277</v>
      </c>
      <c r="C167" s="106" t="s">
        <v>282</v>
      </c>
      <c r="D167" s="106" t="s">
        <v>279</v>
      </c>
      <c r="E167">
        <v>3607</v>
      </c>
      <c r="F167" s="106" t="s">
        <v>1896</v>
      </c>
      <c r="G167" s="106" t="s">
        <v>280</v>
      </c>
      <c r="H167" s="106" t="s">
        <v>313</v>
      </c>
      <c r="I167" s="106">
        <v>47</v>
      </c>
      <c r="J167" s="106"/>
    </row>
    <row r="168" spans="1:10" x14ac:dyDescent="0.2">
      <c r="A168" s="106" t="s">
        <v>369</v>
      </c>
      <c r="B168" s="106" t="s">
        <v>277</v>
      </c>
      <c r="C168" s="106" t="s">
        <v>278</v>
      </c>
      <c r="D168" s="106" t="s">
        <v>279</v>
      </c>
      <c r="E168">
        <v>3608</v>
      </c>
      <c r="F168" s="106" t="s">
        <v>1897</v>
      </c>
      <c r="G168" s="106" t="s">
        <v>280</v>
      </c>
      <c r="H168" s="106" t="s">
        <v>313</v>
      </c>
      <c r="I168">
        <v>597</v>
      </c>
    </row>
    <row r="169" spans="1:10" x14ac:dyDescent="0.2">
      <c r="A169" s="106" t="s">
        <v>369</v>
      </c>
      <c r="B169" s="106" t="s">
        <v>277</v>
      </c>
      <c r="C169" s="106" t="s">
        <v>278</v>
      </c>
      <c r="D169" s="106" t="s">
        <v>279</v>
      </c>
      <c r="E169">
        <v>3627</v>
      </c>
      <c r="F169" s="106" t="s">
        <v>1898</v>
      </c>
      <c r="G169" s="106" t="s">
        <v>280</v>
      </c>
      <c r="H169" s="106" t="s">
        <v>291</v>
      </c>
      <c r="I169">
        <v>93</v>
      </c>
    </row>
    <row r="170" spans="1:10" x14ac:dyDescent="0.2">
      <c r="A170" s="106" t="s">
        <v>369</v>
      </c>
      <c r="B170" s="106" t="s">
        <v>277</v>
      </c>
      <c r="C170" s="106" t="s">
        <v>289</v>
      </c>
      <c r="D170" s="106" t="s">
        <v>279</v>
      </c>
      <c r="E170">
        <v>3645</v>
      </c>
      <c r="F170" s="106" t="s">
        <v>1899</v>
      </c>
      <c r="G170" s="106" t="s">
        <v>292</v>
      </c>
      <c r="H170" s="106" t="s">
        <v>291</v>
      </c>
      <c r="I170">
        <v>27</v>
      </c>
    </row>
    <row r="171" spans="1:10" x14ac:dyDescent="0.2">
      <c r="A171" s="106" t="s">
        <v>369</v>
      </c>
      <c r="B171" s="106" t="s">
        <v>277</v>
      </c>
      <c r="C171" s="106" t="s">
        <v>278</v>
      </c>
      <c r="D171" s="106" t="s">
        <v>279</v>
      </c>
      <c r="E171">
        <v>3670</v>
      </c>
      <c r="F171" s="106" t="s">
        <v>1900</v>
      </c>
      <c r="G171" s="106" t="s">
        <v>284</v>
      </c>
      <c r="H171" s="106" t="s">
        <v>291</v>
      </c>
      <c r="I171">
        <v>23</v>
      </c>
    </row>
    <row r="172" spans="1:10" x14ac:dyDescent="0.2">
      <c r="A172" s="106" t="s">
        <v>369</v>
      </c>
      <c r="B172" s="106" t="s">
        <v>277</v>
      </c>
      <c r="C172" s="106" t="s">
        <v>282</v>
      </c>
      <c r="D172" s="106" t="s">
        <v>279</v>
      </c>
      <c r="E172">
        <v>3711</v>
      </c>
      <c r="F172" s="106" t="s">
        <v>1901</v>
      </c>
      <c r="G172" s="106" t="s">
        <v>284</v>
      </c>
      <c r="H172" s="106" t="s">
        <v>291</v>
      </c>
      <c r="I172">
        <v>463</v>
      </c>
    </row>
    <row r="173" spans="1:10" x14ac:dyDescent="0.2">
      <c r="A173" s="106" t="s">
        <v>369</v>
      </c>
      <c r="B173" s="106" t="s">
        <v>277</v>
      </c>
      <c r="C173" s="106" t="s">
        <v>282</v>
      </c>
      <c r="D173" s="106" t="s">
        <v>279</v>
      </c>
      <c r="E173">
        <v>3815</v>
      </c>
      <c r="F173" s="106" t="s">
        <v>1902</v>
      </c>
      <c r="G173" s="106" t="s">
        <v>292</v>
      </c>
      <c r="H173" s="106" t="s">
        <v>291</v>
      </c>
      <c r="I173">
        <v>55</v>
      </c>
    </row>
    <row r="174" spans="1:10" x14ac:dyDescent="0.2">
      <c r="A174" s="106" t="s">
        <v>369</v>
      </c>
      <c r="B174" s="106" t="s">
        <v>277</v>
      </c>
      <c r="C174" s="106" t="s">
        <v>278</v>
      </c>
      <c r="D174" s="106" t="s">
        <v>283</v>
      </c>
      <c r="E174">
        <v>3826</v>
      </c>
      <c r="F174" s="106" t="s">
        <v>1903</v>
      </c>
      <c r="G174" s="106" t="s">
        <v>280</v>
      </c>
      <c r="H174" s="106" t="s">
        <v>291</v>
      </c>
      <c r="I174">
        <v>93</v>
      </c>
    </row>
    <row r="175" spans="1:10" x14ac:dyDescent="0.2">
      <c r="A175" s="106" t="s">
        <v>369</v>
      </c>
      <c r="B175" s="106" t="s">
        <v>277</v>
      </c>
      <c r="C175" s="106" t="s">
        <v>289</v>
      </c>
      <c r="D175" s="106" t="s">
        <v>283</v>
      </c>
      <c r="E175">
        <v>3892</v>
      </c>
      <c r="F175" s="106" t="s">
        <v>1904</v>
      </c>
      <c r="G175" s="106" t="s">
        <v>284</v>
      </c>
      <c r="H175" s="106" t="s">
        <v>314</v>
      </c>
      <c r="I175" s="106">
        <v>43</v>
      </c>
      <c r="J175" s="106"/>
    </row>
    <row r="176" spans="1:10" x14ac:dyDescent="0.2">
      <c r="A176" s="106" t="s">
        <v>369</v>
      </c>
      <c r="B176" s="106" t="s">
        <v>277</v>
      </c>
      <c r="C176" s="106" t="s">
        <v>278</v>
      </c>
      <c r="D176" s="106" t="s">
        <v>279</v>
      </c>
      <c r="E176">
        <v>3915</v>
      </c>
      <c r="F176" s="106" t="s">
        <v>1905</v>
      </c>
      <c r="G176" s="106" t="s">
        <v>280</v>
      </c>
      <c r="H176" s="106" t="s">
        <v>291</v>
      </c>
      <c r="I176" s="106">
        <v>303</v>
      </c>
      <c r="J176" s="106"/>
    </row>
    <row r="177" spans="1:10" x14ac:dyDescent="0.2">
      <c r="A177" s="106" t="s">
        <v>369</v>
      </c>
      <c r="B177" s="106" t="s">
        <v>277</v>
      </c>
      <c r="C177" s="106" t="s">
        <v>278</v>
      </c>
      <c r="D177" s="106" t="s">
        <v>279</v>
      </c>
      <c r="E177">
        <v>3922</v>
      </c>
      <c r="F177" s="106" t="s">
        <v>375</v>
      </c>
      <c r="G177" s="106" t="s">
        <v>280</v>
      </c>
      <c r="H177" s="106" t="s">
        <v>291</v>
      </c>
      <c r="I177" s="106">
        <v>156</v>
      </c>
      <c r="J177" s="106"/>
    </row>
    <row r="178" spans="1:10" x14ac:dyDescent="0.2">
      <c r="A178" s="106" t="s">
        <v>369</v>
      </c>
      <c r="B178" s="106" t="s">
        <v>277</v>
      </c>
      <c r="C178" s="106" t="s">
        <v>278</v>
      </c>
      <c r="D178" s="106" t="s">
        <v>279</v>
      </c>
      <c r="E178">
        <v>3967</v>
      </c>
      <c r="F178" s="106" t="s">
        <v>1906</v>
      </c>
      <c r="G178" s="106" t="s">
        <v>292</v>
      </c>
      <c r="H178" s="106" t="s">
        <v>291</v>
      </c>
      <c r="I178">
        <v>96</v>
      </c>
    </row>
    <row r="179" spans="1:10" x14ac:dyDescent="0.2">
      <c r="A179" s="106" t="s">
        <v>369</v>
      </c>
      <c r="B179" s="106" t="s">
        <v>277</v>
      </c>
      <c r="C179" s="106" t="s">
        <v>287</v>
      </c>
      <c r="D179" s="106" t="s">
        <v>283</v>
      </c>
      <c r="E179">
        <v>4394</v>
      </c>
      <c r="F179" s="106" t="s">
        <v>1907</v>
      </c>
      <c r="G179" s="106" t="s">
        <v>292</v>
      </c>
      <c r="H179" s="106" t="s">
        <v>291</v>
      </c>
      <c r="I179">
        <v>69</v>
      </c>
    </row>
    <row r="180" spans="1:10" x14ac:dyDescent="0.2">
      <c r="A180" s="106" t="s">
        <v>369</v>
      </c>
      <c r="B180" s="106" t="s">
        <v>277</v>
      </c>
      <c r="C180" s="106" t="s">
        <v>282</v>
      </c>
      <c r="D180" s="106" t="s">
        <v>279</v>
      </c>
      <c r="E180">
        <v>4439</v>
      </c>
      <c r="F180" s="106" t="s">
        <v>1908</v>
      </c>
      <c r="G180" s="106" t="s">
        <v>292</v>
      </c>
      <c r="H180" s="106" t="s">
        <v>291</v>
      </c>
      <c r="I180" s="106">
        <v>98</v>
      </c>
      <c r="J180" s="106"/>
    </row>
    <row r="181" spans="1:10" x14ac:dyDescent="0.2">
      <c r="A181" s="106" t="s">
        <v>369</v>
      </c>
      <c r="B181" s="106" t="s">
        <v>277</v>
      </c>
      <c r="C181" s="106" t="s">
        <v>282</v>
      </c>
      <c r="D181" s="106" t="s">
        <v>279</v>
      </c>
      <c r="E181">
        <v>4440</v>
      </c>
      <c r="F181" s="106" t="s">
        <v>582</v>
      </c>
      <c r="G181" s="106" t="s">
        <v>292</v>
      </c>
      <c r="H181" s="106" t="s">
        <v>291</v>
      </c>
      <c r="I181" s="106">
        <v>93</v>
      </c>
      <c r="J181" s="106"/>
    </row>
    <row r="182" spans="1:10" x14ac:dyDescent="0.2">
      <c r="A182" s="106" t="s">
        <v>369</v>
      </c>
      <c r="B182" s="106" t="s">
        <v>277</v>
      </c>
      <c r="C182" s="106" t="s">
        <v>278</v>
      </c>
      <c r="D182" s="106" t="s">
        <v>279</v>
      </c>
      <c r="E182">
        <v>4530</v>
      </c>
      <c r="F182" s="106" t="s">
        <v>773</v>
      </c>
      <c r="G182" s="106" t="s">
        <v>280</v>
      </c>
      <c r="H182" s="106" t="s">
        <v>325</v>
      </c>
      <c r="I182" s="106" t="s">
        <v>330</v>
      </c>
      <c r="J182" s="106" t="s">
        <v>2238</v>
      </c>
    </row>
    <row r="183" spans="1:10" x14ac:dyDescent="0.2">
      <c r="A183" s="106" t="s">
        <v>369</v>
      </c>
      <c r="B183" s="106" t="s">
        <v>277</v>
      </c>
      <c r="C183" s="106" t="s">
        <v>282</v>
      </c>
      <c r="D183" s="106" t="s">
        <v>279</v>
      </c>
      <c r="E183">
        <v>4760</v>
      </c>
      <c r="F183" s="106" t="s">
        <v>1909</v>
      </c>
      <c r="G183" s="106" t="s">
        <v>284</v>
      </c>
      <c r="H183" s="106" t="s">
        <v>285</v>
      </c>
      <c r="I183">
        <v>15</v>
      </c>
    </row>
    <row r="184" spans="1:10" x14ac:dyDescent="0.2">
      <c r="A184" s="106" t="s">
        <v>369</v>
      </c>
      <c r="B184" s="106" t="s">
        <v>277</v>
      </c>
      <c r="C184" s="106" t="s">
        <v>289</v>
      </c>
      <c r="D184" s="106" t="s">
        <v>279</v>
      </c>
      <c r="E184">
        <v>4829</v>
      </c>
      <c r="F184" s="106" t="s">
        <v>376</v>
      </c>
      <c r="G184" s="106" t="s">
        <v>280</v>
      </c>
      <c r="H184" s="106" t="s">
        <v>291</v>
      </c>
      <c r="I184" s="106">
        <v>95</v>
      </c>
      <c r="J184" s="106"/>
    </row>
    <row r="185" spans="1:10" x14ac:dyDescent="0.2">
      <c r="A185" s="106" t="s">
        <v>369</v>
      </c>
      <c r="B185" s="106" t="s">
        <v>277</v>
      </c>
      <c r="C185" s="106" t="s">
        <v>278</v>
      </c>
      <c r="D185" s="106" t="s">
        <v>279</v>
      </c>
      <c r="E185">
        <v>4920</v>
      </c>
      <c r="F185" s="106" t="s">
        <v>1910</v>
      </c>
      <c r="G185" s="106" t="s">
        <v>284</v>
      </c>
      <c r="H185" s="106" t="s">
        <v>293</v>
      </c>
      <c r="I185" s="106">
        <v>50</v>
      </c>
      <c r="J185" s="106"/>
    </row>
    <row r="186" spans="1:10" x14ac:dyDescent="0.2">
      <c r="A186" s="106" t="s">
        <v>369</v>
      </c>
      <c r="B186" s="106" t="s">
        <v>277</v>
      </c>
      <c r="C186" s="106" t="s">
        <v>278</v>
      </c>
      <c r="D186" s="106" t="s">
        <v>279</v>
      </c>
      <c r="E186">
        <v>5271</v>
      </c>
      <c r="F186" s="106" t="s">
        <v>1911</v>
      </c>
      <c r="G186" s="106" t="s">
        <v>288</v>
      </c>
      <c r="H186" s="106" t="s">
        <v>322</v>
      </c>
      <c r="I186" s="106">
        <v>27</v>
      </c>
      <c r="J186" s="106"/>
    </row>
    <row r="187" spans="1:10" x14ac:dyDescent="0.2">
      <c r="A187" s="106" t="s">
        <v>369</v>
      </c>
      <c r="B187" s="106" t="s">
        <v>277</v>
      </c>
      <c r="C187" s="106" t="s">
        <v>278</v>
      </c>
      <c r="D187" s="106" t="s">
        <v>283</v>
      </c>
      <c r="E187">
        <v>5900</v>
      </c>
      <c r="F187" s="106" t="s">
        <v>1912</v>
      </c>
      <c r="G187" s="106" t="s">
        <v>284</v>
      </c>
      <c r="H187" s="106" t="s">
        <v>295</v>
      </c>
      <c r="I187" s="106">
        <v>43</v>
      </c>
      <c r="J187" s="106"/>
    </row>
    <row r="188" spans="1:10" x14ac:dyDescent="0.2">
      <c r="A188" s="106" t="s">
        <v>369</v>
      </c>
      <c r="B188" s="106" t="s">
        <v>277</v>
      </c>
      <c r="C188" s="106" t="s">
        <v>278</v>
      </c>
      <c r="D188" s="106" t="s">
        <v>279</v>
      </c>
      <c r="E188">
        <v>5982</v>
      </c>
      <c r="F188" s="106" t="s">
        <v>1913</v>
      </c>
      <c r="G188" s="106" t="s">
        <v>288</v>
      </c>
      <c r="H188" s="106" t="s">
        <v>295</v>
      </c>
      <c r="I188" s="106">
        <v>429</v>
      </c>
      <c r="J188" s="106"/>
    </row>
    <row r="189" spans="1:10" x14ac:dyDescent="0.2">
      <c r="A189" s="106" t="s">
        <v>369</v>
      </c>
      <c r="B189" s="106" t="s">
        <v>277</v>
      </c>
      <c r="C189" s="106" t="s">
        <v>278</v>
      </c>
      <c r="D189" s="106" t="s">
        <v>279</v>
      </c>
      <c r="E189">
        <v>6058</v>
      </c>
      <c r="F189" s="106" t="s">
        <v>377</v>
      </c>
      <c r="G189" s="106" t="s">
        <v>280</v>
      </c>
      <c r="H189" s="106" t="s">
        <v>285</v>
      </c>
      <c r="I189" s="106">
        <v>504</v>
      </c>
      <c r="J189" s="106"/>
    </row>
    <row r="190" spans="1:10" x14ac:dyDescent="0.2">
      <c r="A190" s="106" t="s">
        <v>369</v>
      </c>
      <c r="B190" s="106" t="s">
        <v>277</v>
      </c>
      <c r="C190" s="106" t="s">
        <v>289</v>
      </c>
      <c r="D190" s="106" t="s">
        <v>279</v>
      </c>
      <c r="E190">
        <v>6150</v>
      </c>
      <c r="F190" s="106" t="s">
        <v>1914</v>
      </c>
      <c r="G190" s="106" t="s">
        <v>284</v>
      </c>
      <c r="H190" s="106" t="s">
        <v>301</v>
      </c>
      <c r="I190">
        <v>30</v>
      </c>
    </row>
    <row r="191" spans="1:10" x14ac:dyDescent="0.2">
      <c r="A191" s="106" t="s">
        <v>369</v>
      </c>
      <c r="B191" s="106" t="s">
        <v>277</v>
      </c>
      <c r="C191" s="106" t="s">
        <v>282</v>
      </c>
      <c r="D191" s="106" t="s">
        <v>279</v>
      </c>
      <c r="E191">
        <v>6255</v>
      </c>
      <c r="F191" s="106" t="s">
        <v>1915</v>
      </c>
      <c r="G191" s="106" t="s">
        <v>292</v>
      </c>
      <c r="H191" s="106" t="s">
        <v>301</v>
      </c>
      <c r="I191" s="106">
        <v>97</v>
      </c>
      <c r="J191" s="106"/>
    </row>
    <row r="192" spans="1:10" x14ac:dyDescent="0.2">
      <c r="A192" s="106" t="s">
        <v>369</v>
      </c>
      <c r="B192" s="106" t="s">
        <v>277</v>
      </c>
      <c r="C192" s="106" t="s">
        <v>282</v>
      </c>
      <c r="D192" s="106" t="s">
        <v>279</v>
      </c>
      <c r="E192">
        <v>6289</v>
      </c>
      <c r="F192" s="106" t="s">
        <v>843</v>
      </c>
      <c r="G192" s="106" t="s">
        <v>280</v>
      </c>
      <c r="H192" s="106" t="s">
        <v>301</v>
      </c>
      <c r="I192" s="106" t="s">
        <v>311</v>
      </c>
      <c r="J192" s="106" t="s">
        <v>2234</v>
      </c>
    </row>
    <row r="193" spans="1:10" x14ac:dyDescent="0.2">
      <c r="A193" s="106" t="s">
        <v>369</v>
      </c>
      <c r="B193" s="106" t="s">
        <v>277</v>
      </c>
      <c r="C193" s="106" t="s">
        <v>278</v>
      </c>
      <c r="D193" s="106" t="s">
        <v>279</v>
      </c>
      <c r="E193">
        <v>6323</v>
      </c>
      <c r="F193" s="106" t="s">
        <v>1916</v>
      </c>
      <c r="G193" s="106" t="s">
        <v>280</v>
      </c>
      <c r="H193" s="106" t="s">
        <v>301</v>
      </c>
      <c r="I193" s="106">
        <v>757</v>
      </c>
      <c r="J193" s="106"/>
    </row>
    <row r="194" spans="1:10" x14ac:dyDescent="0.2">
      <c r="A194" s="106" t="s">
        <v>369</v>
      </c>
      <c r="B194" s="106" t="s">
        <v>277</v>
      </c>
      <c r="C194" s="106" t="s">
        <v>287</v>
      </c>
      <c r="D194" s="106" t="s">
        <v>279</v>
      </c>
      <c r="E194">
        <v>6492</v>
      </c>
      <c r="F194" s="106" t="s">
        <v>378</v>
      </c>
      <c r="G194" s="106" t="s">
        <v>288</v>
      </c>
      <c r="H194" s="106" t="s">
        <v>301</v>
      </c>
      <c r="I194" s="106">
        <v>36</v>
      </c>
      <c r="J194" s="106"/>
    </row>
    <row r="195" spans="1:10" x14ac:dyDescent="0.2">
      <c r="A195" s="106" t="s">
        <v>369</v>
      </c>
      <c r="B195" s="106" t="s">
        <v>277</v>
      </c>
      <c r="C195" s="106" t="s">
        <v>282</v>
      </c>
      <c r="D195" s="106" t="s">
        <v>279</v>
      </c>
      <c r="E195">
        <v>6668</v>
      </c>
      <c r="F195" s="106" t="s">
        <v>1917</v>
      </c>
      <c r="G195" s="106" t="s">
        <v>288</v>
      </c>
      <c r="H195" s="106" t="s">
        <v>305</v>
      </c>
      <c r="I195" s="106">
        <v>133</v>
      </c>
      <c r="J195" s="106"/>
    </row>
    <row r="196" spans="1:10" x14ac:dyDescent="0.2">
      <c r="A196" s="106" t="s">
        <v>369</v>
      </c>
      <c r="B196" s="106" t="s">
        <v>277</v>
      </c>
      <c r="C196" s="106" t="s">
        <v>278</v>
      </c>
      <c r="D196" s="106" t="s">
        <v>279</v>
      </c>
      <c r="E196">
        <v>6897</v>
      </c>
      <c r="F196" s="106" t="s">
        <v>1918</v>
      </c>
      <c r="G196" s="106" t="s">
        <v>288</v>
      </c>
      <c r="H196" s="106" t="s">
        <v>305</v>
      </c>
      <c r="I196" s="106">
        <v>43</v>
      </c>
      <c r="J196" s="106"/>
    </row>
    <row r="197" spans="1:10" x14ac:dyDescent="0.2">
      <c r="A197" s="106" t="s">
        <v>369</v>
      </c>
      <c r="B197" s="106" t="s">
        <v>277</v>
      </c>
      <c r="C197" s="106" t="s">
        <v>289</v>
      </c>
      <c r="D197" s="106" t="s">
        <v>283</v>
      </c>
      <c r="E197">
        <v>7068</v>
      </c>
      <c r="F197" s="106" t="s">
        <v>348</v>
      </c>
      <c r="G197" s="106" t="s">
        <v>292</v>
      </c>
      <c r="H197" s="106" t="s">
        <v>285</v>
      </c>
      <c r="I197">
        <v>110</v>
      </c>
    </row>
    <row r="198" spans="1:10" x14ac:dyDescent="0.2">
      <c r="A198" s="106" t="s">
        <v>369</v>
      </c>
      <c r="B198" s="106" t="s">
        <v>277</v>
      </c>
      <c r="C198" s="106" t="s">
        <v>287</v>
      </c>
      <c r="D198" s="106" t="s">
        <v>283</v>
      </c>
      <c r="E198">
        <v>7074</v>
      </c>
      <c r="F198" s="106">
        <v>247</v>
      </c>
      <c r="G198" s="106" t="s">
        <v>292</v>
      </c>
      <c r="H198" s="106" t="s">
        <v>285</v>
      </c>
      <c r="I198" s="106">
        <v>214</v>
      </c>
      <c r="J198" s="106"/>
    </row>
    <row r="199" spans="1:10" x14ac:dyDescent="0.2">
      <c r="A199" s="106" t="s">
        <v>369</v>
      </c>
      <c r="B199" s="106" t="s">
        <v>277</v>
      </c>
      <c r="C199" s="106" t="s">
        <v>282</v>
      </c>
      <c r="D199" s="106" t="s">
        <v>279</v>
      </c>
      <c r="E199">
        <v>7219</v>
      </c>
      <c r="F199" s="106" t="s">
        <v>1919</v>
      </c>
      <c r="G199" s="106" t="s">
        <v>284</v>
      </c>
      <c r="H199" s="106" t="s">
        <v>310</v>
      </c>
      <c r="I199" s="106">
        <v>30</v>
      </c>
      <c r="J199" s="106"/>
    </row>
    <row r="200" spans="1:10" x14ac:dyDescent="0.2">
      <c r="A200" s="106" t="s">
        <v>369</v>
      </c>
      <c r="B200" s="106" t="s">
        <v>277</v>
      </c>
      <c r="C200" s="106" t="s">
        <v>289</v>
      </c>
      <c r="D200" s="106" t="s">
        <v>279</v>
      </c>
      <c r="E200">
        <v>7420</v>
      </c>
      <c r="F200" s="106" t="s">
        <v>774</v>
      </c>
      <c r="G200" s="106" t="s">
        <v>280</v>
      </c>
      <c r="H200" s="106" t="s">
        <v>286</v>
      </c>
      <c r="I200">
        <v>167</v>
      </c>
    </row>
    <row r="201" spans="1:10" x14ac:dyDescent="0.2">
      <c r="A201" s="106" t="s">
        <v>369</v>
      </c>
      <c r="B201" s="106" t="s">
        <v>277</v>
      </c>
      <c r="C201" s="106" t="s">
        <v>278</v>
      </c>
      <c r="D201" s="106" t="s">
        <v>279</v>
      </c>
      <c r="E201">
        <v>7427</v>
      </c>
      <c r="F201" s="106" t="s">
        <v>1920</v>
      </c>
      <c r="G201" s="106" t="s">
        <v>280</v>
      </c>
      <c r="H201" s="106" t="s">
        <v>286</v>
      </c>
      <c r="I201" s="106">
        <v>34</v>
      </c>
      <c r="J201" s="106"/>
    </row>
    <row r="202" spans="1:10" x14ac:dyDescent="0.2">
      <c r="A202" s="106" t="s">
        <v>369</v>
      </c>
      <c r="B202" s="106" t="s">
        <v>277</v>
      </c>
      <c r="C202" s="106" t="s">
        <v>289</v>
      </c>
      <c r="D202" s="106" t="s">
        <v>283</v>
      </c>
      <c r="E202">
        <v>7434</v>
      </c>
      <c r="F202" s="106" t="s">
        <v>1921</v>
      </c>
      <c r="G202" s="106" t="s">
        <v>284</v>
      </c>
      <c r="H202" s="106" t="s">
        <v>286</v>
      </c>
      <c r="I202">
        <v>73</v>
      </c>
    </row>
    <row r="203" spans="1:10" x14ac:dyDescent="0.2">
      <c r="A203" s="106" t="s">
        <v>369</v>
      </c>
      <c r="B203" s="106" t="s">
        <v>277</v>
      </c>
      <c r="C203" s="106" t="s">
        <v>278</v>
      </c>
      <c r="D203" s="106" t="s">
        <v>283</v>
      </c>
      <c r="E203">
        <v>7450</v>
      </c>
      <c r="F203" s="106" t="s">
        <v>1922</v>
      </c>
      <c r="G203" s="106" t="s">
        <v>284</v>
      </c>
      <c r="H203" s="106" t="s">
        <v>290</v>
      </c>
      <c r="I203">
        <v>167</v>
      </c>
    </row>
    <row r="204" spans="1:10" x14ac:dyDescent="0.2">
      <c r="A204" s="106" t="s">
        <v>369</v>
      </c>
      <c r="B204" s="106" t="s">
        <v>277</v>
      </c>
      <c r="C204" s="106" t="s">
        <v>278</v>
      </c>
      <c r="D204" s="106" t="s">
        <v>279</v>
      </c>
      <c r="E204">
        <v>7453</v>
      </c>
      <c r="F204" s="106" t="s">
        <v>775</v>
      </c>
      <c r="G204" s="106" t="s">
        <v>280</v>
      </c>
      <c r="H204" s="106" t="s">
        <v>290</v>
      </c>
      <c r="I204" s="106" t="s">
        <v>595</v>
      </c>
      <c r="J204" s="106" t="s">
        <v>2259</v>
      </c>
    </row>
    <row r="205" spans="1:10" x14ac:dyDescent="0.2">
      <c r="A205" s="106" t="s">
        <v>369</v>
      </c>
      <c r="B205" s="106" t="s">
        <v>277</v>
      </c>
      <c r="C205" s="106" t="s">
        <v>289</v>
      </c>
      <c r="D205" s="106" t="s">
        <v>279</v>
      </c>
      <c r="E205">
        <v>7487</v>
      </c>
      <c r="F205" s="106" t="s">
        <v>1923</v>
      </c>
      <c r="G205" s="106" t="s">
        <v>280</v>
      </c>
      <c r="H205" s="106" t="s">
        <v>286</v>
      </c>
      <c r="I205" s="106">
        <v>150</v>
      </c>
      <c r="J205" s="106"/>
    </row>
    <row r="206" spans="1:10" x14ac:dyDescent="0.2">
      <c r="A206" s="106" t="s">
        <v>369</v>
      </c>
      <c r="B206" s="106" t="s">
        <v>277</v>
      </c>
      <c r="C206" s="106" t="s">
        <v>278</v>
      </c>
      <c r="D206" s="106" t="s">
        <v>279</v>
      </c>
      <c r="E206">
        <v>7516</v>
      </c>
      <c r="F206" s="106" t="s">
        <v>1924</v>
      </c>
      <c r="G206" s="106" t="s">
        <v>280</v>
      </c>
      <c r="H206" s="106" t="s">
        <v>290</v>
      </c>
      <c r="I206" s="106">
        <v>899</v>
      </c>
      <c r="J206" s="106"/>
    </row>
    <row r="207" spans="1:10" x14ac:dyDescent="0.2">
      <c r="A207" s="106" t="s">
        <v>369</v>
      </c>
      <c r="B207" s="106" t="s">
        <v>277</v>
      </c>
      <c r="C207" s="106" t="s">
        <v>278</v>
      </c>
      <c r="D207" s="106" t="s">
        <v>279</v>
      </c>
      <c r="E207">
        <v>7520</v>
      </c>
      <c r="F207" s="106" t="s">
        <v>1925</v>
      </c>
      <c r="G207" s="106" t="s">
        <v>280</v>
      </c>
      <c r="H207" s="106" t="s">
        <v>290</v>
      </c>
      <c r="I207">
        <v>200</v>
      </c>
    </row>
    <row r="208" spans="1:10" x14ac:dyDescent="0.2">
      <c r="A208" s="106" t="s">
        <v>369</v>
      </c>
      <c r="B208" s="106" t="s">
        <v>277</v>
      </c>
      <c r="C208" s="106" t="s">
        <v>278</v>
      </c>
      <c r="D208" s="106" t="s">
        <v>283</v>
      </c>
      <c r="E208">
        <v>7603</v>
      </c>
      <c r="F208" s="106" t="s">
        <v>1926</v>
      </c>
      <c r="G208" s="106" t="s">
        <v>284</v>
      </c>
      <c r="H208" s="106" t="s">
        <v>290</v>
      </c>
      <c r="I208" s="106">
        <v>93</v>
      </c>
      <c r="J208" s="106"/>
    </row>
    <row r="209" spans="1:10" x14ac:dyDescent="0.2">
      <c r="A209" s="106" t="s">
        <v>369</v>
      </c>
      <c r="B209" s="106" t="s">
        <v>277</v>
      </c>
      <c r="C209" s="106" t="s">
        <v>282</v>
      </c>
      <c r="D209" s="106" t="s">
        <v>279</v>
      </c>
      <c r="E209">
        <v>7607</v>
      </c>
      <c r="F209" s="106" t="s">
        <v>1927</v>
      </c>
      <c r="G209" s="106" t="s">
        <v>280</v>
      </c>
      <c r="H209" s="106" t="s">
        <v>286</v>
      </c>
      <c r="I209" s="106">
        <v>349</v>
      </c>
      <c r="J209" s="106"/>
    </row>
    <row r="210" spans="1:10" x14ac:dyDescent="0.2">
      <c r="A210" s="106" t="s">
        <v>369</v>
      </c>
      <c r="B210" s="106" t="s">
        <v>277</v>
      </c>
      <c r="C210" s="106" t="s">
        <v>289</v>
      </c>
      <c r="D210" s="106" t="s">
        <v>279</v>
      </c>
      <c r="E210">
        <v>7713</v>
      </c>
      <c r="F210" s="106" t="s">
        <v>776</v>
      </c>
      <c r="G210" s="106" t="s">
        <v>284</v>
      </c>
      <c r="H210" s="106" t="s">
        <v>391</v>
      </c>
      <c r="I210" s="106">
        <v>139</v>
      </c>
      <c r="J210" s="106"/>
    </row>
    <row r="211" spans="1:10" x14ac:dyDescent="0.2">
      <c r="A211" s="106" t="s">
        <v>369</v>
      </c>
      <c r="B211" s="106" t="s">
        <v>277</v>
      </c>
      <c r="C211" s="106" t="s">
        <v>289</v>
      </c>
      <c r="D211" s="106" t="s">
        <v>279</v>
      </c>
      <c r="E211">
        <v>7725</v>
      </c>
      <c r="F211" s="106" t="s">
        <v>1928</v>
      </c>
      <c r="G211" s="106" t="s">
        <v>280</v>
      </c>
      <c r="H211" s="106" t="s">
        <v>391</v>
      </c>
      <c r="I211" s="106">
        <v>335</v>
      </c>
      <c r="J211" s="106"/>
    </row>
    <row r="212" spans="1:10" x14ac:dyDescent="0.2">
      <c r="A212" s="106" t="s">
        <v>369</v>
      </c>
      <c r="B212" s="106" t="s">
        <v>277</v>
      </c>
      <c r="C212" s="106" t="s">
        <v>282</v>
      </c>
      <c r="D212" s="106" t="s">
        <v>279</v>
      </c>
      <c r="E212">
        <v>7730</v>
      </c>
      <c r="F212" s="106" t="s">
        <v>1929</v>
      </c>
      <c r="G212" s="106" t="s">
        <v>280</v>
      </c>
      <c r="H212" s="106" t="s">
        <v>391</v>
      </c>
      <c r="I212" s="106" t="s">
        <v>364</v>
      </c>
      <c r="J212" s="106" t="s">
        <v>2254</v>
      </c>
    </row>
    <row r="213" spans="1:10" x14ac:dyDescent="0.2">
      <c r="A213" s="106" t="s">
        <v>369</v>
      </c>
      <c r="B213" s="106" t="s">
        <v>277</v>
      </c>
      <c r="C213" s="106" t="s">
        <v>278</v>
      </c>
      <c r="D213" s="106" t="s">
        <v>279</v>
      </c>
      <c r="E213">
        <v>7807</v>
      </c>
      <c r="F213" s="106" t="s">
        <v>1930</v>
      </c>
      <c r="G213" s="106" t="s">
        <v>284</v>
      </c>
      <c r="H213" s="106" t="s">
        <v>302</v>
      </c>
      <c r="I213" s="106">
        <v>62</v>
      </c>
      <c r="J213" s="106"/>
    </row>
    <row r="214" spans="1:10" x14ac:dyDescent="0.2">
      <c r="A214" s="106" t="s">
        <v>369</v>
      </c>
      <c r="B214" s="106" t="s">
        <v>277</v>
      </c>
      <c r="C214" s="106" t="s">
        <v>282</v>
      </c>
      <c r="D214" s="106" t="s">
        <v>279</v>
      </c>
      <c r="E214">
        <v>7818</v>
      </c>
      <c r="F214" s="106" t="s">
        <v>1931</v>
      </c>
      <c r="G214" s="106" t="s">
        <v>280</v>
      </c>
      <c r="H214" s="106" t="s">
        <v>302</v>
      </c>
      <c r="I214" s="106">
        <v>287</v>
      </c>
      <c r="J214" s="106"/>
    </row>
    <row r="215" spans="1:10" x14ac:dyDescent="0.2">
      <c r="A215" s="106" t="s">
        <v>369</v>
      </c>
      <c r="B215" s="106" t="s">
        <v>277</v>
      </c>
      <c r="C215" s="106" t="s">
        <v>282</v>
      </c>
      <c r="D215" s="106" t="s">
        <v>279</v>
      </c>
      <c r="E215">
        <v>7928</v>
      </c>
      <c r="F215" s="106" t="s">
        <v>1932</v>
      </c>
      <c r="G215" s="106" t="s">
        <v>284</v>
      </c>
      <c r="H215" s="106" t="s">
        <v>293</v>
      </c>
      <c r="I215" s="106">
        <v>20</v>
      </c>
      <c r="J215" s="106"/>
    </row>
    <row r="216" spans="1:10" x14ac:dyDescent="0.2">
      <c r="A216" s="106" t="s">
        <v>369</v>
      </c>
      <c r="B216" s="106" t="s">
        <v>277</v>
      </c>
      <c r="C216" s="106" t="s">
        <v>278</v>
      </c>
      <c r="D216" s="106" t="s">
        <v>279</v>
      </c>
      <c r="E216">
        <v>8016</v>
      </c>
      <c r="F216" s="106" t="s">
        <v>1933</v>
      </c>
      <c r="G216" s="106" t="s">
        <v>280</v>
      </c>
      <c r="H216" s="106" t="s">
        <v>313</v>
      </c>
      <c r="I216" s="106" t="s">
        <v>311</v>
      </c>
      <c r="J216" s="106" t="s">
        <v>2371</v>
      </c>
    </row>
    <row r="217" spans="1:10" x14ac:dyDescent="0.2">
      <c r="A217" s="106" t="s">
        <v>369</v>
      </c>
      <c r="B217" s="106" t="s">
        <v>277</v>
      </c>
      <c r="C217" s="106" t="s">
        <v>278</v>
      </c>
      <c r="D217" s="106" t="s">
        <v>279</v>
      </c>
      <c r="E217">
        <v>8028</v>
      </c>
      <c r="F217" s="106" t="s">
        <v>1935</v>
      </c>
      <c r="G217" s="106" t="s">
        <v>280</v>
      </c>
      <c r="H217" s="106" t="s">
        <v>290</v>
      </c>
      <c r="I217" t="s">
        <v>502</v>
      </c>
      <c r="J217" t="s">
        <v>2255</v>
      </c>
    </row>
    <row r="218" spans="1:10" x14ac:dyDescent="0.2">
      <c r="A218" s="106" t="s">
        <v>369</v>
      </c>
      <c r="B218" s="106" t="s">
        <v>277</v>
      </c>
      <c r="C218" s="106" t="s">
        <v>287</v>
      </c>
      <c r="D218" s="106" t="s">
        <v>279</v>
      </c>
      <c r="E218">
        <v>8095</v>
      </c>
      <c r="F218" s="106" t="s">
        <v>1936</v>
      </c>
      <c r="G218" s="106" t="s">
        <v>280</v>
      </c>
      <c r="H218" s="106" t="s">
        <v>286</v>
      </c>
      <c r="I218" s="106">
        <v>161</v>
      </c>
      <c r="J218" s="106"/>
    </row>
    <row r="219" spans="1:10" x14ac:dyDescent="0.2">
      <c r="A219" s="106" t="s">
        <v>369</v>
      </c>
      <c r="B219" s="106" t="s">
        <v>277</v>
      </c>
      <c r="C219" s="106" t="s">
        <v>282</v>
      </c>
      <c r="D219" s="106" t="s">
        <v>279</v>
      </c>
      <c r="E219">
        <v>8127</v>
      </c>
      <c r="F219" s="106" t="s">
        <v>1937</v>
      </c>
      <c r="G219" s="106" t="s">
        <v>280</v>
      </c>
      <c r="H219" s="106" t="s">
        <v>313</v>
      </c>
      <c r="I219" s="106">
        <v>87</v>
      </c>
      <c r="J219" s="106"/>
    </row>
    <row r="220" spans="1:10" x14ac:dyDescent="0.2">
      <c r="A220" s="106" t="s">
        <v>369</v>
      </c>
      <c r="B220" s="106" t="s">
        <v>277</v>
      </c>
      <c r="C220" s="106" t="s">
        <v>278</v>
      </c>
      <c r="D220" s="106" t="s">
        <v>279</v>
      </c>
      <c r="E220">
        <v>8143</v>
      </c>
      <c r="F220" s="106" t="s">
        <v>1938</v>
      </c>
      <c r="G220" s="106" t="s">
        <v>288</v>
      </c>
      <c r="H220" s="106" t="s">
        <v>313</v>
      </c>
      <c r="I220">
        <v>18</v>
      </c>
    </row>
    <row r="221" spans="1:10" x14ac:dyDescent="0.2">
      <c r="A221" s="106" t="s">
        <v>369</v>
      </c>
      <c r="B221" s="106" t="s">
        <v>277</v>
      </c>
      <c r="C221" s="106" t="s">
        <v>278</v>
      </c>
      <c r="D221" s="106" t="s">
        <v>279</v>
      </c>
      <c r="E221">
        <v>8167</v>
      </c>
      <c r="F221" s="106" t="s">
        <v>1939</v>
      </c>
      <c r="G221" s="106" t="s">
        <v>288</v>
      </c>
      <c r="H221" s="106" t="s">
        <v>290</v>
      </c>
      <c r="I221">
        <v>406</v>
      </c>
    </row>
    <row r="222" spans="1:10" x14ac:dyDescent="0.2">
      <c r="A222" s="106" t="s">
        <v>369</v>
      </c>
      <c r="B222" s="106" t="s">
        <v>277</v>
      </c>
      <c r="C222" s="106" t="s">
        <v>278</v>
      </c>
      <c r="D222" s="106" t="s">
        <v>279</v>
      </c>
      <c r="E222">
        <v>8185</v>
      </c>
      <c r="F222" s="106" t="s">
        <v>1940</v>
      </c>
      <c r="G222" s="106" t="s">
        <v>280</v>
      </c>
      <c r="H222" s="106" t="s">
        <v>290</v>
      </c>
      <c r="I222">
        <v>677</v>
      </c>
    </row>
    <row r="223" spans="1:10" x14ac:dyDescent="0.2">
      <c r="A223" s="106" t="s">
        <v>369</v>
      </c>
      <c r="B223" s="106" t="s">
        <v>277</v>
      </c>
      <c r="C223" s="106" t="s">
        <v>278</v>
      </c>
      <c r="D223" s="106" t="s">
        <v>279</v>
      </c>
      <c r="E223">
        <v>8194</v>
      </c>
      <c r="F223" s="106" t="s">
        <v>1941</v>
      </c>
      <c r="G223" s="106" t="s">
        <v>280</v>
      </c>
      <c r="H223" s="106" t="s">
        <v>290</v>
      </c>
      <c r="I223" s="106" t="s">
        <v>311</v>
      </c>
      <c r="J223" s="106" t="s">
        <v>2234</v>
      </c>
    </row>
    <row r="224" spans="1:10" x14ac:dyDescent="0.2">
      <c r="A224" s="106" t="s">
        <v>369</v>
      </c>
      <c r="B224" s="106" t="s">
        <v>277</v>
      </c>
      <c r="C224" s="106" t="s">
        <v>278</v>
      </c>
      <c r="D224" s="106" t="s">
        <v>279</v>
      </c>
      <c r="E224">
        <v>8203</v>
      </c>
      <c r="F224" s="106" t="s">
        <v>1942</v>
      </c>
      <c r="G224" s="106" t="s">
        <v>280</v>
      </c>
      <c r="H224" s="106" t="s">
        <v>290</v>
      </c>
      <c r="I224" s="106">
        <v>197</v>
      </c>
      <c r="J224" s="106"/>
    </row>
    <row r="225" spans="1:10" x14ac:dyDescent="0.2">
      <c r="A225" s="106" t="s">
        <v>369</v>
      </c>
      <c r="B225" s="106" t="s">
        <v>277</v>
      </c>
      <c r="C225" s="106" t="s">
        <v>278</v>
      </c>
      <c r="D225" s="106" t="s">
        <v>279</v>
      </c>
      <c r="E225">
        <v>8287</v>
      </c>
      <c r="F225" s="106" t="s">
        <v>1943</v>
      </c>
      <c r="G225" s="106" t="s">
        <v>288</v>
      </c>
      <c r="H225" s="106" t="s">
        <v>290</v>
      </c>
      <c r="I225" s="106">
        <v>919</v>
      </c>
      <c r="J225" s="106"/>
    </row>
    <row r="226" spans="1:10" x14ac:dyDescent="0.2">
      <c r="A226" s="106" t="s">
        <v>369</v>
      </c>
      <c r="B226" s="106" t="s">
        <v>277</v>
      </c>
      <c r="C226" s="106" t="s">
        <v>282</v>
      </c>
      <c r="D226" s="106" t="s">
        <v>279</v>
      </c>
      <c r="E226">
        <v>8904</v>
      </c>
      <c r="F226" s="106" t="s">
        <v>1944</v>
      </c>
      <c r="G226" s="106" t="s">
        <v>280</v>
      </c>
      <c r="H226" s="106" t="s">
        <v>306</v>
      </c>
      <c r="I226" s="106">
        <v>161</v>
      </c>
      <c r="J226" s="106"/>
    </row>
    <row r="227" spans="1:10" x14ac:dyDescent="0.2">
      <c r="A227" s="106" t="s">
        <v>369</v>
      </c>
      <c r="B227" s="106" t="s">
        <v>277</v>
      </c>
      <c r="C227" s="106" t="s">
        <v>287</v>
      </c>
      <c r="D227" s="106" t="s">
        <v>283</v>
      </c>
      <c r="E227">
        <v>9286</v>
      </c>
      <c r="F227" s="106" t="s">
        <v>1945</v>
      </c>
      <c r="G227" s="106" t="s">
        <v>317</v>
      </c>
      <c r="H227" s="106" t="s">
        <v>318</v>
      </c>
      <c r="I227" s="106">
        <v>88</v>
      </c>
      <c r="J227" s="106"/>
    </row>
    <row r="228" spans="1:10" x14ac:dyDescent="0.2">
      <c r="A228" s="106" t="s">
        <v>369</v>
      </c>
      <c r="B228" s="106" t="s">
        <v>277</v>
      </c>
      <c r="C228" s="106" t="s">
        <v>287</v>
      </c>
      <c r="D228" s="106" t="s">
        <v>279</v>
      </c>
      <c r="E228">
        <v>9313</v>
      </c>
      <c r="F228" s="106" t="s">
        <v>1946</v>
      </c>
      <c r="G228" s="106" t="s">
        <v>288</v>
      </c>
      <c r="H228" s="106" t="s">
        <v>633</v>
      </c>
      <c r="I228" s="106">
        <v>56</v>
      </c>
      <c r="J228" s="106"/>
    </row>
    <row r="229" spans="1:10" x14ac:dyDescent="0.2">
      <c r="A229" s="106" t="s">
        <v>369</v>
      </c>
      <c r="B229" s="106" t="s">
        <v>277</v>
      </c>
      <c r="C229" s="106" t="s">
        <v>278</v>
      </c>
      <c r="D229" s="106" t="s">
        <v>279</v>
      </c>
      <c r="E229">
        <v>9381</v>
      </c>
      <c r="F229" s="106" t="s">
        <v>777</v>
      </c>
      <c r="G229" s="106" t="s">
        <v>280</v>
      </c>
      <c r="H229" s="106" t="s">
        <v>633</v>
      </c>
      <c r="I229" s="106">
        <v>236</v>
      </c>
      <c r="J229" s="106"/>
    </row>
    <row r="230" spans="1:10" x14ac:dyDescent="0.2">
      <c r="A230" s="106" t="s">
        <v>369</v>
      </c>
      <c r="B230" s="106" t="s">
        <v>277</v>
      </c>
      <c r="C230" s="106" t="s">
        <v>278</v>
      </c>
      <c r="D230" s="106" t="s">
        <v>279</v>
      </c>
      <c r="E230">
        <v>9661</v>
      </c>
      <c r="F230" s="106" t="s">
        <v>1947</v>
      </c>
      <c r="G230" s="106" t="s">
        <v>288</v>
      </c>
      <c r="H230" s="106" t="s">
        <v>285</v>
      </c>
      <c r="I230">
        <v>707</v>
      </c>
    </row>
    <row r="231" spans="1:10" x14ac:dyDescent="0.2">
      <c r="A231" s="106" t="s">
        <v>369</v>
      </c>
      <c r="B231" s="106" t="s">
        <v>277</v>
      </c>
      <c r="C231" s="106" t="s">
        <v>287</v>
      </c>
      <c r="D231" s="106" t="s">
        <v>283</v>
      </c>
      <c r="E231">
        <v>9717</v>
      </c>
      <c r="F231" s="106" t="s">
        <v>1948</v>
      </c>
      <c r="G231" s="106" t="s">
        <v>280</v>
      </c>
      <c r="H231" s="106" t="s">
        <v>291</v>
      </c>
      <c r="I231" s="106">
        <v>206</v>
      </c>
      <c r="J231" s="106"/>
    </row>
    <row r="232" spans="1:10" x14ac:dyDescent="0.2">
      <c r="A232" s="106" t="s">
        <v>369</v>
      </c>
      <c r="B232" s="106" t="s">
        <v>277</v>
      </c>
      <c r="C232" s="106" t="s">
        <v>278</v>
      </c>
      <c r="D232" s="106" t="s">
        <v>279</v>
      </c>
      <c r="E232">
        <v>9740</v>
      </c>
      <c r="F232" s="106" t="s">
        <v>1949</v>
      </c>
      <c r="G232" s="106" t="s">
        <v>280</v>
      </c>
      <c r="H232" s="106" t="s">
        <v>285</v>
      </c>
      <c r="I232" s="106">
        <v>917</v>
      </c>
      <c r="J232" s="106"/>
    </row>
    <row r="233" spans="1:10" x14ac:dyDescent="0.2">
      <c r="A233" s="106" t="s">
        <v>369</v>
      </c>
      <c r="B233" s="106" t="s">
        <v>277</v>
      </c>
      <c r="C233" s="106" t="s">
        <v>289</v>
      </c>
      <c r="D233" s="106" t="s">
        <v>279</v>
      </c>
      <c r="E233">
        <v>9812</v>
      </c>
      <c r="F233" s="106" t="s">
        <v>1950</v>
      </c>
      <c r="G233" s="106" t="s">
        <v>284</v>
      </c>
      <c r="H233" s="106" t="s">
        <v>286</v>
      </c>
      <c r="I233" s="106">
        <v>38</v>
      </c>
      <c r="J233" s="106"/>
    </row>
    <row r="234" spans="1:10" x14ac:dyDescent="0.2">
      <c r="A234" s="106" t="s">
        <v>369</v>
      </c>
      <c r="B234" s="106" t="s">
        <v>277</v>
      </c>
      <c r="C234" s="106" t="s">
        <v>278</v>
      </c>
      <c r="D234" s="106" t="s">
        <v>279</v>
      </c>
      <c r="E234">
        <v>9861</v>
      </c>
      <c r="F234" s="106" t="s">
        <v>1951</v>
      </c>
      <c r="G234" s="106" t="s">
        <v>280</v>
      </c>
      <c r="H234" s="106" t="s">
        <v>290</v>
      </c>
      <c r="I234" s="106" t="s">
        <v>311</v>
      </c>
      <c r="J234" s="106" t="s">
        <v>2372</v>
      </c>
    </row>
    <row r="235" spans="1:10" x14ac:dyDescent="0.2">
      <c r="A235" s="106" t="s">
        <v>369</v>
      </c>
      <c r="B235" s="106" t="s">
        <v>277</v>
      </c>
      <c r="C235" s="106" t="s">
        <v>278</v>
      </c>
      <c r="D235" s="106" t="s">
        <v>279</v>
      </c>
      <c r="E235">
        <v>9948</v>
      </c>
      <c r="F235" s="106" t="s">
        <v>1952</v>
      </c>
      <c r="G235" s="106" t="s">
        <v>280</v>
      </c>
      <c r="H235" s="106" t="s">
        <v>290</v>
      </c>
      <c r="I235" s="106" t="s">
        <v>311</v>
      </c>
      <c r="J235" s="106" t="s">
        <v>2373</v>
      </c>
    </row>
    <row r="236" spans="1:10" x14ac:dyDescent="0.2">
      <c r="A236" s="106" t="s">
        <v>369</v>
      </c>
      <c r="B236" s="106" t="s">
        <v>277</v>
      </c>
      <c r="C236" s="106" t="s">
        <v>282</v>
      </c>
      <c r="D236" s="106" t="s">
        <v>279</v>
      </c>
      <c r="E236">
        <v>9978</v>
      </c>
      <c r="F236" s="106" t="s">
        <v>1953</v>
      </c>
      <c r="G236" s="106" t="s">
        <v>284</v>
      </c>
      <c r="H236" s="106" t="s">
        <v>290</v>
      </c>
      <c r="I236" s="106">
        <v>24</v>
      </c>
      <c r="J236" s="106"/>
    </row>
    <row r="237" spans="1:10" x14ac:dyDescent="0.2">
      <c r="A237" s="106" t="s">
        <v>381</v>
      </c>
      <c r="B237" s="106" t="s">
        <v>778</v>
      </c>
      <c r="C237" s="106" t="s">
        <v>278</v>
      </c>
      <c r="D237" s="106" t="s">
        <v>283</v>
      </c>
      <c r="E237">
        <v>3415</v>
      </c>
      <c r="F237" s="106" t="s">
        <v>779</v>
      </c>
      <c r="G237" s="106" t="s">
        <v>280</v>
      </c>
      <c r="H237" s="106" t="s">
        <v>290</v>
      </c>
      <c r="I237" s="106">
        <v>300</v>
      </c>
      <c r="J237" s="106"/>
    </row>
    <row r="238" spans="1:10" x14ac:dyDescent="0.2">
      <c r="A238" s="106" t="s">
        <v>381</v>
      </c>
      <c r="B238" s="106" t="s">
        <v>344</v>
      </c>
      <c r="C238" s="106" t="s">
        <v>287</v>
      </c>
      <c r="D238" s="106" t="s">
        <v>279</v>
      </c>
      <c r="E238">
        <v>2734</v>
      </c>
      <c r="F238" s="106" t="s">
        <v>554</v>
      </c>
      <c r="G238" s="106" t="s">
        <v>280</v>
      </c>
      <c r="H238" s="106" t="s">
        <v>290</v>
      </c>
      <c r="I238" s="106">
        <v>427</v>
      </c>
      <c r="J238" s="106"/>
    </row>
    <row r="239" spans="1:10" x14ac:dyDescent="0.2">
      <c r="A239" s="106" t="s">
        <v>381</v>
      </c>
      <c r="B239" s="106" t="s">
        <v>1865</v>
      </c>
      <c r="C239" s="106" t="s">
        <v>289</v>
      </c>
      <c r="D239" s="106" t="s">
        <v>279</v>
      </c>
      <c r="E239">
        <v>2722</v>
      </c>
      <c r="F239" s="106" t="s">
        <v>1954</v>
      </c>
      <c r="G239" s="106" t="s">
        <v>288</v>
      </c>
      <c r="H239" s="106" t="s">
        <v>290</v>
      </c>
      <c r="I239" s="106">
        <v>89</v>
      </c>
      <c r="J239" s="106"/>
    </row>
    <row r="240" spans="1:10" x14ac:dyDescent="0.2">
      <c r="A240" s="106" t="s">
        <v>381</v>
      </c>
      <c r="B240" s="106" t="s">
        <v>277</v>
      </c>
      <c r="C240" s="106" t="s">
        <v>278</v>
      </c>
      <c r="D240" s="106" t="s">
        <v>279</v>
      </c>
      <c r="E240">
        <v>1418</v>
      </c>
      <c r="F240" s="106" t="s">
        <v>1955</v>
      </c>
      <c r="G240" s="106" t="s">
        <v>284</v>
      </c>
      <c r="H240" s="106" t="s">
        <v>307</v>
      </c>
      <c r="I240" s="106">
        <v>52</v>
      </c>
      <c r="J240" s="106"/>
    </row>
    <row r="241" spans="1:10" x14ac:dyDescent="0.2">
      <c r="A241" s="106" t="s">
        <v>381</v>
      </c>
      <c r="B241" s="106" t="s">
        <v>277</v>
      </c>
      <c r="C241" s="106" t="s">
        <v>289</v>
      </c>
      <c r="D241" s="106" t="s">
        <v>279</v>
      </c>
      <c r="E241">
        <v>1419</v>
      </c>
      <c r="F241" s="106" t="s">
        <v>1956</v>
      </c>
      <c r="G241" s="106" t="s">
        <v>280</v>
      </c>
      <c r="H241" s="106" t="s">
        <v>307</v>
      </c>
      <c r="I241" s="106">
        <v>498</v>
      </c>
      <c r="J241" s="106"/>
    </row>
    <row r="242" spans="1:10" x14ac:dyDescent="0.2">
      <c r="A242" s="106" t="s">
        <v>381</v>
      </c>
      <c r="B242" s="106" t="s">
        <v>277</v>
      </c>
      <c r="C242" s="106" t="s">
        <v>282</v>
      </c>
      <c r="D242" s="106" t="s">
        <v>279</v>
      </c>
      <c r="E242">
        <v>1434</v>
      </c>
      <c r="F242" s="106" t="s">
        <v>1957</v>
      </c>
      <c r="G242" s="106" t="s">
        <v>288</v>
      </c>
      <c r="H242" s="106" t="s">
        <v>307</v>
      </c>
      <c r="I242" s="106">
        <v>25</v>
      </c>
      <c r="J242" s="106"/>
    </row>
    <row r="243" spans="1:10" x14ac:dyDescent="0.2">
      <c r="A243" s="106" t="s">
        <v>381</v>
      </c>
      <c r="B243" s="106" t="s">
        <v>277</v>
      </c>
      <c r="C243" s="106" t="s">
        <v>289</v>
      </c>
      <c r="D243" s="106" t="s">
        <v>279</v>
      </c>
      <c r="E243">
        <v>1887</v>
      </c>
      <c r="F243" s="106" t="s">
        <v>569</v>
      </c>
      <c r="G243" s="106" t="s">
        <v>280</v>
      </c>
      <c r="H243" s="106" t="s">
        <v>307</v>
      </c>
      <c r="I243" s="106">
        <v>648</v>
      </c>
      <c r="J243" s="106"/>
    </row>
    <row r="244" spans="1:10" x14ac:dyDescent="0.2">
      <c r="A244" s="106" t="s">
        <v>381</v>
      </c>
      <c r="B244" s="106" t="s">
        <v>277</v>
      </c>
      <c r="C244" s="106" t="s">
        <v>282</v>
      </c>
      <c r="D244" s="106" t="s">
        <v>279</v>
      </c>
      <c r="E244">
        <v>2449</v>
      </c>
      <c r="F244" s="106" t="s">
        <v>1958</v>
      </c>
      <c r="G244" s="106" t="s">
        <v>284</v>
      </c>
      <c r="H244" s="106" t="s">
        <v>285</v>
      </c>
      <c r="I244" s="106">
        <v>69</v>
      </c>
      <c r="J244" s="106"/>
    </row>
    <row r="245" spans="1:10" x14ac:dyDescent="0.2">
      <c r="A245" s="106" t="s">
        <v>381</v>
      </c>
      <c r="B245" s="106" t="s">
        <v>277</v>
      </c>
      <c r="C245" s="106" t="s">
        <v>287</v>
      </c>
      <c r="D245" s="106" t="s">
        <v>279</v>
      </c>
      <c r="E245">
        <v>2471</v>
      </c>
      <c r="F245" s="106" t="s">
        <v>382</v>
      </c>
      <c r="G245" s="106" t="s">
        <v>280</v>
      </c>
      <c r="H245" s="106" t="s">
        <v>285</v>
      </c>
      <c r="I245" s="106">
        <v>627</v>
      </c>
      <c r="J245" s="106"/>
    </row>
    <row r="246" spans="1:10" x14ac:dyDescent="0.2">
      <c r="A246" s="106" t="s">
        <v>381</v>
      </c>
      <c r="B246" s="106" t="s">
        <v>277</v>
      </c>
      <c r="C246" s="106" t="s">
        <v>278</v>
      </c>
      <c r="D246" s="106" t="s">
        <v>279</v>
      </c>
      <c r="E246">
        <v>2726</v>
      </c>
      <c r="F246" s="106" t="s">
        <v>1959</v>
      </c>
      <c r="G246" s="106" t="s">
        <v>280</v>
      </c>
      <c r="H246" s="106" t="s">
        <v>290</v>
      </c>
      <c r="I246" s="106">
        <v>854</v>
      </c>
      <c r="J246" s="106"/>
    </row>
    <row r="247" spans="1:10" x14ac:dyDescent="0.2">
      <c r="A247" s="106" t="s">
        <v>381</v>
      </c>
      <c r="B247" s="106" t="s">
        <v>277</v>
      </c>
      <c r="C247" s="106" t="s">
        <v>289</v>
      </c>
      <c r="D247" s="106" t="s">
        <v>279</v>
      </c>
      <c r="E247">
        <v>2769</v>
      </c>
      <c r="F247" s="106" t="s">
        <v>1960</v>
      </c>
      <c r="G247" s="106" t="s">
        <v>284</v>
      </c>
      <c r="H247" s="106" t="s">
        <v>290</v>
      </c>
      <c r="I247" s="106">
        <v>81</v>
      </c>
      <c r="J247" s="106"/>
    </row>
    <row r="248" spans="1:10" x14ac:dyDescent="0.2">
      <c r="A248" s="106" t="s">
        <v>381</v>
      </c>
      <c r="B248" s="106" t="s">
        <v>277</v>
      </c>
      <c r="C248" s="106" t="s">
        <v>289</v>
      </c>
      <c r="D248" s="106" t="s">
        <v>279</v>
      </c>
      <c r="E248">
        <v>2796</v>
      </c>
      <c r="F248" s="106" t="s">
        <v>1961</v>
      </c>
      <c r="G248" s="106" t="s">
        <v>280</v>
      </c>
      <c r="H248" s="106" t="s">
        <v>290</v>
      </c>
      <c r="I248" s="106">
        <v>62</v>
      </c>
      <c r="J248" s="106"/>
    </row>
    <row r="249" spans="1:10" x14ac:dyDescent="0.2">
      <c r="A249" s="106" t="s">
        <v>381</v>
      </c>
      <c r="B249" s="106" t="s">
        <v>277</v>
      </c>
      <c r="C249" s="106" t="s">
        <v>278</v>
      </c>
      <c r="D249" s="106" t="s">
        <v>279</v>
      </c>
      <c r="E249">
        <v>2798</v>
      </c>
      <c r="F249" s="106" t="s">
        <v>1962</v>
      </c>
      <c r="G249" s="106" t="s">
        <v>288</v>
      </c>
      <c r="H249" s="106" t="s">
        <v>290</v>
      </c>
      <c r="I249" s="106">
        <v>67</v>
      </c>
      <c r="J249" s="106"/>
    </row>
    <row r="250" spans="1:10" x14ac:dyDescent="0.2">
      <c r="A250" s="106" t="s">
        <v>381</v>
      </c>
      <c r="B250" s="106" t="s">
        <v>277</v>
      </c>
      <c r="C250" s="106" t="s">
        <v>278</v>
      </c>
      <c r="D250" s="106" t="s">
        <v>279</v>
      </c>
      <c r="E250">
        <v>2884</v>
      </c>
      <c r="F250" s="106" t="s">
        <v>1963</v>
      </c>
      <c r="G250" s="106" t="s">
        <v>280</v>
      </c>
      <c r="H250" s="106" t="s">
        <v>281</v>
      </c>
      <c r="I250" s="106">
        <v>265</v>
      </c>
      <c r="J250" s="106"/>
    </row>
    <row r="251" spans="1:10" x14ac:dyDescent="0.2">
      <c r="A251" s="106" t="s">
        <v>381</v>
      </c>
      <c r="B251" s="106" t="s">
        <v>277</v>
      </c>
      <c r="C251" s="106" t="s">
        <v>278</v>
      </c>
      <c r="D251" s="106" t="s">
        <v>283</v>
      </c>
      <c r="E251">
        <v>2930</v>
      </c>
      <c r="F251" s="106" t="s">
        <v>383</v>
      </c>
      <c r="G251" s="106" t="s">
        <v>280</v>
      </c>
      <c r="H251" s="106" t="s">
        <v>281</v>
      </c>
      <c r="I251">
        <v>983</v>
      </c>
    </row>
    <row r="252" spans="1:10" x14ac:dyDescent="0.2">
      <c r="A252" s="106" t="s">
        <v>381</v>
      </c>
      <c r="B252" s="106" t="s">
        <v>277</v>
      </c>
      <c r="C252" s="106" t="s">
        <v>289</v>
      </c>
      <c r="D252" s="106" t="s">
        <v>279</v>
      </c>
      <c r="E252">
        <v>3021</v>
      </c>
      <c r="F252" s="106" t="s">
        <v>1964</v>
      </c>
      <c r="G252" s="106" t="s">
        <v>288</v>
      </c>
      <c r="H252" s="106" t="s">
        <v>290</v>
      </c>
      <c r="I252">
        <v>97</v>
      </c>
    </row>
    <row r="253" spans="1:10" x14ac:dyDescent="0.2">
      <c r="A253" s="106" t="s">
        <v>381</v>
      </c>
      <c r="B253" s="106" t="s">
        <v>277</v>
      </c>
      <c r="C253" s="106" t="s">
        <v>278</v>
      </c>
      <c r="D253" s="106" t="s">
        <v>283</v>
      </c>
      <c r="E253">
        <v>3030</v>
      </c>
      <c r="F253" s="106" t="s">
        <v>384</v>
      </c>
      <c r="G253" s="106" t="s">
        <v>280</v>
      </c>
      <c r="H253" s="106" t="s">
        <v>290</v>
      </c>
      <c r="I253" s="106">
        <v>115</v>
      </c>
      <c r="J253" s="106"/>
    </row>
    <row r="254" spans="1:10" x14ac:dyDescent="0.2">
      <c r="A254" s="106" t="s">
        <v>381</v>
      </c>
      <c r="B254" s="106" t="s">
        <v>277</v>
      </c>
      <c r="C254" s="106" t="s">
        <v>278</v>
      </c>
      <c r="D254" s="106" t="s">
        <v>279</v>
      </c>
      <c r="E254">
        <v>3073</v>
      </c>
      <c r="F254" s="106" t="s">
        <v>1965</v>
      </c>
      <c r="G254" s="106" t="s">
        <v>280</v>
      </c>
      <c r="H254" s="106" t="s">
        <v>290</v>
      </c>
      <c r="I254" s="106">
        <v>242</v>
      </c>
      <c r="J254" s="106"/>
    </row>
    <row r="255" spans="1:10" x14ac:dyDescent="0.2">
      <c r="A255" s="106" t="s">
        <v>381</v>
      </c>
      <c r="B255" s="106" t="s">
        <v>277</v>
      </c>
      <c r="C255" s="106" t="s">
        <v>278</v>
      </c>
      <c r="D255" s="106" t="s">
        <v>279</v>
      </c>
      <c r="E255">
        <v>3080</v>
      </c>
      <c r="F255" s="106" t="s">
        <v>1966</v>
      </c>
      <c r="G255" s="106" t="s">
        <v>284</v>
      </c>
      <c r="H255" s="106" t="s">
        <v>290</v>
      </c>
      <c r="I255" s="106">
        <v>46</v>
      </c>
      <c r="J255" s="106"/>
    </row>
    <row r="256" spans="1:10" x14ac:dyDescent="0.2">
      <c r="A256" s="106" t="s">
        <v>381</v>
      </c>
      <c r="B256" s="106" t="s">
        <v>277</v>
      </c>
      <c r="C256" s="106" t="s">
        <v>278</v>
      </c>
      <c r="D256" s="106" t="s">
        <v>279</v>
      </c>
      <c r="E256">
        <v>3087</v>
      </c>
      <c r="F256" s="106" t="s">
        <v>1967</v>
      </c>
      <c r="G256" s="106" t="s">
        <v>280</v>
      </c>
      <c r="H256" s="106" t="s">
        <v>290</v>
      </c>
      <c r="I256" s="106" t="s">
        <v>311</v>
      </c>
      <c r="J256" s="106" t="s">
        <v>2374</v>
      </c>
    </row>
    <row r="257" spans="1:10" x14ac:dyDescent="0.2">
      <c r="A257" s="106" t="s">
        <v>381</v>
      </c>
      <c r="B257" s="106" t="s">
        <v>277</v>
      </c>
      <c r="C257" s="106" t="s">
        <v>287</v>
      </c>
      <c r="D257" s="106" t="s">
        <v>279</v>
      </c>
      <c r="E257">
        <v>3139</v>
      </c>
      <c r="F257" s="106" t="s">
        <v>1968</v>
      </c>
      <c r="G257" s="106" t="s">
        <v>280</v>
      </c>
      <c r="H257" s="106" t="s">
        <v>286</v>
      </c>
      <c r="I257">
        <v>352</v>
      </c>
    </row>
    <row r="258" spans="1:10" x14ac:dyDescent="0.2">
      <c r="A258" s="106" t="s">
        <v>381</v>
      </c>
      <c r="B258" s="106" t="s">
        <v>277</v>
      </c>
      <c r="C258" s="106" t="s">
        <v>289</v>
      </c>
      <c r="D258" s="106" t="s">
        <v>279</v>
      </c>
      <c r="E258">
        <v>3148</v>
      </c>
      <c r="F258" s="106" t="s">
        <v>1969</v>
      </c>
      <c r="G258" s="106" t="s">
        <v>280</v>
      </c>
      <c r="H258" s="106" t="s">
        <v>290</v>
      </c>
      <c r="I258" s="106" t="s">
        <v>311</v>
      </c>
      <c r="J258" s="106" t="s">
        <v>2375</v>
      </c>
    </row>
    <row r="259" spans="1:10" x14ac:dyDescent="0.2">
      <c r="A259" s="106" t="s">
        <v>381</v>
      </c>
      <c r="B259" s="106" t="s">
        <v>277</v>
      </c>
      <c r="C259" s="106" t="s">
        <v>282</v>
      </c>
      <c r="D259" s="106" t="s">
        <v>279</v>
      </c>
      <c r="E259">
        <v>3168</v>
      </c>
      <c r="F259" s="106" t="s">
        <v>555</v>
      </c>
      <c r="G259" s="106" t="s">
        <v>280</v>
      </c>
      <c r="H259" s="106" t="s">
        <v>286</v>
      </c>
      <c r="I259" s="106">
        <v>67</v>
      </c>
      <c r="J259" s="106"/>
    </row>
    <row r="260" spans="1:10" x14ac:dyDescent="0.2">
      <c r="A260" s="106" t="s">
        <v>381</v>
      </c>
      <c r="B260" s="106" t="s">
        <v>277</v>
      </c>
      <c r="C260" s="106" t="s">
        <v>278</v>
      </c>
      <c r="D260" s="106" t="s">
        <v>283</v>
      </c>
      <c r="E260">
        <v>3181</v>
      </c>
      <c r="F260" s="106" t="s">
        <v>1970</v>
      </c>
      <c r="G260" s="106" t="s">
        <v>284</v>
      </c>
      <c r="H260" s="106" t="s">
        <v>290</v>
      </c>
      <c r="I260" s="106">
        <v>11</v>
      </c>
      <c r="J260" s="106"/>
    </row>
    <row r="261" spans="1:10" x14ac:dyDescent="0.2">
      <c r="A261" s="106" t="s">
        <v>381</v>
      </c>
      <c r="B261" s="106" t="s">
        <v>277</v>
      </c>
      <c r="C261" s="106" t="s">
        <v>278</v>
      </c>
      <c r="D261" s="106" t="s">
        <v>283</v>
      </c>
      <c r="E261">
        <v>3192</v>
      </c>
      <c r="F261" s="106" t="s">
        <v>1971</v>
      </c>
      <c r="G261" s="106" t="s">
        <v>284</v>
      </c>
      <c r="H261" s="106" t="s">
        <v>290</v>
      </c>
      <c r="I261" s="106">
        <v>21</v>
      </c>
      <c r="J261" s="106"/>
    </row>
    <row r="262" spans="1:10" x14ac:dyDescent="0.2">
      <c r="A262" s="106" t="s">
        <v>381</v>
      </c>
      <c r="B262" s="106" t="s">
        <v>277</v>
      </c>
      <c r="C262" s="106" t="s">
        <v>278</v>
      </c>
      <c r="D262" s="106" t="s">
        <v>279</v>
      </c>
      <c r="E262">
        <v>3198</v>
      </c>
      <c r="F262" s="106" t="s">
        <v>1972</v>
      </c>
      <c r="G262" s="106" t="s">
        <v>280</v>
      </c>
      <c r="H262" s="106" t="s">
        <v>290</v>
      </c>
      <c r="I262" s="106">
        <v>585</v>
      </c>
      <c r="J262" s="106"/>
    </row>
    <row r="263" spans="1:10" x14ac:dyDescent="0.2">
      <c r="A263" s="106" t="s">
        <v>381</v>
      </c>
      <c r="B263" s="106" t="s">
        <v>277</v>
      </c>
      <c r="C263" s="106" t="s">
        <v>278</v>
      </c>
      <c r="D263" s="106" t="s">
        <v>283</v>
      </c>
      <c r="E263">
        <v>3223</v>
      </c>
      <c r="F263" s="106" t="s">
        <v>1973</v>
      </c>
      <c r="G263" s="106" t="s">
        <v>284</v>
      </c>
      <c r="H263" s="106" t="s">
        <v>290</v>
      </c>
      <c r="I263" s="106">
        <v>26</v>
      </c>
      <c r="J263" s="106"/>
    </row>
    <row r="264" spans="1:10" x14ac:dyDescent="0.2">
      <c r="A264" s="106" t="s">
        <v>381</v>
      </c>
      <c r="B264" s="106" t="s">
        <v>277</v>
      </c>
      <c r="C264" s="106" t="s">
        <v>282</v>
      </c>
      <c r="D264" s="106" t="s">
        <v>279</v>
      </c>
      <c r="E264">
        <v>3228</v>
      </c>
      <c r="F264" s="106" t="s">
        <v>1974</v>
      </c>
      <c r="G264" s="106" t="s">
        <v>280</v>
      </c>
      <c r="H264" s="106" t="s">
        <v>306</v>
      </c>
      <c r="I264" s="106">
        <v>350</v>
      </c>
      <c r="J264" s="106"/>
    </row>
    <row r="265" spans="1:10" x14ac:dyDescent="0.2">
      <c r="A265" s="106" t="s">
        <v>381</v>
      </c>
      <c r="B265" s="106" t="s">
        <v>277</v>
      </c>
      <c r="C265" s="106" t="s">
        <v>289</v>
      </c>
      <c r="D265" s="106" t="s">
        <v>283</v>
      </c>
      <c r="E265">
        <v>3236</v>
      </c>
      <c r="F265" s="106" t="s">
        <v>1975</v>
      </c>
      <c r="G265" s="106" t="s">
        <v>284</v>
      </c>
      <c r="H265" s="106" t="s">
        <v>306</v>
      </c>
      <c r="I265" s="106">
        <v>58</v>
      </c>
      <c r="J265" s="106"/>
    </row>
    <row r="266" spans="1:10" x14ac:dyDescent="0.2">
      <c r="A266" s="106" t="s">
        <v>381</v>
      </c>
      <c r="B266" s="106" t="s">
        <v>277</v>
      </c>
      <c r="C266" s="106" t="s">
        <v>287</v>
      </c>
      <c r="D266" s="106" t="s">
        <v>279</v>
      </c>
      <c r="E266">
        <v>3266</v>
      </c>
      <c r="F266" s="106" t="s">
        <v>1976</v>
      </c>
      <c r="G266" s="106" t="s">
        <v>284</v>
      </c>
      <c r="H266" s="106" t="s">
        <v>306</v>
      </c>
      <c r="I266" s="106">
        <v>38</v>
      </c>
      <c r="J266" s="106"/>
    </row>
    <row r="267" spans="1:10" x14ac:dyDescent="0.2">
      <c r="A267" s="106" t="s">
        <v>381</v>
      </c>
      <c r="B267" s="106" t="s">
        <v>277</v>
      </c>
      <c r="C267" s="106" t="s">
        <v>278</v>
      </c>
      <c r="D267" s="106" t="s">
        <v>279</v>
      </c>
      <c r="E267">
        <v>3387</v>
      </c>
      <c r="F267" s="106" t="s">
        <v>576</v>
      </c>
      <c r="G267" s="106" t="s">
        <v>280</v>
      </c>
      <c r="H267" s="106" t="s">
        <v>290</v>
      </c>
      <c r="I267" s="106" t="s">
        <v>311</v>
      </c>
      <c r="J267" s="106" t="s">
        <v>2376</v>
      </c>
    </row>
    <row r="268" spans="1:10" x14ac:dyDescent="0.2">
      <c r="A268" s="106" t="s">
        <v>381</v>
      </c>
      <c r="B268" s="106" t="s">
        <v>277</v>
      </c>
      <c r="C268" s="106" t="s">
        <v>282</v>
      </c>
      <c r="D268" s="106" t="s">
        <v>279</v>
      </c>
      <c r="E268">
        <v>3440</v>
      </c>
      <c r="F268" s="106" t="s">
        <v>1977</v>
      </c>
      <c r="G268" s="106" t="s">
        <v>288</v>
      </c>
      <c r="H268" s="106" t="s">
        <v>295</v>
      </c>
      <c r="I268" s="106">
        <v>61</v>
      </c>
      <c r="J268" s="106"/>
    </row>
    <row r="269" spans="1:10" x14ac:dyDescent="0.2">
      <c r="A269" s="106" t="s">
        <v>381</v>
      </c>
      <c r="B269" s="106" t="s">
        <v>277</v>
      </c>
      <c r="C269" s="106" t="s">
        <v>278</v>
      </c>
      <c r="D269" s="106" t="s">
        <v>279</v>
      </c>
      <c r="E269">
        <v>3479</v>
      </c>
      <c r="F269" s="106" t="s">
        <v>385</v>
      </c>
      <c r="G269" s="106" t="s">
        <v>292</v>
      </c>
      <c r="H269" s="106" t="s">
        <v>306</v>
      </c>
      <c r="I269" s="106" t="s">
        <v>311</v>
      </c>
      <c r="J269" s="106" t="s">
        <v>2377</v>
      </c>
    </row>
    <row r="270" spans="1:10" x14ac:dyDescent="0.2">
      <c r="A270" s="106" t="s">
        <v>381</v>
      </c>
      <c r="B270" s="106" t="s">
        <v>277</v>
      </c>
      <c r="C270" s="106" t="s">
        <v>282</v>
      </c>
      <c r="D270" s="106" t="s">
        <v>279</v>
      </c>
      <c r="E270">
        <v>3498</v>
      </c>
      <c r="F270" s="106" t="s">
        <v>1978</v>
      </c>
      <c r="G270" s="106" t="s">
        <v>292</v>
      </c>
      <c r="H270" s="106" t="s">
        <v>306</v>
      </c>
      <c r="I270" s="106">
        <v>164</v>
      </c>
      <c r="J270" s="106"/>
    </row>
    <row r="271" spans="1:10" x14ac:dyDescent="0.2">
      <c r="A271" s="106" t="s">
        <v>381</v>
      </c>
      <c r="B271" s="106" t="s">
        <v>277</v>
      </c>
      <c r="C271" s="106" t="s">
        <v>282</v>
      </c>
      <c r="D271" s="106" t="s">
        <v>279</v>
      </c>
      <c r="E271">
        <v>3536</v>
      </c>
      <c r="F271" s="106" t="s">
        <v>1979</v>
      </c>
      <c r="G271" s="106" t="s">
        <v>284</v>
      </c>
      <c r="H271" s="106" t="s">
        <v>290</v>
      </c>
      <c r="I271" s="106">
        <v>37</v>
      </c>
      <c r="J271" s="106"/>
    </row>
    <row r="272" spans="1:10" x14ac:dyDescent="0.2">
      <c r="A272" s="106" t="s">
        <v>381</v>
      </c>
      <c r="B272" s="106" t="s">
        <v>277</v>
      </c>
      <c r="C272" s="106" t="s">
        <v>282</v>
      </c>
      <c r="D272" s="106" t="s">
        <v>283</v>
      </c>
      <c r="E272">
        <v>3541</v>
      </c>
      <c r="F272" s="106" t="s">
        <v>1980</v>
      </c>
      <c r="G272" s="106" t="s">
        <v>292</v>
      </c>
      <c r="H272" s="106" t="s">
        <v>286</v>
      </c>
      <c r="I272" s="106">
        <v>106</v>
      </c>
      <c r="J272" s="106"/>
    </row>
    <row r="273" spans="1:10" x14ac:dyDescent="0.2">
      <c r="A273" s="106" t="s">
        <v>381</v>
      </c>
      <c r="B273" s="106" t="s">
        <v>277</v>
      </c>
      <c r="C273" s="106" t="s">
        <v>287</v>
      </c>
      <c r="D273" s="106" t="s">
        <v>279</v>
      </c>
      <c r="E273">
        <v>3547</v>
      </c>
      <c r="F273" s="106" t="s">
        <v>1981</v>
      </c>
      <c r="G273" s="106" t="s">
        <v>280</v>
      </c>
      <c r="H273" s="106" t="s">
        <v>290</v>
      </c>
      <c r="I273" s="106">
        <v>205</v>
      </c>
      <c r="J273" s="106"/>
    </row>
    <row r="274" spans="1:10" x14ac:dyDescent="0.2">
      <c r="A274" s="106" t="s">
        <v>381</v>
      </c>
      <c r="B274" s="106" t="s">
        <v>277</v>
      </c>
      <c r="C274" s="106" t="s">
        <v>278</v>
      </c>
      <c r="D274" s="106" t="s">
        <v>283</v>
      </c>
      <c r="E274">
        <v>3557</v>
      </c>
      <c r="F274" s="106" t="s">
        <v>578</v>
      </c>
      <c r="G274" s="106" t="s">
        <v>292</v>
      </c>
      <c r="H274" s="106" t="s">
        <v>290</v>
      </c>
      <c r="I274">
        <v>47</v>
      </c>
    </row>
    <row r="275" spans="1:10" x14ac:dyDescent="0.2">
      <c r="A275" s="106" t="s">
        <v>381</v>
      </c>
      <c r="B275" s="106" t="s">
        <v>277</v>
      </c>
      <c r="C275" s="106" t="s">
        <v>278</v>
      </c>
      <c r="D275" s="106" t="s">
        <v>279</v>
      </c>
      <c r="E275">
        <v>3558</v>
      </c>
      <c r="F275" s="106" t="s">
        <v>1982</v>
      </c>
      <c r="G275" s="106" t="s">
        <v>292</v>
      </c>
      <c r="H275" s="106" t="s">
        <v>290</v>
      </c>
      <c r="I275" s="106">
        <v>106</v>
      </c>
      <c r="J275" s="106"/>
    </row>
    <row r="276" spans="1:10" x14ac:dyDescent="0.2">
      <c r="A276" s="106" t="s">
        <v>381</v>
      </c>
      <c r="B276" s="106" t="s">
        <v>277</v>
      </c>
      <c r="C276" s="106" t="s">
        <v>278</v>
      </c>
      <c r="D276" s="106" t="s">
        <v>279</v>
      </c>
      <c r="E276">
        <v>3562</v>
      </c>
      <c r="F276" s="106" t="s">
        <v>386</v>
      </c>
      <c r="G276" s="106" t="s">
        <v>284</v>
      </c>
      <c r="H276" s="106" t="s">
        <v>286</v>
      </c>
      <c r="I276" s="106">
        <v>38</v>
      </c>
      <c r="J276" s="106"/>
    </row>
    <row r="277" spans="1:10" x14ac:dyDescent="0.2">
      <c r="A277" s="106" t="s">
        <v>381</v>
      </c>
      <c r="B277" s="106" t="s">
        <v>277</v>
      </c>
      <c r="C277" s="106" t="s">
        <v>278</v>
      </c>
      <c r="D277" s="106" t="s">
        <v>279</v>
      </c>
      <c r="E277">
        <v>3678</v>
      </c>
      <c r="F277" s="106" t="s">
        <v>387</v>
      </c>
      <c r="G277" s="106" t="s">
        <v>280</v>
      </c>
      <c r="H277" s="106" t="s">
        <v>291</v>
      </c>
      <c r="I277" s="106">
        <v>582</v>
      </c>
      <c r="J277" s="106"/>
    </row>
    <row r="278" spans="1:10" x14ac:dyDescent="0.2">
      <c r="A278" s="106" t="s">
        <v>381</v>
      </c>
      <c r="B278" s="106" t="s">
        <v>277</v>
      </c>
      <c r="C278" s="106" t="s">
        <v>289</v>
      </c>
      <c r="D278" s="106" t="s">
        <v>283</v>
      </c>
      <c r="E278">
        <v>3760</v>
      </c>
      <c r="F278" s="106" t="s">
        <v>1983</v>
      </c>
      <c r="G278" s="106" t="s">
        <v>284</v>
      </c>
      <c r="H278" s="106" t="s">
        <v>291</v>
      </c>
      <c r="I278">
        <v>64</v>
      </c>
    </row>
    <row r="279" spans="1:10" x14ac:dyDescent="0.2">
      <c r="A279" s="106" t="s">
        <v>381</v>
      </c>
      <c r="B279" s="106" t="s">
        <v>277</v>
      </c>
      <c r="C279" s="106" t="s">
        <v>289</v>
      </c>
      <c r="D279" s="106" t="s">
        <v>279</v>
      </c>
      <c r="E279">
        <v>3791</v>
      </c>
      <c r="F279" s="106" t="s">
        <v>1984</v>
      </c>
      <c r="G279" s="106" t="s">
        <v>284</v>
      </c>
      <c r="H279" s="106" t="s">
        <v>291</v>
      </c>
      <c r="I279">
        <v>80</v>
      </c>
    </row>
    <row r="280" spans="1:10" x14ac:dyDescent="0.2">
      <c r="A280" s="106" t="s">
        <v>381</v>
      </c>
      <c r="B280" s="106" t="s">
        <v>277</v>
      </c>
      <c r="C280" s="106" t="s">
        <v>289</v>
      </c>
      <c r="D280" s="106" t="s">
        <v>279</v>
      </c>
      <c r="E280">
        <v>3810</v>
      </c>
      <c r="F280" s="106" t="s">
        <v>1985</v>
      </c>
      <c r="G280" s="106" t="s">
        <v>288</v>
      </c>
      <c r="H280" s="106" t="s">
        <v>291</v>
      </c>
      <c r="I280" s="106">
        <v>117</v>
      </c>
      <c r="J280" s="106"/>
    </row>
    <row r="281" spans="1:10" x14ac:dyDescent="0.2">
      <c r="A281" s="106" t="s">
        <v>381</v>
      </c>
      <c r="B281" s="106" t="s">
        <v>277</v>
      </c>
      <c r="C281" s="106" t="s">
        <v>282</v>
      </c>
      <c r="D281" s="106" t="s">
        <v>279</v>
      </c>
      <c r="E281">
        <v>3823</v>
      </c>
      <c r="F281" s="106" t="s">
        <v>1986</v>
      </c>
      <c r="G281" s="106" t="s">
        <v>288</v>
      </c>
      <c r="H281" s="106" t="s">
        <v>291</v>
      </c>
      <c r="I281" s="106">
        <v>61</v>
      </c>
      <c r="J281" s="106"/>
    </row>
    <row r="282" spans="1:10" x14ac:dyDescent="0.2">
      <c r="A282" s="106" t="s">
        <v>381</v>
      </c>
      <c r="B282" s="106" t="s">
        <v>277</v>
      </c>
      <c r="C282" s="106" t="s">
        <v>278</v>
      </c>
      <c r="D282" s="106" t="s">
        <v>279</v>
      </c>
      <c r="E282">
        <v>3935</v>
      </c>
      <c r="F282" s="106" t="s">
        <v>1987</v>
      </c>
      <c r="G282" s="106" t="s">
        <v>292</v>
      </c>
      <c r="H282" s="106" t="s">
        <v>291</v>
      </c>
      <c r="I282">
        <v>49</v>
      </c>
    </row>
    <row r="283" spans="1:10" x14ac:dyDescent="0.2">
      <c r="A283" s="106" t="s">
        <v>381</v>
      </c>
      <c r="B283" s="106" t="s">
        <v>277</v>
      </c>
      <c r="C283" s="106" t="s">
        <v>289</v>
      </c>
      <c r="D283" s="106" t="s">
        <v>279</v>
      </c>
      <c r="E283">
        <v>3990</v>
      </c>
      <c r="F283" s="106" t="s">
        <v>1988</v>
      </c>
      <c r="G283" s="106" t="s">
        <v>292</v>
      </c>
      <c r="H283" s="106" t="s">
        <v>291</v>
      </c>
      <c r="I283" s="106">
        <v>949</v>
      </c>
      <c r="J283" s="106"/>
    </row>
    <row r="284" spans="1:10" x14ac:dyDescent="0.2">
      <c r="A284" s="106" t="s">
        <v>381</v>
      </c>
      <c r="B284" s="106" t="s">
        <v>277</v>
      </c>
      <c r="C284" s="106" t="s">
        <v>282</v>
      </c>
      <c r="D284" s="106" t="s">
        <v>279</v>
      </c>
      <c r="E284">
        <v>3991</v>
      </c>
      <c r="F284" s="106" t="s">
        <v>1989</v>
      </c>
      <c r="G284" s="106" t="s">
        <v>292</v>
      </c>
      <c r="H284" s="106" t="s">
        <v>291</v>
      </c>
      <c r="I284" s="106">
        <v>187</v>
      </c>
      <c r="J284" s="106"/>
    </row>
    <row r="285" spans="1:10" x14ac:dyDescent="0.2">
      <c r="A285" s="106" t="s">
        <v>381</v>
      </c>
      <c r="B285" s="106" t="s">
        <v>277</v>
      </c>
      <c r="C285" s="106" t="s">
        <v>287</v>
      </c>
      <c r="D285" s="106" t="s">
        <v>279</v>
      </c>
      <c r="E285">
        <v>3994</v>
      </c>
      <c r="F285" s="106" t="s">
        <v>1990</v>
      </c>
      <c r="G285" s="106" t="s">
        <v>292</v>
      </c>
      <c r="H285" s="106" t="s">
        <v>291</v>
      </c>
      <c r="I285" s="106" t="s">
        <v>311</v>
      </c>
      <c r="J285" s="106" t="s">
        <v>2378</v>
      </c>
    </row>
    <row r="286" spans="1:10" x14ac:dyDescent="0.2">
      <c r="A286" s="106" t="s">
        <v>381</v>
      </c>
      <c r="B286" s="106" t="s">
        <v>277</v>
      </c>
      <c r="C286" s="106" t="s">
        <v>278</v>
      </c>
      <c r="D286" s="106" t="s">
        <v>283</v>
      </c>
      <c r="E286">
        <v>3996</v>
      </c>
      <c r="F286" s="106" t="s">
        <v>579</v>
      </c>
      <c r="G286" s="106" t="s">
        <v>280</v>
      </c>
      <c r="H286" s="106" t="s">
        <v>291</v>
      </c>
      <c r="I286">
        <v>227</v>
      </c>
    </row>
    <row r="287" spans="1:10" x14ac:dyDescent="0.2">
      <c r="A287" s="106" t="s">
        <v>381</v>
      </c>
      <c r="B287" s="106" t="s">
        <v>277</v>
      </c>
      <c r="C287" s="106" t="s">
        <v>282</v>
      </c>
      <c r="D287" s="106" t="s">
        <v>279</v>
      </c>
      <c r="E287">
        <v>4397</v>
      </c>
      <c r="F287" s="106" t="s">
        <v>1991</v>
      </c>
      <c r="G287" s="106" t="s">
        <v>292</v>
      </c>
      <c r="H287" s="106" t="s">
        <v>291</v>
      </c>
      <c r="I287" s="106">
        <v>360</v>
      </c>
      <c r="J287" s="106"/>
    </row>
    <row r="288" spans="1:10" x14ac:dyDescent="0.2">
      <c r="A288" s="106" t="s">
        <v>381</v>
      </c>
      <c r="B288" s="106" t="s">
        <v>277</v>
      </c>
      <c r="C288" s="106" t="s">
        <v>278</v>
      </c>
      <c r="D288" s="106" t="s">
        <v>279</v>
      </c>
      <c r="E288">
        <v>4429</v>
      </c>
      <c r="F288" s="106" t="s">
        <v>560</v>
      </c>
      <c r="G288" s="106" t="s">
        <v>292</v>
      </c>
      <c r="H288" s="106" t="s">
        <v>291</v>
      </c>
      <c r="I288" s="106">
        <v>230</v>
      </c>
      <c r="J288" s="106"/>
    </row>
    <row r="289" spans="1:10" x14ac:dyDescent="0.2">
      <c r="A289" s="106" t="s">
        <v>381</v>
      </c>
      <c r="B289" s="106" t="s">
        <v>277</v>
      </c>
      <c r="C289" s="106" t="s">
        <v>278</v>
      </c>
      <c r="D289" s="106" t="s">
        <v>283</v>
      </c>
      <c r="E289">
        <v>4434</v>
      </c>
      <c r="F289" s="106" t="s">
        <v>581</v>
      </c>
      <c r="G289" s="106" t="s">
        <v>292</v>
      </c>
      <c r="H289" s="106" t="s">
        <v>291</v>
      </c>
      <c r="I289" s="106">
        <v>284</v>
      </c>
      <c r="J289" s="106"/>
    </row>
    <row r="290" spans="1:10" x14ac:dyDescent="0.2">
      <c r="A290" s="106" t="s">
        <v>381</v>
      </c>
      <c r="B290" s="106" t="s">
        <v>277</v>
      </c>
      <c r="C290" s="106" t="s">
        <v>289</v>
      </c>
      <c r="D290" s="106" t="s">
        <v>279</v>
      </c>
      <c r="E290">
        <v>4443</v>
      </c>
      <c r="F290" s="106" t="s">
        <v>562</v>
      </c>
      <c r="G290" s="106" t="s">
        <v>292</v>
      </c>
      <c r="H290" s="106" t="s">
        <v>291</v>
      </c>
      <c r="I290" s="106" t="s">
        <v>311</v>
      </c>
      <c r="J290" s="106" t="s">
        <v>2241</v>
      </c>
    </row>
    <row r="291" spans="1:10" x14ac:dyDescent="0.2">
      <c r="A291" s="106" t="s">
        <v>381</v>
      </c>
      <c r="B291" s="106" t="s">
        <v>277</v>
      </c>
      <c r="C291" s="106" t="s">
        <v>289</v>
      </c>
      <c r="D291" s="106" t="s">
        <v>279</v>
      </c>
      <c r="E291">
        <v>4577</v>
      </c>
      <c r="F291" s="106" t="s">
        <v>1992</v>
      </c>
      <c r="G291" s="106" t="s">
        <v>280</v>
      </c>
      <c r="H291" s="106" t="s">
        <v>325</v>
      </c>
      <c r="I291" s="106">
        <v>409</v>
      </c>
      <c r="J291" s="106"/>
    </row>
    <row r="292" spans="1:10" x14ac:dyDescent="0.2">
      <c r="A292" s="106" t="s">
        <v>381</v>
      </c>
      <c r="B292" s="106" t="s">
        <v>277</v>
      </c>
      <c r="C292" s="106" t="s">
        <v>287</v>
      </c>
      <c r="D292" s="106" t="s">
        <v>279</v>
      </c>
      <c r="E292">
        <v>4616</v>
      </c>
      <c r="F292" s="106" t="s">
        <v>1993</v>
      </c>
      <c r="G292" s="106" t="s">
        <v>288</v>
      </c>
      <c r="H292" s="106" t="s">
        <v>293</v>
      </c>
      <c r="I292" s="106">
        <v>14</v>
      </c>
      <c r="J292" s="106"/>
    </row>
    <row r="293" spans="1:10" x14ac:dyDescent="0.2">
      <c r="A293" s="106" t="s">
        <v>381</v>
      </c>
      <c r="B293" s="106" t="s">
        <v>277</v>
      </c>
      <c r="C293" s="106" t="s">
        <v>278</v>
      </c>
      <c r="D293" s="106" t="s">
        <v>279</v>
      </c>
      <c r="E293">
        <v>4645</v>
      </c>
      <c r="F293" s="106" t="s">
        <v>1994</v>
      </c>
      <c r="G293" s="106" t="s">
        <v>284</v>
      </c>
      <c r="H293" s="106" t="s">
        <v>285</v>
      </c>
      <c r="I293" s="106">
        <v>52</v>
      </c>
      <c r="J293" s="106"/>
    </row>
    <row r="294" spans="1:10" x14ac:dyDescent="0.2">
      <c r="A294" s="106" t="s">
        <v>381</v>
      </c>
      <c r="B294" s="106" t="s">
        <v>277</v>
      </c>
      <c r="C294" s="106" t="s">
        <v>282</v>
      </c>
      <c r="D294" s="106" t="s">
        <v>279</v>
      </c>
      <c r="E294">
        <v>4668</v>
      </c>
      <c r="F294" s="106" t="s">
        <v>388</v>
      </c>
      <c r="G294" s="106" t="s">
        <v>280</v>
      </c>
      <c r="H294" s="106" t="s">
        <v>285</v>
      </c>
      <c r="I294" s="106">
        <v>284</v>
      </c>
      <c r="J294" s="106"/>
    </row>
    <row r="295" spans="1:10" x14ac:dyDescent="0.2">
      <c r="A295" s="106" t="s">
        <v>381</v>
      </c>
      <c r="B295" s="106" t="s">
        <v>277</v>
      </c>
      <c r="C295" s="106" t="s">
        <v>282</v>
      </c>
      <c r="D295" s="106" t="s">
        <v>279</v>
      </c>
      <c r="E295">
        <v>4728</v>
      </c>
      <c r="F295" s="106" t="s">
        <v>1995</v>
      </c>
      <c r="G295" s="106" t="s">
        <v>280</v>
      </c>
      <c r="H295" s="106" t="s">
        <v>291</v>
      </c>
      <c r="I295" s="106">
        <v>70</v>
      </c>
      <c r="J295" s="106"/>
    </row>
    <row r="296" spans="1:10" x14ac:dyDescent="0.2">
      <c r="A296" s="106" t="s">
        <v>381</v>
      </c>
      <c r="B296" s="106" t="s">
        <v>277</v>
      </c>
      <c r="C296" s="106" t="s">
        <v>287</v>
      </c>
      <c r="D296" s="106" t="s">
        <v>279</v>
      </c>
      <c r="E296">
        <v>4992</v>
      </c>
      <c r="F296" s="106" t="s">
        <v>1996</v>
      </c>
      <c r="G296" s="106" t="s">
        <v>280</v>
      </c>
      <c r="H296" s="106" t="s">
        <v>293</v>
      </c>
      <c r="I296" s="106">
        <v>178</v>
      </c>
      <c r="J296" s="106"/>
    </row>
    <row r="297" spans="1:10" x14ac:dyDescent="0.2">
      <c r="A297" s="106" t="s">
        <v>381</v>
      </c>
      <c r="B297" s="106" t="s">
        <v>277</v>
      </c>
      <c r="C297" s="106" t="s">
        <v>278</v>
      </c>
      <c r="D297" s="106" t="s">
        <v>279</v>
      </c>
      <c r="E297">
        <v>5018</v>
      </c>
      <c r="F297" s="106" t="s">
        <v>1997</v>
      </c>
      <c r="G297" s="106" t="s">
        <v>280</v>
      </c>
      <c r="H297" s="106" t="s">
        <v>1998</v>
      </c>
      <c r="I297" s="106">
        <v>137</v>
      </c>
      <c r="J297" s="106"/>
    </row>
    <row r="298" spans="1:10" x14ac:dyDescent="0.2">
      <c r="A298" s="106" t="s">
        <v>381</v>
      </c>
      <c r="B298" s="106" t="s">
        <v>277</v>
      </c>
      <c r="C298" s="106" t="s">
        <v>278</v>
      </c>
      <c r="D298" s="106" t="s">
        <v>279</v>
      </c>
      <c r="E298">
        <v>5817</v>
      </c>
      <c r="F298" s="106" t="s">
        <v>1999</v>
      </c>
      <c r="G298" s="106" t="s">
        <v>288</v>
      </c>
      <c r="H298" s="106" t="s">
        <v>429</v>
      </c>
      <c r="I298" s="106">
        <v>18</v>
      </c>
      <c r="J298" s="106"/>
    </row>
    <row r="299" spans="1:10" x14ac:dyDescent="0.2">
      <c r="A299" s="106" t="s">
        <v>381</v>
      </c>
      <c r="B299" s="106" t="s">
        <v>277</v>
      </c>
      <c r="C299" s="106" t="s">
        <v>289</v>
      </c>
      <c r="D299" s="106" t="s">
        <v>279</v>
      </c>
      <c r="E299">
        <v>5967</v>
      </c>
      <c r="F299" s="106" t="s">
        <v>583</v>
      </c>
      <c r="G299" s="106" t="s">
        <v>288</v>
      </c>
      <c r="H299" s="106" t="s">
        <v>295</v>
      </c>
      <c r="I299" s="106">
        <v>61</v>
      </c>
      <c r="J299" s="106"/>
    </row>
    <row r="300" spans="1:10" x14ac:dyDescent="0.2">
      <c r="A300" s="106" t="s">
        <v>381</v>
      </c>
      <c r="B300" s="106" t="s">
        <v>277</v>
      </c>
      <c r="C300" s="106" t="s">
        <v>289</v>
      </c>
      <c r="D300" s="106" t="s">
        <v>279</v>
      </c>
      <c r="E300">
        <v>6044</v>
      </c>
      <c r="F300" s="106" t="s">
        <v>2000</v>
      </c>
      <c r="G300" s="106" t="s">
        <v>280</v>
      </c>
      <c r="H300" s="106" t="s">
        <v>285</v>
      </c>
      <c r="I300">
        <v>65</v>
      </c>
    </row>
    <row r="301" spans="1:10" x14ac:dyDescent="0.2">
      <c r="A301" s="106" t="s">
        <v>381</v>
      </c>
      <c r="B301" s="106" t="s">
        <v>277</v>
      </c>
      <c r="C301" s="106" t="s">
        <v>289</v>
      </c>
      <c r="D301" s="106" t="s">
        <v>279</v>
      </c>
      <c r="E301">
        <v>6047</v>
      </c>
      <c r="F301" s="106" t="s">
        <v>2001</v>
      </c>
      <c r="G301" s="106" t="s">
        <v>280</v>
      </c>
      <c r="H301" s="106" t="s">
        <v>285</v>
      </c>
      <c r="I301" s="106">
        <v>374</v>
      </c>
      <c r="J301" s="106"/>
    </row>
    <row r="302" spans="1:10" x14ac:dyDescent="0.2">
      <c r="A302" s="106" t="s">
        <v>381</v>
      </c>
      <c r="B302" s="106" t="s">
        <v>277</v>
      </c>
      <c r="C302" s="106" t="s">
        <v>282</v>
      </c>
      <c r="D302" s="106" t="s">
        <v>279</v>
      </c>
      <c r="E302">
        <v>6048</v>
      </c>
      <c r="F302" s="106" t="s">
        <v>2002</v>
      </c>
      <c r="G302" s="106" t="s">
        <v>280</v>
      </c>
      <c r="H302" s="106" t="s">
        <v>285</v>
      </c>
      <c r="I302" s="106">
        <v>52</v>
      </c>
      <c r="J302" s="106"/>
    </row>
    <row r="303" spans="1:10" x14ac:dyDescent="0.2">
      <c r="A303" s="106" t="s">
        <v>381</v>
      </c>
      <c r="B303" s="106" t="s">
        <v>277</v>
      </c>
      <c r="C303" s="106" t="s">
        <v>278</v>
      </c>
      <c r="D303" s="106" t="s">
        <v>279</v>
      </c>
      <c r="E303">
        <v>6070</v>
      </c>
      <c r="F303" s="106" t="s">
        <v>2003</v>
      </c>
      <c r="G303" s="106" t="s">
        <v>280</v>
      </c>
      <c r="H303" s="106" t="s">
        <v>285</v>
      </c>
      <c r="I303" s="106">
        <v>77</v>
      </c>
      <c r="J303" s="106"/>
    </row>
    <row r="304" spans="1:10" x14ac:dyDescent="0.2">
      <c r="A304" s="106" t="s">
        <v>381</v>
      </c>
      <c r="B304" s="106" t="s">
        <v>277</v>
      </c>
      <c r="C304" s="106" t="s">
        <v>278</v>
      </c>
      <c r="D304" s="106" t="s">
        <v>279</v>
      </c>
      <c r="E304">
        <v>6086</v>
      </c>
      <c r="F304" s="106" t="s">
        <v>2004</v>
      </c>
      <c r="G304" s="106" t="s">
        <v>292</v>
      </c>
      <c r="H304" s="106" t="s">
        <v>285</v>
      </c>
      <c r="I304" s="106">
        <v>119</v>
      </c>
      <c r="J304" s="106"/>
    </row>
    <row r="305" spans="1:10" x14ac:dyDescent="0.2">
      <c r="A305" s="106" t="s">
        <v>381</v>
      </c>
      <c r="B305" s="106" t="s">
        <v>277</v>
      </c>
      <c r="C305" s="106" t="s">
        <v>278</v>
      </c>
      <c r="D305" s="106" t="s">
        <v>279</v>
      </c>
      <c r="E305">
        <v>6173</v>
      </c>
      <c r="F305" s="106" t="s">
        <v>584</v>
      </c>
      <c r="G305" s="106" t="s">
        <v>292</v>
      </c>
      <c r="H305" s="106" t="s">
        <v>285</v>
      </c>
      <c r="I305">
        <v>23</v>
      </c>
    </row>
    <row r="306" spans="1:10" x14ac:dyDescent="0.2">
      <c r="A306" s="106" t="s">
        <v>381</v>
      </c>
      <c r="B306" s="106" t="s">
        <v>277</v>
      </c>
      <c r="C306" s="106" t="s">
        <v>278</v>
      </c>
      <c r="D306" s="106" t="s">
        <v>279</v>
      </c>
      <c r="E306">
        <v>6182</v>
      </c>
      <c r="F306" s="106" t="s">
        <v>2005</v>
      </c>
      <c r="G306" s="106" t="s">
        <v>292</v>
      </c>
      <c r="H306" s="106" t="s">
        <v>285</v>
      </c>
      <c r="I306" s="106">
        <v>396</v>
      </c>
      <c r="J306" s="106"/>
    </row>
    <row r="307" spans="1:10" x14ac:dyDescent="0.2">
      <c r="A307" s="106" t="s">
        <v>381</v>
      </c>
      <c r="B307" s="106" t="s">
        <v>277</v>
      </c>
      <c r="C307" s="106" t="s">
        <v>282</v>
      </c>
      <c r="D307" s="106" t="s">
        <v>279</v>
      </c>
      <c r="E307">
        <v>6199</v>
      </c>
      <c r="F307" s="106" t="s">
        <v>2006</v>
      </c>
      <c r="G307" s="106" t="s">
        <v>280</v>
      </c>
      <c r="H307" s="106" t="s">
        <v>285</v>
      </c>
      <c r="I307" s="106">
        <v>112</v>
      </c>
      <c r="J307" s="106"/>
    </row>
    <row r="308" spans="1:10" x14ac:dyDescent="0.2">
      <c r="A308" s="106" t="s">
        <v>381</v>
      </c>
      <c r="B308" s="106" t="s">
        <v>277</v>
      </c>
      <c r="C308" s="106" t="s">
        <v>289</v>
      </c>
      <c r="D308" s="106" t="s">
        <v>279</v>
      </c>
      <c r="E308">
        <v>6505</v>
      </c>
      <c r="F308" s="106" t="s">
        <v>2007</v>
      </c>
      <c r="G308" s="106" t="s">
        <v>280</v>
      </c>
      <c r="H308" s="106" t="s">
        <v>305</v>
      </c>
      <c r="I308">
        <v>154</v>
      </c>
    </row>
    <row r="309" spans="1:10" x14ac:dyDescent="0.2">
      <c r="A309" s="106" t="s">
        <v>381</v>
      </c>
      <c r="B309" s="106" t="s">
        <v>277</v>
      </c>
      <c r="C309" s="106" t="s">
        <v>278</v>
      </c>
      <c r="D309" s="106" t="s">
        <v>283</v>
      </c>
      <c r="E309">
        <v>6532</v>
      </c>
      <c r="F309" s="106" t="s">
        <v>379</v>
      </c>
      <c r="G309" s="106" t="s">
        <v>280</v>
      </c>
      <c r="H309" s="106" t="s">
        <v>285</v>
      </c>
      <c r="I309" s="106">
        <v>850</v>
      </c>
      <c r="J309" s="106"/>
    </row>
    <row r="310" spans="1:10" x14ac:dyDescent="0.2">
      <c r="A310" s="106" t="s">
        <v>381</v>
      </c>
      <c r="B310" s="106" t="s">
        <v>277</v>
      </c>
      <c r="C310" s="106" t="s">
        <v>278</v>
      </c>
      <c r="D310" s="106" t="s">
        <v>279</v>
      </c>
      <c r="E310">
        <v>6543</v>
      </c>
      <c r="F310" s="106" t="s">
        <v>586</v>
      </c>
      <c r="G310" s="106" t="s">
        <v>284</v>
      </c>
      <c r="H310" s="106" t="s">
        <v>285</v>
      </c>
      <c r="I310" s="106">
        <v>26</v>
      </c>
      <c r="J310" s="106"/>
    </row>
    <row r="311" spans="1:10" x14ac:dyDescent="0.2">
      <c r="A311" s="106" t="s">
        <v>381</v>
      </c>
      <c r="B311" s="106" t="s">
        <v>277</v>
      </c>
      <c r="C311" s="106" t="s">
        <v>287</v>
      </c>
      <c r="D311" s="106" t="s">
        <v>283</v>
      </c>
      <c r="E311">
        <v>6558</v>
      </c>
      <c r="F311" s="106" t="s">
        <v>2008</v>
      </c>
      <c r="G311" s="106" t="s">
        <v>292</v>
      </c>
      <c r="H311" s="106" t="s">
        <v>285</v>
      </c>
      <c r="I311">
        <v>67</v>
      </c>
    </row>
    <row r="312" spans="1:10" x14ac:dyDescent="0.2">
      <c r="A312" s="106" t="s">
        <v>381</v>
      </c>
      <c r="B312" s="106" t="s">
        <v>277</v>
      </c>
      <c r="C312" s="106" t="s">
        <v>278</v>
      </c>
      <c r="D312" s="106" t="s">
        <v>279</v>
      </c>
      <c r="E312">
        <v>6572</v>
      </c>
      <c r="F312" s="106" t="s">
        <v>2009</v>
      </c>
      <c r="G312" s="106" t="s">
        <v>280</v>
      </c>
      <c r="H312" s="106" t="s">
        <v>285</v>
      </c>
      <c r="I312">
        <v>666</v>
      </c>
    </row>
    <row r="313" spans="1:10" x14ac:dyDescent="0.2">
      <c r="A313" s="106" t="s">
        <v>381</v>
      </c>
      <c r="B313" s="106" t="s">
        <v>277</v>
      </c>
      <c r="C313" s="106" t="s">
        <v>278</v>
      </c>
      <c r="D313" s="106" t="s">
        <v>279</v>
      </c>
      <c r="E313">
        <v>6578</v>
      </c>
      <c r="F313" s="106" t="s">
        <v>396</v>
      </c>
      <c r="G313" s="106" t="s">
        <v>288</v>
      </c>
      <c r="H313" s="106" t="s">
        <v>285</v>
      </c>
      <c r="I313">
        <v>28</v>
      </c>
    </row>
    <row r="314" spans="1:10" x14ac:dyDescent="0.2">
      <c r="A314" s="106" t="s">
        <v>381</v>
      </c>
      <c r="B314" s="106" t="s">
        <v>277</v>
      </c>
      <c r="C314" s="106" t="s">
        <v>278</v>
      </c>
      <c r="D314" s="106" t="s">
        <v>279</v>
      </c>
      <c r="E314">
        <v>6814</v>
      </c>
      <c r="F314" s="106" t="s">
        <v>389</v>
      </c>
      <c r="G314" s="106" t="s">
        <v>280</v>
      </c>
      <c r="H314" s="106" t="s">
        <v>305</v>
      </c>
      <c r="I314" s="106">
        <v>438</v>
      </c>
      <c r="J314" s="106"/>
    </row>
    <row r="315" spans="1:10" x14ac:dyDescent="0.2">
      <c r="A315" s="106" t="s">
        <v>381</v>
      </c>
      <c r="B315" s="106" t="s">
        <v>277</v>
      </c>
      <c r="C315" s="106" t="s">
        <v>282</v>
      </c>
      <c r="D315" s="106" t="s">
        <v>283</v>
      </c>
      <c r="E315">
        <v>7035</v>
      </c>
      <c r="F315" s="106" t="s">
        <v>2010</v>
      </c>
      <c r="G315" s="106" t="s">
        <v>292</v>
      </c>
      <c r="H315" s="106" t="s">
        <v>285</v>
      </c>
      <c r="I315" s="106">
        <v>225</v>
      </c>
      <c r="J315" s="106"/>
    </row>
    <row r="316" spans="1:10" x14ac:dyDescent="0.2">
      <c r="A316" s="106" t="s">
        <v>381</v>
      </c>
      <c r="B316" s="106" t="s">
        <v>277</v>
      </c>
      <c r="C316" s="106" t="s">
        <v>278</v>
      </c>
      <c r="D316" s="106" t="s">
        <v>279</v>
      </c>
      <c r="E316">
        <v>7049</v>
      </c>
      <c r="F316" s="106" t="s">
        <v>587</v>
      </c>
      <c r="G316" s="106" t="s">
        <v>292</v>
      </c>
      <c r="H316" s="106" t="s">
        <v>285</v>
      </c>
      <c r="I316" s="106">
        <v>118</v>
      </c>
      <c r="J316" s="106"/>
    </row>
    <row r="317" spans="1:10" x14ac:dyDescent="0.2">
      <c r="A317" s="106" t="s">
        <v>381</v>
      </c>
      <c r="B317" s="106" t="s">
        <v>277</v>
      </c>
      <c r="C317" s="106" t="s">
        <v>282</v>
      </c>
      <c r="D317" s="106" t="s">
        <v>279</v>
      </c>
      <c r="E317">
        <v>7065</v>
      </c>
      <c r="F317" s="106" t="s">
        <v>589</v>
      </c>
      <c r="G317" s="106" t="s">
        <v>288</v>
      </c>
      <c r="H317" s="106" t="s">
        <v>285</v>
      </c>
      <c r="I317" s="106">
        <v>171</v>
      </c>
      <c r="J317" s="106"/>
    </row>
    <row r="318" spans="1:10" x14ac:dyDescent="0.2">
      <c r="A318" s="106" t="s">
        <v>381</v>
      </c>
      <c r="B318" s="106" t="s">
        <v>277</v>
      </c>
      <c r="C318" s="106" t="s">
        <v>282</v>
      </c>
      <c r="D318" s="106" t="s">
        <v>279</v>
      </c>
      <c r="E318">
        <v>7445</v>
      </c>
      <c r="F318" s="106" t="s">
        <v>2011</v>
      </c>
      <c r="G318" s="106" t="s">
        <v>280</v>
      </c>
      <c r="H318" s="106" t="s">
        <v>290</v>
      </c>
      <c r="I318">
        <v>181</v>
      </c>
    </row>
    <row r="319" spans="1:10" x14ac:dyDescent="0.2">
      <c r="A319" s="106" t="s">
        <v>381</v>
      </c>
      <c r="B319" s="106" t="s">
        <v>277</v>
      </c>
      <c r="C319" s="106" t="s">
        <v>278</v>
      </c>
      <c r="D319" s="106" t="s">
        <v>279</v>
      </c>
      <c r="E319">
        <v>7515</v>
      </c>
      <c r="F319" s="106" t="s">
        <v>2012</v>
      </c>
      <c r="G319" s="106" t="s">
        <v>288</v>
      </c>
      <c r="H319" s="106" t="s">
        <v>290</v>
      </c>
      <c r="I319" s="106">
        <v>24</v>
      </c>
      <c r="J319" s="106"/>
    </row>
    <row r="320" spans="1:10" x14ac:dyDescent="0.2">
      <c r="A320" s="106" t="s">
        <v>381</v>
      </c>
      <c r="B320" s="106" t="s">
        <v>277</v>
      </c>
      <c r="C320" s="106" t="s">
        <v>278</v>
      </c>
      <c r="D320" s="106" t="s">
        <v>279</v>
      </c>
      <c r="E320">
        <v>7599</v>
      </c>
      <c r="F320" s="106" t="s">
        <v>2013</v>
      </c>
      <c r="G320" s="106" t="s">
        <v>280</v>
      </c>
      <c r="H320" s="106" t="s">
        <v>286</v>
      </c>
      <c r="I320" s="106">
        <v>677</v>
      </c>
      <c r="J320" s="106"/>
    </row>
    <row r="321" spans="1:10" x14ac:dyDescent="0.2">
      <c r="A321" s="106" t="s">
        <v>381</v>
      </c>
      <c r="B321" s="106" t="s">
        <v>277</v>
      </c>
      <c r="C321" s="106" t="s">
        <v>278</v>
      </c>
      <c r="D321" s="106" t="s">
        <v>279</v>
      </c>
      <c r="E321">
        <v>7608</v>
      </c>
      <c r="F321" s="106" t="s">
        <v>2014</v>
      </c>
      <c r="G321" s="106" t="s">
        <v>280</v>
      </c>
      <c r="H321" s="106" t="s">
        <v>286</v>
      </c>
      <c r="I321" s="106">
        <v>38</v>
      </c>
      <c r="J321" s="106"/>
    </row>
    <row r="322" spans="1:10" x14ac:dyDescent="0.2">
      <c r="A322" s="106" t="s">
        <v>381</v>
      </c>
      <c r="B322" s="106" t="s">
        <v>277</v>
      </c>
      <c r="C322" s="106" t="s">
        <v>278</v>
      </c>
      <c r="D322" s="106" t="s">
        <v>279</v>
      </c>
      <c r="E322">
        <v>7719</v>
      </c>
      <c r="F322" s="106" t="s">
        <v>390</v>
      </c>
      <c r="G322" s="106" t="s">
        <v>288</v>
      </c>
      <c r="H322" s="106" t="s">
        <v>391</v>
      </c>
      <c r="I322" s="106">
        <v>18</v>
      </c>
      <c r="J322" s="106"/>
    </row>
    <row r="323" spans="1:10" x14ac:dyDescent="0.2">
      <c r="A323" s="106" t="s">
        <v>381</v>
      </c>
      <c r="B323" s="106" t="s">
        <v>277</v>
      </c>
      <c r="C323" s="106" t="s">
        <v>289</v>
      </c>
      <c r="D323" s="106" t="s">
        <v>279</v>
      </c>
      <c r="E323">
        <v>7808</v>
      </c>
      <c r="F323" s="106" t="s">
        <v>2015</v>
      </c>
      <c r="G323" s="106" t="s">
        <v>284</v>
      </c>
      <c r="H323" s="106" t="s">
        <v>302</v>
      </c>
      <c r="I323" s="106">
        <v>22</v>
      </c>
      <c r="J323" s="106"/>
    </row>
    <row r="324" spans="1:10" x14ac:dyDescent="0.2">
      <c r="A324" s="106" t="s">
        <v>381</v>
      </c>
      <c r="B324" s="106" t="s">
        <v>277</v>
      </c>
      <c r="C324" s="106" t="s">
        <v>278</v>
      </c>
      <c r="D324" s="106" t="s">
        <v>279</v>
      </c>
      <c r="E324">
        <v>7811</v>
      </c>
      <c r="F324" s="106" t="s">
        <v>591</v>
      </c>
      <c r="G324" s="106" t="s">
        <v>280</v>
      </c>
      <c r="H324" s="106" t="s">
        <v>302</v>
      </c>
      <c r="I324" s="106">
        <v>128</v>
      </c>
      <c r="J324" s="106"/>
    </row>
    <row r="325" spans="1:10" x14ac:dyDescent="0.2">
      <c r="A325" s="106" t="s">
        <v>381</v>
      </c>
      <c r="B325" s="106" t="s">
        <v>277</v>
      </c>
      <c r="C325" s="106" t="s">
        <v>278</v>
      </c>
      <c r="D325" s="106" t="s">
        <v>283</v>
      </c>
      <c r="E325">
        <v>8181</v>
      </c>
      <c r="F325" s="106" t="s">
        <v>2016</v>
      </c>
      <c r="G325" s="106" t="s">
        <v>280</v>
      </c>
      <c r="H325" s="106" t="s">
        <v>290</v>
      </c>
      <c r="I325" s="106">
        <v>32</v>
      </c>
      <c r="J325" s="106"/>
    </row>
    <row r="326" spans="1:10" x14ac:dyDescent="0.2">
      <c r="A326" s="106" t="s">
        <v>381</v>
      </c>
      <c r="B326" s="106" t="s">
        <v>277</v>
      </c>
      <c r="C326" s="106" t="s">
        <v>278</v>
      </c>
      <c r="D326" s="106" t="s">
        <v>279</v>
      </c>
      <c r="E326">
        <v>8254</v>
      </c>
      <c r="F326" s="106" t="s">
        <v>2017</v>
      </c>
      <c r="G326" s="106" t="s">
        <v>288</v>
      </c>
      <c r="H326" s="106" t="s">
        <v>290</v>
      </c>
      <c r="I326">
        <v>10</v>
      </c>
    </row>
    <row r="327" spans="1:10" x14ac:dyDescent="0.2">
      <c r="A327" s="106" t="s">
        <v>381</v>
      </c>
      <c r="B327" s="106" t="s">
        <v>277</v>
      </c>
      <c r="C327" s="106" t="s">
        <v>278</v>
      </c>
      <c r="D327" s="106" t="s">
        <v>279</v>
      </c>
      <c r="E327">
        <v>8257</v>
      </c>
      <c r="F327" s="106" t="s">
        <v>2018</v>
      </c>
      <c r="G327" s="106" t="s">
        <v>284</v>
      </c>
      <c r="H327" s="106" t="s">
        <v>290</v>
      </c>
      <c r="I327" s="106">
        <v>17</v>
      </c>
      <c r="J327" s="106"/>
    </row>
    <row r="328" spans="1:10" x14ac:dyDescent="0.2">
      <c r="A328" s="106" t="s">
        <v>381</v>
      </c>
      <c r="B328" s="106" t="s">
        <v>277</v>
      </c>
      <c r="C328" s="106" t="s">
        <v>289</v>
      </c>
      <c r="D328" s="106" t="s">
        <v>279</v>
      </c>
      <c r="E328">
        <v>8940</v>
      </c>
      <c r="F328" s="106" t="s">
        <v>2019</v>
      </c>
      <c r="G328" s="106" t="s">
        <v>280</v>
      </c>
      <c r="H328" s="106" t="s">
        <v>306</v>
      </c>
      <c r="I328">
        <v>64</v>
      </c>
    </row>
    <row r="329" spans="1:10" x14ac:dyDescent="0.2">
      <c r="A329" s="106" t="s">
        <v>381</v>
      </c>
      <c r="B329" s="106" t="s">
        <v>277</v>
      </c>
      <c r="C329" s="106" t="s">
        <v>282</v>
      </c>
      <c r="D329" s="106" t="s">
        <v>279</v>
      </c>
      <c r="E329">
        <v>9264</v>
      </c>
      <c r="F329" s="106" t="s">
        <v>2020</v>
      </c>
      <c r="G329" s="106" t="s">
        <v>284</v>
      </c>
      <c r="H329" s="106" t="s">
        <v>286</v>
      </c>
      <c r="I329">
        <v>52</v>
      </c>
    </row>
    <row r="330" spans="1:10" x14ac:dyDescent="0.2">
      <c r="A330" s="106" t="s">
        <v>381</v>
      </c>
      <c r="B330" s="106" t="s">
        <v>277</v>
      </c>
      <c r="C330" s="106" t="s">
        <v>282</v>
      </c>
      <c r="D330" s="106" t="s">
        <v>279</v>
      </c>
      <c r="E330">
        <v>9270</v>
      </c>
      <c r="F330" s="106" t="s">
        <v>2021</v>
      </c>
      <c r="G330" s="106" t="s">
        <v>292</v>
      </c>
      <c r="H330" s="106" t="s">
        <v>286</v>
      </c>
      <c r="I330" s="106">
        <v>360</v>
      </c>
      <c r="J330" s="106"/>
    </row>
    <row r="331" spans="1:10" x14ac:dyDescent="0.2">
      <c r="A331" s="106" t="s">
        <v>381</v>
      </c>
      <c r="B331" s="106" t="s">
        <v>277</v>
      </c>
      <c r="C331" s="106" t="s">
        <v>278</v>
      </c>
      <c r="D331" s="106" t="s">
        <v>279</v>
      </c>
      <c r="E331">
        <v>9275</v>
      </c>
      <c r="F331" s="106" t="s">
        <v>2022</v>
      </c>
      <c r="G331" s="106" t="s">
        <v>280</v>
      </c>
      <c r="H331" s="106" t="s">
        <v>290</v>
      </c>
      <c r="I331" s="106">
        <v>141</v>
      </c>
      <c r="J331" s="106"/>
    </row>
    <row r="332" spans="1:10" x14ac:dyDescent="0.2">
      <c r="A332" s="106" t="s">
        <v>381</v>
      </c>
      <c r="B332" s="106" t="s">
        <v>277</v>
      </c>
      <c r="C332" s="106" t="s">
        <v>278</v>
      </c>
      <c r="D332" s="106" t="s">
        <v>279</v>
      </c>
      <c r="E332">
        <v>9601</v>
      </c>
      <c r="F332" s="106" t="s">
        <v>2023</v>
      </c>
      <c r="G332" s="106" t="s">
        <v>280</v>
      </c>
      <c r="H332" s="106" t="s">
        <v>291</v>
      </c>
      <c r="I332" s="106" t="s">
        <v>303</v>
      </c>
      <c r="J332" s="106" t="s">
        <v>2379</v>
      </c>
    </row>
    <row r="333" spans="1:10" x14ac:dyDescent="0.2">
      <c r="A333" s="106" t="s">
        <v>381</v>
      </c>
      <c r="B333" s="106" t="s">
        <v>277</v>
      </c>
      <c r="C333" s="106" t="s">
        <v>278</v>
      </c>
      <c r="D333" s="106" t="s">
        <v>279</v>
      </c>
      <c r="E333">
        <v>9602</v>
      </c>
      <c r="F333" s="106" t="s">
        <v>392</v>
      </c>
      <c r="G333" s="106" t="s">
        <v>280</v>
      </c>
      <c r="H333" s="106" t="s">
        <v>291</v>
      </c>
      <c r="I333" t="s">
        <v>393</v>
      </c>
      <c r="J333" t="s">
        <v>2380</v>
      </c>
    </row>
    <row r="334" spans="1:10" x14ac:dyDescent="0.2">
      <c r="A334" s="106" t="s">
        <v>381</v>
      </c>
      <c r="B334" s="106" t="s">
        <v>277</v>
      </c>
      <c r="C334" s="106" t="s">
        <v>287</v>
      </c>
      <c r="D334" s="106" t="s">
        <v>279</v>
      </c>
      <c r="E334">
        <v>9837</v>
      </c>
      <c r="F334" s="106" t="s">
        <v>2024</v>
      </c>
      <c r="G334" s="106" t="s">
        <v>280</v>
      </c>
      <c r="H334" s="106" t="s">
        <v>286</v>
      </c>
      <c r="I334" s="106">
        <v>249</v>
      </c>
      <c r="J334" s="106"/>
    </row>
    <row r="335" spans="1:10" x14ac:dyDescent="0.2">
      <c r="A335" s="106" t="s">
        <v>381</v>
      </c>
      <c r="B335" s="106" t="s">
        <v>277</v>
      </c>
      <c r="C335" s="106" t="s">
        <v>278</v>
      </c>
      <c r="D335" s="106" t="s">
        <v>279</v>
      </c>
      <c r="E335">
        <v>9945</v>
      </c>
      <c r="F335" s="106" t="s">
        <v>780</v>
      </c>
      <c r="G335" s="106" t="s">
        <v>280</v>
      </c>
      <c r="H335" s="106" t="s">
        <v>290</v>
      </c>
      <c r="I335" s="106">
        <v>867</v>
      </c>
      <c r="J335" s="106"/>
    </row>
    <row r="336" spans="1:10" x14ac:dyDescent="0.2">
      <c r="A336" s="106" t="s">
        <v>381</v>
      </c>
      <c r="B336" s="106" t="s">
        <v>277</v>
      </c>
      <c r="C336" s="106" t="s">
        <v>287</v>
      </c>
      <c r="D336" s="106" t="s">
        <v>279</v>
      </c>
      <c r="E336">
        <v>9972</v>
      </c>
      <c r="F336" s="106" t="s">
        <v>2025</v>
      </c>
      <c r="G336" s="106" t="s">
        <v>280</v>
      </c>
      <c r="H336" s="106" t="s">
        <v>286</v>
      </c>
      <c r="I336" s="106">
        <v>44</v>
      </c>
      <c r="J336" s="106"/>
    </row>
    <row r="337" spans="1:10" x14ac:dyDescent="0.2">
      <c r="A337" s="106" t="s">
        <v>381</v>
      </c>
      <c r="B337" s="106" t="s">
        <v>277</v>
      </c>
      <c r="C337" s="106" t="s">
        <v>282</v>
      </c>
      <c r="D337" s="106" t="s">
        <v>279</v>
      </c>
      <c r="E337">
        <v>9979</v>
      </c>
      <c r="F337" s="106" t="s">
        <v>2026</v>
      </c>
      <c r="G337" s="106" t="s">
        <v>280</v>
      </c>
      <c r="H337" s="106" t="s">
        <v>290</v>
      </c>
      <c r="I337" s="106">
        <v>349</v>
      </c>
      <c r="J337" s="106"/>
    </row>
    <row r="338" spans="1:10" x14ac:dyDescent="0.2">
      <c r="A338" s="106" t="s">
        <v>394</v>
      </c>
      <c r="B338" s="106" t="s">
        <v>277</v>
      </c>
      <c r="C338" s="106" t="s">
        <v>287</v>
      </c>
      <c r="D338" s="106" t="s">
        <v>279</v>
      </c>
      <c r="E338">
        <v>3201</v>
      </c>
      <c r="F338" s="106" t="s">
        <v>2027</v>
      </c>
      <c r="G338" s="106" t="s">
        <v>280</v>
      </c>
      <c r="H338" s="106" t="s">
        <v>313</v>
      </c>
      <c r="I338">
        <v>986</v>
      </c>
    </row>
    <row r="339" spans="1:10" x14ac:dyDescent="0.2">
      <c r="A339" s="106" t="s">
        <v>394</v>
      </c>
      <c r="B339" s="106" t="s">
        <v>277</v>
      </c>
      <c r="C339" s="106" t="s">
        <v>287</v>
      </c>
      <c r="D339" s="106" t="s">
        <v>279</v>
      </c>
      <c r="E339">
        <v>3907</v>
      </c>
      <c r="F339" s="106" t="s">
        <v>395</v>
      </c>
      <c r="G339" s="106" t="s">
        <v>292</v>
      </c>
      <c r="H339" s="106" t="s">
        <v>291</v>
      </c>
      <c r="I339" s="106">
        <v>49</v>
      </c>
      <c r="J339" s="106"/>
    </row>
    <row r="340" spans="1:10" x14ac:dyDescent="0.2">
      <c r="A340" s="106" t="s">
        <v>394</v>
      </c>
      <c r="B340" s="106" t="s">
        <v>277</v>
      </c>
      <c r="C340" s="106" t="s">
        <v>287</v>
      </c>
      <c r="D340" s="106" t="s">
        <v>279</v>
      </c>
      <c r="E340">
        <v>4361</v>
      </c>
      <c r="F340" s="106" t="s">
        <v>2028</v>
      </c>
      <c r="G340" s="106" t="s">
        <v>288</v>
      </c>
      <c r="H340" s="106" t="s">
        <v>293</v>
      </c>
      <c r="I340">
        <v>12</v>
      </c>
    </row>
    <row r="341" spans="1:10" x14ac:dyDescent="0.2">
      <c r="A341" s="106" t="s">
        <v>394</v>
      </c>
      <c r="B341" s="106" t="s">
        <v>277</v>
      </c>
      <c r="C341" s="106" t="s">
        <v>287</v>
      </c>
      <c r="D341" s="106" t="s">
        <v>283</v>
      </c>
      <c r="E341">
        <v>4673</v>
      </c>
      <c r="F341" s="106" t="s">
        <v>2029</v>
      </c>
      <c r="G341" s="106" t="s">
        <v>284</v>
      </c>
      <c r="H341" s="106" t="s">
        <v>285</v>
      </c>
      <c r="I341" s="106">
        <v>21</v>
      </c>
      <c r="J341" s="106"/>
    </row>
    <row r="342" spans="1:10" x14ac:dyDescent="0.2">
      <c r="A342" s="106" t="s">
        <v>394</v>
      </c>
      <c r="B342" s="106" t="s">
        <v>277</v>
      </c>
      <c r="C342" s="106" t="s">
        <v>287</v>
      </c>
      <c r="D342" s="106" t="s">
        <v>279</v>
      </c>
      <c r="E342">
        <v>6064</v>
      </c>
      <c r="F342" s="106" t="s">
        <v>2030</v>
      </c>
      <c r="G342" s="106" t="s">
        <v>292</v>
      </c>
      <c r="H342" s="106" t="s">
        <v>285</v>
      </c>
      <c r="I342" s="106">
        <v>124</v>
      </c>
      <c r="J342" s="106"/>
    </row>
    <row r="343" spans="1:10" x14ac:dyDescent="0.2">
      <c r="A343" s="106" t="s">
        <v>394</v>
      </c>
      <c r="B343" s="106" t="s">
        <v>277</v>
      </c>
      <c r="C343" s="106" t="s">
        <v>287</v>
      </c>
      <c r="D343" s="106" t="s">
        <v>279</v>
      </c>
      <c r="E343">
        <v>6474</v>
      </c>
      <c r="F343" s="106" t="s">
        <v>2031</v>
      </c>
      <c r="G343" s="106" t="s">
        <v>280</v>
      </c>
      <c r="H343" s="106" t="s">
        <v>301</v>
      </c>
      <c r="I343" s="106" t="s">
        <v>311</v>
      </c>
      <c r="J343" s="106" t="s">
        <v>2381</v>
      </c>
    </row>
    <row r="344" spans="1:10" x14ac:dyDescent="0.2">
      <c r="A344" s="106" t="s">
        <v>394</v>
      </c>
      <c r="B344" s="106" t="s">
        <v>277</v>
      </c>
      <c r="C344" s="106" t="s">
        <v>287</v>
      </c>
      <c r="D344" s="106" t="s">
        <v>279</v>
      </c>
      <c r="E344">
        <v>7594</v>
      </c>
      <c r="F344" s="106" t="s">
        <v>2032</v>
      </c>
      <c r="G344" s="106" t="s">
        <v>280</v>
      </c>
      <c r="H344" s="106" t="s">
        <v>286</v>
      </c>
      <c r="I344" s="106">
        <v>222</v>
      </c>
      <c r="J344" s="106"/>
    </row>
    <row r="345" spans="1:10" x14ac:dyDescent="0.2">
      <c r="A345" s="106" t="s">
        <v>394</v>
      </c>
      <c r="B345" s="106" t="s">
        <v>277</v>
      </c>
      <c r="C345" s="106" t="s">
        <v>278</v>
      </c>
      <c r="D345" s="106" t="s">
        <v>283</v>
      </c>
      <c r="E345">
        <v>7610</v>
      </c>
      <c r="F345" s="106" t="s">
        <v>397</v>
      </c>
      <c r="G345" s="106" t="s">
        <v>284</v>
      </c>
      <c r="H345" s="106" t="s">
        <v>290</v>
      </c>
      <c r="I345" s="106">
        <v>24</v>
      </c>
      <c r="J345" s="106"/>
    </row>
    <row r="346" spans="1:10" x14ac:dyDescent="0.2">
      <c r="A346" s="106" t="s">
        <v>394</v>
      </c>
      <c r="B346" s="106" t="s">
        <v>277</v>
      </c>
      <c r="C346" s="106" t="s">
        <v>287</v>
      </c>
      <c r="D346" s="106" t="s">
        <v>279</v>
      </c>
      <c r="E346">
        <v>7879</v>
      </c>
      <c r="F346" s="106" t="s">
        <v>2033</v>
      </c>
      <c r="G346" s="106" t="s">
        <v>288</v>
      </c>
      <c r="H346" s="106" t="s">
        <v>302</v>
      </c>
      <c r="I346" s="106">
        <v>154</v>
      </c>
      <c r="J346" s="106"/>
    </row>
    <row r="347" spans="1:10" x14ac:dyDescent="0.2">
      <c r="A347" s="106" t="s">
        <v>394</v>
      </c>
      <c r="B347" s="106" t="s">
        <v>277</v>
      </c>
      <c r="C347" s="106" t="s">
        <v>287</v>
      </c>
      <c r="D347" s="106" t="s">
        <v>283</v>
      </c>
      <c r="E347">
        <v>9281</v>
      </c>
      <c r="F347" s="106" t="s">
        <v>2034</v>
      </c>
      <c r="G347" s="106" t="s">
        <v>317</v>
      </c>
      <c r="H347" s="106" t="s">
        <v>318</v>
      </c>
      <c r="I347" s="106">
        <v>224</v>
      </c>
      <c r="J347" s="106"/>
    </row>
    <row r="348" spans="1:10" x14ac:dyDescent="0.2">
      <c r="A348" s="106" t="s">
        <v>2035</v>
      </c>
      <c r="B348" s="106" t="s">
        <v>277</v>
      </c>
      <c r="C348" s="106" t="s">
        <v>287</v>
      </c>
      <c r="D348" s="106" t="s">
        <v>283</v>
      </c>
      <c r="E348">
        <v>8966</v>
      </c>
      <c r="F348" s="106" t="s">
        <v>2036</v>
      </c>
      <c r="G348" s="106" t="s">
        <v>317</v>
      </c>
      <c r="H348" s="106" t="s">
        <v>318</v>
      </c>
      <c r="I348" s="106" t="s">
        <v>311</v>
      </c>
      <c r="J348" s="106" t="s">
        <v>2382</v>
      </c>
    </row>
    <row r="349" spans="1:10" x14ac:dyDescent="0.2">
      <c r="A349" s="106" t="s">
        <v>398</v>
      </c>
      <c r="B349" s="106" t="s">
        <v>277</v>
      </c>
      <c r="C349" s="106" t="s">
        <v>287</v>
      </c>
      <c r="D349" s="106" t="s">
        <v>283</v>
      </c>
      <c r="E349">
        <v>3279</v>
      </c>
      <c r="F349" s="106" t="s">
        <v>399</v>
      </c>
      <c r="G349" s="106" t="s">
        <v>317</v>
      </c>
      <c r="H349" s="106" t="s">
        <v>318</v>
      </c>
      <c r="I349" s="106" t="s">
        <v>330</v>
      </c>
      <c r="J349" s="106" t="s">
        <v>2383</v>
      </c>
    </row>
    <row r="350" spans="1:10" x14ac:dyDescent="0.2">
      <c r="A350" s="106" t="s">
        <v>398</v>
      </c>
      <c r="B350" s="106" t="s">
        <v>277</v>
      </c>
      <c r="C350" s="106" t="s">
        <v>287</v>
      </c>
      <c r="D350" s="106" t="s">
        <v>283</v>
      </c>
      <c r="E350">
        <v>3283</v>
      </c>
      <c r="F350" s="106" t="s">
        <v>2037</v>
      </c>
      <c r="G350" s="106" t="s">
        <v>317</v>
      </c>
      <c r="H350" s="106" t="s">
        <v>318</v>
      </c>
      <c r="I350" s="106" t="s">
        <v>339</v>
      </c>
      <c r="J350" s="106" t="s">
        <v>2384</v>
      </c>
    </row>
    <row r="351" spans="1:10" x14ac:dyDescent="0.2">
      <c r="A351" s="106" t="s">
        <v>398</v>
      </c>
      <c r="B351" s="106" t="s">
        <v>277</v>
      </c>
      <c r="C351" s="106" t="s">
        <v>287</v>
      </c>
      <c r="D351" s="106" t="s">
        <v>279</v>
      </c>
      <c r="E351">
        <v>6217</v>
      </c>
      <c r="F351" s="106" t="s">
        <v>2038</v>
      </c>
      <c r="G351" s="106" t="s">
        <v>280</v>
      </c>
      <c r="H351" s="106" t="s">
        <v>301</v>
      </c>
      <c r="I351" s="106">
        <v>89</v>
      </c>
      <c r="J351" s="106"/>
    </row>
    <row r="352" spans="1:10" x14ac:dyDescent="0.2">
      <c r="A352" s="106" t="s">
        <v>398</v>
      </c>
      <c r="B352" s="106" t="s">
        <v>277</v>
      </c>
      <c r="C352" s="106" t="s">
        <v>287</v>
      </c>
      <c r="D352" s="106" t="s">
        <v>279</v>
      </c>
      <c r="E352">
        <v>6634</v>
      </c>
      <c r="F352" s="106" t="s">
        <v>400</v>
      </c>
      <c r="G352" s="106" t="s">
        <v>284</v>
      </c>
      <c r="H352" s="106" t="s">
        <v>305</v>
      </c>
      <c r="I352" s="106">
        <v>30</v>
      </c>
      <c r="J352" s="106"/>
    </row>
    <row r="353" spans="1:10" x14ac:dyDescent="0.2">
      <c r="A353" s="106" t="s">
        <v>398</v>
      </c>
      <c r="B353" s="106" t="s">
        <v>277</v>
      </c>
      <c r="C353" s="106" t="s">
        <v>287</v>
      </c>
      <c r="D353" s="106" t="s">
        <v>283</v>
      </c>
      <c r="E353">
        <v>7501</v>
      </c>
      <c r="F353" s="106" t="s">
        <v>401</v>
      </c>
      <c r="G353" s="106" t="s">
        <v>284</v>
      </c>
      <c r="H353" s="106" t="s">
        <v>286</v>
      </c>
      <c r="I353" s="106">
        <v>20</v>
      </c>
      <c r="J353" s="106"/>
    </row>
    <row r="354" spans="1:10" x14ac:dyDescent="0.2">
      <c r="A354" s="106" t="s">
        <v>398</v>
      </c>
      <c r="B354" s="106" t="s">
        <v>277</v>
      </c>
      <c r="C354" s="106" t="s">
        <v>287</v>
      </c>
      <c r="D354" s="106" t="s">
        <v>279</v>
      </c>
      <c r="E354">
        <v>7997</v>
      </c>
      <c r="F354" s="106" t="s">
        <v>2039</v>
      </c>
      <c r="G354" s="106" t="s">
        <v>288</v>
      </c>
      <c r="H354" s="106" t="s">
        <v>302</v>
      </c>
      <c r="I354" s="106">
        <v>18</v>
      </c>
      <c r="J354" s="106"/>
    </row>
    <row r="355" spans="1:10" x14ac:dyDescent="0.2">
      <c r="A355" s="106" t="s">
        <v>398</v>
      </c>
      <c r="B355" s="106" t="s">
        <v>277</v>
      </c>
      <c r="C355" s="106" t="s">
        <v>287</v>
      </c>
      <c r="D355" s="106" t="s">
        <v>283</v>
      </c>
      <c r="E355">
        <v>8960</v>
      </c>
      <c r="F355" s="106" t="s">
        <v>2040</v>
      </c>
      <c r="G355" s="106" t="s">
        <v>317</v>
      </c>
      <c r="H355" s="106" t="s">
        <v>318</v>
      </c>
      <c r="I355" s="106" t="s">
        <v>339</v>
      </c>
      <c r="J355" s="106" t="s">
        <v>2373</v>
      </c>
    </row>
    <row r="356" spans="1:10" x14ac:dyDescent="0.2">
      <c r="A356" s="106" t="s">
        <v>398</v>
      </c>
      <c r="B356" s="106" t="s">
        <v>277</v>
      </c>
      <c r="C356" s="106" t="s">
        <v>287</v>
      </c>
      <c r="D356" s="106" t="s">
        <v>279</v>
      </c>
      <c r="E356">
        <v>9647</v>
      </c>
      <c r="F356" s="106" t="s">
        <v>2041</v>
      </c>
      <c r="G356" s="106" t="s">
        <v>284</v>
      </c>
      <c r="H356" s="106" t="s">
        <v>285</v>
      </c>
      <c r="I356" s="106">
        <v>18</v>
      </c>
      <c r="J356" s="106"/>
    </row>
    <row r="357" spans="1:10" x14ac:dyDescent="0.2">
      <c r="A357" s="106" t="s">
        <v>2042</v>
      </c>
      <c r="B357" s="106" t="s">
        <v>277</v>
      </c>
      <c r="C357" s="106" t="s">
        <v>287</v>
      </c>
      <c r="D357" s="106" t="s">
        <v>279</v>
      </c>
      <c r="E357">
        <v>5341</v>
      </c>
      <c r="F357" s="106" t="s">
        <v>2043</v>
      </c>
      <c r="G357" s="106" t="s">
        <v>288</v>
      </c>
      <c r="H357" s="106" t="s">
        <v>322</v>
      </c>
      <c r="I357" s="106">
        <v>10</v>
      </c>
      <c r="J357" s="106"/>
    </row>
    <row r="358" spans="1:10" x14ac:dyDescent="0.2">
      <c r="A358" s="106" t="s">
        <v>2044</v>
      </c>
      <c r="B358" s="106" t="s">
        <v>277</v>
      </c>
      <c r="C358" s="106" t="s">
        <v>287</v>
      </c>
      <c r="D358" s="106" t="s">
        <v>283</v>
      </c>
      <c r="E358">
        <v>3472</v>
      </c>
      <c r="F358" s="106" t="s">
        <v>2045</v>
      </c>
      <c r="G358" s="106" t="s">
        <v>317</v>
      </c>
      <c r="H358" s="106" t="s">
        <v>318</v>
      </c>
      <c r="I358" s="106">
        <v>216</v>
      </c>
      <c r="J358" s="106"/>
    </row>
    <row r="359" spans="1:10" x14ac:dyDescent="0.2">
      <c r="A359" s="106" t="s">
        <v>2044</v>
      </c>
      <c r="B359" s="106" t="s">
        <v>277</v>
      </c>
      <c r="C359" s="106" t="s">
        <v>287</v>
      </c>
      <c r="D359" s="106" t="s">
        <v>283</v>
      </c>
      <c r="E359">
        <v>8976</v>
      </c>
      <c r="F359" s="106" t="s">
        <v>2046</v>
      </c>
      <c r="G359" s="106" t="s">
        <v>317</v>
      </c>
      <c r="H359" s="106" t="s">
        <v>318</v>
      </c>
      <c r="I359" s="106" t="s">
        <v>330</v>
      </c>
      <c r="J359" s="106" t="s">
        <v>2243</v>
      </c>
    </row>
    <row r="360" spans="1:10" x14ac:dyDescent="0.2">
      <c r="A360" s="106" t="s">
        <v>402</v>
      </c>
      <c r="B360" s="106" t="s">
        <v>277</v>
      </c>
      <c r="C360" s="106" t="s">
        <v>278</v>
      </c>
      <c r="D360" s="106" t="s">
        <v>279</v>
      </c>
      <c r="E360">
        <v>6146</v>
      </c>
      <c r="F360" s="106" t="s">
        <v>403</v>
      </c>
      <c r="G360" s="106" t="s">
        <v>280</v>
      </c>
      <c r="H360" s="106" t="s">
        <v>301</v>
      </c>
      <c r="I360" t="s">
        <v>463</v>
      </c>
      <c r="J360" t="s">
        <v>2343</v>
      </c>
    </row>
    <row r="361" spans="1:10" x14ac:dyDescent="0.2">
      <c r="A361" s="106" t="s">
        <v>402</v>
      </c>
      <c r="B361" s="106" t="s">
        <v>277</v>
      </c>
      <c r="C361" s="106" t="s">
        <v>287</v>
      </c>
      <c r="D361" s="106" t="s">
        <v>283</v>
      </c>
      <c r="E361">
        <v>8977</v>
      </c>
      <c r="F361" s="106" t="s">
        <v>781</v>
      </c>
      <c r="G361" s="106" t="s">
        <v>317</v>
      </c>
      <c r="H361" s="106" t="s">
        <v>318</v>
      </c>
      <c r="I361" s="106" t="s">
        <v>311</v>
      </c>
      <c r="J361" s="106" t="s">
        <v>2385</v>
      </c>
    </row>
    <row r="362" spans="1:10" x14ac:dyDescent="0.2">
      <c r="A362" s="106" t="s">
        <v>2047</v>
      </c>
      <c r="B362" s="106" t="s">
        <v>277</v>
      </c>
      <c r="C362" s="106" t="s">
        <v>278</v>
      </c>
      <c r="D362" s="106" t="s">
        <v>279</v>
      </c>
      <c r="E362">
        <v>6961</v>
      </c>
      <c r="F362" s="106" t="s">
        <v>2048</v>
      </c>
      <c r="G362" s="106" t="s">
        <v>280</v>
      </c>
      <c r="H362" s="106" t="s">
        <v>305</v>
      </c>
      <c r="I362" s="106">
        <v>651</v>
      </c>
      <c r="J362" s="106"/>
    </row>
    <row r="363" spans="1:10" x14ac:dyDescent="0.2">
      <c r="A363" s="106" t="s">
        <v>2047</v>
      </c>
      <c r="B363" s="106" t="s">
        <v>277</v>
      </c>
      <c r="C363" s="106" t="s">
        <v>278</v>
      </c>
      <c r="D363" s="106" t="s">
        <v>279</v>
      </c>
      <c r="E363">
        <v>8595</v>
      </c>
      <c r="F363" s="106" t="s">
        <v>2049</v>
      </c>
      <c r="G363" s="106" t="s">
        <v>280</v>
      </c>
      <c r="H363" s="106" t="s">
        <v>2050</v>
      </c>
      <c r="I363" s="106" t="s">
        <v>311</v>
      </c>
      <c r="J363" s="106" t="s">
        <v>2255</v>
      </c>
    </row>
    <row r="364" spans="1:10" x14ac:dyDescent="0.2">
      <c r="A364" s="106" t="s">
        <v>404</v>
      </c>
      <c r="B364" s="106" t="s">
        <v>277</v>
      </c>
      <c r="C364" s="106" t="s">
        <v>278</v>
      </c>
      <c r="D364" s="106" t="s">
        <v>279</v>
      </c>
      <c r="E364">
        <v>9433</v>
      </c>
      <c r="F364" s="106" t="s">
        <v>405</v>
      </c>
      <c r="G364" s="106" t="s">
        <v>280</v>
      </c>
      <c r="H364" s="106" t="s">
        <v>291</v>
      </c>
      <c r="I364" t="s">
        <v>2242</v>
      </c>
      <c r="J364" t="s">
        <v>2255</v>
      </c>
    </row>
    <row r="365" spans="1:10" x14ac:dyDescent="0.2">
      <c r="A365" s="106" t="s">
        <v>406</v>
      </c>
      <c r="B365" s="106" t="s">
        <v>344</v>
      </c>
      <c r="C365" s="106" t="s">
        <v>278</v>
      </c>
      <c r="D365" s="106" t="s">
        <v>283</v>
      </c>
      <c r="E365">
        <v>4973</v>
      </c>
      <c r="F365" s="106" t="s">
        <v>407</v>
      </c>
      <c r="G365" s="106" t="s">
        <v>280</v>
      </c>
      <c r="H365" s="106" t="s">
        <v>293</v>
      </c>
      <c r="I365" s="106">
        <v>168</v>
      </c>
      <c r="J365" s="106"/>
    </row>
    <row r="366" spans="1:10" x14ac:dyDescent="0.2">
      <c r="A366" s="106" t="s">
        <v>406</v>
      </c>
      <c r="B366" s="106" t="s">
        <v>277</v>
      </c>
      <c r="C366" s="106" t="s">
        <v>278</v>
      </c>
      <c r="D366" s="106" t="s">
        <v>279</v>
      </c>
      <c r="E366">
        <v>5936</v>
      </c>
      <c r="F366" s="106" t="s">
        <v>2051</v>
      </c>
      <c r="G366" s="106" t="s">
        <v>280</v>
      </c>
      <c r="H366" s="106" t="s">
        <v>295</v>
      </c>
      <c r="I366" s="106">
        <v>46</v>
      </c>
      <c r="J366" s="106"/>
    </row>
    <row r="367" spans="1:10" x14ac:dyDescent="0.2">
      <c r="A367" s="106" t="s">
        <v>408</v>
      </c>
      <c r="B367" s="106" t="s">
        <v>304</v>
      </c>
      <c r="C367" s="106" t="s">
        <v>278</v>
      </c>
      <c r="D367" s="106" t="s">
        <v>279</v>
      </c>
      <c r="E367">
        <v>9478</v>
      </c>
      <c r="F367" s="106" t="s">
        <v>2052</v>
      </c>
      <c r="G367" s="106" t="s">
        <v>284</v>
      </c>
      <c r="H367" s="106" t="s">
        <v>291</v>
      </c>
      <c r="I367" s="106">
        <v>45</v>
      </c>
      <c r="J367" s="106"/>
    </row>
    <row r="368" spans="1:10" x14ac:dyDescent="0.2">
      <c r="A368" s="106" t="s">
        <v>408</v>
      </c>
      <c r="B368" s="106" t="s">
        <v>277</v>
      </c>
      <c r="C368" s="106" t="s">
        <v>278</v>
      </c>
      <c r="D368" s="106" t="s">
        <v>279</v>
      </c>
      <c r="E368">
        <v>4462</v>
      </c>
      <c r="F368" s="106" t="s">
        <v>409</v>
      </c>
      <c r="G368" s="106" t="s">
        <v>280</v>
      </c>
      <c r="H368" s="106" t="s">
        <v>293</v>
      </c>
      <c r="I368">
        <v>175</v>
      </c>
    </row>
    <row r="369" spans="1:10" x14ac:dyDescent="0.2">
      <c r="A369" s="106" t="s">
        <v>410</v>
      </c>
      <c r="B369" s="106" t="s">
        <v>344</v>
      </c>
      <c r="C369" s="106" t="s">
        <v>278</v>
      </c>
      <c r="D369" s="106" t="s">
        <v>279</v>
      </c>
      <c r="E369">
        <v>3850</v>
      </c>
      <c r="F369" s="106" t="s">
        <v>2053</v>
      </c>
      <c r="G369" s="106" t="s">
        <v>288</v>
      </c>
      <c r="H369" s="106" t="s">
        <v>291</v>
      </c>
      <c r="I369" s="106">
        <v>207</v>
      </c>
      <c r="J369" s="106"/>
    </row>
    <row r="370" spans="1:10" x14ac:dyDescent="0.2">
      <c r="A370" s="106" t="s">
        <v>410</v>
      </c>
      <c r="B370" s="106" t="s">
        <v>277</v>
      </c>
      <c r="C370" s="106" t="s">
        <v>278</v>
      </c>
      <c r="D370" s="106" t="s">
        <v>283</v>
      </c>
      <c r="E370">
        <v>2540</v>
      </c>
      <c r="F370" s="106" t="s">
        <v>2054</v>
      </c>
      <c r="G370" s="106" t="s">
        <v>280</v>
      </c>
      <c r="H370" s="106" t="s">
        <v>281</v>
      </c>
      <c r="I370" s="106">
        <v>328</v>
      </c>
      <c r="J370" s="106"/>
    </row>
    <row r="371" spans="1:10" x14ac:dyDescent="0.2">
      <c r="A371" s="106" t="s">
        <v>410</v>
      </c>
      <c r="B371" s="106" t="s">
        <v>277</v>
      </c>
      <c r="C371" s="106" t="s">
        <v>278</v>
      </c>
      <c r="D371" s="106" t="s">
        <v>279</v>
      </c>
      <c r="E371">
        <v>4099</v>
      </c>
      <c r="F371" s="106" t="s">
        <v>2055</v>
      </c>
      <c r="G371" s="106" t="s">
        <v>280</v>
      </c>
      <c r="H371" s="106" t="s">
        <v>293</v>
      </c>
      <c r="I371" s="106">
        <v>796</v>
      </c>
      <c r="J371" s="106"/>
    </row>
    <row r="372" spans="1:10" x14ac:dyDescent="0.2">
      <c r="A372" s="106" t="s">
        <v>410</v>
      </c>
      <c r="B372" s="106" t="s">
        <v>277</v>
      </c>
      <c r="C372" s="106" t="s">
        <v>278</v>
      </c>
      <c r="D372" s="106" t="s">
        <v>279</v>
      </c>
      <c r="E372">
        <v>9039</v>
      </c>
      <c r="F372" s="106" t="s">
        <v>411</v>
      </c>
      <c r="G372" s="106" t="s">
        <v>280</v>
      </c>
      <c r="H372" s="106" t="s">
        <v>412</v>
      </c>
      <c r="I372" s="106" t="s">
        <v>311</v>
      </c>
      <c r="J372" s="106" t="s">
        <v>2386</v>
      </c>
    </row>
    <row r="373" spans="1:10" x14ac:dyDescent="0.2">
      <c r="A373" s="106" t="s">
        <v>413</v>
      </c>
      <c r="B373" s="106" t="s">
        <v>782</v>
      </c>
      <c r="C373" s="106" t="s">
        <v>278</v>
      </c>
      <c r="D373" s="106" t="s">
        <v>279</v>
      </c>
      <c r="E373">
        <v>6470</v>
      </c>
      <c r="F373" s="106" t="s">
        <v>783</v>
      </c>
      <c r="G373" s="106" t="s">
        <v>280</v>
      </c>
      <c r="H373" s="106" t="s">
        <v>301</v>
      </c>
      <c r="I373">
        <v>261</v>
      </c>
    </row>
    <row r="374" spans="1:10" x14ac:dyDescent="0.2">
      <c r="A374" s="106" t="s">
        <v>413</v>
      </c>
      <c r="B374" s="106" t="s">
        <v>344</v>
      </c>
      <c r="C374" s="106" t="s">
        <v>278</v>
      </c>
      <c r="D374" s="106" t="s">
        <v>279</v>
      </c>
      <c r="E374">
        <v>2802</v>
      </c>
      <c r="F374" s="106" t="s">
        <v>784</v>
      </c>
      <c r="G374" s="106" t="s">
        <v>280</v>
      </c>
      <c r="H374" s="106" t="s">
        <v>281</v>
      </c>
      <c r="I374" s="106" t="s">
        <v>415</v>
      </c>
      <c r="J374" s="106" t="s">
        <v>2387</v>
      </c>
    </row>
    <row r="375" spans="1:10" x14ac:dyDescent="0.2">
      <c r="A375" s="106" t="s">
        <v>413</v>
      </c>
      <c r="B375" s="106" t="s">
        <v>304</v>
      </c>
      <c r="C375" s="106" t="s">
        <v>278</v>
      </c>
      <c r="D375" s="106" t="s">
        <v>279</v>
      </c>
      <c r="E375">
        <v>2002</v>
      </c>
      <c r="F375" s="106" t="s">
        <v>2056</v>
      </c>
      <c r="G375" s="106" t="s">
        <v>280</v>
      </c>
      <c r="H375" s="106" t="s">
        <v>281</v>
      </c>
      <c r="I375" t="s">
        <v>297</v>
      </c>
      <c r="J375" t="s">
        <v>2388</v>
      </c>
    </row>
    <row r="376" spans="1:10" x14ac:dyDescent="0.2">
      <c r="A376" s="106" t="s">
        <v>413</v>
      </c>
      <c r="B376" s="106" t="s">
        <v>277</v>
      </c>
      <c r="C376" s="106" t="s">
        <v>278</v>
      </c>
      <c r="D376" s="106" t="s">
        <v>279</v>
      </c>
      <c r="E376">
        <v>1878</v>
      </c>
      <c r="F376" s="106" t="s">
        <v>414</v>
      </c>
      <c r="G376" s="106" t="s">
        <v>280</v>
      </c>
      <c r="H376" s="106" t="s">
        <v>307</v>
      </c>
      <c r="I376" s="106" t="s">
        <v>415</v>
      </c>
      <c r="J376" s="106" t="s">
        <v>2389</v>
      </c>
    </row>
    <row r="377" spans="1:10" x14ac:dyDescent="0.2">
      <c r="A377" s="106" t="s">
        <v>413</v>
      </c>
      <c r="B377" s="106" t="s">
        <v>277</v>
      </c>
      <c r="C377" s="106" t="s">
        <v>278</v>
      </c>
      <c r="D377" s="106" t="s">
        <v>279</v>
      </c>
      <c r="E377">
        <v>2127</v>
      </c>
      <c r="F377" s="106" t="s">
        <v>721</v>
      </c>
      <c r="G377" s="106" t="s">
        <v>280</v>
      </c>
      <c r="H377" s="106" t="s">
        <v>285</v>
      </c>
      <c r="I377" s="106" t="s">
        <v>339</v>
      </c>
      <c r="J377" s="106" t="s">
        <v>2390</v>
      </c>
    </row>
    <row r="378" spans="1:10" x14ac:dyDescent="0.2">
      <c r="A378" s="106" t="s">
        <v>413</v>
      </c>
      <c r="B378" s="106" t="s">
        <v>277</v>
      </c>
      <c r="C378" s="106" t="s">
        <v>278</v>
      </c>
      <c r="D378" s="106" t="s">
        <v>279</v>
      </c>
      <c r="E378">
        <v>2412</v>
      </c>
      <c r="F378" s="106" t="s">
        <v>722</v>
      </c>
      <c r="G378" s="106" t="s">
        <v>280</v>
      </c>
      <c r="H378" s="106" t="s">
        <v>285</v>
      </c>
      <c r="I378" s="106" t="s">
        <v>364</v>
      </c>
      <c r="J378" s="106" t="s">
        <v>2072</v>
      </c>
    </row>
    <row r="379" spans="1:10" x14ac:dyDescent="0.2">
      <c r="A379" s="106" t="s">
        <v>413</v>
      </c>
      <c r="B379" s="106" t="s">
        <v>277</v>
      </c>
      <c r="C379" s="106" t="s">
        <v>278</v>
      </c>
      <c r="D379" s="106" t="s">
        <v>279</v>
      </c>
      <c r="E379">
        <v>2737</v>
      </c>
      <c r="F379" s="106" t="s">
        <v>416</v>
      </c>
      <c r="G379" s="106" t="s">
        <v>280</v>
      </c>
      <c r="H379" s="106" t="s">
        <v>286</v>
      </c>
      <c r="I379" s="106">
        <v>220</v>
      </c>
      <c r="J379" s="106"/>
    </row>
    <row r="380" spans="1:10" x14ac:dyDescent="0.2">
      <c r="A380" s="106" t="s">
        <v>413</v>
      </c>
      <c r="B380" s="106" t="s">
        <v>277</v>
      </c>
      <c r="C380" s="106" t="s">
        <v>287</v>
      </c>
      <c r="D380" s="106" t="s">
        <v>279</v>
      </c>
      <c r="E380">
        <v>3003</v>
      </c>
      <c r="F380" s="106" t="s">
        <v>785</v>
      </c>
      <c r="G380" s="106" t="s">
        <v>280</v>
      </c>
      <c r="H380" s="106" t="s">
        <v>306</v>
      </c>
      <c r="I380" s="106" t="s">
        <v>463</v>
      </c>
      <c r="J380" s="106" t="s">
        <v>2391</v>
      </c>
    </row>
    <row r="381" spans="1:10" x14ac:dyDescent="0.2">
      <c r="A381" s="106" t="s">
        <v>413</v>
      </c>
      <c r="B381" s="106" t="s">
        <v>277</v>
      </c>
      <c r="C381" s="106" t="s">
        <v>278</v>
      </c>
      <c r="D381" s="106" t="s">
        <v>279</v>
      </c>
      <c r="E381">
        <v>3167</v>
      </c>
      <c r="F381" s="106" t="s">
        <v>786</v>
      </c>
      <c r="G381" s="106" t="s">
        <v>280</v>
      </c>
      <c r="H381" s="106" t="s">
        <v>286</v>
      </c>
      <c r="I381" s="106" t="s">
        <v>311</v>
      </c>
      <c r="J381" s="106" t="s">
        <v>2244</v>
      </c>
    </row>
    <row r="382" spans="1:10" x14ac:dyDescent="0.2">
      <c r="A382" s="106" t="s">
        <v>413</v>
      </c>
      <c r="B382" s="106" t="s">
        <v>277</v>
      </c>
      <c r="C382" s="106" t="s">
        <v>278</v>
      </c>
      <c r="D382" s="106" t="s">
        <v>279</v>
      </c>
      <c r="E382">
        <v>3388</v>
      </c>
      <c r="F382" s="106" t="s">
        <v>787</v>
      </c>
      <c r="G382" s="106" t="s">
        <v>280</v>
      </c>
      <c r="H382" s="106" t="s">
        <v>286</v>
      </c>
      <c r="I382" s="106">
        <v>209</v>
      </c>
      <c r="J382" s="106"/>
    </row>
    <row r="383" spans="1:10" x14ac:dyDescent="0.2">
      <c r="A383" s="106" t="s">
        <v>413</v>
      </c>
      <c r="B383" s="106" t="s">
        <v>277</v>
      </c>
      <c r="C383" s="106" t="s">
        <v>278</v>
      </c>
      <c r="D383" s="106" t="s">
        <v>279</v>
      </c>
      <c r="E383">
        <v>3640</v>
      </c>
      <c r="F383" s="106" t="s">
        <v>788</v>
      </c>
      <c r="G383" s="106" t="s">
        <v>280</v>
      </c>
      <c r="H383" s="106" t="s">
        <v>291</v>
      </c>
      <c r="I383" s="106">
        <v>131</v>
      </c>
      <c r="J383" s="106"/>
    </row>
    <row r="384" spans="1:10" x14ac:dyDescent="0.2">
      <c r="A384" s="106" t="s">
        <v>413</v>
      </c>
      <c r="B384" s="106" t="s">
        <v>277</v>
      </c>
      <c r="C384" s="106" t="s">
        <v>278</v>
      </c>
      <c r="D384" s="106" t="s">
        <v>279</v>
      </c>
      <c r="E384">
        <v>7551</v>
      </c>
      <c r="F384" s="106" t="s">
        <v>2057</v>
      </c>
      <c r="G384" s="106" t="s">
        <v>284</v>
      </c>
      <c r="H384" s="106" t="s">
        <v>310</v>
      </c>
      <c r="I384" s="106">
        <v>96</v>
      </c>
      <c r="J384" s="106"/>
    </row>
    <row r="385" spans="1:10" x14ac:dyDescent="0.2">
      <c r="A385" s="106" t="s">
        <v>413</v>
      </c>
      <c r="B385" s="106" t="s">
        <v>277</v>
      </c>
      <c r="C385" s="106" t="s">
        <v>278</v>
      </c>
      <c r="D385" s="106" t="s">
        <v>279</v>
      </c>
      <c r="E385">
        <v>8137</v>
      </c>
      <c r="F385" s="106" t="s">
        <v>2058</v>
      </c>
      <c r="G385" s="106" t="s">
        <v>280</v>
      </c>
      <c r="H385" s="106" t="s">
        <v>286</v>
      </c>
      <c r="I385" s="106">
        <v>187</v>
      </c>
      <c r="J385" s="106"/>
    </row>
    <row r="386" spans="1:10" x14ac:dyDescent="0.2">
      <c r="A386" s="106" t="s">
        <v>413</v>
      </c>
      <c r="B386" s="106" t="s">
        <v>277</v>
      </c>
      <c r="C386" s="106" t="s">
        <v>278</v>
      </c>
      <c r="D386" s="106" t="s">
        <v>279</v>
      </c>
      <c r="E386">
        <v>8771</v>
      </c>
      <c r="F386" s="106" t="s">
        <v>417</v>
      </c>
      <c r="G386" s="106" t="s">
        <v>280</v>
      </c>
      <c r="H386" s="106" t="s">
        <v>316</v>
      </c>
      <c r="I386" s="106">
        <v>559</v>
      </c>
      <c r="J386" s="106"/>
    </row>
    <row r="387" spans="1:10" x14ac:dyDescent="0.2">
      <c r="A387" s="106" t="s">
        <v>413</v>
      </c>
      <c r="B387" s="106" t="s">
        <v>277</v>
      </c>
      <c r="C387" s="106" t="s">
        <v>278</v>
      </c>
      <c r="D387" s="106" t="s">
        <v>279</v>
      </c>
      <c r="E387">
        <v>9020</v>
      </c>
      <c r="F387" s="106" t="s">
        <v>789</v>
      </c>
      <c r="G387" s="106" t="s">
        <v>280</v>
      </c>
      <c r="H387" s="106" t="s">
        <v>412</v>
      </c>
      <c r="I387" t="s">
        <v>790</v>
      </c>
      <c r="J387" t="s">
        <v>2392</v>
      </c>
    </row>
    <row r="388" spans="1:10" x14ac:dyDescent="0.2">
      <c r="A388" s="106" t="s">
        <v>413</v>
      </c>
      <c r="B388" s="106" t="s">
        <v>277</v>
      </c>
      <c r="C388" s="106" t="s">
        <v>278</v>
      </c>
      <c r="D388" s="106" t="s">
        <v>279</v>
      </c>
      <c r="E388">
        <v>9037</v>
      </c>
      <c r="F388" s="106" t="s">
        <v>418</v>
      </c>
      <c r="G388" s="106" t="s">
        <v>280</v>
      </c>
      <c r="H388" s="106" t="s">
        <v>412</v>
      </c>
      <c r="I388" s="106">
        <v>683</v>
      </c>
      <c r="J388" s="106"/>
    </row>
    <row r="389" spans="1:10" x14ac:dyDescent="0.2">
      <c r="A389" s="106" t="s">
        <v>413</v>
      </c>
      <c r="B389" s="106" t="s">
        <v>277</v>
      </c>
      <c r="C389" s="106" t="s">
        <v>282</v>
      </c>
      <c r="D389" s="106" t="s">
        <v>283</v>
      </c>
      <c r="E389">
        <v>9795</v>
      </c>
      <c r="F389" s="106" t="s">
        <v>2059</v>
      </c>
      <c r="G389" s="106" t="s">
        <v>280</v>
      </c>
      <c r="H389" s="106" t="s">
        <v>285</v>
      </c>
      <c r="I389" s="106">
        <v>263</v>
      </c>
      <c r="J389" s="106"/>
    </row>
    <row r="390" spans="1:10" x14ac:dyDescent="0.2">
      <c r="A390" s="106" t="s">
        <v>413</v>
      </c>
      <c r="B390" s="106" t="s">
        <v>277</v>
      </c>
      <c r="C390" s="106" t="s">
        <v>278</v>
      </c>
      <c r="D390" s="106" t="s">
        <v>279</v>
      </c>
      <c r="E390">
        <v>9995</v>
      </c>
      <c r="F390" s="106" t="s">
        <v>419</v>
      </c>
      <c r="G390" s="106" t="s">
        <v>280</v>
      </c>
      <c r="H390" s="106" t="s">
        <v>286</v>
      </c>
      <c r="I390" s="106">
        <v>119</v>
      </c>
      <c r="J390" s="106"/>
    </row>
    <row r="391" spans="1:10" x14ac:dyDescent="0.2">
      <c r="A391" s="106" t="s">
        <v>420</v>
      </c>
      <c r="B391" s="106" t="s">
        <v>344</v>
      </c>
      <c r="C391" s="106" t="s">
        <v>278</v>
      </c>
      <c r="D391" s="106" t="s">
        <v>279</v>
      </c>
      <c r="E391">
        <v>3433</v>
      </c>
      <c r="F391" s="106" t="s">
        <v>791</v>
      </c>
      <c r="G391" s="106" t="s">
        <v>280</v>
      </c>
      <c r="H391" s="106" t="s">
        <v>295</v>
      </c>
      <c r="I391">
        <v>720</v>
      </c>
    </row>
    <row r="392" spans="1:10" x14ac:dyDescent="0.2">
      <c r="A392" s="106" t="s">
        <v>420</v>
      </c>
      <c r="B392" s="106" t="s">
        <v>277</v>
      </c>
      <c r="C392" s="106" t="s">
        <v>278</v>
      </c>
      <c r="D392" s="106" t="s">
        <v>279</v>
      </c>
      <c r="E392">
        <v>1946</v>
      </c>
      <c r="F392" s="106" t="s">
        <v>519</v>
      </c>
      <c r="G392" s="106" t="s">
        <v>280</v>
      </c>
      <c r="H392" s="106" t="s">
        <v>307</v>
      </c>
      <c r="I392">
        <v>751</v>
      </c>
    </row>
    <row r="393" spans="1:10" x14ac:dyDescent="0.2">
      <c r="A393" s="106" t="s">
        <v>420</v>
      </c>
      <c r="B393" s="106" t="s">
        <v>277</v>
      </c>
      <c r="C393" s="106" t="s">
        <v>278</v>
      </c>
      <c r="D393" s="106" t="s">
        <v>279</v>
      </c>
      <c r="E393">
        <v>1950</v>
      </c>
      <c r="F393" s="106" t="s">
        <v>2245</v>
      </c>
      <c r="G393" s="106" t="s">
        <v>280</v>
      </c>
      <c r="H393" s="106" t="s">
        <v>307</v>
      </c>
      <c r="I393" s="106" t="s">
        <v>311</v>
      </c>
      <c r="J393" s="106" t="s">
        <v>2393</v>
      </c>
    </row>
    <row r="394" spans="1:10" x14ac:dyDescent="0.2">
      <c r="A394" s="106" t="s">
        <v>420</v>
      </c>
      <c r="B394" s="106" t="s">
        <v>277</v>
      </c>
      <c r="C394" s="106" t="s">
        <v>278</v>
      </c>
      <c r="D394" s="106" t="s">
        <v>279</v>
      </c>
      <c r="E394">
        <v>2175</v>
      </c>
      <c r="F394" s="106" t="s">
        <v>723</v>
      </c>
      <c r="G394" s="106" t="s">
        <v>280</v>
      </c>
      <c r="H394" s="106" t="s">
        <v>285</v>
      </c>
      <c r="I394" s="106" t="s">
        <v>303</v>
      </c>
      <c r="J394" s="106" t="s">
        <v>2394</v>
      </c>
    </row>
    <row r="395" spans="1:10" x14ac:dyDescent="0.2">
      <c r="A395" s="106" t="s">
        <v>420</v>
      </c>
      <c r="B395" s="106" t="s">
        <v>277</v>
      </c>
      <c r="C395" s="106" t="s">
        <v>278</v>
      </c>
      <c r="D395" s="106" t="s">
        <v>279</v>
      </c>
      <c r="E395">
        <v>2220</v>
      </c>
      <c r="F395" s="106" t="s">
        <v>724</v>
      </c>
      <c r="G395" s="106" t="s">
        <v>280</v>
      </c>
      <c r="H395" s="106" t="s">
        <v>281</v>
      </c>
      <c r="I395" s="106" t="s">
        <v>311</v>
      </c>
      <c r="J395" s="106" t="s">
        <v>2395</v>
      </c>
    </row>
    <row r="396" spans="1:10" x14ac:dyDescent="0.2">
      <c r="A396" s="106" t="s">
        <v>420</v>
      </c>
      <c r="B396" s="106" t="s">
        <v>277</v>
      </c>
      <c r="C396" s="106" t="s">
        <v>278</v>
      </c>
      <c r="D396" s="106" t="s">
        <v>279</v>
      </c>
      <c r="E396">
        <v>2331</v>
      </c>
      <c r="F396" s="106" t="s">
        <v>725</v>
      </c>
      <c r="G396" s="106" t="s">
        <v>280</v>
      </c>
      <c r="H396" s="106" t="s">
        <v>285</v>
      </c>
      <c r="I396" s="106" t="s">
        <v>339</v>
      </c>
      <c r="J396" s="106" t="s">
        <v>2249</v>
      </c>
    </row>
    <row r="397" spans="1:10" x14ac:dyDescent="0.2">
      <c r="A397" s="106" t="s">
        <v>420</v>
      </c>
      <c r="B397" s="106" t="s">
        <v>277</v>
      </c>
      <c r="C397" s="106" t="s">
        <v>278</v>
      </c>
      <c r="D397" s="106" t="s">
        <v>279</v>
      </c>
      <c r="E397">
        <v>2497</v>
      </c>
      <c r="F397" s="106" t="s">
        <v>792</v>
      </c>
      <c r="G397" s="106" t="s">
        <v>292</v>
      </c>
      <c r="H397" s="106" t="s">
        <v>285</v>
      </c>
      <c r="I397" s="106">
        <v>325</v>
      </c>
      <c r="J397" s="106"/>
    </row>
    <row r="398" spans="1:10" x14ac:dyDescent="0.2">
      <c r="A398" s="106" t="s">
        <v>420</v>
      </c>
      <c r="B398" s="106" t="s">
        <v>277</v>
      </c>
      <c r="C398" s="106" t="s">
        <v>278</v>
      </c>
      <c r="D398" s="106" t="s">
        <v>279</v>
      </c>
      <c r="E398">
        <v>2715</v>
      </c>
      <c r="F398" s="106" t="s">
        <v>421</v>
      </c>
      <c r="G398" s="106" t="s">
        <v>280</v>
      </c>
      <c r="H398" s="106" t="s">
        <v>286</v>
      </c>
      <c r="I398" s="106">
        <v>501</v>
      </c>
      <c r="J398" s="106"/>
    </row>
    <row r="399" spans="1:10" x14ac:dyDescent="0.2">
      <c r="A399" s="106" t="s">
        <v>420</v>
      </c>
      <c r="B399" s="106" t="s">
        <v>277</v>
      </c>
      <c r="C399" s="106" t="s">
        <v>278</v>
      </c>
      <c r="D399" s="106" t="s">
        <v>283</v>
      </c>
      <c r="E399">
        <v>2892</v>
      </c>
      <c r="F399" s="106" t="s">
        <v>422</v>
      </c>
      <c r="G399" s="106" t="s">
        <v>288</v>
      </c>
      <c r="H399" s="106" t="s">
        <v>281</v>
      </c>
      <c r="I399" s="106">
        <v>86</v>
      </c>
      <c r="J399" s="106"/>
    </row>
    <row r="400" spans="1:10" x14ac:dyDescent="0.2">
      <c r="A400" s="106" t="s">
        <v>420</v>
      </c>
      <c r="B400" s="106" t="s">
        <v>277</v>
      </c>
      <c r="C400" s="106" t="s">
        <v>278</v>
      </c>
      <c r="D400" s="106" t="s">
        <v>279</v>
      </c>
      <c r="E400">
        <v>3023</v>
      </c>
      <c r="F400" s="106" t="s">
        <v>423</v>
      </c>
      <c r="G400" s="106" t="s">
        <v>280</v>
      </c>
      <c r="H400" s="106" t="s">
        <v>286</v>
      </c>
      <c r="I400" s="106">
        <v>127</v>
      </c>
      <c r="J400" s="106"/>
    </row>
    <row r="401" spans="1:10" x14ac:dyDescent="0.2">
      <c r="A401" s="106" t="s">
        <v>420</v>
      </c>
      <c r="B401" s="106" t="s">
        <v>277</v>
      </c>
      <c r="C401" s="106" t="s">
        <v>278</v>
      </c>
      <c r="D401" s="106" t="s">
        <v>279</v>
      </c>
      <c r="E401">
        <v>3092</v>
      </c>
      <c r="F401" s="106" t="s">
        <v>793</v>
      </c>
      <c r="G401" s="106" t="s">
        <v>280</v>
      </c>
      <c r="H401" s="106" t="s">
        <v>290</v>
      </c>
      <c r="I401" s="106" t="s">
        <v>339</v>
      </c>
      <c r="J401" s="106" t="s">
        <v>2396</v>
      </c>
    </row>
    <row r="402" spans="1:10" x14ac:dyDescent="0.2">
      <c r="A402" s="106" t="s">
        <v>420</v>
      </c>
      <c r="B402" s="106" t="s">
        <v>277</v>
      </c>
      <c r="C402" s="106" t="s">
        <v>278</v>
      </c>
      <c r="D402" s="106" t="s">
        <v>279</v>
      </c>
      <c r="E402">
        <v>3098</v>
      </c>
      <c r="F402" s="106" t="s">
        <v>794</v>
      </c>
      <c r="G402" s="106" t="s">
        <v>280</v>
      </c>
      <c r="H402" s="106" t="s">
        <v>290</v>
      </c>
      <c r="I402" s="106" t="s">
        <v>311</v>
      </c>
      <c r="J402" s="106" t="s">
        <v>2397</v>
      </c>
    </row>
    <row r="403" spans="1:10" x14ac:dyDescent="0.2">
      <c r="A403" s="106" t="s">
        <v>420</v>
      </c>
      <c r="B403" s="106" t="s">
        <v>277</v>
      </c>
      <c r="C403" s="106" t="s">
        <v>278</v>
      </c>
      <c r="D403" s="106" t="s">
        <v>283</v>
      </c>
      <c r="E403">
        <v>3137</v>
      </c>
      <c r="F403" s="106" t="s">
        <v>795</v>
      </c>
      <c r="G403" s="106" t="s">
        <v>292</v>
      </c>
      <c r="H403" s="106" t="s">
        <v>290</v>
      </c>
      <c r="I403" s="106">
        <v>79</v>
      </c>
      <c r="J403" s="106"/>
    </row>
    <row r="404" spans="1:10" x14ac:dyDescent="0.2">
      <c r="A404" s="106" t="s">
        <v>420</v>
      </c>
      <c r="B404" s="106" t="s">
        <v>277</v>
      </c>
      <c r="C404" s="106" t="s">
        <v>278</v>
      </c>
      <c r="D404" s="106" t="s">
        <v>279</v>
      </c>
      <c r="E404">
        <v>3513</v>
      </c>
      <c r="F404" s="106" t="s">
        <v>796</v>
      </c>
      <c r="G404" s="106" t="s">
        <v>280</v>
      </c>
      <c r="H404" s="106" t="s">
        <v>313</v>
      </c>
      <c r="I404">
        <v>76</v>
      </c>
    </row>
    <row r="405" spans="1:10" x14ac:dyDescent="0.2">
      <c r="A405" s="106" t="s">
        <v>420</v>
      </c>
      <c r="B405" s="106" t="s">
        <v>277</v>
      </c>
      <c r="C405" s="106" t="s">
        <v>278</v>
      </c>
      <c r="D405" s="106" t="s">
        <v>279</v>
      </c>
      <c r="E405">
        <v>3591</v>
      </c>
      <c r="F405" s="106" t="s">
        <v>797</v>
      </c>
      <c r="G405" s="106" t="s">
        <v>280</v>
      </c>
      <c r="H405" s="106" t="s">
        <v>313</v>
      </c>
      <c r="I405" t="s">
        <v>303</v>
      </c>
      <c r="J405" t="s">
        <v>2398</v>
      </c>
    </row>
    <row r="406" spans="1:10" x14ac:dyDescent="0.2">
      <c r="A406" s="106" t="s">
        <v>420</v>
      </c>
      <c r="B406" s="106" t="s">
        <v>277</v>
      </c>
      <c r="C406" s="106" t="s">
        <v>278</v>
      </c>
      <c r="D406" s="106" t="s">
        <v>279</v>
      </c>
      <c r="E406">
        <v>3666</v>
      </c>
      <c r="F406" s="106" t="s">
        <v>798</v>
      </c>
      <c r="G406" s="106" t="s">
        <v>280</v>
      </c>
      <c r="H406" s="106" t="s">
        <v>291</v>
      </c>
      <c r="I406" s="106">
        <v>100</v>
      </c>
      <c r="J406" s="106"/>
    </row>
    <row r="407" spans="1:10" x14ac:dyDescent="0.2">
      <c r="A407" s="106" t="s">
        <v>420</v>
      </c>
      <c r="B407" s="106" t="s">
        <v>277</v>
      </c>
      <c r="C407" s="106" t="s">
        <v>278</v>
      </c>
      <c r="D407" s="106" t="s">
        <v>279</v>
      </c>
      <c r="E407">
        <v>3762</v>
      </c>
      <c r="F407" s="106" t="s">
        <v>424</v>
      </c>
      <c r="G407" s="106" t="s">
        <v>280</v>
      </c>
      <c r="H407" s="106" t="s">
        <v>291</v>
      </c>
      <c r="I407" s="106">
        <v>537</v>
      </c>
      <c r="J407" s="106"/>
    </row>
    <row r="408" spans="1:10" x14ac:dyDescent="0.2">
      <c r="A408" s="106" t="s">
        <v>420</v>
      </c>
      <c r="B408" s="106" t="s">
        <v>277</v>
      </c>
      <c r="C408" s="106" t="s">
        <v>278</v>
      </c>
      <c r="D408" s="106" t="s">
        <v>283</v>
      </c>
      <c r="E408">
        <v>3841</v>
      </c>
      <c r="F408" s="106" t="s">
        <v>425</v>
      </c>
      <c r="G408" s="106" t="s">
        <v>284</v>
      </c>
      <c r="H408" s="106" t="s">
        <v>291</v>
      </c>
      <c r="I408">
        <v>23</v>
      </c>
    </row>
    <row r="409" spans="1:10" x14ac:dyDescent="0.2">
      <c r="A409" s="106" t="s">
        <v>420</v>
      </c>
      <c r="B409" s="106" t="s">
        <v>277</v>
      </c>
      <c r="C409" s="106" t="s">
        <v>278</v>
      </c>
      <c r="D409" s="106" t="s">
        <v>279</v>
      </c>
      <c r="E409">
        <v>4310</v>
      </c>
      <c r="F409" s="106" t="s">
        <v>426</v>
      </c>
      <c r="G409" s="106" t="s">
        <v>280</v>
      </c>
      <c r="H409" s="106" t="s">
        <v>285</v>
      </c>
      <c r="I409" s="106">
        <v>164</v>
      </c>
      <c r="J409" s="106"/>
    </row>
    <row r="410" spans="1:10" x14ac:dyDescent="0.2">
      <c r="A410" s="106" t="s">
        <v>420</v>
      </c>
      <c r="B410" s="106" t="s">
        <v>277</v>
      </c>
      <c r="C410" s="106" t="s">
        <v>278</v>
      </c>
      <c r="D410" s="106" t="s">
        <v>279</v>
      </c>
      <c r="E410">
        <v>4368</v>
      </c>
      <c r="F410" s="106" t="s">
        <v>427</v>
      </c>
      <c r="G410" s="106" t="s">
        <v>280</v>
      </c>
      <c r="H410" s="106" t="s">
        <v>293</v>
      </c>
      <c r="I410" s="106" t="s">
        <v>311</v>
      </c>
      <c r="J410" s="106" t="s">
        <v>2383</v>
      </c>
    </row>
    <row r="411" spans="1:10" x14ac:dyDescent="0.2">
      <c r="A411" s="106" t="s">
        <v>420</v>
      </c>
      <c r="B411" s="106" t="s">
        <v>277</v>
      </c>
      <c r="C411" s="106" t="s">
        <v>278</v>
      </c>
      <c r="D411" s="106" t="s">
        <v>279</v>
      </c>
      <c r="E411">
        <v>4816</v>
      </c>
      <c r="F411" s="106" t="s">
        <v>799</v>
      </c>
      <c r="G411" s="106" t="s">
        <v>284</v>
      </c>
      <c r="H411" s="106" t="s">
        <v>291</v>
      </c>
      <c r="I411" s="106" t="s">
        <v>303</v>
      </c>
      <c r="J411" s="106" t="s">
        <v>2374</v>
      </c>
    </row>
    <row r="412" spans="1:10" x14ac:dyDescent="0.2">
      <c r="A412" s="106" t="s">
        <v>420</v>
      </c>
      <c r="B412" s="106" t="s">
        <v>277</v>
      </c>
      <c r="C412" s="106" t="s">
        <v>278</v>
      </c>
      <c r="D412" s="106" t="s">
        <v>279</v>
      </c>
      <c r="E412">
        <v>5332</v>
      </c>
      <c r="F412" s="106" t="s">
        <v>800</v>
      </c>
      <c r="G412" s="106" t="s">
        <v>280</v>
      </c>
      <c r="H412" s="106" t="s">
        <v>322</v>
      </c>
      <c r="I412" s="106" t="s">
        <v>393</v>
      </c>
      <c r="J412" s="106" t="s">
        <v>2235</v>
      </c>
    </row>
    <row r="413" spans="1:10" x14ac:dyDescent="0.2">
      <c r="A413" s="106" t="s">
        <v>420</v>
      </c>
      <c r="B413" s="106" t="s">
        <v>277</v>
      </c>
      <c r="C413" s="106" t="s">
        <v>278</v>
      </c>
      <c r="D413" s="106" t="s">
        <v>279</v>
      </c>
      <c r="E413">
        <v>5727</v>
      </c>
      <c r="F413" s="106" t="s">
        <v>428</v>
      </c>
      <c r="G413" s="106" t="s">
        <v>280</v>
      </c>
      <c r="H413" s="106" t="s">
        <v>429</v>
      </c>
      <c r="I413" s="106">
        <v>662</v>
      </c>
      <c r="J413" s="106"/>
    </row>
    <row r="414" spans="1:10" x14ac:dyDescent="0.2">
      <c r="A414" s="106" t="s">
        <v>420</v>
      </c>
      <c r="B414" s="106" t="s">
        <v>277</v>
      </c>
      <c r="C414" s="106" t="s">
        <v>289</v>
      </c>
      <c r="D414" s="106" t="s">
        <v>279</v>
      </c>
      <c r="E414">
        <v>6028</v>
      </c>
      <c r="F414" s="106" t="s">
        <v>726</v>
      </c>
      <c r="G414" s="106" t="s">
        <v>280</v>
      </c>
      <c r="H414" s="106" t="s">
        <v>285</v>
      </c>
      <c r="I414" s="106" t="s">
        <v>303</v>
      </c>
      <c r="J414" s="106" t="s">
        <v>2399</v>
      </c>
    </row>
    <row r="415" spans="1:10" x14ac:dyDescent="0.2">
      <c r="A415" s="106" t="s">
        <v>420</v>
      </c>
      <c r="B415" s="106" t="s">
        <v>277</v>
      </c>
      <c r="C415" s="106" t="s">
        <v>278</v>
      </c>
      <c r="D415" s="106" t="s">
        <v>279</v>
      </c>
      <c r="E415">
        <v>6322</v>
      </c>
      <c r="F415" s="106" t="s">
        <v>430</v>
      </c>
      <c r="G415" s="106" t="s">
        <v>288</v>
      </c>
      <c r="H415" s="106" t="s">
        <v>301</v>
      </c>
      <c r="I415" s="106">
        <v>127</v>
      </c>
      <c r="J415" s="106"/>
    </row>
    <row r="416" spans="1:10" x14ac:dyDescent="0.2">
      <c r="A416" s="106" t="s">
        <v>420</v>
      </c>
      <c r="B416" s="106" t="s">
        <v>277</v>
      </c>
      <c r="C416" s="106" t="s">
        <v>278</v>
      </c>
      <c r="D416" s="106" t="s">
        <v>279</v>
      </c>
      <c r="E416">
        <v>6659</v>
      </c>
      <c r="F416" s="106" t="s">
        <v>431</v>
      </c>
      <c r="G416" s="106" t="s">
        <v>284</v>
      </c>
      <c r="H416" s="106" t="s">
        <v>305</v>
      </c>
      <c r="I416" s="106">
        <v>18</v>
      </c>
      <c r="J416" s="106"/>
    </row>
    <row r="417" spans="1:10" x14ac:dyDescent="0.2">
      <c r="A417" s="106" t="s">
        <v>420</v>
      </c>
      <c r="B417" s="106" t="s">
        <v>277</v>
      </c>
      <c r="C417" s="106" t="s">
        <v>278</v>
      </c>
      <c r="D417" s="106" t="s">
        <v>279</v>
      </c>
      <c r="E417">
        <v>6837</v>
      </c>
      <c r="F417" s="106" t="s">
        <v>2061</v>
      </c>
      <c r="G417" s="106" t="s">
        <v>284</v>
      </c>
      <c r="H417" s="106" t="s">
        <v>305</v>
      </c>
      <c r="I417" s="106">
        <v>44</v>
      </c>
      <c r="J417" s="106"/>
    </row>
    <row r="418" spans="1:10" x14ac:dyDescent="0.2">
      <c r="A418" s="106" t="s">
        <v>420</v>
      </c>
      <c r="B418" s="106" t="s">
        <v>277</v>
      </c>
      <c r="C418" s="106" t="s">
        <v>278</v>
      </c>
      <c r="D418" s="106" t="s">
        <v>279</v>
      </c>
      <c r="E418">
        <v>6925</v>
      </c>
      <c r="F418" s="106" t="s">
        <v>432</v>
      </c>
      <c r="G418" s="106" t="s">
        <v>280</v>
      </c>
      <c r="H418" s="106" t="s">
        <v>305</v>
      </c>
      <c r="I418" s="106" t="s">
        <v>303</v>
      </c>
      <c r="J418" s="106" t="s">
        <v>2079</v>
      </c>
    </row>
    <row r="419" spans="1:10" x14ac:dyDescent="0.2">
      <c r="A419" s="106" t="s">
        <v>420</v>
      </c>
      <c r="B419" s="106" t="s">
        <v>277</v>
      </c>
      <c r="C419" s="106" t="s">
        <v>278</v>
      </c>
      <c r="D419" s="106" t="s">
        <v>279</v>
      </c>
      <c r="E419">
        <v>7282</v>
      </c>
      <c r="F419" s="106" t="s">
        <v>433</v>
      </c>
      <c r="G419" s="106" t="s">
        <v>280</v>
      </c>
      <c r="H419" s="106" t="s">
        <v>310</v>
      </c>
      <c r="I419" s="106" t="s">
        <v>364</v>
      </c>
      <c r="J419" s="106" t="s">
        <v>2400</v>
      </c>
    </row>
    <row r="420" spans="1:10" x14ac:dyDescent="0.2">
      <c r="A420" s="106" t="s">
        <v>420</v>
      </c>
      <c r="B420" s="106" t="s">
        <v>277</v>
      </c>
      <c r="C420" s="106" t="s">
        <v>278</v>
      </c>
      <c r="D420" s="106" t="s">
        <v>279</v>
      </c>
      <c r="E420">
        <v>7510</v>
      </c>
      <c r="F420" s="106" t="s">
        <v>434</v>
      </c>
      <c r="G420" s="106" t="s">
        <v>280</v>
      </c>
      <c r="H420" s="106" t="s">
        <v>286</v>
      </c>
      <c r="I420" s="106">
        <v>218</v>
      </c>
      <c r="J420" s="106"/>
    </row>
    <row r="421" spans="1:10" x14ac:dyDescent="0.2">
      <c r="A421" s="106" t="s">
        <v>420</v>
      </c>
      <c r="B421" s="106" t="s">
        <v>277</v>
      </c>
      <c r="C421" s="106" t="s">
        <v>278</v>
      </c>
      <c r="D421" s="106" t="s">
        <v>279</v>
      </c>
      <c r="E421">
        <v>7600</v>
      </c>
      <c r="F421" s="106" t="s">
        <v>435</v>
      </c>
      <c r="G421" s="106" t="s">
        <v>280</v>
      </c>
      <c r="H421" s="106" t="s">
        <v>391</v>
      </c>
      <c r="I421" s="106">
        <v>612</v>
      </c>
      <c r="J421" s="106"/>
    </row>
    <row r="422" spans="1:10" x14ac:dyDescent="0.2">
      <c r="A422" s="106" t="s">
        <v>420</v>
      </c>
      <c r="B422" s="106" t="s">
        <v>277</v>
      </c>
      <c r="C422" s="106" t="s">
        <v>278</v>
      </c>
      <c r="D422" s="106" t="s">
        <v>279</v>
      </c>
      <c r="E422">
        <v>7838</v>
      </c>
      <c r="F422" s="106" t="s">
        <v>436</v>
      </c>
      <c r="G422" s="106" t="s">
        <v>280</v>
      </c>
      <c r="H422" s="106" t="s">
        <v>302</v>
      </c>
      <c r="I422" s="106">
        <v>83</v>
      </c>
      <c r="J422" s="106"/>
    </row>
    <row r="423" spans="1:10" x14ac:dyDescent="0.2">
      <c r="A423" s="106" t="s">
        <v>420</v>
      </c>
      <c r="B423" s="106" t="s">
        <v>277</v>
      </c>
      <c r="C423" s="106" t="s">
        <v>278</v>
      </c>
      <c r="D423" s="106" t="s">
        <v>279</v>
      </c>
      <c r="E423">
        <v>7840</v>
      </c>
      <c r="F423" s="106" t="s">
        <v>2062</v>
      </c>
      <c r="G423" s="106" t="s">
        <v>280</v>
      </c>
      <c r="H423" s="106" t="s">
        <v>302</v>
      </c>
      <c r="I423" s="106">
        <v>407</v>
      </c>
      <c r="J423" s="106"/>
    </row>
    <row r="424" spans="1:10" x14ac:dyDescent="0.2">
      <c r="A424" s="106" t="s">
        <v>420</v>
      </c>
      <c r="B424" s="106" t="s">
        <v>277</v>
      </c>
      <c r="C424" s="106" t="s">
        <v>278</v>
      </c>
      <c r="D424" s="106" t="s">
        <v>279</v>
      </c>
      <c r="E424">
        <v>7925</v>
      </c>
      <c r="F424" s="106" t="s">
        <v>437</v>
      </c>
      <c r="G424" s="106" t="s">
        <v>280</v>
      </c>
      <c r="H424" s="106" t="s">
        <v>293</v>
      </c>
      <c r="I424" s="106">
        <v>193</v>
      </c>
      <c r="J424" s="106"/>
    </row>
    <row r="425" spans="1:10" x14ac:dyDescent="0.2">
      <c r="A425" s="106" t="s">
        <v>420</v>
      </c>
      <c r="B425" s="106" t="s">
        <v>277</v>
      </c>
      <c r="C425" s="106" t="s">
        <v>278</v>
      </c>
      <c r="D425" s="106" t="s">
        <v>279</v>
      </c>
      <c r="E425">
        <v>8806</v>
      </c>
      <c r="F425" s="106" t="s">
        <v>438</v>
      </c>
      <c r="G425" s="106" t="s">
        <v>280</v>
      </c>
      <c r="H425" s="106" t="s">
        <v>306</v>
      </c>
      <c r="I425" s="106" t="s">
        <v>311</v>
      </c>
      <c r="J425" s="106" t="s">
        <v>2401</v>
      </c>
    </row>
    <row r="426" spans="1:10" x14ac:dyDescent="0.2">
      <c r="A426" s="106" t="s">
        <v>420</v>
      </c>
      <c r="B426" s="106" t="s">
        <v>277</v>
      </c>
      <c r="C426" s="106" t="s">
        <v>278</v>
      </c>
      <c r="D426" s="106" t="s">
        <v>279</v>
      </c>
      <c r="E426">
        <v>9502</v>
      </c>
      <c r="F426" s="106" t="s">
        <v>545</v>
      </c>
      <c r="G426" s="106" t="s">
        <v>280</v>
      </c>
      <c r="H426" s="106" t="s">
        <v>546</v>
      </c>
      <c r="I426" s="106" t="s">
        <v>547</v>
      </c>
      <c r="J426" s="106" t="s">
        <v>2402</v>
      </c>
    </row>
    <row r="427" spans="1:10" x14ac:dyDescent="0.2">
      <c r="A427" s="106" t="s">
        <v>420</v>
      </c>
      <c r="B427" s="106" t="s">
        <v>277</v>
      </c>
      <c r="C427" s="106" t="s">
        <v>278</v>
      </c>
      <c r="D427" s="106" t="s">
        <v>279</v>
      </c>
      <c r="E427">
        <v>9511</v>
      </c>
      <c r="F427" s="106" t="s">
        <v>2063</v>
      </c>
      <c r="G427" s="106" t="s">
        <v>280</v>
      </c>
      <c r="H427" s="106" t="s">
        <v>546</v>
      </c>
      <c r="I427" s="106" t="s">
        <v>311</v>
      </c>
      <c r="J427" s="106" t="s">
        <v>2403</v>
      </c>
    </row>
    <row r="428" spans="1:10" x14ac:dyDescent="0.2">
      <c r="A428" s="106" t="s">
        <v>420</v>
      </c>
      <c r="B428" s="106" t="s">
        <v>277</v>
      </c>
      <c r="C428" s="106" t="s">
        <v>278</v>
      </c>
      <c r="D428" s="106" t="s">
        <v>279</v>
      </c>
      <c r="E428">
        <v>9759</v>
      </c>
      <c r="F428" s="106" t="s">
        <v>2064</v>
      </c>
      <c r="G428" s="106" t="s">
        <v>280</v>
      </c>
      <c r="H428" s="106" t="s">
        <v>291</v>
      </c>
      <c r="I428" s="106" t="s">
        <v>311</v>
      </c>
      <c r="J428" s="106" t="s">
        <v>2404</v>
      </c>
    </row>
    <row r="429" spans="1:10" x14ac:dyDescent="0.2">
      <c r="A429" s="106" t="s">
        <v>439</v>
      </c>
      <c r="B429" s="106" t="s">
        <v>277</v>
      </c>
      <c r="C429" s="106" t="s">
        <v>278</v>
      </c>
      <c r="D429" s="106" t="s">
        <v>283</v>
      </c>
      <c r="E429">
        <v>1379</v>
      </c>
      <c r="F429" s="106" t="s">
        <v>440</v>
      </c>
      <c r="G429" s="106" t="s">
        <v>280</v>
      </c>
      <c r="H429" s="106" t="s">
        <v>328</v>
      </c>
      <c r="I429" s="106">
        <v>667</v>
      </c>
      <c r="J429" s="106"/>
    </row>
    <row r="430" spans="1:10" x14ac:dyDescent="0.2">
      <c r="A430" s="106" t="s">
        <v>439</v>
      </c>
      <c r="B430" s="106" t="s">
        <v>277</v>
      </c>
      <c r="C430" s="106" t="s">
        <v>278</v>
      </c>
      <c r="D430" s="106" t="s">
        <v>279</v>
      </c>
      <c r="E430">
        <v>1515</v>
      </c>
      <c r="F430" s="106" t="s">
        <v>2065</v>
      </c>
      <c r="G430" s="106" t="s">
        <v>280</v>
      </c>
      <c r="H430" s="106" t="s">
        <v>642</v>
      </c>
      <c r="I430">
        <v>414</v>
      </c>
    </row>
    <row r="431" spans="1:10" x14ac:dyDescent="0.2">
      <c r="A431" s="106" t="s">
        <v>439</v>
      </c>
      <c r="B431" s="106" t="s">
        <v>277</v>
      </c>
      <c r="C431" s="106" t="s">
        <v>289</v>
      </c>
      <c r="D431" s="106" t="s">
        <v>283</v>
      </c>
      <c r="E431">
        <v>2428</v>
      </c>
      <c r="F431" s="106" t="s">
        <v>807</v>
      </c>
      <c r="G431" s="106" t="s">
        <v>280</v>
      </c>
      <c r="H431" s="106" t="s">
        <v>285</v>
      </c>
      <c r="I431">
        <v>146</v>
      </c>
    </row>
    <row r="432" spans="1:10" x14ac:dyDescent="0.2">
      <c r="A432" s="106" t="s">
        <v>439</v>
      </c>
      <c r="B432" s="106" t="s">
        <v>277</v>
      </c>
      <c r="C432" s="106" t="s">
        <v>278</v>
      </c>
      <c r="D432" s="106" t="s">
        <v>279</v>
      </c>
      <c r="E432">
        <v>2676</v>
      </c>
      <c r="F432" s="106" t="s">
        <v>801</v>
      </c>
      <c r="G432" s="106" t="s">
        <v>280</v>
      </c>
      <c r="H432" s="106" t="s">
        <v>286</v>
      </c>
      <c r="I432">
        <v>114</v>
      </c>
    </row>
    <row r="433" spans="1:10" x14ac:dyDescent="0.2">
      <c r="A433" s="106" t="s">
        <v>439</v>
      </c>
      <c r="B433" s="106" t="s">
        <v>277</v>
      </c>
      <c r="C433" s="106" t="s">
        <v>289</v>
      </c>
      <c r="D433" s="106" t="s">
        <v>279</v>
      </c>
      <c r="E433">
        <v>2689</v>
      </c>
      <c r="F433" s="106" t="s">
        <v>2066</v>
      </c>
      <c r="G433" s="106" t="s">
        <v>288</v>
      </c>
      <c r="H433" s="106" t="s">
        <v>286</v>
      </c>
      <c r="I433" s="106">
        <v>87</v>
      </c>
      <c r="J433" s="106"/>
    </row>
    <row r="434" spans="1:10" x14ac:dyDescent="0.2">
      <c r="A434" s="106" t="s">
        <v>439</v>
      </c>
      <c r="B434" s="106" t="s">
        <v>277</v>
      </c>
      <c r="C434" s="106" t="s">
        <v>278</v>
      </c>
      <c r="D434" s="106" t="s">
        <v>279</v>
      </c>
      <c r="E434">
        <v>2907</v>
      </c>
      <c r="F434" s="106" t="s">
        <v>441</v>
      </c>
      <c r="G434" s="106" t="s">
        <v>288</v>
      </c>
      <c r="H434" s="106" t="s">
        <v>281</v>
      </c>
      <c r="I434" s="106">
        <v>66</v>
      </c>
      <c r="J434" s="106"/>
    </row>
    <row r="435" spans="1:10" x14ac:dyDescent="0.2">
      <c r="A435" s="106" t="s">
        <v>439</v>
      </c>
      <c r="B435" s="106" t="s">
        <v>277</v>
      </c>
      <c r="C435" s="106" t="s">
        <v>278</v>
      </c>
      <c r="D435" s="106" t="s">
        <v>279</v>
      </c>
      <c r="E435">
        <v>3024</v>
      </c>
      <c r="F435" s="106" t="s">
        <v>802</v>
      </c>
      <c r="G435" s="106" t="s">
        <v>284</v>
      </c>
      <c r="H435" s="106" t="s">
        <v>286</v>
      </c>
      <c r="I435" s="106">
        <v>28</v>
      </c>
      <c r="J435" s="106"/>
    </row>
    <row r="436" spans="1:10" x14ac:dyDescent="0.2">
      <c r="A436" s="106" t="s">
        <v>439</v>
      </c>
      <c r="B436" s="106" t="s">
        <v>277</v>
      </c>
      <c r="C436" s="106" t="s">
        <v>278</v>
      </c>
      <c r="D436" s="106" t="s">
        <v>283</v>
      </c>
      <c r="E436">
        <v>3484</v>
      </c>
      <c r="F436" s="106" t="s">
        <v>803</v>
      </c>
      <c r="G436" s="106" t="s">
        <v>280</v>
      </c>
      <c r="H436" s="106" t="s">
        <v>306</v>
      </c>
      <c r="I436">
        <v>183</v>
      </c>
    </row>
    <row r="437" spans="1:10" x14ac:dyDescent="0.2">
      <c r="A437" s="106" t="s">
        <v>439</v>
      </c>
      <c r="B437" s="106" t="s">
        <v>277</v>
      </c>
      <c r="C437" s="106" t="s">
        <v>278</v>
      </c>
      <c r="D437" s="106" t="s">
        <v>279</v>
      </c>
      <c r="E437">
        <v>3612</v>
      </c>
      <c r="F437" s="106" t="s">
        <v>442</v>
      </c>
      <c r="G437" s="106" t="s">
        <v>280</v>
      </c>
      <c r="H437" s="106" t="s">
        <v>313</v>
      </c>
      <c r="I437">
        <v>987</v>
      </c>
    </row>
    <row r="438" spans="1:10" x14ac:dyDescent="0.2">
      <c r="A438" s="106" t="s">
        <v>439</v>
      </c>
      <c r="B438" s="106" t="s">
        <v>277</v>
      </c>
      <c r="C438" s="106" t="s">
        <v>278</v>
      </c>
      <c r="D438" s="106" t="s">
        <v>279</v>
      </c>
      <c r="E438">
        <v>4044</v>
      </c>
      <c r="F438" s="106" t="s">
        <v>2067</v>
      </c>
      <c r="G438" s="106" t="s">
        <v>280</v>
      </c>
      <c r="H438" s="106" t="s">
        <v>293</v>
      </c>
      <c r="I438" s="106" t="s">
        <v>311</v>
      </c>
      <c r="J438" s="106" t="s">
        <v>2405</v>
      </c>
    </row>
    <row r="439" spans="1:10" x14ac:dyDescent="0.2">
      <c r="A439" s="106" t="s">
        <v>439</v>
      </c>
      <c r="B439" s="106" t="s">
        <v>277</v>
      </c>
      <c r="C439" s="106" t="s">
        <v>278</v>
      </c>
      <c r="D439" s="106" t="s">
        <v>279</v>
      </c>
      <c r="E439">
        <v>4521</v>
      </c>
      <c r="F439" s="106" t="s">
        <v>804</v>
      </c>
      <c r="G439" s="106" t="s">
        <v>280</v>
      </c>
      <c r="H439" s="106" t="s">
        <v>325</v>
      </c>
      <c r="I439" s="106" t="s">
        <v>303</v>
      </c>
      <c r="J439" s="106" t="s">
        <v>2406</v>
      </c>
    </row>
    <row r="440" spans="1:10" x14ac:dyDescent="0.2">
      <c r="A440" s="106" t="s">
        <v>439</v>
      </c>
      <c r="B440" s="106" t="s">
        <v>277</v>
      </c>
      <c r="C440" s="106" t="s">
        <v>278</v>
      </c>
      <c r="D440" s="106" t="s">
        <v>279</v>
      </c>
      <c r="E440">
        <v>6005</v>
      </c>
      <c r="F440" s="106" t="s">
        <v>2068</v>
      </c>
      <c r="G440" s="106" t="s">
        <v>280</v>
      </c>
      <c r="H440" s="106" t="s">
        <v>301</v>
      </c>
      <c r="I440" s="106" t="s">
        <v>330</v>
      </c>
      <c r="J440" s="106" t="s">
        <v>2407</v>
      </c>
    </row>
    <row r="441" spans="1:10" x14ac:dyDescent="0.2">
      <c r="A441" s="106" t="s">
        <v>439</v>
      </c>
      <c r="B441" s="106" t="s">
        <v>277</v>
      </c>
      <c r="C441" s="106" t="s">
        <v>289</v>
      </c>
      <c r="D441" s="106" t="s">
        <v>279</v>
      </c>
      <c r="E441">
        <v>6920</v>
      </c>
      <c r="F441" s="106" t="s">
        <v>727</v>
      </c>
      <c r="G441" s="106" t="s">
        <v>280</v>
      </c>
      <c r="H441" s="106" t="s">
        <v>305</v>
      </c>
      <c r="I441" s="106" t="s">
        <v>297</v>
      </c>
      <c r="J441" s="106" t="s">
        <v>2408</v>
      </c>
    </row>
    <row r="442" spans="1:10" x14ac:dyDescent="0.2">
      <c r="A442" s="106" t="s">
        <v>439</v>
      </c>
      <c r="B442" s="106" t="s">
        <v>277</v>
      </c>
      <c r="C442" s="106" t="s">
        <v>278</v>
      </c>
      <c r="D442" s="106" t="s">
        <v>283</v>
      </c>
      <c r="E442">
        <v>7506</v>
      </c>
      <c r="F442" s="106" t="s">
        <v>443</v>
      </c>
      <c r="G442" s="106" t="s">
        <v>280</v>
      </c>
      <c r="H442" s="106" t="s">
        <v>290</v>
      </c>
      <c r="I442" s="106">
        <v>78</v>
      </c>
      <c r="J442" s="106"/>
    </row>
    <row r="443" spans="1:10" x14ac:dyDescent="0.2">
      <c r="A443" s="106" t="s">
        <v>439</v>
      </c>
      <c r="B443" s="106" t="s">
        <v>277</v>
      </c>
      <c r="C443" s="106" t="s">
        <v>278</v>
      </c>
      <c r="D443" s="106" t="s">
        <v>279</v>
      </c>
      <c r="E443">
        <v>7859</v>
      </c>
      <c r="F443" s="106" t="s">
        <v>444</v>
      </c>
      <c r="G443" s="106" t="s">
        <v>288</v>
      </c>
      <c r="H443" s="106" t="s">
        <v>302</v>
      </c>
      <c r="I443">
        <v>27</v>
      </c>
    </row>
    <row r="444" spans="1:10" x14ac:dyDescent="0.2">
      <c r="A444" s="106" t="s">
        <v>439</v>
      </c>
      <c r="B444" s="106" t="s">
        <v>277</v>
      </c>
      <c r="C444" s="106" t="s">
        <v>278</v>
      </c>
      <c r="D444" s="106" t="s">
        <v>279</v>
      </c>
      <c r="E444">
        <v>9008</v>
      </c>
      <c r="F444" s="106" t="s">
        <v>805</v>
      </c>
      <c r="G444" s="106" t="s">
        <v>280</v>
      </c>
      <c r="H444" s="106" t="s">
        <v>412</v>
      </c>
      <c r="I444" s="106" t="s">
        <v>393</v>
      </c>
      <c r="J444" s="106" t="s">
        <v>2409</v>
      </c>
    </row>
    <row r="445" spans="1:10" x14ac:dyDescent="0.2">
      <c r="A445" s="106" t="s">
        <v>445</v>
      </c>
      <c r="B445" s="106" t="s">
        <v>344</v>
      </c>
      <c r="C445" s="106" t="s">
        <v>278</v>
      </c>
      <c r="D445" s="106" t="s">
        <v>279</v>
      </c>
      <c r="E445">
        <v>2607</v>
      </c>
      <c r="F445" s="106" t="s">
        <v>806</v>
      </c>
      <c r="G445" s="106" t="s">
        <v>280</v>
      </c>
      <c r="H445" s="106" t="s">
        <v>281</v>
      </c>
      <c r="I445" s="106" t="s">
        <v>303</v>
      </c>
      <c r="J445" s="106" t="s">
        <v>2410</v>
      </c>
    </row>
    <row r="446" spans="1:10" x14ac:dyDescent="0.2">
      <c r="A446" s="106" t="s">
        <v>445</v>
      </c>
      <c r="B446" s="106" t="s">
        <v>344</v>
      </c>
      <c r="C446" s="106" t="s">
        <v>278</v>
      </c>
      <c r="D446" s="106" t="s">
        <v>279</v>
      </c>
      <c r="E446">
        <v>4502</v>
      </c>
      <c r="F446" s="106" t="s">
        <v>446</v>
      </c>
      <c r="G446" s="106" t="s">
        <v>280</v>
      </c>
      <c r="H446" s="106" t="s">
        <v>325</v>
      </c>
      <c r="I446" s="106" t="s">
        <v>2411</v>
      </c>
      <c r="J446" s="106" t="s">
        <v>2412</v>
      </c>
    </row>
    <row r="447" spans="1:10" x14ac:dyDescent="0.2">
      <c r="A447" s="106" t="s">
        <v>445</v>
      </c>
      <c r="B447" s="106" t="s">
        <v>277</v>
      </c>
      <c r="C447" s="106" t="s">
        <v>278</v>
      </c>
      <c r="D447" s="106" t="s">
        <v>279</v>
      </c>
      <c r="E447">
        <v>2117</v>
      </c>
      <c r="F447" s="106" t="s">
        <v>728</v>
      </c>
      <c r="G447" s="106" t="s">
        <v>280</v>
      </c>
      <c r="H447" s="106" t="s">
        <v>281</v>
      </c>
      <c r="I447" s="106">
        <v>457</v>
      </c>
      <c r="J447" s="106"/>
    </row>
    <row r="448" spans="1:10" x14ac:dyDescent="0.2">
      <c r="A448" s="106" t="s">
        <v>445</v>
      </c>
      <c r="B448" s="106" t="s">
        <v>277</v>
      </c>
      <c r="C448" s="106" t="s">
        <v>287</v>
      </c>
      <c r="D448" s="106" t="s">
        <v>283</v>
      </c>
      <c r="E448">
        <v>2268</v>
      </c>
      <c r="F448" s="106" t="s">
        <v>447</v>
      </c>
      <c r="G448" s="106" t="s">
        <v>284</v>
      </c>
      <c r="H448" s="106" t="s">
        <v>281</v>
      </c>
      <c r="I448">
        <v>388</v>
      </c>
    </row>
    <row r="449" spans="1:10" x14ac:dyDescent="0.2">
      <c r="A449" s="106" t="s">
        <v>445</v>
      </c>
      <c r="B449" s="106" t="s">
        <v>277</v>
      </c>
      <c r="C449" s="106" t="s">
        <v>278</v>
      </c>
      <c r="D449" s="106" t="s">
        <v>279</v>
      </c>
      <c r="E449">
        <v>2801</v>
      </c>
      <c r="F449" s="106" t="s">
        <v>2070</v>
      </c>
      <c r="G449" s="106" t="s">
        <v>280</v>
      </c>
      <c r="H449" s="106" t="s">
        <v>281</v>
      </c>
      <c r="I449" t="s">
        <v>415</v>
      </c>
      <c r="J449" t="s">
        <v>2246</v>
      </c>
    </row>
    <row r="450" spans="1:10" x14ac:dyDescent="0.2">
      <c r="A450" s="106" t="s">
        <v>445</v>
      </c>
      <c r="B450" s="106" t="s">
        <v>277</v>
      </c>
      <c r="C450" s="106" t="s">
        <v>278</v>
      </c>
      <c r="D450" s="106" t="s">
        <v>279</v>
      </c>
      <c r="E450">
        <v>2871</v>
      </c>
      <c r="F450" s="106" t="s">
        <v>808</v>
      </c>
      <c r="G450" s="106" t="s">
        <v>280</v>
      </c>
      <c r="H450" s="106" t="s">
        <v>281</v>
      </c>
      <c r="I450" s="106" t="s">
        <v>364</v>
      </c>
      <c r="J450" s="106" t="s">
        <v>2413</v>
      </c>
    </row>
    <row r="451" spans="1:10" x14ac:dyDescent="0.2">
      <c r="A451" s="106" t="s">
        <v>445</v>
      </c>
      <c r="B451" s="106" t="s">
        <v>277</v>
      </c>
      <c r="C451" s="106" t="s">
        <v>278</v>
      </c>
      <c r="D451" s="106" t="s">
        <v>279</v>
      </c>
      <c r="E451">
        <v>6151</v>
      </c>
      <c r="F451" s="106" t="s">
        <v>448</v>
      </c>
      <c r="G451" s="106" t="s">
        <v>280</v>
      </c>
      <c r="H451" s="106" t="s">
        <v>301</v>
      </c>
      <c r="I451" s="106">
        <v>527</v>
      </c>
      <c r="J451" s="106"/>
    </row>
    <row r="452" spans="1:10" x14ac:dyDescent="0.2">
      <c r="A452" s="106" t="s">
        <v>445</v>
      </c>
      <c r="B452" s="106" t="s">
        <v>277</v>
      </c>
      <c r="C452" s="106" t="s">
        <v>278</v>
      </c>
      <c r="D452" s="106" t="s">
        <v>279</v>
      </c>
      <c r="E452">
        <v>7230</v>
      </c>
      <c r="F452" s="106" t="s">
        <v>620</v>
      </c>
      <c r="G452" s="106" t="s">
        <v>280</v>
      </c>
      <c r="H452" s="106" t="s">
        <v>310</v>
      </c>
      <c r="I452" s="106" t="s">
        <v>311</v>
      </c>
      <c r="J452" s="106" t="s">
        <v>2251</v>
      </c>
    </row>
    <row r="453" spans="1:10" x14ac:dyDescent="0.2">
      <c r="A453" s="106" t="s">
        <v>445</v>
      </c>
      <c r="B453" s="106" t="s">
        <v>277</v>
      </c>
      <c r="C453" s="106" t="s">
        <v>278</v>
      </c>
      <c r="D453" s="106" t="s">
        <v>279</v>
      </c>
      <c r="E453">
        <v>7419</v>
      </c>
      <c r="F453" s="106" t="s">
        <v>449</v>
      </c>
      <c r="G453" s="106" t="s">
        <v>280</v>
      </c>
      <c r="H453" s="106" t="s">
        <v>290</v>
      </c>
      <c r="I453" s="106" t="s">
        <v>311</v>
      </c>
      <c r="J453" s="106" t="s">
        <v>2414</v>
      </c>
    </row>
    <row r="454" spans="1:10" x14ac:dyDescent="0.2">
      <c r="A454" s="106" t="s">
        <v>445</v>
      </c>
      <c r="B454" s="106" t="s">
        <v>277</v>
      </c>
      <c r="C454" s="106" t="s">
        <v>289</v>
      </c>
      <c r="D454" s="106" t="s">
        <v>279</v>
      </c>
      <c r="E454">
        <v>8945</v>
      </c>
      <c r="F454" s="106" t="s">
        <v>729</v>
      </c>
      <c r="G454" s="106" t="s">
        <v>280</v>
      </c>
      <c r="H454" s="106" t="s">
        <v>306</v>
      </c>
      <c r="I454">
        <v>129</v>
      </c>
    </row>
    <row r="455" spans="1:10" x14ac:dyDescent="0.2">
      <c r="A455" s="106" t="s">
        <v>450</v>
      </c>
      <c r="B455" s="106" t="s">
        <v>277</v>
      </c>
      <c r="C455" s="106" t="s">
        <v>278</v>
      </c>
      <c r="D455" s="106" t="s">
        <v>279</v>
      </c>
      <c r="E455">
        <v>2130</v>
      </c>
      <c r="F455" s="106" t="s">
        <v>451</v>
      </c>
      <c r="G455" s="106" t="s">
        <v>280</v>
      </c>
      <c r="H455" s="106" t="s">
        <v>285</v>
      </c>
      <c r="I455">
        <v>300</v>
      </c>
    </row>
    <row r="456" spans="1:10" x14ac:dyDescent="0.2">
      <c r="A456" s="106" t="s">
        <v>450</v>
      </c>
      <c r="B456" s="106" t="s">
        <v>277</v>
      </c>
      <c r="C456" s="106" t="s">
        <v>278</v>
      </c>
      <c r="D456" s="106" t="s">
        <v>283</v>
      </c>
      <c r="E456">
        <v>3464</v>
      </c>
      <c r="F456" s="106" t="s">
        <v>604</v>
      </c>
      <c r="G456" s="106" t="s">
        <v>280</v>
      </c>
      <c r="H456" s="106" t="s">
        <v>306</v>
      </c>
      <c r="I456">
        <v>82</v>
      </c>
    </row>
    <row r="457" spans="1:10" x14ac:dyDescent="0.2">
      <c r="A457" s="106" t="s">
        <v>450</v>
      </c>
      <c r="B457" s="106" t="s">
        <v>277</v>
      </c>
      <c r="C457" s="106" t="s">
        <v>278</v>
      </c>
      <c r="D457" s="106" t="s">
        <v>279</v>
      </c>
      <c r="E457">
        <v>4091</v>
      </c>
      <c r="F457" s="106" t="s">
        <v>2071</v>
      </c>
      <c r="G457" s="106" t="s">
        <v>280</v>
      </c>
      <c r="H457" s="106" t="s">
        <v>293</v>
      </c>
      <c r="I457" s="106" t="s">
        <v>415</v>
      </c>
      <c r="J457" s="106" t="s">
        <v>2415</v>
      </c>
    </row>
    <row r="458" spans="1:10" x14ac:dyDescent="0.2">
      <c r="A458" s="106" t="s">
        <v>450</v>
      </c>
      <c r="B458" s="106" t="s">
        <v>277</v>
      </c>
      <c r="C458" s="106" t="s">
        <v>278</v>
      </c>
      <c r="D458" s="106" t="s">
        <v>279</v>
      </c>
      <c r="E458">
        <v>4183</v>
      </c>
      <c r="F458" s="106" t="s">
        <v>2073</v>
      </c>
      <c r="G458" s="106" t="s">
        <v>280</v>
      </c>
      <c r="H458" s="106" t="s">
        <v>293</v>
      </c>
      <c r="I458" s="106" t="s">
        <v>297</v>
      </c>
      <c r="J458" s="106" t="s">
        <v>2250</v>
      </c>
    </row>
    <row r="459" spans="1:10" x14ac:dyDescent="0.2">
      <c r="A459" s="106" t="s">
        <v>450</v>
      </c>
      <c r="B459" s="106" t="s">
        <v>277</v>
      </c>
      <c r="C459" s="106" t="s">
        <v>278</v>
      </c>
      <c r="D459" s="106" t="s">
        <v>279</v>
      </c>
      <c r="E459">
        <v>4403</v>
      </c>
      <c r="F459" s="106" t="s">
        <v>2074</v>
      </c>
      <c r="G459" s="106" t="s">
        <v>280</v>
      </c>
      <c r="H459" s="106" t="s">
        <v>293</v>
      </c>
      <c r="I459" s="106" t="s">
        <v>364</v>
      </c>
      <c r="J459" s="106" t="s">
        <v>2378</v>
      </c>
    </row>
    <row r="460" spans="1:10" x14ac:dyDescent="0.2">
      <c r="A460" s="106" t="s">
        <v>450</v>
      </c>
      <c r="B460" s="106" t="s">
        <v>277</v>
      </c>
      <c r="C460" s="106" t="s">
        <v>278</v>
      </c>
      <c r="D460" s="106" t="s">
        <v>279</v>
      </c>
      <c r="E460">
        <v>4485</v>
      </c>
      <c r="F460" s="106" t="s">
        <v>2252</v>
      </c>
      <c r="G460" s="106" t="s">
        <v>292</v>
      </c>
      <c r="H460" s="106" t="s">
        <v>291</v>
      </c>
      <c r="I460" s="106">
        <v>735</v>
      </c>
      <c r="J460" s="106"/>
    </row>
    <row r="461" spans="1:10" x14ac:dyDescent="0.2">
      <c r="A461" s="106" t="s">
        <v>450</v>
      </c>
      <c r="B461" s="106" t="s">
        <v>277</v>
      </c>
      <c r="C461" s="106" t="s">
        <v>278</v>
      </c>
      <c r="D461" s="106" t="s">
        <v>279</v>
      </c>
      <c r="E461">
        <v>4516</v>
      </c>
      <c r="F461" s="106" t="s">
        <v>2075</v>
      </c>
      <c r="G461" s="106" t="s">
        <v>280</v>
      </c>
      <c r="H461" s="106" t="s">
        <v>325</v>
      </c>
      <c r="I461" s="106" t="s">
        <v>339</v>
      </c>
      <c r="J461" s="106" t="s">
        <v>2416</v>
      </c>
    </row>
    <row r="462" spans="1:10" x14ac:dyDescent="0.2">
      <c r="A462" s="106" t="s">
        <v>450</v>
      </c>
      <c r="B462" s="106" t="s">
        <v>277</v>
      </c>
      <c r="C462" s="106" t="s">
        <v>278</v>
      </c>
      <c r="D462" s="106" t="s">
        <v>283</v>
      </c>
      <c r="E462">
        <v>6678</v>
      </c>
      <c r="F462" s="106" t="s">
        <v>452</v>
      </c>
      <c r="G462" s="106" t="s">
        <v>280</v>
      </c>
      <c r="H462" s="106" t="s">
        <v>305</v>
      </c>
      <c r="I462">
        <v>184</v>
      </c>
    </row>
    <row r="463" spans="1:10" x14ac:dyDescent="0.2">
      <c r="A463" s="106" t="s">
        <v>450</v>
      </c>
      <c r="B463" s="106" t="s">
        <v>277</v>
      </c>
      <c r="C463" s="106" t="s">
        <v>278</v>
      </c>
      <c r="D463" s="106" t="s">
        <v>279</v>
      </c>
      <c r="E463">
        <v>6875</v>
      </c>
      <c r="F463" s="106" t="s">
        <v>453</v>
      </c>
      <c r="G463" s="106" t="s">
        <v>280</v>
      </c>
      <c r="H463" s="106" t="s">
        <v>305</v>
      </c>
      <c r="I463" s="106">
        <v>446</v>
      </c>
      <c r="J463" s="106"/>
    </row>
    <row r="464" spans="1:10" x14ac:dyDescent="0.2">
      <c r="A464" s="106" t="s">
        <v>450</v>
      </c>
      <c r="B464" s="106" t="s">
        <v>277</v>
      </c>
      <c r="C464" s="106" t="s">
        <v>289</v>
      </c>
      <c r="D464" s="106" t="s">
        <v>279</v>
      </c>
      <c r="E464">
        <v>7532</v>
      </c>
      <c r="F464" s="106" t="s">
        <v>730</v>
      </c>
      <c r="G464" s="106" t="s">
        <v>280</v>
      </c>
      <c r="H464" s="106" t="s">
        <v>290</v>
      </c>
      <c r="I464" s="106" t="s">
        <v>547</v>
      </c>
      <c r="J464" s="106" t="s">
        <v>2248</v>
      </c>
    </row>
    <row r="465" spans="1:10" x14ac:dyDescent="0.2">
      <c r="A465" s="106" t="s">
        <v>454</v>
      </c>
      <c r="B465" s="106" t="s">
        <v>344</v>
      </c>
      <c r="C465" s="106" t="s">
        <v>287</v>
      </c>
      <c r="D465" s="106" t="s">
        <v>279</v>
      </c>
      <c r="E465">
        <v>2914</v>
      </c>
      <c r="F465" s="106" t="s">
        <v>731</v>
      </c>
      <c r="G465" s="106" t="s">
        <v>280</v>
      </c>
      <c r="H465" s="106" t="s">
        <v>281</v>
      </c>
      <c r="I465" s="106" t="s">
        <v>809</v>
      </c>
      <c r="J465" s="106" t="s">
        <v>2251</v>
      </c>
    </row>
    <row r="466" spans="1:10" x14ac:dyDescent="0.2">
      <c r="A466" s="106" t="s">
        <v>454</v>
      </c>
      <c r="B466" s="106" t="s">
        <v>344</v>
      </c>
      <c r="C466" s="106" t="s">
        <v>289</v>
      </c>
      <c r="D466" s="106" t="s">
        <v>279</v>
      </c>
      <c r="E466">
        <v>4385</v>
      </c>
      <c r="F466" s="106" t="s">
        <v>810</v>
      </c>
      <c r="G466" s="106" t="s">
        <v>292</v>
      </c>
      <c r="H466" s="106" t="s">
        <v>291</v>
      </c>
      <c r="I466" t="s">
        <v>364</v>
      </c>
      <c r="J466" t="s">
        <v>2417</v>
      </c>
    </row>
    <row r="467" spans="1:10" x14ac:dyDescent="0.2">
      <c r="A467" s="106" t="s">
        <v>454</v>
      </c>
      <c r="B467" s="106" t="s">
        <v>277</v>
      </c>
      <c r="C467" s="106" t="s">
        <v>278</v>
      </c>
      <c r="D467" s="106" t="s">
        <v>279</v>
      </c>
      <c r="E467">
        <v>2372</v>
      </c>
      <c r="F467" s="106" t="s">
        <v>455</v>
      </c>
      <c r="G467" s="106" t="s">
        <v>280</v>
      </c>
      <c r="H467" s="106" t="s">
        <v>285</v>
      </c>
      <c r="I467">
        <v>181</v>
      </c>
    </row>
    <row r="468" spans="1:10" x14ac:dyDescent="0.2">
      <c r="A468" s="106" t="s">
        <v>454</v>
      </c>
      <c r="B468" s="106" t="s">
        <v>277</v>
      </c>
      <c r="C468" s="106" t="s">
        <v>278</v>
      </c>
      <c r="D468" s="106" t="s">
        <v>279</v>
      </c>
      <c r="E468">
        <v>2487</v>
      </c>
      <c r="F468" s="106" t="s">
        <v>811</v>
      </c>
      <c r="G468" s="106" t="s">
        <v>280</v>
      </c>
      <c r="H468" s="106" t="s">
        <v>285</v>
      </c>
      <c r="I468" s="106">
        <v>88</v>
      </c>
      <c r="J468" s="106"/>
    </row>
    <row r="469" spans="1:10" x14ac:dyDescent="0.2">
      <c r="A469" s="106" t="s">
        <v>454</v>
      </c>
      <c r="B469" s="106" t="s">
        <v>277</v>
      </c>
      <c r="C469" s="106" t="s">
        <v>289</v>
      </c>
      <c r="D469" s="106" t="s">
        <v>279</v>
      </c>
      <c r="E469">
        <v>3242</v>
      </c>
      <c r="F469" s="106" t="s">
        <v>456</v>
      </c>
      <c r="G469" s="106" t="s">
        <v>284</v>
      </c>
      <c r="H469" s="106" t="s">
        <v>306</v>
      </c>
      <c r="I469" s="106">
        <v>111</v>
      </c>
      <c r="J469" s="106"/>
    </row>
    <row r="470" spans="1:10" x14ac:dyDescent="0.2">
      <c r="A470" s="106" t="s">
        <v>454</v>
      </c>
      <c r="B470" s="106" t="s">
        <v>277</v>
      </c>
      <c r="C470" s="106" t="s">
        <v>278</v>
      </c>
      <c r="D470" s="106" t="s">
        <v>283</v>
      </c>
      <c r="E470">
        <v>3634</v>
      </c>
      <c r="F470" s="106" t="s">
        <v>812</v>
      </c>
      <c r="G470" s="106" t="s">
        <v>292</v>
      </c>
      <c r="H470" s="106" t="s">
        <v>291</v>
      </c>
      <c r="I470" s="106">
        <v>34</v>
      </c>
      <c r="J470" s="106"/>
    </row>
    <row r="471" spans="1:10" x14ac:dyDescent="0.2">
      <c r="A471" s="106" t="s">
        <v>454</v>
      </c>
      <c r="B471" s="106" t="s">
        <v>277</v>
      </c>
      <c r="C471" s="106" t="s">
        <v>278</v>
      </c>
      <c r="D471" s="106" t="s">
        <v>283</v>
      </c>
      <c r="E471">
        <v>3837</v>
      </c>
      <c r="F471" s="106" t="s">
        <v>813</v>
      </c>
      <c r="G471" s="106" t="s">
        <v>280</v>
      </c>
      <c r="H471" s="106" t="s">
        <v>291</v>
      </c>
      <c r="I471" s="106">
        <v>216</v>
      </c>
      <c r="J471" s="106"/>
    </row>
    <row r="472" spans="1:10" x14ac:dyDescent="0.2">
      <c r="A472" s="106" t="s">
        <v>454</v>
      </c>
      <c r="B472" s="106" t="s">
        <v>277</v>
      </c>
      <c r="C472" s="106" t="s">
        <v>278</v>
      </c>
      <c r="D472" s="106" t="s">
        <v>279</v>
      </c>
      <c r="E472">
        <v>4626</v>
      </c>
      <c r="F472" s="106" t="s">
        <v>457</v>
      </c>
      <c r="G472" s="106" t="s">
        <v>280</v>
      </c>
      <c r="H472" s="106" t="s">
        <v>293</v>
      </c>
      <c r="I472" s="106" t="s">
        <v>311</v>
      </c>
      <c r="J472" s="106" t="s">
        <v>2418</v>
      </c>
    </row>
    <row r="473" spans="1:10" x14ac:dyDescent="0.2">
      <c r="A473" s="106" t="s">
        <v>454</v>
      </c>
      <c r="B473" s="106" t="s">
        <v>277</v>
      </c>
      <c r="C473" s="106" t="s">
        <v>278</v>
      </c>
      <c r="D473" s="106" t="s">
        <v>279</v>
      </c>
      <c r="E473">
        <v>6569</v>
      </c>
      <c r="F473" s="106" t="s">
        <v>458</v>
      </c>
      <c r="G473" s="106" t="s">
        <v>280</v>
      </c>
      <c r="H473" s="106" t="s">
        <v>285</v>
      </c>
      <c r="I473">
        <v>355</v>
      </c>
    </row>
    <row r="474" spans="1:10" x14ac:dyDescent="0.2">
      <c r="A474" s="106" t="s">
        <v>454</v>
      </c>
      <c r="B474" s="106" t="s">
        <v>277</v>
      </c>
      <c r="C474" s="106" t="s">
        <v>278</v>
      </c>
      <c r="D474" s="106" t="s">
        <v>279</v>
      </c>
      <c r="E474">
        <v>6715</v>
      </c>
      <c r="F474" s="106" t="s">
        <v>2076</v>
      </c>
      <c r="G474" s="106" t="s">
        <v>280</v>
      </c>
      <c r="H474" s="106" t="s">
        <v>305</v>
      </c>
      <c r="I474">
        <v>82</v>
      </c>
    </row>
    <row r="475" spans="1:10" x14ac:dyDescent="0.2">
      <c r="A475" s="106" t="s">
        <v>454</v>
      </c>
      <c r="B475" s="106" t="s">
        <v>277</v>
      </c>
      <c r="C475" s="106" t="s">
        <v>278</v>
      </c>
      <c r="D475" s="106" t="s">
        <v>279</v>
      </c>
      <c r="E475">
        <v>7703</v>
      </c>
      <c r="F475" s="106" t="s">
        <v>459</v>
      </c>
      <c r="G475" s="106" t="s">
        <v>288</v>
      </c>
      <c r="H475" s="106" t="s">
        <v>391</v>
      </c>
      <c r="I475">
        <v>207</v>
      </c>
    </row>
    <row r="476" spans="1:10" x14ac:dyDescent="0.2">
      <c r="A476" s="106" t="s">
        <v>454</v>
      </c>
      <c r="B476" s="106" t="s">
        <v>277</v>
      </c>
      <c r="C476" s="106" t="s">
        <v>278</v>
      </c>
      <c r="D476" s="106" t="s">
        <v>279</v>
      </c>
      <c r="E476">
        <v>7952</v>
      </c>
      <c r="F476" s="106" t="s">
        <v>460</v>
      </c>
      <c r="G476" s="106" t="s">
        <v>280</v>
      </c>
      <c r="H476" s="106" t="s">
        <v>302</v>
      </c>
      <c r="I476" s="106">
        <v>344</v>
      </c>
      <c r="J476" s="106"/>
    </row>
    <row r="477" spans="1:10" x14ac:dyDescent="0.2">
      <c r="A477" s="106" t="s">
        <v>454</v>
      </c>
      <c r="B477" s="106" t="s">
        <v>277</v>
      </c>
      <c r="C477" s="106" t="s">
        <v>278</v>
      </c>
      <c r="D477" s="106" t="s">
        <v>279</v>
      </c>
      <c r="E477">
        <v>9024</v>
      </c>
      <c r="F477" s="106" t="s">
        <v>2077</v>
      </c>
      <c r="G477" s="106" t="s">
        <v>280</v>
      </c>
      <c r="H477" s="106" t="s">
        <v>412</v>
      </c>
      <c r="I477" t="s">
        <v>339</v>
      </c>
      <c r="J477" t="s">
        <v>1934</v>
      </c>
    </row>
    <row r="478" spans="1:10" x14ac:dyDescent="0.2">
      <c r="A478" s="106" t="s">
        <v>461</v>
      </c>
      <c r="B478" s="106" t="s">
        <v>344</v>
      </c>
      <c r="C478" s="106" t="s">
        <v>278</v>
      </c>
      <c r="D478" s="106" t="s">
        <v>279</v>
      </c>
      <c r="E478">
        <v>8093</v>
      </c>
      <c r="F478" s="106" t="s">
        <v>814</v>
      </c>
      <c r="G478" s="106" t="s">
        <v>280</v>
      </c>
      <c r="H478" s="106" t="s">
        <v>286</v>
      </c>
      <c r="I478" s="106">
        <v>146</v>
      </c>
      <c r="J478" s="106"/>
    </row>
    <row r="479" spans="1:10" x14ac:dyDescent="0.2">
      <c r="A479" s="106" t="s">
        <v>461</v>
      </c>
      <c r="B479" s="106" t="s">
        <v>277</v>
      </c>
      <c r="C479" s="106" t="s">
        <v>278</v>
      </c>
      <c r="D479" s="106" t="s">
        <v>279</v>
      </c>
      <c r="E479">
        <v>1721</v>
      </c>
      <c r="F479" s="106" t="s">
        <v>2078</v>
      </c>
      <c r="G479" s="106" t="s">
        <v>280</v>
      </c>
      <c r="H479" s="106" t="s">
        <v>307</v>
      </c>
      <c r="I479" s="106" t="s">
        <v>330</v>
      </c>
      <c r="J479" s="106" t="s">
        <v>2060</v>
      </c>
    </row>
    <row r="480" spans="1:10" x14ac:dyDescent="0.2">
      <c r="A480" s="106" t="s">
        <v>461</v>
      </c>
      <c r="B480" s="106" t="s">
        <v>277</v>
      </c>
      <c r="C480" s="106" t="s">
        <v>278</v>
      </c>
      <c r="D480" s="106" t="s">
        <v>279</v>
      </c>
      <c r="E480">
        <v>1801</v>
      </c>
      <c r="F480" s="106" t="s">
        <v>462</v>
      </c>
      <c r="G480" s="106" t="s">
        <v>280</v>
      </c>
      <c r="H480" s="106" t="s">
        <v>307</v>
      </c>
      <c r="I480" t="s">
        <v>415</v>
      </c>
      <c r="J480" t="s">
        <v>2419</v>
      </c>
    </row>
    <row r="481" spans="1:10" x14ac:dyDescent="0.2">
      <c r="A481" s="106" t="s">
        <v>461</v>
      </c>
      <c r="B481" s="106" t="s">
        <v>277</v>
      </c>
      <c r="C481" s="106" t="s">
        <v>278</v>
      </c>
      <c r="D481" s="106" t="s">
        <v>279</v>
      </c>
      <c r="E481">
        <v>1813</v>
      </c>
      <c r="F481" s="106" t="s">
        <v>464</v>
      </c>
      <c r="G481" s="106" t="s">
        <v>280</v>
      </c>
      <c r="H481" s="106" t="s">
        <v>307</v>
      </c>
      <c r="I481" s="106">
        <v>280</v>
      </c>
      <c r="J481" s="106"/>
    </row>
    <row r="482" spans="1:10" x14ac:dyDescent="0.2">
      <c r="A482" s="106" t="s">
        <v>461</v>
      </c>
      <c r="B482" s="106" t="s">
        <v>277</v>
      </c>
      <c r="C482" s="106" t="s">
        <v>278</v>
      </c>
      <c r="D482" s="106" t="s">
        <v>279</v>
      </c>
      <c r="E482">
        <v>1835</v>
      </c>
      <c r="F482" s="106" t="s">
        <v>465</v>
      </c>
      <c r="G482" s="106" t="s">
        <v>280</v>
      </c>
      <c r="H482" s="106" t="s">
        <v>307</v>
      </c>
      <c r="I482" s="106" t="s">
        <v>311</v>
      </c>
      <c r="J482" s="106" t="s">
        <v>2258</v>
      </c>
    </row>
    <row r="483" spans="1:10" x14ac:dyDescent="0.2">
      <c r="A483" s="106" t="s">
        <v>461</v>
      </c>
      <c r="B483" s="106" t="s">
        <v>277</v>
      </c>
      <c r="C483" s="106" t="s">
        <v>278</v>
      </c>
      <c r="D483" s="106" t="s">
        <v>283</v>
      </c>
      <c r="E483">
        <v>1853</v>
      </c>
      <c r="F483" s="106" t="s">
        <v>466</v>
      </c>
      <c r="G483" s="106" t="s">
        <v>288</v>
      </c>
      <c r="H483" s="106" t="s">
        <v>307</v>
      </c>
      <c r="I483">
        <v>103</v>
      </c>
    </row>
    <row r="484" spans="1:10" x14ac:dyDescent="0.2">
      <c r="A484" s="106" t="s">
        <v>461</v>
      </c>
      <c r="B484" s="106" t="s">
        <v>277</v>
      </c>
      <c r="C484" s="106" t="s">
        <v>278</v>
      </c>
      <c r="D484" s="106" t="s">
        <v>279</v>
      </c>
      <c r="E484">
        <v>1909</v>
      </c>
      <c r="F484" s="106" t="s">
        <v>467</v>
      </c>
      <c r="G484" s="106" t="s">
        <v>280</v>
      </c>
      <c r="H484" s="106" t="s">
        <v>301</v>
      </c>
      <c r="I484">
        <v>119</v>
      </c>
    </row>
    <row r="485" spans="1:10" x14ac:dyDescent="0.2">
      <c r="A485" s="106" t="s">
        <v>461</v>
      </c>
      <c r="B485" s="106" t="s">
        <v>277</v>
      </c>
      <c r="C485" s="106" t="s">
        <v>278</v>
      </c>
      <c r="D485" s="106" t="s">
        <v>279</v>
      </c>
      <c r="E485">
        <v>1961</v>
      </c>
      <c r="F485" s="106" t="s">
        <v>468</v>
      </c>
      <c r="G485" s="106" t="s">
        <v>280</v>
      </c>
      <c r="H485" s="106" t="s">
        <v>307</v>
      </c>
      <c r="I485" s="106">
        <v>934</v>
      </c>
      <c r="J485" s="106"/>
    </row>
    <row r="486" spans="1:10" x14ac:dyDescent="0.2">
      <c r="A486" s="106" t="s">
        <v>461</v>
      </c>
      <c r="B486" s="106" t="s">
        <v>277</v>
      </c>
      <c r="C486" s="106" t="s">
        <v>278</v>
      </c>
      <c r="D486" s="106" t="s">
        <v>279</v>
      </c>
      <c r="E486">
        <v>1969</v>
      </c>
      <c r="F486" s="106" t="s">
        <v>469</v>
      </c>
      <c r="G486" s="106" t="s">
        <v>280</v>
      </c>
      <c r="H486" s="106" t="s">
        <v>307</v>
      </c>
      <c r="I486" s="106" t="s">
        <v>311</v>
      </c>
      <c r="J486" s="106" t="s">
        <v>2247</v>
      </c>
    </row>
    <row r="487" spans="1:10" x14ac:dyDescent="0.2">
      <c r="A487" s="106" t="s">
        <v>461</v>
      </c>
      <c r="B487" s="106" t="s">
        <v>277</v>
      </c>
      <c r="C487" s="106" t="s">
        <v>278</v>
      </c>
      <c r="D487" s="106" t="s">
        <v>279</v>
      </c>
      <c r="E487">
        <v>2307</v>
      </c>
      <c r="F487" s="106" t="s">
        <v>815</v>
      </c>
      <c r="G487" s="106" t="s">
        <v>280</v>
      </c>
      <c r="H487" s="106" t="s">
        <v>291</v>
      </c>
      <c r="I487" s="106">
        <v>106</v>
      </c>
      <c r="J487" s="106"/>
    </row>
    <row r="488" spans="1:10" x14ac:dyDescent="0.2">
      <c r="A488" s="106" t="s">
        <v>461</v>
      </c>
      <c r="B488" s="106" t="s">
        <v>277</v>
      </c>
      <c r="C488" s="106" t="s">
        <v>278</v>
      </c>
      <c r="D488" s="106" t="s">
        <v>279</v>
      </c>
      <c r="E488">
        <v>2342</v>
      </c>
      <c r="F488" s="106" t="s">
        <v>2080</v>
      </c>
      <c r="G488" s="106" t="s">
        <v>292</v>
      </c>
      <c r="H488" s="106" t="s">
        <v>285</v>
      </c>
      <c r="I488" s="106">
        <v>69</v>
      </c>
      <c r="J488" s="106"/>
    </row>
    <row r="489" spans="1:10" x14ac:dyDescent="0.2">
      <c r="A489" s="106" t="s">
        <v>461</v>
      </c>
      <c r="B489" s="106" t="s">
        <v>277</v>
      </c>
      <c r="C489" s="106" t="s">
        <v>278</v>
      </c>
      <c r="D489" s="106" t="s">
        <v>279</v>
      </c>
      <c r="E489">
        <v>2475</v>
      </c>
      <c r="F489" s="106" t="s">
        <v>816</v>
      </c>
      <c r="G489" s="106" t="s">
        <v>280</v>
      </c>
      <c r="H489" s="106" t="s">
        <v>285</v>
      </c>
      <c r="I489">
        <v>512</v>
      </c>
    </row>
    <row r="490" spans="1:10" x14ac:dyDescent="0.2">
      <c r="A490" s="106" t="s">
        <v>461</v>
      </c>
      <c r="B490" s="106" t="s">
        <v>277</v>
      </c>
      <c r="C490" s="106" t="s">
        <v>278</v>
      </c>
      <c r="D490" s="106" t="s">
        <v>279</v>
      </c>
      <c r="E490">
        <v>2480</v>
      </c>
      <c r="F490" s="106" t="s">
        <v>817</v>
      </c>
      <c r="G490" s="106" t="s">
        <v>284</v>
      </c>
      <c r="H490" s="106" t="s">
        <v>285</v>
      </c>
      <c r="I490" s="106">
        <v>62</v>
      </c>
      <c r="J490" s="106"/>
    </row>
    <row r="491" spans="1:10" x14ac:dyDescent="0.2">
      <c r="A491" s="106" t="s">
        <v>461</v>
      </c>
      <c r="B491" s="106" t="s">
        <v>277</v>
      </c>
      <c r="C491" s="106" t="s">
        <v>278</v>
      </c>
      <c r="D491" s="106" t="s">
        <v>279</v>
      </c>
      <c r="E491">
        <v>2815</v>
      </c>
      <c r="F491" s="106" t="s">
        <v>470</v>
      </c>
      <c r="G491" s="106" t="s">
        <v>280</v>
      </c>
      <c r="H491" s="106" t="s">
        <v>281</v>
      </c>
      <c r="I491" t="s">
        <v>303</v>
      </c>
      <c r="J491" t="s">
        <v>2244</v>
      </c>
    </row>
    <row r="492" spans="1:10" x14ac:dyDescent="0.2">
      <c r="A492" s="106" t="s">
        <v>461</v>
      </c>
      <c r="B492" s="106" t="s">
        <v>277</v>
      </c>
      <c r="C492" s="106" t="s">
        <v>278</v>
      </c>
      <c r="D492" s="106" t="s">
        <v>279</v>
      </c>
      <c r="E492">
        <v>2911</v>
      </c>
      <c r="F492" s="106" t="s">
        <v>818</v>
      </c>
      <c r="G492" s="106" t="s">
        <v>288</v>
      </c>
      <c r="H492" s="106" t="s">
        <v>281</v>
      </c>
      <c r="I492" s="106">
        <v>40</v>
      </c>
      <c r="J492" s="106"/>
    </row>
    <row r="493" spans="1:10" x14ac:dyDescent="0.2">
      <c r="A493" s="106" t="s">
        <v>461</v>
      </c>
      <c r="B493" s="106" t="s">
        <v>277</v>
      </c>
      <c r="C493" s="106" t="s">
        <v>278</v>
      </c>
      <c r="D493" s="106" t="s">
        <v>279</v>
      </c>
      <c r="E493">
        <v>3109</v>
      </c>
      <c r="F493" s="106" t="s">
        <v>471</v>
      </c>
      <c r="G493" s="106" t="s">
        <v>280</v>
      </c>
      <c r="H493" s="106" t="s">
        <v>313</v>
      </c>
      <c r="I493" s="106">
        <v>120</v>
      </c>
      <c r="J493" s="106"/>
    </row>
    <row r="494" spans="1:10" x14ac:dyDescent="0.2">
      <c r="A494" s="106" t="s">
        <v>461</v>
      </c>
      <c r="B494" s="106" t="s">
        <v>277</v>
      </c>
      <c r="C494" s="106" t="s">
        <v>287</v>
      </c>
      <c r="D494" s="106" t="s">
        <v>279</v>
      </c>
      <c r="E494">
        <v>3482</v>
      </c>
      <c r="F494" s="106" t="s">
        <v>819</v>
      </c>
      <c r="G494" s="106" t="s">
        <v>292</v>
      </c>
      <c r="H494" s="106" t="s">
        <v>306</v>
      </c>
      <c r="I494" s="106">
        <v>233</v>
      </c>
      <c r="J494" s="106"/>
    </row>
    <row r="495" spans="1:10" x14ac:dyDescent="0.2">
      <c r="A495" s="106" t="s">
        <v>461</v>
      </c>
      <c r="B495" s="106" t="s">
        <v>277</v>
      </c>
      <c r="C495" s="106" t="s">
        <v>287</v>
      </c>
      <c r="D495" s="106" t="s">
        <v>283</v>
      </c>
      <c r="E495">
        <v>3671</v>
      </c>
      <c r="F495" s="106" t="s">
        <v>2081</v>
      </c>
      <c r="G495" s="106" t="s">
        <v>292</v>
      </c>
      <c r="H495" s="106" t="s">
        <v>291</v>
      </c>
      <c r="I495">
        <v>60</v>
      </c>
    </row>
    <row r="496" spans="1:10" x14ac:dyDescent="0.2">
      <c r="A496" s="106" t="s">
        <v>461</v>
      </c>
      <c r="B496" s="106" t="s">
        <v>277</v>
      </c>
      <c r="C496" s="106" t="s">
        <v>282</v>
      </c>
      <c r="D496" s="106" t="s">
        <v>279</v>
      </c>
      <c r="E496">
        <v>3690</v>
      </c>
      <c r="F496" s="106" t="s">
        <v>820</v>
      </c>
      <c r="G496" s="106" t="s">
        <v>292</v>
      </c>
      <c r="H496" s="106" t="s">
        <v>291</v>
      </c>
      <c r="I496" s="106">
        <v>76</v>
      </c>
      <c r="J496" s="106"/>
    </row>
    <row r="497" spans="1:10" x14ac:dyDescent="0.2">
      <c r="A497" s="106" t="s">
        <v>461</v>
      </c>
      <c r="B497" s="106" t="s">
        <v>277</v>
      </c>
      <c r="C497" s="106" t="s">
        <v>278</v>
      </c>
      <c r="D497" s="106" t="s">
        <v>279</v>
      </c>
      <c r="E497">
        <v>3766</v>
      </c>
      <c r="F497" s="106" t="s">
        <v>472</v>
      </c>
      <c r="G497" s="106" t="s">
        <v>284</v>
      </c>
      <c r="H497" s="106" t="s">
        <v>291</v>
      </c>
      <c r="I497">
        <v>25</v>
      </c>
    </row>
    <row r="498" spans="1:10" x14ac:dyDescent="0.2">
      <c r="A498" s="106" t="s">
        <v>461</v>
      </c>
      <c r="B498" s="106" t="s">
        <v>277</v>
      </c>
      <c r="C498" s="106" t="s">
        <v>278</v>
      </c>
      <c r="D498" s="106" t="s">
        <v>279</v>
      </c>
      <c r="E498">
        <v>3798</v>
      </c>
      <c r="F498" s="106" t="s">
        <v>2082</v>
      </c>
      <c r="G498" s="106" t="s">
        <v>284</v>
      </c>
      <c r="H498" s="106" t="s">
        <v>291</v>
      </c>
      <c r="I498" s="106">
        <v>172</v>
      </c>
      <c r="J498" s="106"/>
    </row>
    <row r="499" spans="1:10" x14ac:dyDescent="0.2">
      <c r="A499" s="106" t="s">
        <v>461</v>
      </c>
      <c r="B499" s="106" t="s">
        <v>277</v>
      </c>
      <c r="C499" s="106" t="s">
        <v>278</v>
      </c>
      <c r="D499" s="106" t="s">
        <v>279</v>
      </c>
      <c r="E499">
        <v>4540</v>
      </c>
      <c r="F499" s="106" t="s">
        <v>473</v>
      </c>
      <c r="G499" s="106" t="s">
        <v>280</v>
      </c>
      <c r="H499" s="106" t="s">
        <v>325</v>
      </c>
      <c r="I499" s="106" t="s">
        <v>303</v>
      </c>
      <c r="J499" s="106" t="s">
        <v>2420</v>
      </c>
    </row>
    <row r="500" spans="1:10" x14ac:dyDescent="0.2">
      <c r="A500" s="106" t="s">
        <v>461</v>
      </c>
      <c r="B500" s="106" t="s">
        <v>277</v>
      </c>
      <c r="C500" s="106" t="s">
        <v>287</v>
      </c>
      <c r="D500" s="106" t="s">
        <v>283</v>
      </c>
      <c r="E500">
        <v>4588</v>
      </c>
      <c r="F500" s="106" t="s">
        <v>474</v>
      </c>
      <c r="G500" s="106" t="s">
        <v>292</v>
      </c>
      <c r="H500" s="106" t="s">
        <v>325</v>
      </c>
      <c r="I500">
        <v>276</v>
      </c>
    </row>
    <row r="501" spans="1:10" x14ac:dyDescent="0.2">
      <c r="A501" s="106" t="s">
        <v>461</v>
      </c>
      <c r="B501" s="106" t="s">
        <v>277</v>
      </c>
      <c r="C501" s="106" t="s">
        <v>278</v>
      </c>
      <c r="D501" s="106" t="s">
        <v>279</v>
      </c>
      <c r="E501">
        <v>4777</v>
      </c>
      <c r="F501" s="106" t="s">
        <v>475</v>
      </c>
      <c r="G501" s="106" t="s">
        <v>284</v>
      </c>
      <c r="H501" s="106" t="s">
        <v>291</v>
      </c>
      <c r="I501">
        <v>53</v>
      </c>
    </row>
    <row r="502" spans="1:10" x14ac:dyDescent="0.2">
      <c r="A502" s="106" t="s">
        <v>461</v>
      </c>
      <c r="B502" s="106" t="s">
        <v>277</v>
      </c>
      <c r="C502" s="106" t="s">
        <v>278</v>
      </c>
      <c r="D502" s="106" t="s">
        <v>283</v>
      </c>
      <c r="E502">
        <v>4970</v>
      </c>
      <c r="F502" s="106" t="s">
        <v>821</v>
      </c>
      <c r="G502" s="106" t="s">
        <v>284</v>
      </c>
      <c r="H502" s="106" t="s">
        <v>293</v>
      </c>
      <c r="I502">
        <v>355</v>
      </c>
    </row>
    <row r="503" spans="1:10" x14ac:dyDescent="0.2">
      <c r="A503" s="106" t="s">
        <v>461</v>
      </c>
      <c r="B503" s="106" t="s">
        <v>277</v>
      </c>
      <c r="C503" s="106" t="s">
        <v>278</v>
      </c>
      <c r="D503" s="106" t="s">
        <v>279</v>
      </c>
      <c r="E503">
        <v>5602</v>
      </c>
      <c r="F503" s="106" t="s">
        <v>822</v>
      </c>
      <c r="G503" s="106" t="s">
        <v>280</v>
      </c>
      <c r="H503" s="106" t="s">
        <v>823</v>
      </c>
      <c r="I503" s="106">
        <v>283</v>
      </c>
      <c r="J503" s="106"/>
    </row>
    <row r="504" spans="1:10" x14ac:dyDescent="0.2">
      <c r="A504" s="106" t="s">
        <v>461</v>
      </c>
      <c r="B504" s="106" t="s">
        <v>277</v>
      </c>
      <c r="C504" s="106" t="s">
        <v>278</v>
      </c>
      <c r="D504" s="106" t="s">
        <v>279</v>
      </c>
      <c r="E504">
        <v>5713</v>
      </c>
      <c r="F504" s="106" t="s">
        <v>476</v>
      </c>
      <c r="G504" s="106" t="s">
        <v>280</v>
      </c>
      <c r="H504" s="106" t="s">
        <v>429</v>
      </c>
      <c r="I504" s="106" t="s">
        <v>415</v>
      </c>
      <c r="J504" s="106" t="s">
        <v>2421</v>
      </c>
    </row>
    <row r="505" spans="1:10" x14ac:dyDescent="0.2">
      <c r="A505" s="106" t="s">
        <v>461</v>
      </c>
      <c r="B505" s="106" t="s">
        <v>277</v>
      </c>
      <c r="C505" s="106" t="s">
        <v>287</v>
      </c>
      <c r="D505" s="106" t="s">
        <v>279</v>
      </c>
      <c r="E505">
        <v>6268</v>
      </c>
      <c r="F505" s="106" t="s">
        <v>2083</v>
      </c>
      <c r="G505" s="106" t="s">
        <v>280</v>
      </c>
      <c r="H505" s="106" t="s">
        <v>301</v>
      </c>
      <c r="I505" t="s">
        <v>330</v>
      </c>
      <c r="J505" t="s">
        <v>2422</v>
      </c>
    </row>
    <row r="506" spans="1:10" x14ac:dyDescent="0.2">
      <c r="A506" s="106" t="s">
        <v>461</v>
      </c>
      <c r="B506" s="106" t="s">
        <v>277</v>
      </c>
      <c r="C506" s="106" t="s">
        <v>278</v>
      </c>
      <c r="D506" s="106" t="s">
        <v>279</v>
      </c>
      <c r="E506">
        <v>6485</v>
      </c>
      <c r="F506" s="106" t="s">
        <v>477</v>
      </c>
      <c r="G506" s="106" t="s">
        <v>280</v>
      </c>
      <c r="H506" s="106" t="s">
        <v>301</v>
      </c>
      <c r="I506">
        <v>264</v>
      </c>
    </row>
    <row r="507" spans="1:10" x14ac:dyDescent="0.2">
      <c r="A507" s="106" t="s">
        <v>461</v>
      </c>
      <c r="B507" s="106" t="s">
        <v>277</v>
      </c>
      <c r="C507" s="106" t="s">
        <v>287</v>
      </c>
      <c r="D507" s="106" t="s">
        <v>279</v>
      </c>
      <c r="E507">
        <v>6929</v>
      </c>
      <c r="F507" s="106" t="s">
        <v>478</v>
      </c>
      <c r="G507" s="106" t="s">
        <v>280</v>
      </c>
      <c r="H507" s="106" t="s">
        <v>305</v>
      </c>
      <c r="I507">
        <v>765</v>
      </c>
    </row>
    <row r="508" spans="1:10" x14ac:dyDescent="0.2">
      <c r="A508" s="106" t="s">
        <v>461</v>
      </c>
      <c r="B508" s="106" t="s">
        <v>277</v>
      </c>
      <c r="C508" s="106" t="s">
        <v>278</v>
      </c>
      <c r="D508" s="106" t="s">
        <v>279</v>
      </c>
      <c r="E508">
        <v>6986</v>
      </c>
      <c r="F508" s="106" t="s">
        <v>2084</v>
      </c>
      <c r="G508" s="106" t="s">
        <v>280</v>
      </c>
      <c r="H508" s="106" t="s">
        <v>305</v>
      </c>
      <c r="I508" s="106">
        <v>595</v>
      </c>
      <c r="J508" s="106"/>
    </row>
    <row r="509" spans="1:10" x14ac:dyDescent="0.2">
      <c r="A509" s="106" t="s">
        <v>461</v>
      </c>
      <c r="B509" s="106" t="s">
        <v>277</v>
      </c>
      <c r="C509" s="106" t="s">
        <v>278</v>
      </c>
      <c r="D509" s="106" t="s">
        <v>279</v>
      </c>
      <c r="E509">
        <v>7480</v>
      </c>
      <c r="F509" s="106" t="s">
        <v>479</v>
      </c>
      <c r="G509" s="106" t="s">
        <v>280</v>
      </c>
      <c r="H509" s="106" t="s">
        <v>286</v>
      </c>
      <c r="I509" s="106">
        <v>221</v>
      </c>
      <c r="J509" s="106"/>
    </row>
    <row r="510" spans="1:10" x14ac:dyDescent="0.2">
      <c r="A510" s="106" t="s">
        <v>461</v>
      </c>
      <c r="B510" s="106" t="s">
        <v>277</v>
      </c>
      <c r="C510" s="106" t="s">
        <v>289</v>
      </c>
      <c r="D510" s="106" t="s">
        <v>279</v>
      </c>
      <c r="E510">
        <v>9028</v>
      </c>
      <c r="F510" s="106" t="s">
        <v>2085</v>
      </c>
      <c r="G510" s="106" t="s">
        <v>288</v>
      </c>
      <c r="H510" s="106" t="s">
        <v>412</v>
      </c>
      <c r="I510" s="106">
        <v>194</v>
      </c>
      <c r="J510" s="106"/>
    </row>
    <row r="511" spans="1:10" x14ac:dyDescent="0.2">
      <c r="A511" s="106" t="s">
        <v>461</v>
      </c>
      <c r="B511" s="106" t="s">
        <v>277</v>
      </c>
      <c r="C511" s="106" t="s">
        <v>278</v>
      </c>
      <c r="D511" s="106" t="s">
        <v>279</v>
      </c>
      <c r="E511">
        <v>9880</v>
      </c>
      <c r="F511" s="106" t="s">
        <v>480</v>
      </c>
      <c r="G511" s="106" t="s">
        <v>280</v>
      </c>
      <c r="H511" s="106" t="s">
        <v>286</v>
      </c>
      <c r="I511" s="106">
        <v>178</v>
      </c>
      <c r="J511" s="106"/>
    </row>
    <row r="512" spans="1:10" x14ac:dyDescent="0.2">
      <c r="A512" s="106" t="s">
        <v>461</v>
      </c>
      <c r="B512" s="106" t="s">
        <v>277</v>
      </c>
      <c r="C512" s="106" t="s">
        <v>278</v>
      </c>
      <c r="D512" s="106" t="s">
        <v>279</v>
      </c>
      <c r="E512">
        <v>9994</v>
      </c>
      <c r="F512" s="106" t="s">
        <v>481</v>
      </c>
      <c r="G512" s="106" t="s">
        <v>280</v>
      </c>
      <c r="H512" s="106" t="s">
        <v>290</v>
      </c>
      <c r="I512">
        <v>245</v>
      </c>
    </row>
    <row r="513" spans="1:10" x14ac:dyDescent="0.2">
      <c r="A513" s="106" t="s">
        <v>2086</v>
      </c>
      <c r="B513" s="106" t="s">
        <v>277</v>
      </c>
      <c r="C513" s="106" t="s">
        <v>289</v>
      </c>
      <c r="D513" s="106" t="s">
        <v>279</v>
      </c>
      <c r="E513">
        <v>6327</v>
      </c>
      <c r="F513" s="106" t="s">
        <v>2087</v>
      </c>
      <c r="G513" s="106" t="s">
        <v>284</v>
      </c>
      <c r="H513" s="106" t="s">
        <v>301</v>
      </c>
      <c r="I513" s="106">
        <v>35</v>
      </c>
      <c r="J513" s="106"/>
    </row>
    <row r="514" spans="1:10" x14ac:dyDescent="0.2">
      <c r="A514" s="106" t="s">
        <v>482</v>
      </c>
      <c r="B514" s="106" t="s">
        <v>2088</v>
      </c>
      <c r="C514" s="106" t="s">
        <v>287</v>
      </c>
      <c r="D514" s="106" t="s">
        <v>279</v>
      </c>
      <c r="E514">
        <v>9830</v>
      </c>
      <c r="F514" s="106" t="s">
        <v>2089</v>
      </c>
      <c r="G514" s="106" t="s">
        <v>280</v>
      </c>
      <c r="H514" s="106" t="s">
        <v>286</v>
      </c>
      <c r="I514" s="106" t="s">
        <v>311</v>
      </c>
      <c r="J514" s="106" t="s">
        <v>2423</v>
      </c>
    </row>
    <row r="515" spans="1:10" x14ac:dyDescent="0.2">
      <c r="A515" s="106" t="s">
        <v>482</v>
      </c>
      <c r="B515" s="106" t="s">
        <v>277</v>
      </c>
      <c r="C515" s="106" t="s">
        <v>278</v>
      </c>
      <c r="D515" s="106" t="s">
        <v>279</v>
      </c>
      <c r="E515">
        <v>1979</v>
      </c>
      <c r="F515" s="106" t="s">
        <v>483</v>
      </c>
      <c r="G515" s="106" t="s">
        <v>280</v>
      </c>
      <c r="H515" s="106" t="s">
        <v>307</v>
      </c>
      <c r="I515" s="106" t="s">
        <v>311</v>
      </c>
      <c r="J515" s="106" t="s">
        <v>2246</v>
      </c>
    </row>
    <row r="516" spans="1:10" x14ac:dyDescent="0.2">
      <c r="A516" s="106" t="s">
        <v>482</v>
      </c>
      <c r="B516" s="106" t="s">
        <v>277</v>
      </c>
      <c r="C516" s="106" t="s">
        <v>278</v>
      </c>
      <c r="D516" s="106" t="s">
        <v>279</v>
      </c>
      <c r="E516">
        <v>2201</v>
      </c>
      <c r="F516" s="106" t="s">
        <v>732</v>
      </c>
      <c r="G516" s="106" t="s">
        <v>280</v>
      </c>
      <c r="H516" s="106" t="s">
        <v>281</v>
      </c>
      <c r="I516" t="s">
        <v>303</v>
      </c>
      <c r="J516" t="s">
        <v>2424</v>
      </c>
    </row>
    <row r="517" spans="1:10" x14ac:dyDescent="0.2">
      <c r="A517" s="106" t="s">
        <v>482</v>
      </c>
      <c r="B517" s="106" t="s">
        <v>277</v>
      </c>
      <c r="C517" s="106" t="s">
        <v>287</v>
      </c>
      <c r="D517" s="106" t="s">
        <v>279</v>
      </c>
      <c r="E517">
        <v>2384</v>
      </c>
      <c r="F517" s="106" t="s">
        <v>733</v>
      </c>
      <c r="G517" s="106" t="s">
        <v>280</v>
      </c>
      <c r="H517" s="106" t="s">
        <v>412</v>
      </c>
      <c r="I517">
        <v>773</v>
      </c>
    </row>
    <row r="518" spans="1:10" x14ac:dyDescent="0.2">
      <c r="A518" s="106" t="s">
        <v>482</v>
      </c>
      <c r="B518" s="106" t="s">
        <v>277</v>
      </c>
      <c r="C518" s="106" t="s">
        <v>278</v>
      </c>
      <c r="D518" s="106" t="s">
        <v>279</v>
      </c>
      <c r="E518">
        <v>2398</v>
      </c>
      <c r="F518" s="106" t="s">
        <v>734</v>
      </c>
      <c r="G518" s="106" t="s">
        <v>280</v>
      </c>
      <c r="H518" s="106" t="s">
        <v>285</v>
      </c>
      <c r="I518">
        <v>414</v>
      </c>
    </row>
    <row r="519" spans="1:10" x14ac:dyDescent="0.2">
      <c r="A519" s="106" t="s">
        <v>482</v>
      </c>
      <c r="B519" s="106" t="s">
        <v>277</v>
      </c>
      <c r="C519" s="106" t="s">
        <v>278</v>
      </c>
      <c r="D519" s="106" t="s">
        <v>279</v>
      </c>
      <c r="E519">
        <v>3183</v>
      </c>
      <c r="F519" s="106" t="s">
        <v>2090</v>
      </c>
      <c r="G519" s="106" t="s">
        <v>280</v>
      </c>
      <c r="H519" s="106" t="s">
        <v>286</v>
      </c>
      <c r="I519" s="106">
        <v>462</v>
      </c>
      <c r="J519" s="106"/>
    </row>
    <row r="520" spans="1:10" x14ac:dyDescent="0.2">
      <c r="A520" s="106" t="s">
        <v>482</v>
      </c>
      <c r="B520" s="106" t="s">
        <v>277</v>
      </c>
      <c r="C520" s="106" t="s">
        <v>278</v>
      </c>
      <c r="D520" s="106" t="s">
        <v>279</v>
      </c>
      <c r="E520">
        <v>6155</v>
      </c>
      <c r="F520" s="106" t="s">
        <v>2091</v>
      </c>
      <c r="G520" s="106" t="s">
        <v>288</v>
      </c>
      <c r="H520" s="106" t="s">
        <v>301</v>
      </c>
      <c r="I520" s="106">
        <v>97</v>
      </c>
      <c r="J520" s="106"/>
    </row>
    <row r="521" spans="1:10" x14ac:dyDescent="0.2">
      <c r="A521" s="106" t="s">
        <v>482</v>
      </c>
      <c r="B521" s="106" t="s">
        <v>277</v>
      </c>
      <c r="C521" s="106" t="s">
        <v>278</v>
      </c>
      <c r="D521" s="106" t="s">
        <v>279</v>
      </c>
      <c r="E521">
        <v>6324</v>
      </c>
      <c r="F521" s="106" t="s">
        <v>824</v>
      </c>
      <c r="G521" s="106" t="s">
        <v>284</v>
      </c>
      <c r="H521" s="106" t="s">
        <v>301</v>
      </c>
      <c r="I521" s="106" t="s">
        <v>330</v>
      </c>
      <c r="J521" s="106" t="s">
        <v>2425</v>
      </c>
    </row>
    <row r="522" spans="1:10" x14ac:dyDescent="0.2">
      <c r="A522" s="106" t="s">
        <v>482</v>
      </c>
      <c r="B522" s="106" t="s">
        <v>277</v>
      </c>
      <c r="C522" s="106" t="s">
        <v>278</v>
      </c>
      <c r="D522" s="106" t="s">
        <v>279</v>
      </c>
      <c r="E522">
        <v>7215</v>
      </c>
      <c r="F522" s="106" t="s">
        <v>2092</v>
      </c>
      <c r="G522" s="106" t="s">
        <v>280</v>
      </c>
      <c r="H522" s="106" t="s">
        <v>310</v>
      </c>
      <c r="I522" s="106">
        <v>115</v>
      </c>
      <c r="J522" s="106"/>
    </row>
    <row r="523" spans="1:10" x14ac:dyDescent="0.2">
      <c r="A523" s="106" t="s">
        <v>482</v>
      </c>
      <c r="B523" s="106" t="s">
        <v>277</v>
      </c>
      <c r="C523" s="106" t="s">
        <v>289</v>
      </c>
      <c r="D523" s="106" t="s">
        <v>279</v>
      </c>
      <c r="E523">
        <v>7320</v>
      </c>
      <c r="F523" s="106" t="s">
        <v>735</v>
      </c>
      <c r="G523" s="106" t="s">
        <v>292</v>
      </c>
      <c r="H523" s="106" t="s">
        <v>316</v>
      </c>
      <c r="I523" s="106">
        <v>67</v>
      </c>
      <c r="J523" s="106"/>
    </row>
    <row r="524" spans="1:10" x14ac:dyDescent="0.2">
      <c r="A524" s="106" t="s">
        <v>482</v>
      </c>
      <c r="B524" s="106" t="s">
        <v>277</v>
      </c>
      <c r="C524" s="106" t="s">
        <v>278</v>
      </c>
      <c r="D524" s="106" t="s">
        <v>279</v>
      </c>
      <c r="E524">
        <v>8108</v>
      </c>
      <c r="F524" s="106" t="s">
        <v>484</v>
      </c>
      <c r="G524" s="106" t="s">
        <v>485</v>
      </c>
      <c r="H524" s="106" t="s">
        <v>286</v>
      </c>
      <c r="I524" s="106">
        <v>265</v>
      </c>
      <c r="J524" s="106"/>
    </row>
    <row r="525" spans="1:10" x14ac:dyDescent="0.2">
      <c r="A525" s="106" t="s">
        <v>482</v>
      </c>
      <c r="B525" s="106" t="s">
        <v>277</v>
      </c>
      <c r="C525" s="106" t="s">
        <v>278</v>
      </c>
      <c r="D525" s="106" t="s">
        <v>279</v>
      </c>
      <c r="E525">
        <v>9479</v>
      </c>
      <c r="F525" s="106" t="s">
        <v>2093</v>
      </c>
      <c r="G525" s="106" t="s">
        <v>280</v>
      </c>
      <c r="H525" s="106" t="s">
        <v>291</v>
      </c>
      <c r="I525">
        <v>73</v>
      </c>
    </row>
    <row r="526" spans="1:10" x14ac:dyDescent="0.2">
      <c r="A526" s="106" t="s">
        <v>486</v>
      </c>
      <c r="B526" s="106" t="s">
        <v>344</v>
      </c>
      <c r="C526" s="106" t="s">
        <v>282</v>
      </c>
      <c r="D526" s="106" t="s">
        <v>279</v>
      </c>
      <c r="E526">
        <v>7069</v>
      </c>
      <c r="F526" s="106" t="s">
        <v>2094</v>
      </c>
      <c r="G526" s="106" t="s">
        <v>292</v>
      </c>
      <c r="H526" s="106" t="s">
        <v>285</v>
      </c>
      <c r="I526" s="106">
        <v>178</v>
      </c>
      <c r="J526" s="106"/>
    </row>
    <row r="527" spans="1:10" x14ac:dyDescent="0.2">
      <c r="A527" s="106" t="s">
        <v>486</v>
      </c>
      <c r="B527" s="106" t="s">
        <v>277</v>
      </c>
      <c r="C527" s="106" t="s">
        <v>278</v>
      </c>
      <c r="D527" s="106" t="s">
        <v>279</v>
      </c>
      <c r="E527">
        <v>1762</v>
      </c>
      <c r="F527" s="106" t="s">
        <v>487</v>
      </c>
      <c r="G527" s="106" t="s">
        <v>280</v>
      </c>
      <c r="H527" s="106" t="s">
        <v>307</v>
      </c>
      <c r="I527" s="106" t="s">
        <v>311</v>
      </c>
      <c r="J527" s="106" t="s">
        <v>1836</v>
      </c>
    </row>
    <row r="528" spans="1:10" x14ac:dyDescent="0.2">
      <c r="A528" s="106" t="s">
        <v>486</v>
      </c>
      <c r="B528" s="106" t="s">
        <v>277</v>
      </c>
      <c r="C528" s="106" t="s">
        <v>278</v>
      </c>
      <c r="D528" s="106" t="s">
        <v>279</v>
      </c>
      <c r="E528">
        <v>1821</v>
      </c>
      <c r="F528" s="106" t="s">
        <v>488</v>
      </c>
      <c r="G528" s="106" t="s">
        <v>280</v>
      </c>
      <c r="H528" s="106" t="s">
        <v>307</v>
      </c>
      <c r="I528" s="106" t="s">
        <v>311</v>
      </c>
      <c r="J528" s="106" t="s">
        <v>2426</v>
      </c>
    </row>
    <row r="529" spans="1:10" x14ac:dyDescent="0.2">
      <c r="A529" s="106" t="s">
        <v>486</v>
      </c>
      <c r="B529" s="106" t="s">
        <v>277</v>
      </c>
      <c r="C529" s="106" t="s">
        <v>282</v>
      </c>
      <c r="D529" s="106" t="s">
        <v>279</v>
      </c>
      <c r="E529">
        <v>2122</v>
      </c>
      <c r="F529" s="106" t="s">
        <v>2095</v>
      </c>
      <c r="G529" s="106" t="s">
        <v>292</v>
      </c>
      <c r="H529" s="106" t="s">
        <v>285</v>
      </c>
      <c r="I529" s="106">
        <v>77</v>
      </c>
      <c r="J529" s="106"/>
    </row>
    <row r="530" spans="1:10" x14ac:dyDescent="0.2">
      <c r="A530" s="106" t="s">
        <v>486</v>
      </c>
      <c r="B530" s="106" t="s">
        <v>277</v>
      </c>
      <c r="C530" s="106" t="s">
        <v>278</v>
      </c>
      <c r="D530" s="106" t="s">
        <v>279</v>
      </c>
      <c r="E530">
        <v>2196</v>
      </c>
      <c r="F530" s="106" t="s">
        <v>736</v>
      </c>
      <c r="G530" s="106" t="s">
        <v>280</v>
      </c>
      <c r="H530" s="106" t="s">
        <v>285</v>
      </c>
      <c r="I530" s="106">
        <v>94</v>
      </c>
      <c r="J530" s="106"/>
    </row>
    <row r="531" spans="1:10" x14ac:dyDescent="0.2">
      <c r="A531" s="106" t="s">
        <v>486</v>
      </c>
      <c r="B531" s="106" t="s">
        <v>277</v>
      </c>
      <c r="C531" s="106" t="s">
        <v>287</v>
      </c>
      <c r="D531" s="106" t="s">
        <v>279</v>
      </c>
      <c r="E531">
        <v>2436</v>
      </c>
      <c r="F531" s="106" t="s">
        <v>737</v>
      </c>
      <c r="G531" s="106" t="s">
        <v>284</v>
      </c>
      <c r="H531" s="106" t="s">
        <v>285</v>
      </c>
      <c r="I531">
        <v>54</v>
      </c>
    </row>
    <row r="532" spans="1:10" x14ac:dyDescent="0.2">
      <c r="A532" s="106" t="s">
        <v>486</v>
      </c>
      <c r="B532" s="106" t="s">
        <v>277</v>
      </c>
      <c r="C532" s="106" t="s">
        <v>278</v>
      </c>
      <c r="D532" s="106" t="s">
        <v>279</v>
      </c>
      <c r="E532">
        <v>2705</v>
      </c>
      <c r="F532" s="106" t="s">
        <v>489</v>
      </c>
      <c r="G532" s="106" t="s">
        <v>284</v>
      </c>
      <c r="H532" s="106" t="s">
        <v>290</v>
      </c>
      <c r="I532">
        <v>169</v>
      </c>
    </row>
    <row r="533" spans="1:10" x14ac:dyDescent="0.2">
      <c r="A533" s="106" t="s">
        <v>486</v>
      </c>
      <c r="B533" s="106" t="s">
        <v>277</v>
      </c>
      <c r="C533" s="106" t="s">
        <v>278</v>
      </c>
      <c r="D533" s="106" t="s">
        <v>279</v>
      </c>
      <c r="E533">
        <v>3010</v>
      </c>
      <c r="F533" s="106" t="s">
        <v>2096</v>
      </c>
      <c r="G533" s="106" t="s">
        <v>288</v>
      </c>
      <c r="H533" s="106" t="s">
        <v>285</v>
      </c>
      <c r="I533">
        <v>79</v>
      </c>
    </row>
    <row r="534" spans="1:10" x14ac:dyDescent="0.2">
      <c r="A534" s="106" t="s">
        <v>486</v>
      </c>
      <c r="B534" s="106" t="s">
        <v>277</v>
      </c>
      <c r="C534" s="106" t="s">
        <v>287</v>
      </c>
      <c r="D534" s="106" t="s">
        <v>279</v>
      </c>
      <c r="E534">
        <v>3784</v>
      </c>
      <c r="F534" s="106" t="s">
        <v>825</v>
      </c>
      <c r="G534" s="106" t="s">
        <v>280</v>
      </c>
      <c r="H534" s="106" t="s">
        <v>291</v>
      </c>
      <c r="I534">
        <v>223</v>
      </c>
    </row>
    <row r="535" spans="1:10" x14ac:dyDescent="0.2">
      <c r="A535" s="106" t="s">
        <v>486</v>
      </c>
      <c r="B535" s="106" t="s">
        <v>277</v>
      </c>
      <c r="C535" s="106" t="s">
        <v>287</v>
      </c>
      <c r="D535" s="106" t="s">
        <v>283</v>
      </c>
      <c r="E535">
        <v>4438</v>
      </c>
      <c r="F535" s="106" t="s">
        <v>2097</v>
      </c>
      <c r="G535" s="106" t="s">
        <v>292</v>
      </c>
      <c r="H535" s="106" t="s">
        <v>291</v>
      </c>
      <c r="I535">
        <v>162</v>
      </c>
    </row>
    <row r="536" spans="1:10" x14ac:dyDescent="0.2">
      <c r="A536" s="106" t="s">
        <v>486</v>
      </c>
      <c r="B536" s="106" t="s">
        <v>277</v>
      </c>
      <c r="C536" s="106" t="s">
        <v>287</v>
      </c>
      <c r="D536" s="106" t="s">
        <v>279</v>
      </c>
      <c r="E536">
        <v>5187</v>
      </c>
      <c r="F536" s="106" t="s">
        <v>2098</v>
      </c>
      <c r="G536" s="106" t="s">
        <v>280</v>
      </c>
      <c r="H536" s="106" t="s">
        <v>391</v>
      </c>
      <c r="I536" s="106">
        <v>107</v>
      </c>
      <c r="J536" s="106"/>
    </row>
    <row r="537" spans="1:10" x14ac:dyDescent="0.2">
      <c r="A537" s="106" t="s">
        <v>486</v>
      </c>
      <c r="B537" s="106" t="s">
        <v>277</v>
      </c>
      <c r="C537" s="106" t="s">
        <v>278</v>
      </c>
      <c r="D537" s="106" t="s">
        <v>279</v>
      </c>
      <c r="E537">
        <v>5714</v>
      </c>
      <c r="F537" s="106" t="s">
        <v>490</v>
      </c>
      <c r="G537" s="106" t="s">
        <v>280</v>
      </c>
      <c r="H537" s="106" t="s">
        <v>429</v>
      </c>
      <c r="I537" s="106" t="s">
        <v>303</v>
      </c>
      <c r="J537" s="106" t="s">
        <v>2244</v>
      </c>
    </row>
    <row r="538" spans="1:10" x14ac:dyDescent="0.2">
      <c r="A538" s="106" t="s">
        <v>486</v>
      </c>
      <c r="B538" s="106" t="s">
        <v>277</v>
      </c>
      <c r="C538" s="106" t="s">
        <v>287</v>
      </c>
      <c r="D538" s="106" t="s">
        <v>279</v>
      </c>
      <c r="E538">
        <v>6627</v>
      </c>
      <c r="F538" s="106" t="s">
        <v>826</v>
      </c>
      <c r="G538" s="106" t="s">
        <v>292</v>
      </c>
      <c r="H538" s="106" t="s">
        <v>305</v>
      </c>
      <c r="I538">
        <v>80</v>
      </c>
    </row>
    <row r="539" spans="1:10" x14ac:dyDescent="0.2">
      <c r="A539" s="106" t="s">
        <v>486</v>
      </c>
      <c r="B539" s="106" t="s">
        <v>277</v>
      </c>
      <c r="C539" s="106" t="s">
        <v>278</v>
      </c>
      <c r="D539" s="106" t="s">
        <v>279</v>
      </c>
      <c r="E539">
        <v>7294</v>
      </c>
      <c r="F539" s="106" t="s">
        <v>491</v>
      </c>
      <c r="G539" s="106" t="s">
        <v>280</v>
      </c>
      <c r="H539" s="106" t="s">
        <v>310</v>
      </c>
      <c r="I539">
        <v>368</v>
      </c>
    </row>
    <row r="540" spans="1:10" x14ac:dyDescent="0.2">
      <c r="A540" s="106" t="s">
        <v>486</v>
      </c>
      <c r="B540" s="106" t="s">
        <v>277</v>
      </c>
      <c r="C540" s="106" t="s">
        <v>278</v>
      </c>
      <c r="D540" s="106" t="s">
        <v>283</v>
      </c>
      <c r="E540">
        <v>7481</v>
      </c>
      <c r="F540" s="106" t="s">
        <v>623</v>
      </c>
      <c r="G540" s="106" t="s">
        <v>280</v>
      </c>
      <c r="H540" s="106" t="s">
        <v>286</v>
      </c>
      <c r="I540">
        <v>137</v>
      </c>
    </row>
    <row r="541" spans="1:10" x14ac:dyDescent="0.2">
      <c r="A541" s="106" t="s">
        <v>486</v>
      </c>
      <c r="B541" s="106" t="s">
        <v>277</v>
      </c>
      <c r="C541" s="106" t="s">
        <v>278</v>
      </c>
      <c r="D541" s="106" t="s">
        <v>279</v>
      </c>
      <c r="E541">
        <v>9964</v>
      </c>
      <c r="F541" s="106" t="s">
        <v>492</v>
      </c>
      <c r="G541" s="106" t="s">
        <v>284</v>
      </c>
      <c r="H541" s="106" t="s">
        <v>286</v>
      </c>
      <c r="I541">
        <v>193</v>
      </c>
    </row>
    <row r="542" spans="1:10" x14ac:dyDescent="0.2">
      <c r="A542" s="106" t="s">
        <v>493</v>
      </c>
      <c r="B542" s="106" t="s">
        <v>344</v>
      </c>
      <c r="C542" s="106" t="s">
        <v>278</v>
      </c>
      <c r="D542" s="106" t="s">
        <v>283</v>
      </c>
      <c r="E542">
        <v>6568</v>
      </c>
      <c r="F542" s="106" t="s">
        <v>2099</v>
      </c>
      <c r="G542" s="106" t="s">
        <v>292</v>
      </c>
      <c r="H542" s="106" t="s">
        <v>285</v>
      </c>
      <c r="I542">
        <v>115</v>
      </c>
    </row>
    <row r="543" spans="1:10" x14ac:dyDescent="0.2">
      <c r="A543" s="106" t="s">
        <v>493</v>
      </c>
      <c r="B543" s="106" t="s">
        <v>304</v>
      </c>
      <c r="C543" s="106" t="s">
        <v>287</v>
      </c>
      <c r="D543" s="106" t="s">
        <v>279</v>
      </c>
      <c r="E543">
        <v>4576</v>
      </c>
      <c r="F543" s="106" t="s">
        <v>2100</v>
      </c>
      <c r="G543" s="106" t="s">
        <v>284</v>
      </c>
      <c r="H543" s="106" t="s">
        <v>325</v>
      </c>
      <c r="I543">
        <v>163</v>
      </c>
    </row>
    <row r="544" spans="1:10" x14ac:dyDescent="0.2">
      <c r="A544" s="106" t="s">
        <v>493</v>
      </c>
      <c r="B544" s="106" t="s">
        <v>277</v>
      </c>
      <c r="C544" s="106" t="s">
        <v>278</v>
      </c>
      <c r="D544" s="106" t="s">
        <v>279</v>
      </c>
      <c r="E544">
        <v>1384</v>
      </c>
      <c r="F544" s="106" t="s">
        <v>494</v>
      </c>
      <c r="G544" s="106" t="s">
        <v>280</v>
      </c>
      <c r="H544" s="106" t="s">
        <v>328</v>
      </c>
      <c r="I544">
        <v>59</v>
      </c>
    </row>
    <row r="545" spans="1:10" x14ac:dyDescent="0.2">
      <c r="A545" s="106" t="s">
        <v>493</v>
      </c>
      <c r="B545" s="106" t="s">
        <v>277</v>
      </c>
      <c r="C545" s="106" t="s">
        <v>287</v>
      </c>
      <c r="D545" s="106" t="s">
        <v>279</v>
      </c>
      <c r="E545">
        <v>2150</v>
      </c>
      <c r="F545" s="106" t="s">
        <v>495</v>
      </c>
      <c r="G545" s="106" t="s">
        <v>292</v>
      </c>
      <c r="H545" s="106" t="s">
        <v>285</v>
      </c>
      <c r="I545">
        <v>88</v>
      </c>
    </row>
    <row r="546" spans="1:10" x14ac:dyDescent="0.2">
      <c r="A546" s="106" t="s">
        <v>493</v>
      </c>
      <c r="B546" s="106" t="s">
        <v>277</v>
      </c>
      <c r="C546" s="106" t="s">
        <v>287</v>
      </c>
      <c r="D546" s="106" t="s">
        <v>279</v>
      </c>
      <c r="E546">
        <v>2170</v>
      </c>
      <c r="F546" s="106" t="s">
        <v>496</v>
      </c>
      <c r="G546" s="106" t="s">
        <v>280</v>
      </c>
      <c r="H546" s="106" t="s">
        <v>285</v>
      </c>
      <c r="I546">
        <v>698</v>
      </c>
    </row>
    <row r="547" spans="1:10" x14ac:dyDescent="0.2">
      <c r="A547" s="106" t="s">
        <v>493</v>
      </c>
      <c r="B547" s="106" t="s">
        <v>277</v>
      </c>
      <c r="C547" s="106" t="s">
        <v>282</v>
      </c>
      <c r="D547" s="106" t="s">
        <v>279</v>
      </c>
      <c r="E547">
        <v>2185</v>
      </c>
      <c r="F547" s="106" t="s">
        <v>738</v>
      </c>
      <c r="G547" s="106" t="s">
        <v>284</v>
      </c>
      <c r="H547" s="106" t="s">
        <v>285</v>
      </c>
      <c r="I547">
        <v>172</v>
      </c>
    </row>
    <row r="548" spans="1:10" x14ac:dyDescent="0.2">
      <c r="A548" s="106" t="s">
        <v>493</v>
      </c>
      <c r="B548" s="106" t="s">
        <v>277</v>
      </c>
      <c r="C548" s="106" t="s">
        <v>278</v>
      </c>
      <c r="D548" s="106" t="s">
        <v>279</v>
      </c>
      <c r="E548">
        <v>2323</v>
      </c>
      <c r="F548" s="106" t="s">
        <v>739</v>
      </c>
      <c r="G548" s="106" t="s">
        <v>284</v>
      </c>
      <c r="H548" s="106" t="s">
        <v>291</v>
      </c>
      <c r="I548">
        <v>14</v>
      </c>
    </row>
    <row r="549" spans="1:10" x14ac:dyDescent="0.2">
      <c r="A549" s="106" t="s">
        <v>493</v>
      </c>
      <c r="B549" s="106" t="s">
        <v>277</v>
      </c>
      <c r="C549" s="106" t="s">
        <v>278</v>
      </c>
      <c r="D549" s="106" t="s">
        <v>279</v>
      </c>
      <c r="E549">
        <v>2654</v>
      </c>
      <c r="F549" s="106" t="s">
        <v>497</v>
      </c>
      <c r="G549" s="106" t="s">
        <v>288</v>
      </c>
      <c r="H549" s="106" t="s">
        <v>290</v>
      </c>
      <c r="I549">
        <v>97</v>
      </c>
    </row>
    <row r="550" spans="1:10" x14ac:dyDescent="0.2">
      <c r="A550" s="106" t="s">
        <v>493</v>
      </c>
      <c r="B550" s="106" t="s">
        <v>277</v>
      </c>
      <c r="C550" s="106" t="s">
        <v>287</v>
      </c>
      <c r="D550" s="106" t="s">
        <v>279</v>
      </c>
      <c r="E550">
        <v>2743</v>
      </c>
      <c r="F550" s="106" t="s">
        <v>2101</v>
      </c>
      <c r="G550" s="106" t="s">
        <v>284</v>
      </c>
      <c r="H550" s="106" t="s">
        <v>286</v>
      </c>
      <c r="I550">
        <v>43</v>
      </c>
    </row>
    <row r="551" spans="1:10" x14ac:dyDescent="0.2">
      <c r="A551" s="106" t="s">
        <v>493</v>
      </c>
      <c r="B551" s="106" t="s">
        <v>277</v>
      </c>
      <c r="C551" s="106" t="s">
        <v>278</v>
      </c>
      <c r="D551" s="106" t="s">
        <v>279</v>
      </c>
      <c r="E551">
        <v>3182</v>
      </c>
      <c r="F551" s="106" t="s">
        <v>498</v>
      </c>
      <c r="G551" s="106" t="s">
        <v>292</v>
      </c>
      <c r="H551" s="106" t="s">
        <v>290</v>
      </c>
      <c r="I551">
        <v>423</v>
      </c>
    </row>
    <row r="552" spans="1:10" x14ac:dyDescent="0.2">
      <c r="A552" s="106" t="s">
        <v>493</v>
      </c>
      <c r="B552" s="106" t="s">
        <v>277</v>
      </c>
      <c r="C552" s="106" t="s">
        <v>287</v>
      </c>
      <c r="D552" s="106" t="s">
        <v>279</v>
      </c>
      <c r="E552">
        <v>3355</v>
      </c>
      <c r="F552" s="106" t="s">
        <v>2102</v>
      </c>
      <c r="G552" s="106" t="s">
        <v>288</v>
      </c>
      <c r="H552" s="106" t="s">
        <v>286</v>
      </c>
      <c r="I552">
        <v>180</v>
      </c>
    </row>
    <row r="553" spans="1:10" x14ac:dyDescent="0.2">
      <c r="A553" s="106" t="s">
        <v>493</v>
      </c>
      <c r="B553" s="106" t="s">
        <v>277</v>
      </c>
      <c r="C553" s="106" t="s">
        <v>278</v>
      </c>
      <c r="D553" s="106" t="s">
        <v>279</v>
      </c>
      <c r="E553">
        <v>3397</v>
      </c>
      <c r="F553" s="106" t="s">
        <v>2257</v>
      </c>
      <c r="G553" s="106" t="s">
        <v>280</v>
      </c>
      <c r="H553" s="106" t="s">
        <v>290</v>
      </c>
      <c r="I553" t="s">
        <v>311</v>
      </c>
      <c r="J553" t="s">
        <v>2427</v>
      </c>
    </row>
    <row r="554" spans="1:10" x14ac:dyDescent="0.2">
      <c r="A554" s="106" t="s">
        <v>493</v>
      </c>
      <c r="B554" s="106" t="s">
        <v>277</v>
      </c>
      <c r="C554" s="106" t="s">
        <v>289</v>
      </c>
      <c r="D554" s="106" t="s">
        <v>283</v>
      </c>
      <c r="E554">
        <v>3446</v>
      </c>
      <c r="F554" s="106" t="s">
        <v>2103</v>
      </c>
      <c r="G554" s="106" t="s">
        <v>292</v>
      </c>
      <c r="H554" s="106" t="s">
        <v>295</v>
      </c>
      <c r="I554">
        <v>192</v>
      </c>
    </row>
    <row r="555" spans="1:10" x14ac:dyDescent="0.2">
      <c r="A555" s="106" t="s">
        <v>493</v>
      </c>
      <c r="B555" s="106" t="s">
        <v>277</v>
      </c>
      <c r="C555" s="106" t="s">
        <v>278</v>
      </c>
      <c r="D555" s="106" t="s">
        <v>283</v>
      </c>
      <c r="E555">
        <v>3477</v>
      </c>
      <c r="F555" s="106" t="s">
        <v>827</v>
      </c>
      <c r="G555" s="106" t="s">
        <v>292</v>
      </c>
      <c r="H555" s="106" t="s">
        <v>306</v>
      </c>
      <c r="I555">
        <v>21</v>
      </c>
    </row>
    <row r="556" spans="1:10" x14ac:dyDescent="0.2">
      <c r="A556" s="106" t="s">
        <v>493</v>
      </c>
      <c r="B556" s="106" t="s">
        <v>277</v>
      </c>
      <c r="C556" s="106" t="s">
        <v>287</v>
      </c>
      <c r="D556" s="106" t="s">
        <v>279</v>
      </c>
      <c r="E556">
        <v>3649</v>
      </c>
      <c r="F556" s="106" t="s">
        <v>828</v>
      </c>
      <c r="G556" s="106" t="s">
        <v>280</v>
      </c>
      <c r="H556" s="106" t="s">
        <v>291</v>
      </c>
      <c r="I556" s="106">
        <v>382</v>
      </c>
      <c r="J556" s="106"/>
    </row>
    <row r="557" spans="1:10" x14ac:dyDescent="0.2">
      <c r="A557" s="106" t="s">
        <v>493</v>
      </c>
      <c r="B557" s="106" t="s">
        <v>277</v>
      </c>
      <c r="C557" s="106" t="s">
        <v>287</v>
      </c>
      <c r="D557" s="106" t="s">
        <v>279</v>
      </c>
      <c r="E557">
        <v>3664</v>
      </c>
      <c r="F557" s="106" t="s">
        <v>829</v>
      </c>
      <c r="G557" s="106" t="s">
        <v>292</v>
      </c>
      <c r="H557" s="106" t="s">
        <v>291</v>
      </c>
      <c r="I557" s="106">
        <v>66</v>
      </c>
      <c r="J557" s="106"/>
    </row>
    <row r="558" spans="1:10" x14ac:dyDescent="0.2">
      <c r="A558" s="106" t="s">
        <v>493</v>
      </c>
      <c r="B558" s="106" t="s">
        <v>277</v>
      </c>
      <c r="C558" s="106" t="s">
        <v>278</v>
      </c>
      <c r="D558" s="106" t="s">
        <v>279</v>
      </c>
      <c r="E558">
        <v>3934</v>
      </c>
      <c r="F558" s="106" t="s">
        <v>499</v>
      </c>
      <c r="G558" s="106" t="s">
        <v>280</v>
      </c>
      <c r="H558" s="106" t="s">
        <v>291</v>
      </c>
      <c r="I558" s="106">
        <v>120</v>
      </c>
      <c r="J558" s="106"/>
    </row>
    <row r="559" spans="1:10" x14ac:dyDescent="0.2">
      <c r="A559" s="106" t="s">
        <v>493</v>
      </c>
      <c r="B559" s="106" t="s">
        <v>277</v>
      </c>
      <c r="C559" s="106" t="s">
        <v>289</v>
      </c>
      <c r="D559" s="106" t="s">
        <v>279</v>
      </c>
      <c r="E559">
        <v>3960</v>
      </c>
      <c r="F559" s="106" t="s">
        <v>500</v>
      </c>
      <c r="G559" s="106" t="s">
        <v>292</v>
      </c>
      <c r="H559" s="106" t="s">
        <v>291</v>
      </c>
      <c r="I559">
        <v>26</v>
      </c>
    </row>
    <row r="560" spans="1:10" x14ac:dyDescent="0.2">
      <c r="A560" s="106" t="s">
        <v>493</v>
      </c>
      <c r="B560" s="106" t="s">
        <v>277</v>
      </c>
      <c r="C560" s="106" t="s">
        <v>287</v>
      </c>
      <c r="D560" s="106" t="s">
        <v>279</v>
      </c>
      <c r="E560">
        <v>4755</v>
      </c>
      <c r="F560" s="106" t="s">
        <v>501</v>
      </c>
      <c r="G560" s="106" t="s">
        <v>280</v>
      </c>
      <c r="H560" s="106" t="s">
        <v>285</v>
      </c>
      <c r="I560" t="s">
        <v>502</v>
      </c>
      <c r="J560" t="s">
        <v>2372</v>
      </c>
    </row>
    <row r="561" spans="1:10" x14ac:dyDescent="0.2">
      <c r="A561" s="106" t="s">
        <v>493</v>
      </c>
      <c r="B561" s="106" t="s">
        <v>277</v>
      </c>
      <c r="C561" s="106" t="s">
        <v>278</v>
      </c>
      <c r="D561" s="106" t="s">
        <v>279</v>
      </c>
      <c r="E561">
        <v>5304</v>
      </c>
      <c r="F561" s="106" t="s">
        <v>503</v>
      </c>
      <c r="G561" s="106" t="s">
        <v>288</v>
      </c>
      <c r="H561" s="106" t="s">
        <v>322</v>
      </c>
      <c r="I561">
        <v>396</v>
      </c>
    </row>
    <row r="562" spans="1:10" x14ac:dyDescent="0.2">
      <c r="A562" s="106" t="s">
        <v>493</v>
      </c>
      <c r="B562" s="106" t="s">
        <v>277</v>
      </c>
      <c r="C562" s="106" t="s">
        <v>278</v>
      </c>
      <c r="D562" s="106" t="s">
        <v>279</v>
      </c>
      <c r="E562">
        <v>6033</v>
      </c>
      <c r="F562" s="106" t="s">
        <v>504</v>
      </c>
      <c r="G562" s="106" t="s">
        <v>292</v>
      </c>
      <c r="H562" s="106" t="s">
        <v>285</v>
      </c>
      <c r="I562">
        <v>107</v>
      </c>
    </row>
    <row r="563" spans="1:10" x14ac:dyDescent="0.2">
      <c r="A563" s="106" t="s">
        <v>493</v>
      </c>
      <c r="B563" s="106" t="s">
        <v>277</v>
      </c>
      <c r="C563" s="106" t="s">
        <v>278</v>
      </c>
      <c r="D563" s="106" t="s">
        <v>279</v>
      </c>
      <c r="E563">
        <v>6125</v>
      </c>
      <c r="F563" s="106" t="s">
        <v>740</v>
      </c>
      <c r="G563" s="106" t="s">
        <v>288</v>
      </c>
      <c r="H563" s="106" t="s">
        <v>301</v>
      </c>
      <c r="I563">
        <v>149</v>
      </c>
    </row>
    <row r="564" spans="1:10" x14ac:dyDescent="0.2">
      <c r="A564" s="106" t="s">
        <v>493</v>
      </c>
      <c r="B564" s="106" t="s">
        <v>277</v>
      </c>
      <c r="C564" s="106" t="s">
        <v>278</v>
      </c>
      <c r="D564" s="106" t="s">
        <v>279</v>
      </c>
      <c r="E564">
        <v>6303</v>
      </c>
      <c r="F564" s="106" t="s">
        <v>830</v>
      </c>
      <c r="G564" s="106" t="s">
        <v>288</v>
      </c>
      <c r="H564" s="106" t="s">
        <v>301</v>
      </c>
      <c r="I564">
        <v>75</v>
      </c>
    </row>
    <row r="565" spans="1:10" x14ac:dyDescent="0.2">
      <c r="A565" s="106" t="s">
        <v>493</v>
      </c>
      <c r="B565" s="106" t="s">
        <v>277</v>
      </c>
      <c r="C565" s="106" t="s">
        <v>278</v>
      </c>
      <c r="D565" s="106" t="s">
        <v>279</v>
      </c>
      <c r="E565">
        <v>6574</v>
      </c>
      <c r="F565" s="106" t="s">
        <v>673</v>
      </c>
      <c r="G565" s="106" t="s">
        <v>292</v>
      </c>
      <c r="H565" s="106" t="s">
        <v>285</v>
      </c>
      <c r="I565">
        <v>30</v>
      </c>
    </row>
    <row r="566" spans="1:10" x14ac:dyDescent="0.2">
      <c r="A566" s="106" t="s">
        <v>493</v>
      </c>
      <c r="B566" s="106" t="s">
        <v>277</v>
      </c>
      <c r="C566" s="106" t="s">
        <v>278</v>
      </c>
      <c r="D566" s="106" t="s">
        <v>279</v>
      </c>
      <c r="E566">
        <v>7070</v>
      </c>
      <c r="F566" s="106" t="s">
        <v>505</v>
      </c>
      <c r="G566" s="106" t="s">
        <v>284</v>
      </c>
      <c r="H566" s="106" t="s">
        <v>285</v>
      </c>
      <c r="I566">
        <v>52</v>
      </c>
    </row>
    <row r="567" spans="1:10" x14ac:dyDescent="0.2">
      <c r="A567" s="106" t="s">
        <v>493</v>
      </c>
      <c r="B567" s="106" t="s">
        <v>277</v>
      </c>
      <c r="C567" s="106" t="s">
        <v>287</v>
      </c>
      <c r="D567" s="106" t="s">
        <v>279</v>
      </c>
      <c r="E567">
        <v>7244</v>
      </c>
      <c r="F567" s="106" t="s">
        <v>2104</v>
      </c>
      <c r="G567" s="106" t="s">
        <v>280</v>
      </c>
      <c r="H567" s="106" t="s">
        <v>305</v>
      </c>
      <c r="I567">
        <v>797</v>
      </c>
    </row>
    <row r="568" spans="1:10" x14ac:dyDescent="0.2">
      <c r="A568" s="106" t="s">
        <v>493</v>
      </c>
      <c r="B568" s="106" t="s">
        <v>277</v>
      </c>
      <c r="C568" s="106" t="s">
        <v>287</v>
      </c>
      <c r="D568" s="106" t="s">
        <v>279</v>
      </c>
      <c r="E568">
        <v>7613</v>
      </c>
      <c r="F568" s="106" t="s">
        <v>2105</v>
      </c>
      <c r="G568" s="106" t="s">
        <v>280</v>
      </c>
      <c r="H568" s="106" t="s">
        <v>286</v>
      </c>
      <c r="I568">
        <v>813</v>
      </c>
    </row>
    <row r="569" spans="1:10" x14ac:dyDescent="0.2">
      <c r="A569" s="106" t="s">
        <v>493</v>
      </c>
      <c r="B569" s="106" t="s">
        <v>277</v>
      </c>
      <c r="C569" s="106" t="s">
        <v>278</v>
      </c>
      <c r="D569" s="106" t="s">
        <v>279</v>
      </c>
      <c r="E569">
        <v>7677</v>
      </c>
      <c r="F569" s="106" t="s">
        <v>686</v>
      </c>
      <c r="G569" s="106" t="s">
        <v>288</v>
      </c>
      <c r="H569" s="106" t="s">
        <v>286</v>
      </c>
      <c r="I569" s="106">
        <v>54</v>
      </c>
      <c r="J569" s="106"/>
    </row>
    <row r="570" spans="1:10" x14ac:dyDescent="0.2">
      <c r="A570" s="106" t="s">
        <v>493</v>
      </c>
      <c r="B570" s="106" t="s">
        <v>277</v>
      </c>
      <c r="C570" s="106" t="s">
        <v>278</v>
      </c>
      <c r="D570" s="106" t="s">
        <v>279</v>
      </c>
      <c r="E570">
        <v>7726</v>
      </c>
      <c r="F570" s="106" t="s">
        <v>2106</v>
      </c>
      <c r="G570" s="106" t="s">
        <v>288</v>
      </c>
      <c r="H570" s="106" t="s">
        <v>301</v>
      </c>
      <c r="I570" s="106">
        <v>62</v>
      </c>
      <c r="J570" s="106"/>
    </row>
    <row r="571" spans="1:10" x14ac:dyDescent="0.2">
      <c r="A571" s="106" t="s">
        <v>493</v>
      </c>
      <c r="B571" s="106" t="s">
        <v>277</v>
      </c>
      <c r="C571" s="106" t="s">
        <v>278</v>
      </c>
      <c r="D571" s="106" t="s">
        <v>279</v>
      </c>
      <c r="E571">
        <v>7780</v>
      </c>
      <c r="F571" s="106" t="s">
        <v>506</v>
      </c>
      <c r="G571" s="106" t="s">
        <v>280</v>
      </c>
      <c r="H571" s="106" t="s">
        <v>391</v>
      </c>
      <c r="I571" t="s">
        <v>311</v>
      </c>
      <c r="J571" t="s">
        <v>2397</v>
      </c>
    </row>
    <row r="572" spans="1:10" x14ac:dyDescent="0.2">
      <c r="A572" s="106" t="s">
        <v>493</v>
      </c>
      <c r="B572" s="106" t="s">
        <v>277</v>
      </c>
      <c r="C572" s="106" t="s">
        <v>287</v>
      </c>
      <c r="D572" s="106" t="s">
        <v>279</v>
      </c>
      <c r="E572">
        <v>8113</v>
      </c>
      <c r="F572" s="106" t="s">
        <v>2107</v>
      </c>
      <c r="G572" s="106" t="s">
        <v>280</v>
      </c>
      <c r="H572" s="106" t="s">
        <v>293</v>
      </c>
      <c r="I572" s="106" t="s">
        <v>2108</v>
      </c>
      <c r="J572" s="106" t="s">
        <v>2428</v>
      </c>
    </row>
    <row r="573" spans="1:10" x14ac:dyDescent="0.2">
      <c r="A573" s="106" t="s">
        <v>493</v>
      </c>
      <c r="B573" s="106" t="s">
        <v>277</v>
      </c>
      <c r="C573" s="106" t="s">
        <v>278</v>
      </c>
      <c r="D573" s="106" t="s">
        <v>279</v>
      </c>
      <c r="E573">
        <v>9707</v>
      </c>
      <c r="F573" s="106" t="s">
        <v>507</v>
      </c>
      <c r="G573" s="106" t="s">
        <v>284</v>
      </c>
      <c r="H573" s="106" t="s">
        <v>285</v>
      </c>
      <c r="I573">
        <v>129</v>
      </c>
    </row>
    <row r="574" spans="1:10" x14ac:dyDescent="0.2">
      <c r="A574" s="106" t="s">
        <v>508</v>
      </c>
      <c r="B574" s="106" t="s">
        <v>277</v>
      </c>
      <c r="C574" s="106" t="s">
        <v>278</v>
      </c>
      <c r="D574" s="106" t="s">
        <v>279</v>
      </c>
      <c r="E574">
        <v>2181</v>
      </c>
      <c r="F574" s="106" t="s">
        <v>741</v>
      </c>
      <c r="G574" s="106" t="s">
        <v>280</v>
      </c>
      <c r="H574" s="106" t="s">
        <v>285</v>
      </c>
      <c r="I574" s="106" t="s">
        <v>330</v>
      </c>
      <c r="J574" s="106" t="s">
        <v>2237</v>
      </c>
    </row>
    <row r="575" spans="1:10" x14ac:dyDescent="0.2">
      <c r="A575" s="106" t="s">
        <v>508</v>
      </c>
      <c r="B575" s="106" t="s">
        <v>277</v>
      </c>
      <c r="C575" s="106" t="s">
        <v>278</v>
      </c>
      <c r="D575" s="106" t="s">
        <v>283</v>
      </c>
      <c r="E575">
        <v>2334</v>
      </c>
      <c r="F575" s="106" t="s">
        <v>742</v>
      </c>
      <c r="G575" s="106" t="s">
        <v>292</v>
      </c>
      <c r="H575" s="106" t="s">
        <v>285</v>
      </c>
      <c r="I575">
        <v>55</v>
      </c>
    </row>
    <row r="576" spans="1:10" x14ac:dyDescent="0.2">
      <c r="A576" s="106" t="s">
        <v>508</v>
      </c>
      <c r="B576" s="106" t="s">
        <v>277</v>
      </c>
      <c r="C576" s="106" t="s">
        <v>287</v>
      </c>
      <c r="D576" s="106" t="s">
        <v>279</v>
      </c>
      <c r="E576">
        <v>2492</v>
      </c>
      <c r="F576" s="106" t="s">
        <v>831</v>
      </c>
      <c r="G576" s="106" t="s">
        <v>280</v>
      </c>
      <c r="H576" s="106" t="s">
        <v>285</v>
      </c>
      <c r="I576" t="s">
        <v>303</v>
      </c>
      <c r="J576" t="s">
        <v>2429</v>
      </c>
    </row>
    <row r="577" spans="1:10" x14ac:dyDescent="0.2">
      <c r="A577" s="106" t="s">
        <v>508</v>
      </c>
      <c r="B577" s="106" t="s">
        <v>277</v>
      </c>
      <c r="C577" s="106" t="s">
        <v>282</v>
      </c>
      <c r="D577" s="106" t="s">
        <v>279</v>
      </c>
      <c r="E577">
        <v>2498</v>
      </c>
      <c r="F577" s="106" t="s">
        <v>2109</v>
      </c>
      <c r="G577" s="106" t="s">
        <v>284</v>
      </c>
      <c r="H577" s="106" t="s">
        <v>285</v>
      </c>
      <c r="I577">
        <v>175</v>
      </c>
    </row>
    <row r="578" spans="1:10" x14ac:dyDescent="0.2">
      <c r="A578" s="106" t="s">
        <v>508</v>
      </c>
      <c r="B578" s="106" t="s">
        <v>277</v>
      </c>
      <c r="C578" s="106" t="s">
        <v>289</v>
      </c>
      <c r="D578" s="106" t="s">
        <v>279</v>
      </c>
      <c r="E578">
        <v>3135</v>
      </c>
      <c r="F578" s="106" t="s">
        <v>509</v>
      </c>
      <c r="G578" s="106" t="s">
        <v>292</v>
      </c>
      <c r="H578" s="106" t="s">
        <v>290</v>
      </c>
      <c r="I578">
        <v>153</v>
      </c>
    </row>
    <row r="579" spans="1:10" x14ac:dyDescent="0.2">
      <c r="A579" s="106" t="s">
        <v>508</v>
      </c>
      <c r="B579" s="106" t="s">
        <v>277</v>
      </c>
      <c r="C579" s="106" t="s">
        <v>278</v>
      </c>
      <c r="D579" s="106" t="s">
        <v>279</v>
      </c>
      <c r="E579">
        <v>3184</v>
      </c>
      <c r="F579" s="106" t="s">
        <v>832</v>
      </c>
      <c r="G579" s="106" t="s">
        <v>288</v>
      </c>
      <c r="H579" s="106" t="s">
        <v>290</v>
      </c>
      <c r="I579">
        <v>37</v>
      </c>
    </row>
    <row r="580" spans="1:10" x14ac:dyDescent="0.2">
      <c r="A580" s="106" t="s">
        <v>508</v>
      </c>
      <c r="B580" s="106" t="s">
        <v>277</v>
      </c>
      <c r="C580" s="106" t="s">
        <v>278</v>
      </c>
      <c r="D580" s="106" t="s">
        <v>283</v>
      </c>
      <c r="E580">
        <v>3489</v>
      </c>
      <c r="F580" s="106" t="s">
        <v>833</v>
      </c>
      <c r="G580" s="106" t="s">
        <v>292</v>
      </c>
      <c r="H580" s="106" t="s">
        <v>306</v>
      </c>
      <c r="I580">
        <v>63</v>
      </c>
    </row>
    <row r="581" spans="1:10" x14ac:dyDescent="0.2">
      <c r="A581" s="106" t="s">
        <v>508</v>
      </c>
      <c r="B581" s="106" t="s">
        <v>277</v>
      </c>
      <c r="C581" s="106" t="s">
        <v>278</v>
      </c>
      <c r="D581" s="106" t="s">
        <v>279</v>
      </c>
      <c r="E581">
        <v>4234</v>
      </c>
      <c r="F581" s="106" t="s">
        <v>2110</v>
      </c>
      <c r="G581" s="106" t="s">
        <v>284</v>
      </c>
      <c r="H581" s="106" t="s">
        <v>293</v>
      </c>
      <c r="I581">
        <v>60</v>
      </c>
    </row>
    <row r="582" spans="1:10" x14ac:dyDescent="0.2">
      <c r="A582" s="106" t="s">
        <v>508</v>
      </c>
      <c r="B582" s="106" t="s">
        <v>277</v>
      </c>
      <c r="C582" s="106" t="s">
        <v>287</v>
      </c>
      <c r="D582" s="106" t="s">
        <v>279</v>
      </c>
      <c r="E582">
        <v>4392</v>
      </c>
      <c r="F582" s="106" t="s">
        <v>2111</v>
      </c>
      <c r="G582" s="106" t="s">
        <v>280</v>
      </c>
      <c r="H582" s="106" t="s">
        <v>291</v>
      </c>
      <c r="I582">
        <v>97</v>
      </c>
    </row>
    <row r="583" spans="1:10" x14ac:dyDescent="0.2">
      <c r="A583" s="106" t="s">
        <v>508</v>
      </c>
      <c r="B583" s="106" t="s">
        <v>277</v>
      </c>
      <c r="C583" s="106" t="s">
        <v>287</v>
      </c>
      <c r="D583" s="106" t="s">
        <v>283</v>
      </c>
      <c r="E583">
        <v>4450</v>
      </c>
      <c r="F583" s="106" t="s">
        <v>662</v>
      </c>
      <c r="G583" s="106" t="s">
        <v>292</v>
      </c>
      <c r="H583" s="106" t="s">
        <v>291</v>
      </c>
      <c r="I583">
        <v>53</v>
      </c>
    </row>
    <row r="584" spans="1:10" x14ac:dyDescent="0.2">
      <c r="A584" s="106" t="s">
        <v>508</v>
      </c>
      <c r="B584" s="106" t="s">
        <v>277</v>
      </c>
      <c r="C584" s="106" t="s">
        <v>287</v>
      </c>
      <c r="D584" s="106" t="s">
        <v>279</v>
      </c>
      <c r="E584">
        <v>4481</v>
      </c>
      <c r="F584" s="106" t="s">
        <v>2112</v>
      </c>
      <c r="G584" s="106" t="s">
        <v>288</v>
      </c>
      <c r="H584" s="106" t="s">
        <v>291</v>
      </c>
      <c r="I584">
        <v>207</v>
      </c>
    </row>
    <row r="585" spans="1:10" x14ac:dyDescent="0.2">
      <c r="A585" s="106" t="s">
        <v>508</v>
      </c>
      <c r="B585" s="106" t="s">
        <v>277</v>
      </c>
      <c r="C585" s="106" t="s">
        <v>278</v>
      </c>
      <c r="D585" s="106" t="s">
        <v>279</v>
      </c>
      <c r="E585">
        <v>4620</v>
      </c>
      <c r="F585" s="106" t="s">
        <v>510</v>
      </c>
      <c r="G585" s="106" t="s">
        <v>280</v>
      </c>
      <c r="H585" s="106" t="s">
        <v>293</v>
      </c>
      <c r="I585">
        <v>192</v>
      </c>
    </row>
    <row r="586" spans="1:10" x14ac:dyDescent="0.2">
      <c r="A586" s="106" t="s">
        <v>508</v>
      </c>
      <c r="B586" s="106" t="s">
        <v>277</v>
      </c>
      <c r="C586" s="106" t="s">
        <v>287</v>
      </c>
      <c r="D586" s="106" t="s">
        <v>279</v>
      </c>
      <c r="E586">
        <v>5959</v>
      </c>
      <c r="F586" s="106" t="s">
        <v>2113</v>
      </c>
      <c r="G586" s="106" t="s">
        <v>280</v>
      </c>
      <c r="H586" s="106" t="s">
        <v>295</v>
      </c>
      <c r="I586" s="106">
        <v>521</v>
      </c>
      <c r="J586" s="106"/>
    </row>
    <row r="587" spans="1:10" x14ac:dyDescent="0.2">
      <c r="A587" s="106" t="s">
        <v>508</v>
      </c>
      <c r="B587" s="106" t="s">
        <v>277</v>
      </c>
      <c r="C587" s="106" t="s">
        <v>289</v>
      </c>
      <c r="D587" s="106" t="s">
        <v>279</v>
      </c>
      <c r="E587">
        <v>6038</v>
      </c>
      <c r="F587" s="106" t="s">
        <v>2114</v>
      </c>
      <c r="G587" s="106" t="s">
        <v>292</v>
      </c>
      <c r="H587" s="106" t="s">
        <v>285</v>
      </c>
      <c r="I587">
        <v>50</v>
      </c>
    </row>
    <row r="588" spans="1:10" x14ac:dyDescent="0.2">
      <c r="A588" s="106" t="s">
        <v>508</v>
      </c>
      <c r="B588" s="106" t="s">
        <v>277</v>
      </c>
      <c r="C588" s="106" t="s">
        <v>287</v>
      </c>
      <c r="D588" s="106" t="s">
        <v>279</v>
      </c>
      <c r="E588">
        <v>6141</v>
      </c>
      <c r="F588" s="106" t="s">
        <v>511</v>
      </c>
      <c r="G588" s="106" t="s">
        <v>280</v>
      </c>
      <c r="H588" s="106" t="s">
        <v>301</v>
      </c>
      <c r="I588" s="106" t="s">
        <v>303</v>
      </c>
      <c r="J588" s="106" t="s">
        <v>2430</v>
      </c>
    </row>
    <row r="589" spans="1:10" x14ac:dyDescent="0.2">
      <c r="A589" s="106" t="s">
        <v>508</v>
      </c>
      <c r="B589" s="106" t="s">
        <v>277</v>
      </c>
      <c r="C589" s="106" t="s">
        <v>278</v>
      </c>
      <c r="D589" s="106" t="s">
        <v>279</v>
      </c>
      <c r="E589">
        <v>6247</v>
      </c>
      <c r="F589" s="106" t="s">
        <v>512</v>
      </c>
      <c r="G589" s="106" t="s">
        <v>280</v>
      </c>
      <c r="H589" s="106" t="s">
        <v>301</v>
      </c>
      <c r="I589" s="106">
        <v>338</v>
      </c>
      <c r="J589" s="106"/>
    </row>
    <row r="590" spans="1:10" x14ac:dyDescent="0.2">
      <c r="A590" s="106" t="s">
        <v>508</v>
      </c>
      <c r="B590" s="106" t="s">
        <v>277</v>
      </c>
      <c r="C590" s="106" t="s">
        <v>278</v>
      </c>
      <c r="D590" s="106" t="s">
        <v>279</v>
      </c>
      <c r="E590">
        <v>7199</v>
      </c>
      <c r="F590" s="106" t="s">
        <v>513</v>
      </c>
      <c r="G590" s="106" t="s">
        <v>280</v>
      </c>
      <c r="H590" s="106" t="s">
        <v>316</v>
      </c>
      <c r="I590" s="106">
        <v>312</v>
      </c>
      <c r="J590" s="106"/>
    </row>
    <row r="591" spans="1:10" x14ac:dyDescent="0.2">
      <c r="A591" s="106" t="s">
        <v>508</v>
      </c>
      <c r="B591" s="106" t="s">
        <v>277</v>
      </c>
      <c r="C591" s="106" t="s">
        <v>289</v>
      </c>
      <c r="D591" s="106" t="s">
        <v>279</v>
      </c>
      <c r="E591">
        <v>9450</v>
      </c>
      <c r="F591" s="106" t="s">
        <v>2115</v>
      </c>
      <c r="G591" s="106" t="s">
        <v>280</v>
      </c>
      <c r="H591" s="106" t="s">
        <v>291</v>
      </c>
      <c r="I591" s="106">
        <v>294</v>
      </c>
      <c r="J591" s="106"/>
    </row>
    <row r="592" spans="1:10" x14ac:dyDescent="0.2">
      <c r="A592" s="106" t="s">
        <v>2116</v>
      </c>
      <c r="B592" s="106" t="s">
        <v>277</v>
      </c>
      <c r="C592" s="106" t="s">
        <v>287</v>
      </c>
      <c r="D592" s="106" t="s">
        <v>279</v>
      </c>
      <c r="E592">
        <v>3975</v>
      </c>
      <c r="F592" s="106" t="s">
        <v>2117</v>
      </c>
      <c r="G592" s="106" t="s">
        <v>280</v>
      </c>
      <c r="H592" s="106" t="s">
        <v>291</v>
      </c>
      <c r="I592" s="106">
        <v>177</v>
      </c>
      <c r="J592" s="106"/>
    </row>
    <row r="593" spans="1:10" x14ac:dyDescent="0.2">
      <c r="A593" s="106" t="s">
        <v>514</v>
      </c>
      <c r="B593" s="106" t="s">
        <v>277</v>
      </c>
      <c r="C593" s="106" t="s">
        <v>287</v>
      </c>
      <c r="D593" s="106" t="s">
        <v>283</v>
      </c>
      <c r="E593">
        <v>8985</v>
      </c>
      <c r="F593" s="106" t="s">
        <v>515</v>
      </c>
      <c r="G593" s="106" t="s">
        <v>317</v>
      </c>
      <c r="H593" s="106" t="s">
        <v>318</v>
      </c>
      <c r="I593" s="106" t="s">
        <v>364</v>
      </c>
      <c r="J593" s="106" t="s">
        <v>2431</v>
      </c>
    </row>
    <row r="594" spans="1:10" x14ac:dyDescent="0.2">
      <c r="A594" s="106" t="s">
        <v>2118</v>
      </c>
      <c r="B594" s="106" t="s">
        <v>277</v>
      </c>
      <c r="C594" s="106" t="s">
        <v>282</v>
      </c>
      <c r="D594" s="106" t="s">
        <v>279</v>
      </c>
      <c r="E594">
        <v>4666</v>
      </c>
      <c r="F594" s="106" t="s">
        <v>338</v>
      </c>
      <c r="G594" s="106" t="s">
        <v>280</v>
      </c>
      <c r="H594" s="106" t="s">
        <v>306</v>
      </c>
      <c r="I594" s="106" t="s">
        <v>330</v>
      </c>
      <c r="J594" s="106" t="s">
        <v>2432</v>
      </c>
    </row>
    <row r="595" spans="1:10" x14ac:dyDescent="0.2">
      <c r="A595" s="106" t="s">
        <v>834</v>
      </c>
      <c r="B595" s="106" t="s">
        <v>277</v>
      </c>
      <c r="C595" s="106" t="s">
        <v>278</v>
      </c>
      <c r="D595" s="106" t="s">
        <v>279</v>
      </c>
      <c r="E595">
        <v>2593</v>
      </c>
      <c r="F595" s="106" t="s">
        <v>296</v>
      </c>
      <c r="G595" s="106" t="s">
        <v>280</v>
      </c>
      <c r="H595" s="106" t="s">
        <v>281</v>
      </c>
      <c r="I595" s="106" t="s">
        <v>330</v>
      </c>
      <c r="J595" s="106" t="s">
        <v>2262</v>
      </c>
    </row>
    <row r="596" spans="1:10" x14ac:dyDescent="0.2">
      <c r="A596" s="106" t="s">
        <v>834</v>
      </c>
      <c r="B596" s="106" t="s">
        <v>277</v>
      </c>
      <c r="C596" s="106" t="s">
        <v>289</v>
      </c>
      <c r="D596" s="106" t="s">
        <v>279</v>
      </c>
      <c r="E596">
        <v>6267</v>
      </c>
      <c r="F596" s="106" t="s">
        <v>300</v>
      </c>
      <c r="G596" s="106" t="s">
        <v>284</v>
      </c>
      <c r="H596" s="106" t="s">
        <v>301</v>
      </c>
      <c r="I596">
        <v>37</v>
      </c>
    </row>
    <row r="597" spans="1:10" x14ac:dyDescent="0.2">
      <c r="A597" s="106" t="s">
        <v>835</v>
      </c>
      <c r="B597" s="106" t="s">
        <v>277</v>
      </c>
      <c r="C597" s="106" t="s">
        <v>278</v>
      </c>
      <c r="D597" s="106" t="s">
        <v>279</v>
      </c>
      <c r="E597">
        <v>4750</v>
      </c>
      <c r="F597" s="106" t="s">
        <v>294</v>
      </c>
      <c r="G597" s="106" t="s">
        <v>288</v>
      </c>
      <c r="H597" s="106" t="s">
        <v>285</v>
      </c>
      <c r="I597">
        <v>51</v>
      </c>
    </row>
    <row r="598" spans="1:10" x14ac:dyDescent="0.2">
      <c r="A598" s="106" t="s">
        <v>835</v>
      </c>
      <c r="B598" s="106" t="s">
        <v>277</v>
      </c>
      <c r="C598" s="106" t="s">
        <v>287</v>
      </c>
      <c r="D598" s="106" t="s">
        <v>279</v>
      </c>
      <c r="E598">
        <v>7590</v>
      </c>
      <c r="F598" s="106" t="s">
        <v>2119</v>
      </c>
      <c r="G598" s="106" t="s">
        <v>280</v>
      </c>
      <c r="H598" s="106" t="s">
        <v>286</v>
      </c>
      <c r="I598">
        <v>74</v>
      </c>
    </row>
    <row r="599" spans="1:10" x14ac:dyDescent="0.2">
      <c r="A599" s="106" t="s">
        <v>2120</v>
      </c>
      <c r="B599" s="106" t="s">
        <v>277</v>
      </c>
      <c r="C599" s="106" t="s">
        <v>282</v>
      </c>
      <c r="D599" s="106" t="s">
        <v>279</v>
      </c>
      <c r="E599">
        <v>1383</v>
      </c>
      <c r="F599" s="106" t="s">
        <v>327</v>
      </c>
      <c r="G599" s="106" t="s">
        <v>284</v>
      </c>
      <c r="H599" s="106" t="s">
        <v>328</v>
      </c>
      <c r="I599">
        <v>31</v>
      </c>
    </row>
    <row r="600" spans="1:10" x14ac:dyDescent="0.2">
      <c r="A600" s="106" t="s">
        <v>2121</v>
      </c>
      <c r="B600" s="106" t="s">
        <v>277</v>
      </c>
      <c r="C600" s="106" t="s">
        <v>289</v>
      </c>
      <c r="D600" s="106" t="s">
        <v>283</v>
      </c>
      <c r="E600">
        <v>9262</v>
      </c>
      <c r="F600" s="106" t="s">
        <v>321</v>
      </c>
      <c r="G600" s="106" t="s">
        <v>292</v>
      </c>
      <c r="H600" s="106" t="s">
        <v>290</v>
      </c>
      <c r="I600">
        <v>296</v>
      </c>
    </row>
    <row r="601" spans="1:10" x14ac:dyDescent="0.2">
      <c r="A601" s="106" t="s">
        <v>2122</v>
      </c>
      <c r="B601" s="106" t="s">
        <v>277</v>
      </c>
      <c r="C601" s="106" t="s">
        <v>287</v>
      </c>
      <c r="D601" s="106" t="s">
        <v>279</v>
      </c>
      <c r="E601">
        <v>3995</v>
      </c>
      <c r="F601" s="106" t="s">
        <v>332</v>
      </c>
      <c r="G601" s="106" t="s">
        <v>292</v>
      </c>
      <c r="H601" s="106" t="s">
        <v>291</v>
      </c>
      <c r="I601">
        <v>66</v>
      </c>
    </row>
    <row r="602" spans="1:10" x14ac:dyDescent="0.2">
      <c r="A602" s="106" t="s">
        <v>2123</v>
      </c>
      <c r="B602" s="106" t="s">
        <v>277</v>
      </c>
      <c r="C602" s="106" t="s">
        <v>289</v>
      </c>
      <c r="D602" s="106" t="s">
        <v>283</v>
      </c>
      <c r="E602">
        <v>2424</v>
      </c>
      <c r="F602" s="106" t="s">
        <v>329</v>
      </c>
      <c r="G602" s="106" t="s">
        <v>280</v>
      </c>
      <c r="H602" s="106" t="s">
        <v>285</v>
      </c>
      <c r="I602">
        <v>48</v>
      </c>
    </row>
    <row r="603" spans="1:10" x14ac:dyDescent="0.2">
      <c r="A603" s="106" t="s">
        <v>2123</v>
      </c>
      <c r="B603" s="106" t="s">
        <v>277</v>
      </c>
      <c r="C603" s="106" t="s">
        <v>278</v>
      </c>
      <c r="D603" s="106" t="s">
        <v>283</v>
      </c>
      <c r="E603">
        <v>4431</v>
      </c>
      <c r="F603" s="106" t="s">
        <v>333</v>
      </c>
      <c r="G603" s="106" t="s">
        <v>292</v>
      </c>
      <c r="H603" s="106" t="s">
        <v>291</v>
      </c>
      <c r="I603">
        <v>296</v>
      </c>
    </row>
    <row r="604" spans="1:10" x14ac:dyDescent="0.2">
      <c r="A604" s="106" t="s">
        <v>2123</v>
      </c>
      <c r="B604" s="106" t="s">
        <v>277</v>
      </c>
      <c r="C604" s="106" t="s">
        <v>287</v>
      </c>
      <c r="D604" s="106" t="s">
        <v>279</v>
      </c>
      <c r="E604">
        <v>7683</v>
      </c>
      <c r="F604" s="106" t="s">
        <v>337</v>
      </c>
      <c r="G604" s="106" t="s">
        <v>292</v>
      </c>
      <c r="H604" s="106" t="s">
        <v>290</v>
      </c>
      <c r="I604" s="106">
        <v>148</v>
      </c>
      <c r="J604" s="106"/>
    </row>
    <row r="605" spans="1:10" x14ac:dyDescent="0.2">
      <c r="A605" s="106" t="s">
        <v>516</v>
      </c>
      <c r="B605" s="106" t="s">
        <v>277</v>
      </c>
      <c r="C605" s="106" t="s">
        <v>278</v>
      </c>
      <c r="D605" s="106" t="s">
        <v>283</v>
      </c>
      <c r="E605">
        <v>1723</v>
      </c>
      <c r="F605" s="106" t="s">
        <v>517</v>
      </c>
      <c r="G605" s="106" t="s">
        <v>284</v>
      </c>
      <c r="H605" s="106" t="s">
        <v>307</v>
      </c>
      <c r="I605" s="106">
        <v>256</v>
      </c>
      <c r="J605" s="106"/>
    </row>
    <row r="606" spans="1:10" x14ac:dyDescent="0.2">
      <c r="A606" s="106" t="s">
        <v>516</v>
      </c>
      <c r="B606" s="106" t="s">
        <v>277</v>
      </c>
      <c r="C606" s="106" t="s">
        <v>278</v>
      </c>
      <c r="D606" s="106" t="s">
        <v>279</v>
      </c>
      <c r="E606">
        <v>1941</v>
      </c>
      <c r="F606" s="106" t="s">
        <v>518</v>
      </c>
      <c r="G606" s="106" t="s">
        <v>280</v>
      </c>
      <c r="H606" s="106" t="s">
        <v>307</v>
      </c>
      <c r="I606" t="s">
        <v>311</v>
      </c>
      <c r="J606" t="s">
        <v>2433</v>
      </c>
    </row>
    <row r="607" spans="1:10" x14ac:dyDescent="0.2">
      <c r="A607" s="106" t="s">
        <v>516</v>
      </c>
      <c r="B607" s="106" t="s">
        <v>277</v>
      </c>
      <c r="C607" s="106" t="s">
        <v>278</v>
      </c>
      <c r="D607" s="106" t="s">
        <v>279</v>
      </c>
      <c r="E607">
        <v>1959</v>
      </c>
      <c r="F607" s="106" t="s">
        <v>520</v>
      </c>
      <c r="G607" s="106" t="s">
        <v>280</v>
      </c>
      <c r="H607" s="106" t="s">
        <v>307</v>
      </c>
      <c r="I607" t="s">
        <v>303</v>
      </c>
      <c r="J607" t="s">
        <v>2434</v>
      </c>
    </row>
    <row r="608" spans="1:10" x14ac:dyDescent="0.2">
      <c r="A608" s="106" t="s">
        <v>516</v>
      </c>
      <c r="B608" s="106" t="s">
        <v>277</v>
      </c>
      <c r="C608" s="106" t="s">
        <v>278</v>
      </c>
      <c r="D608" s="106" t="s">
        <v>279</v>
      </c>
      <c r="E608">
        <v>2148</v>
      </c>
      <c r="F608" s="106" t="s">
        <v>743</v>
      </c>
      <c r="G608" s="106" t="s">
        <v>280</v>
      </c>
      <c r="H608" s="106" t="s">
        <v>285</v>
      </c>
      <c r="I608">
        <v>154</v>
      </c>
    </row>
    <row r="609" spans="1:10" x14ac:dyDescent="0.2">
      <c r="A609" s="106" t="s">
        <v>516</v>
      </c>
      <c r="B609" s="106" t="s">
        <v>277</v>
      </c>
      <c r="C609" s="106" t="s">
        <v>278</v>
      </c>
      <c r="D609" s="106" t="s">
        <v>279</v>
      </c>
      <c r="E609">
        <v>2326</v>
      </c>
      <c r="F609" s="106" t="s">
        <v>744</v>
      </c>
      <c r="G609" s="106" t="s">
        <v>280</v>
      </c>
      <c r="H609" s="106" t="s">
        <v>291</v>
      </c>
      <c r="I609" s="106">
        <v>787</v>
      </c>
      <c r="J609" s="106"/>
    </row>
    <row r="610" spans="1:10" x14ac:dyDescent="0.2">
      <c r="A610" s="106" t="s">
        <v>516</v>
      </c>
      <c r="B610" s="106" t="s">
        <v>277</v>
      </c>
      <c r="C610" s="106" t="s">
        <v>278</v>
      </c>
      <c r="D610" s="106" t="s">
        <v>283</v>
      </c>
      <c r="E610">
        <v>2332</v>
      </c>
      <c r="F610" s="106" t="s">
        <v>521</v>
      </c>
      <c r="G610" s="106" t="s">
        <v>284</v>
      </c>
      <c r="H610" s="106" t="s">
        <v>291</v>
      </c>
      <c r="I610" s="106">
        <v>62</v>
      </c>
      <c r="J610" s="106"/>
    </row>
    <row r="611" spans="1:10" x14ac:dyDescent="0.2">
      <c r="A611" s="106" t="s">
        <v>516</v>
      </c>
      <c r="B611" s="106" t="s">
        <v>277</v>
      </c>
      <c r="C611" s="106" t="s">
        <v>278</v>
      </c>
      <c r="D611" s="106" t="s">
        <v>279</v>
      </c>
      <c r="E611">
        <v>3116</v>
      </c>
      <c r="F611" s="106" t="s">
        <v>836</v>
      </c>
      <c r="G611" s="106" t="s">
        <v>280</v>
      </c>
      <c r="H611" s="106" t="s">
        <v>310</v>
      </c>
      <c r="I611" t="s">
        <v>364</v>
      </c>
      <c r="J611" t="s">
        <v>2435</v>
      </c>
    </row>
    <row r="612" spans="1:10" x14ac:dyDescent="0.2">
      <c r="A612" s="106" t="s">
        <v>516</v>
      </c>
      <c r="B612" s="106" t="s">
        <v>277</v>
      </c>
      <c r="C612" s="106" t="s">
        <v>278</v>
      </c>
      <c r="D612" s="106" t="s">
        <v>279</v>
      </c>
      <c r="E612">
        <v>3132</v>
      </c>
      <c r="F612" s="106" t="s">
        <v>837</v>
      </c>
      <c r="G612" s="106" t="s">
        <v>280</v>
      </c>
      <c r="H612" s="106" t="s">
        <v>286</v>
      </c>
      <c r="I612" s="106" t="s">
        <v>311</v>
      </c>
      <c r="J612" s="106" t="s">
        <v>2436</v>
      </c>
    </row>
    <row r="613" spans="1:10" x14ac:dyDescent="0.2">
      <c r="A613" s="106" t="s">
        <v>516</v>
      </c>
      <c r="B613" s="106" t="s">
        <v>277</v>
      </c>
      <c r="C613" s="106" t="s">
        <v>278</v>
      </c>
      <c r="D613" s="106" t="s">
        <v>283</v>
      </c>
      <c r="E613">
        <v>3177</v>
      </c>
      <c r="F613" s="106" t="s">
        <v>522</v>
      </c>
      <c r="G613" s="106" t="s">
        <v>284</v>
      </c>
      <c r="H613" s="106" t="s">
        <v>290</v>
      </c>
      <c r="I613">
        <v>22</v>
      </c>
    </row>
    <row r="614" spans="1:10" x14ac:dyDescent="0.2">
      <c r="A614" s="106" t="s">
        <v>516</v>
      </c>
      <c r="B614" s="106" t="s">
        <v>277</v>
      </c>
      <c r="C614" s="106" t="s">
        <v>278</v>
      </c>
      <c r="D614" s="106" t="s">
        <v>279</v>
      </c>
      <c r="E614">
        <v>3231</v>
      </c>
      <c r="F614" s="106" t="s">
        <v>523</v>
      </c>
      <c r="G614" s="106" t="s">
        <v>280</v>
      </c>
      <c r="H614" s="106" t="s">
        <v>306</v>
      </c>
      <c r="I614" t="s">
        <v>297</v>
      </c>
      <c r="J614" t="s">
        <v>2437</v>
      </c>
    </row>
    <row r="615" spans="1:10" x14ac:dyDescent="0.2">
      <c r="A615" s="106" t="s">
        <v>516</v>
      </c>
      <c r="B615" s="106" t="s">
        <v>277</v>
      </c>
      <c r="C615" s="106" t="s">
        <v>278</v>
      </c>
      <c r="D615" s="106" t="s">
        <v>283</v>
      </c>
      <c r="E615">
        <v>3564</v>
      </c>
      <c r="F615" s="106" t="s">
        <v>838</v>
      </c>
      <c r="G615" s="106" t="s">
        <v>280</v>
      </c>
      <c r="H615" s="106" t="s">
        <v>290</v>
      </c>
      <c r="I615">
        <v>915</v>
      </c>
    </row>
    <row r="616" spans="1:10" x14ac:dyDescent="0.2">
      <c r="A616" s="106" t="s">
        <v>516</v>
      </c>
      <c r="B616" s="106" t="s">
        <v>277</v>
      </c>
      <c r="C616" s="106" t="s">
        <v>278</v>
      </c>
      <c r="D616" s="106" t="s">
        <v>283</v>
      </c>
      <c r="E616">
        <v>3658</v>
      </c>
      <c r="F616" s="106" t="s">
        <v>839</v>
      </c>
      <c r="G616" s="106" t="s">
        <v>280</v>
      </c>
      <c r="H616" s="106" t="s">
        <v>291</v>
      </c>
      <c r="I616">
        <v>108</v>
      </c>
    </row>
    <row r="617" spans="1:10" x14ac:dyDescent="0.2">
      <c r="A617" s="106" t="s">
        <v>516</v>
      </c>
      <c r="B617" s="106" t="s">
        <v>277</v>
      </c>
      <c r="C617" s="106" t="s">
        <v>278</v>
      </c>
      <c r="D617" s="106" t="s">
        <v>279</v>
      </c>
      <c r="E617">
        <v>3778</v>
      </c>
      <c r="F617" s="106" t="s">
        <v>840</v>
      </c>
      <c r="G617" s="106" t="s">
        <v>280</v>
      </c>
      <c r="H617" s="106" t="s">
        <v>291</v>
      </c>
      <c r="I617">
        <v>264</v>
      </c>
    </row>
    <row r="618" spans="1:10" x14ac:dyDescent="0.2">
      <c r="A618" s="106" t="s">
        <v>516</v>
      </c>
      <c r="B618" s="106" t="s">
        <v>277</v>
      </c>
      <c r="C618" s="106" t="s">
        <v>278</v>
      </c>
      <c r="D618" s="106" t="s">
        <v>283</v>
      </c>
      <c r="E618">
        <v>4333</v>
      </c>
      <c r="F618" s="106" t="s">
        <v>524</v>
      </c>
      <c r="G618" s="106" t="s">
        <v>280</v>
      </c>
      <c r="H618" s="106" t="s">
        <v>291</v>
      </c>
      <c r="I618">
        <v>129</v>
      </c>
    </row>
    <row r="619" spans="1:10" x14ac:dyDescent="0.2">
      <c r="A619" s="106" t="s">
        <v>516</v>
      </c>
      <c r="B619" s="106" t="s">
        <v>277</v>
      </c>
      <c r="C619" s="106" t="s">
        <v>282</v>
      </c>
      <c r="D619" s="106" t="s">
        <v>283</v>
      </c>
      <c r="E619">
        <v>4393</v>
      </c>
      <c r="F619" s="106" t="s">
        <v>525</v>
      </c>
      <c r="G619" s="106" t="s">
        <v>292</v>
      </c>
      <c r="H619" s="106" t="s">
        <v>291</v>
      </c>
      <c r="I619" s="106">
        <v>95</v>
      </c>
      <c r="J619" s="106"/>
    </row>
    <row r="620" spans="1:10" x14ac:dyDescent="0.2">
      <c r="A620" s="106" t="s">
        <v>516</v>
      </c>
      <c r="B620" s="106" t="s">
        <v>277</v>
      </c>
      <c r="C620" s="106" t="s">
        <v>278</v>
      </c>
      <c r="D620" s="106" t="s">
        <v>279</v>
      </c>
      <c r="E620">
        <v>4557</v>
      </c>
      <c r="F620" s="106" t="s">
        <v>526</v>
      </c>
      <c r="G620" s="106" t="s">
        <v>284</v>
      </c>
      <c r="H620" s="106" t="s">
        <v>325</v>
      </c>
      <c r="I620" s="106">
        <v>223</v>
      </c>
      <c r="J620" s="106"/>
    </row>
    <row r="621" spans="1:10" x14ac:dyDescent="0.2">
      <c r="A621" s="106" t="s">
        <v>516</v>
      </c>
      <c r="B621" s="106" t="s">
        <v>277</v>
      </c>
      <c r="C621" s="106" t="s">
        <v>278</v>
      </c>
      <c r="D621" s="106" t="s">
        <v>279</v>
      </c>
      <c r="E621">
        <v>4684</v>
      </c>
      <c r="F621" s="106" t="s">
        <v>527</v>
      </c>
      <c r="G621" s="106" t="s">
        <v>280</v>
      </c>
      <c r="H621" s="106" t="s">
        <v>291</v>
      </c>
      <c r="I621" t="s">
        <v>528</v>
      </c>
      <c r="J621" t="s">
        <v>2438</v>
      </c>
    </row>
    <row r="622" spans="1:10" x14ac:dyDescent="0.2">
      <c r="A622" s="106" t="s">
        <v>516</v>
      </c>
      <c r="B622" s="106" t="s">
        <v>277</v>
      </c>
      <c r="C622" s="106" t="s">
        <v>278</v>
      </c>
      <c r="D622" s="106" t="s">
        <v>279</v>
      </c>
      <c r="E622">
        <v>4689</v>
      </c>
      <c r="F622" s="106" t="s">
        <v>529</v>
      </c>
      <c r="G622" s="106" t="s">
        <v>280</v>
      </c>
      <c r="H622" s="106" t="s">
        <v>291</v>
      </c>
      <c r="I622" s="106" t="s">
        <v>841</v>
      </c>
      <c r="J622" s="106" t="s">
        <v>2439</v>
      </c>
    </row>
    <row r="623" spans="1:10" x14ac:dyDescent="0.2">
      <c r="A623" s="106" t="s">
        <v>516</v>
      </c>
      <c r="B623" s="106" t="s">
        <v>277</v>
      </c>
      <c r="C623" s="106" t="s">
        <v>278</v>
      </c>
      <c r="D623" s="106" t="s">
        <v>283</v>
      </c>
      <c r="E623">
        <v>6022</v>
      </c>
      <c r="F623" s="106" t="s">
        <v>530</v>
      </c>
      <c r="G623" s="106" t="s">
        <v>288</v>
      </c>
      <c r="H623" s="106" t="s">
        <v>301</v>
      </c>
      <c r="I623" s="106">
        <v>28</v>
      </c>
      <c r="J623" s="106"/>
    </row>
    <row r="624" spans="1:10" x14ac:dyDescent="0.2">
      <c r="A624" s="106" t="s">
        <v>516</v>
      </c>
      <c r="B624" s="106" t="s">
        <v>277</v>
      </c>
      <c r="C624" s="106" t="s">
        <v>278</v>
      </c>
      <c r="D624" s="106" t="s">
        <v>279</v>
      </c>
      <c r="E624">
        <v>6201</v>
      </c>
      <c r="F624" s="106" t="s">
        <v>531</v>
      </c>
      <c r="G624" s="106" t="s">
        <v>280</v>
      </c>
      <c r="H624" s="106" t="s">
        <v>310</v>
      </c>
      <c r="I624" s="106" t="s">
        <v>532</v>
      </c>
      <c r="J624" s="106" t="s">
        <v>2234</v>
      </c>
    </row>
    <row r="625" spans="1:10" x14ac:dyDescent="0.2">
      <c r="A625" s="106" t="s">
        <v>516</v>
      </c>
      <c r="B625" s="106" t="s">
        <v>277</v>
      </c>
      <c r="C625" s="106" t="s">
        <v>278</v>
      </c>
      <c r="D625" s="106" t="s">
        <v>279</v>
      </c>
      <c r="E625">
        <v>6301</v>
      </c>
      <c r="F625" s="106" t="s">
        <v>533</v>
      </c>
      <c r="G625" s="106" t="s">
        <v>280</v>
      </c>
      <c r="H625" s="106" t="s">
        <v>301</v>
      </c>
      <c r="I625" s="106" t="s">
        <v>2440</v>
      </c>
      <c r="J625" s="106" t="s">
        <v>2441</v>
      </c>
    </row>
    <row r="626" spans="1:10" x14ac:dyDescent="0.2">
      <c r="A626" s="106" t="s">
        <v>516</v>
      </c>
      <c r="B626" s="106" t="s">
        <v>277</v>
      </c>
      <c r="C626" s="106" t="s">
        <v>278</v>
      </c>
      <c r="D626" s="106" t="s">
        <v>279</v>
      </c>
      <c r="E626">
        <v>6395</v>
      </c>
      <c r="F626" s="106" t="s">
        <v>534</v>
      </c>
      <c r="G626" s="106" t="s">
        <v>280</v>
      </c>
      <c r="H626" s="106" t="s">
        <v>301</v>
      </c>
      <c r="I626" t="s">
        <v>311</v>
      </c>
      <c r="J626" t="s">
        <v>2361</v>
      </c>
    </row>
    <row r="627" spans="1:10" x14ac:dyDescent="0.2">
      <c r="A627" s="106" t="s">
        <v>516</v>
      </c>
      <c r="B627" s="106" t="s">
        <v>277</v>
      </c>
      <c r="C627" s="106" t="s">
        <v>278</v>
      </c>
      <c r="D627" s="106" t="s">
        <v>279</v>
      </c>
      <c r="E627">
        <v>6645</v>
      </c>
      <c r="F627" s="106" t="s">
        <v>535</v>
      </c>
      <c r="G627" s="106" t="s">
        <v>280</v>
      </c>
      <c r="H627" s="106" t="s">
        <v>305</v>
      </c>
      <c r="I627" s="106" t="s">
        <v>502</v>
      </c>
      <c r="J627" s="106" t="s">
        <v>2442</v>
      </c>
    </row>
    <row r="628" spans="1:10" x14ac:dyDescent="0.2">
      <c r="A628" s="106" t="s">
        <v>516</v>
      </c>
      <c r="B628" s="106" t="s">
        <v>277</v>
      </c>
      <c r="C628" s="106" t="s">
        <v>278</v>
      </c>
      <c r="D628" s="106" t="s">
        <v>279</v>
      </c>
      <c r="E628">
        <v>6788</v>
      </c>
      <c r="F628" s="106" t="s">
        <v>536</v>
      </c>
      <c r="G628" s="106" t="s">
        <v>280</v>
      </c>
      <c r="H628" s="106" t="s">
        <v>305</v>
      </c>
      <c r="I628">
        <v>397</v>
      </c>
    </row>
    <row r="629" spans="1:10" x14ac:dyDescent="0.2">
      <c r="A629" s="106" t="s">
        <v>516</v>
      </c>
      <c r="B629" s="106" t="s">
        <v>277</v>
      </c>
      <c r="C629" s="106" t="s">
        <v>278</v>
      </c>
      <c r="D629" s="106" t="s">
        <v>279</v>
      </c>
      <c r="E629">
        <v>7278</v>
      </c>
      <c r="F629" s="106" t="s">
        <v>537</v>
      </c>
      <c r="G629" s="106" t="s">
        <v>280</v>
      </c>
      <c r="H629" s="106" t="s">
        <v>310</v>
      </c>
      <c r="I629" t="s">
        <v>311</v>
      </c>
      <c r="J629" t="s">
        <v>2443</v>
      </c>
    </row>
    <row r="630" spans="1:10" x14ac:dyDescent="0.2">
      <c r="A630" s="106" t="s">
        <v>516</v>
      </c>
      <c r="B630" s="106" t="s">
        <v>277</v>
      </c>
      <c r="C630" s="106" t="s">
        <v>278</v>
      </c>
      <c r="D630" s="106" t="s">
        <v>279</v>
      </c>
      <c r="E630">
        <v>7442</v>
      </c>
      <c r="F630" s="106" t="s">
        <v>2125</v>
      </c>
      <c r="G630" s="106" t="s">
        <v>280</v>
      </c>
      <c r="H630" s="106" t="s">
        <v>286</v>
      </c>
      <c r="I630">
        <v>110</v>
      </c>
    </row>
    <row r="631" spans="1:10" x14ac:dyDescent="0.2">
      <c r="A631" s="106" t="s">
        <v>516</v>
      </c>
      <c r="B631" s="106" t="s">
        <v>277</v>
      </c>
      <c r="C631" s="106" t="s">
        <v>289</v>
      </c>
      <c r="D631" s="106" t="s">
        <v>283</v>
      </c>
      <c r="E631">
        <v>7500</v>
      </c>
      <c r="F631" s="106" t="s">
        <v>842</v>
      </c>
      <c r="G631" s="106" t="s">
        <v>284</v>
      </c>
      <c r="H631" s="106" t="s">
        <v>286</v>
      </c>
      <c r="I631" s="106">
        <v>159</v>
      </c>
      <c r="J631" s="106"/>
    </row>
    <row r="632" spans="1:10" x14ac:dyDescent="0.2">
      <c r="A632" s="106" t="s">
        <v>516</v>
      </c>
      <c r="B632" s="106" t="s">
        <v>277</v>
      </c>
      <c r="C632" s="106" t="s">
        <v>278</v>
      </c>
      <c r="D632" s="106" t="s">
        <v>279</v>
      </c>
      <c r="E632">
        <v>7995</v>
      </c>
      <c r="F632" s="106" t="s">
        <v>538</v>
      </c>
      <c r="G632" s="106" t="s">
        <v>280</v>
      </c>
      <c r="H632" s="106" t="s">
        <v>293</v>
      </c>
      <c r="I632" s="106">
        <v>499</v>
      </c>
      <c r="J632" s="106"/>
    </row>
    <row r="633" spans="1:10" x14ac:dyDescent="0.2">
      <c r="A633" s="106" t="s">
        <v>516</v>
      </c>
      <c r="B633" s="106" t="s">
        <v>277</v>
      </c>
      <c r="C633" s="106" t="s">
        <v>278</v>
      </c>
      <c r="D633" s="106" t="s">
        <v>279</v>
      </c>
      <c r="E633">
        <v>8242</v>
      </c>
      <c r="F633" s="106" t="s">
        <v>539</v>
      </c>
      <c r="G633" s="106" t="s">
        <v>280</v>
      </c>
      <c r="H633" s="106" t="s">
        <v>290</v>
      </c>
      <c r="I633" s="106" t="s">
        <v>311</v>
      </c>
      <c r="J633" s="106" t="s">
        <v>2256</v>
      </c>
    </row>
    <row r="634" spans="1:10" x14ac:dyDescent="0.2">
      <c r="A634" s="106" t="s">
        <v>516</v>
      </c>
      <c r="B634" s="106" t="s">
        <v>277</v>
      </c>
      <c r="C634" s="106" t="s">
        <v>278</v>
      </c>
      <c r="D634" s="106" t="s">
        <v>279</v>
      </c>
      <c r="E634">
        <v>8304</v>
      </c>
      <c r="F634" s="106" t="s">
        <v>540</v>
      </c>
      <c r="G634" s="106" t="s">
        <v>280</v>
      </c>
      <c r="H634" s="106" t="s">
        <v>541</v>
      </c>
      <c r="I634" t="s">
        <v>364</v>
      </c>
      <c r="J634" t="s">
        <v>2444</v>
      </c>
    </row>
    <row r="635" spans="1:10" x14ac:dyDescent="0.2">
      <c r="A635" s="106" t="s">
        <v>516</v>
      </c>
      <c r="B635" s="106" t="s">
        <v>277</v>
      </c>
      <c r="C635" s="106" t="s">
        <v>278</v>
      </c>
      <c r="D635" s="106" t="s">
        <v>279</v>
      </c>
      <c r="E635">
        <v>8309</v>
      </c>
      <c r="F635" s="106" t="s">
        <v>2126</v>
      </c>
      <c r="G635" s="106" t="s">
        <v>280</v>
      </c>
      <c r="H635" s="106" t="s">
        <v>541</v>
      </c>
      <c r="I635" s="106" t="s">
        <v>308</v>
      </c>
      <c r="J635" s="106" t="s">
        <v>2445</v>
      </c>
    </row>
    <row r="636" spans="1:10" x14ac:dyDescent="0.2">
      <c r="A636" s="106" t="s">
        <v>516</v>
      </c>
      <c r="B636" s="106" t="s">
        <v>277</v>
      </c>
      <c r="C636" s="106" t="s">
        <v>278</v>
      </c>
      <c r="D636" s="106" t="s">
        <v>279</v>
      </c>
      <c r="E636">
        <v>9055</v>
      </c>
      <c r="F636" s="106" t="s">
        <v>2127</v>
      </c>
      <c r="G636" s="106" t="s">
        <v>288</v>
      </c>
      <c r="H636" s="106" t="s">
        <v>412</v>
      </c>
      <c r="I636" s="106">
        <v>286</v>
      </c>
      <c r="J636" s="106"/>
    </row>
    <row r="637" spans="1:10" x14ac:dyDescent="0.2">
      <c r="A637" s="106" t="s">
        <v>516</v>
      </c>
      <c r="B637" s="106" t="s">
        <v>277</v>
      </c>
      <c r="C637" s="106" t="s">
        <v>278</v>
      </c>
      <c r="D637" s="106" t="s">
        <v>279</v>
      </c>
      <c r="E637">
        <v>9202</v>
      </c>
      <c r="F637" s="106" t="s">
        <v>542</v>
      </c>
      <c r="G637" s="106" t="s">
        <v>280</v>
      </c>
      <c r="H637" s="106" t="s">
        <v>543</v>
      </c>
      <c r="I637" s="106" t="s">
        <v>622</v>
      </c>
      <c r="J637" s="106" t="s">
        <v>2260</v>
      </c>
    </row>
    <row r="638" spans="1:10" x14ac:dyDescent="0.2">
      <c r="A638" s="106" t="s">
        <v>516</v>
      </c>
      <c r="B638" s="106" t="s">
        <v>277</v>
      </c>
      <c r="C638" s="106" t="s">
        <v>278</v>
      </c>
      <c r="D638" s="106" t="s">
        <v>279</v>
      </c>
      <c r="E638">
        <v>9436</v>
      </c>
      <c r="F638" s="106" t="s">
        <v>2128</v>
      </c>
      <c r="G638" s="106" t="s">
        <v>284</v>
      </c>
      <c r="H638" s="106" t="s">
        <v>291</v>
      </c>
      <c r="I638" s="106" t="s">
        <v>311</v>
      </c>
      <c r="J638" s="106" t="s">
        <v>2446</v>
      </c>
    </row>
    <row r="639" spans="1:10" x14ac:dyDescent="0.2">
      <c r="A639" s="106" t="s">
        <v>516</v>
      </c>
      <c r="B639" s="106" t="s">
        <v>277</v>
      </c>
      <c r="C639" s="106" t="s">
        <v>278</v>
      </c>
      <c r="D639" s="106" t="s">
        <v>279</v>
      </c>
      <c r="E639">
        <v>9474</v>
      </c>
      <c r="F639" s="106" t="s">
        <v>544</v>
      </c>
      <c r="G639" s="106" t="s">
        <v>280</v>
      </c>
      <c r="H639" s="106" t="s">
        <v>291</v>
      </c>
      <c r="I639" s="106" t="s">
        <v>311</v>
      </c>
      <c r="J639" s="106" t="s">
        <v>2432</v>
      </c>
    </row>
    <row r="640" spans="1:10" x14ac:dyDescent="0.2">
      <c r="A640" s="106" t="s">
        <v>516</v>
      </c>
      <c r="B640" s="106" t="s">
        <v>277</v>
      </c>
      <c r="C640" s="106" t="s">
        <v>278</v>
      </c>
      <c r="D640" s="106" t="s">
        <v>279</v>
      </c>
      <c r="E640">
        <v>9504</v>
      </c>
      <c r="F640" s="106" t="s">
        <v>548</v>
      </c>
      <c r="G640" s="106" t="s">
        <v>280</v>
      </c>
      <c r="H640" s="106" t="s">
        <v>546</v>
      </c>
      <c r="I640" s="106" t="s">
        <v>297</v>
      </c>
      <c r="J640" s="106" t="s">
        <v>2447</v>
      </c>
    </row>
    <row r="641" spans="1:10" x14ac:dyDescent="0.2">
      <c r="A641" s="106" t="s">
        <v>516</v>
      </c>
      <c r="B641" s="106" t="s">
        <v>277</v>
      </c>
      <c r="C641" s="106" t="s">
        <v>278</v>
      </c>
      <c r="D641" s="106" t="s">
        <v>279</v>
      </c>
      <c r="E641">
        <v>9531</v>
      </c>
      <c r="F641" s="106" t="s">
        <v>549</v>
      </c>
      <c r="G641" s="106" t="s">
        <v>280</v>
      </c>
      <c r="H641" s="106" t="s">
        <v>546</v>
      </c>
      <c r="I641" s="106" t="s">
        <v>547</v>
      </c>
      <c r="J641" s="106" t="s">
        <v>2448</v>
      </c>
    </row>
    <row r="642" spans="1:10" x14ac:dyDescent="0.2">
      <c r="A642" s="106" t="s">
        <v>516</v>
      </c>
      <c r="B642" s="106" t="s">
        <v>277</v>
      </c>
      <c r="C642" s="106" t="s">
        <v>278</v>
      </c>
      <c r="D642" s="106" t="s">
        <v>279</v>
      </c>
      <c r="E642">
        <v>9719</v>
      </c>
      <c r="F642" s="106" t="s">
        <v>550</v>
      </c>
      <c r="G642" s="106" t="s">
        <v>280</v>
      </c>
      <c r="H642" s="106" t="s">
        <v>291</v>
      </c>
      <c r="I642" t="s">
        <v>297</v>
      </c>
      <c r="J642" t="s">
        <v>2449</v>
      </c>
    </row>
    <row r="643" spans="1:10" x14ac:dyDescent="0.2">
      <c r="A643" s="106" t="s">
        <v>516</v>
      </c>
      <c r="B643" s="106" t="s">
        <v>277</v>
      </c>
      <c r="C643" s="106" t="s">
        <v>278</v>
      </c>
      <c r="D643" s="106" t="s">
        <v>279</v>
      </c>
      <c r="E643">
        <v>9936</v>
      </c>
      <c r="F643" s="106" t="s">
        <v>551</v>
      </c>
      <c r="G643" s="106" t="s">
        <v>280</v>
      </c>
      <c r="H643" s="106" t="s">
        <v>290</v>
      </c>
      <c r="I643" t="s">
        <v>311</v>
      </c>
      <c r="J643" t="s">
        <v>2450</v>
      </c>
    </row>
    <row r="644" spans="1:10" x14ac:dyDescent="0.2">
      <c r="A644" s="106" t="s">
        <v>552</v>
      </c>
      <c r="B644" s="106" t="s">
        <v>277</v>
      </c>
      <c r="C644" s="106" t="s">
        <v>278</v>
      </c>
      <c r="D644" s="106" t="s">
        <v>279</v>
      </c>
      <c r="E644">
        <v>3353</v>
      </c>
      <c r="F644" s="106" t="s">
        <v>557</v>
      </c>
      <c r="G644" s="106" t="s">
        <v>284</v>
      </c>
      <c r="H644" s="106" t="s">
        <v>290</v>
      </c>
      <c r="I644">
        <v>176</v>
      </c>
    </row>
    <row r="645" spans="1:10" x14ac:dyDescent="0.2">
      <c r="A645" s="106" t="s">
        <v>567</v>
      </c>
      <c r="B645" s="106" t="s">
        <v>277</v>
      </c>
      <c r="C645" s="106" t="s">
        <v>287</v>
      </c>
      <c r="D645" s="106" t="s">
        <v>279</v>
      </c>
      <c r="E645">
        <v>2698</v>
      </c>
      <c r="F645" s="106" t="s">
        <v>573</v>
      </c>
      <c r="G645" s="106" t="s">
        <v>280</v>
      </c>
      <c r="H645" s="106" t="s">
        <v>290</v>
      </c>
      <c r="I645">
        <v>277</v>
      </c>
    </row>
    <row r="646" spans="1:10" x14ac:dyDescent="0.2">
      <c r="A646" s="106" t="s">
        <v>567</v>
      </c>
      <c r="B646" s="106" t="s">
        <v>277</v>
      </c>
      <c r="C646" s="106" t="s">
        <v>278</v>
      </c>
      <c r="D646" s="106" t="s">
        <v>279</v>
      </c>
      <c r="E646">
        <v>3548</v>
      </c>
      <c r="F646" s="106" t="s">
        <v>577</v>
      </c>
      <c r="G646" s="106" t="s">
        <v>280</v>
      </c>
      <c r="H646" s="106" t="s">
        <v>290</v>
      </c>
      <c r="I646">
        <v>349</v>
      </c>
    </row>
    <row r="647" spans="1:10" x14ac:dyDescent="0.2">
      <c r="A647" s="106" t="s">
        <v>567</v>
      </c>
      <c r="B647" s="106" t="s">
        <v>277</v>
      </c>
      <c r="C647" s="106" t="s">
        <v>282</v>
      </c>
      <c r="D647" s="106" t="s">
        <v>279</v>
      </c>
      <c r="E647">
        <v>4433</v>
      </c>
      <c r="F647" s="106" t="s">
        <v>580</v>
      </c>
      <c r="G647" s="106" t="s">
        <v>280</v>
      </c>
      <c r="H647" s="106" t="s">
        <v>291</v>
      </c>
      <c r="I647" s="106">
        <v>269</v>
      </c>
      <c r="J647" s="106"/>
    </row>
    <row r="648" spans="1:10" x14ac:dyDescent="0.2">
      <c r="A648" s="106" t="s">
        <v>567</v>
      </c>
      <c r="B648" s="106" t="s">
        <v>277</v>
      </c>
      <c r="C648" s="106" t="s">
        <v>278</v>
      </c>
      <c r="D648" s="106" t="s">
        <v>279</v>
      </c>
      <c r="E648">
        <v>7058</v>
      </c>
      <c r="F648" s="106" t="s">
        <v>588</v>
      </c>
      <c r="G648" s="106" t="s">
        <v>284</v>
      </c>
      <c r="H648" s="106" t="s">
        <v>285</v>
      </c>
      <c r="I648" s="106">
        <v>74</v>
      </c>
      <c r="J648" s="106"/>
    </row>
    <row r="649" spans="1:10" x14ac:dyDescent="0.2">
      <c r="A649" s="106" t="s">
        <v>592</v>
      </c>
      <c r="B649" s="106" t="s">
        <v>277</v>
      </c>
      <c r="C649" s="106" t="s">
        <v>278</v>
      </c>
      <c r="D649" s="106" t="s">
        <v>279</v>
      </c>
      <c r="E649">
        <v>1719</v>
      </c>
      <c r="F649" s="106" t="s">
        <v>593</v>
      </c>
      <c r="G649" s="106" t="s">
        <v>280</v>
      </c>
      <c r="H649" s="106" t="s">
        <v>307</v>
      </c>
      <c r="I649" s="106" t="s">
        <v>311</v>
      </c>
      <c r="J649" s="106" t="s">
        <v>2261</v>
      </c>
    </row>
    <row r="650" spans="1:10" x14ac:dyDescent="0.2">
      <c r="A650" s="106" t="s">
        <v>592</v>
      </c>
      <c r="B650" s="106" t="s">
        <v>277</v>
      </c>
      <c r="C650" s="106" t="s">
        <v>278</v>
      </c>
      <c r="D650" s="106" t="s">
        <v>279</v>
      </c>
      <c r="E650">
        <v>1812</v>
      </c>
      <c r="F650" s="106" t="s">
        <v>594</v>
      </c>
      <c r="G650" s="106" t="s">
        <v>280</v>
      </c>
      <c r="H650" s="106" t="s">
        <v>307</v>
      </c>
      <c r="I650" s="106" t="s">
        <v>595</v>
      </c>
      <c r="J650" s="106" t="s">
        <v>2451</v>
      </c>
    </row>
    <row r="651" spans="1:10" x14ac:dyDescent="0.2">
      <c r="A651" s="106" t="s">
        <v>592</v>
      </c>
      <c r="B651" s="106" t="s">
        <v>277</v>
      </c>
      <c r="C651" s="106" t="s">
        <v>278</v>
      </c>
      <c r="D651" s="106" t="s">
        <v>279</v>
      </c>
      <c r="E651">
        <v>1824</v>
      </c>
      <c r="F651" s="106" t="s">
        <v>596</v>
      </c>
      <c r="G651" s="106" t="s">
        <v>280</v>
      </c>
      <c r="H651" s="106" t="s">
        <v>307</v>
      </c>
      <c r="I651" s="106" t="s">
        <v>303</v>
      </c>
      <c r="J651" s="106" t="s">
        <v>2452</v>
      </c>
    </row>
    <row r="652" spans="1:10" x14ac:dyDescent="0.2">
      <c r="A652" s="106" t="s">
        <v>592</v>
      </c>
      <c r="B652" s="106" t="s">
        <v>277</v>
      </c>
      <c r="C652" s="106" t="s">
        <v>278</v>
      </c>
      <c r="D652" s="106" t="s">
        <v>279</v>
      </c>
      <c r="E652">
        <v>1860</v>
      </c>
      <c r="F652" s="106" t="s">
        <v>597</v>
      </c>
      <c r="G652" s="106" t="s">
        <v>280</v>
      </c>
      <c r="H652" s="106" t="s">
        <v>307</v>
      </c>
      <c r="I652" t="s">
        <v>303</v>
      </c>
      <c r="J652" t="s">
        <v>2453</v>
      </c>
    </row>
    <row r="653" spans="1:10" x14ac:dyDescent="0.2">
      <c r="A653" s="106" t="s">
        <v>592</v>
      </c>
      <c r="B653" s="106" t="s">
        <v>277</v>
      </c>
      <c r="C653" s="106" t="s">
        <v>278</v>
      </c>
      <c r="D653" s="106" t="s">
        <v>279</v>
      </c>
      <c r="E653">
        <v>1893</v>
      </c>
      <c r="F653" s="106" t="s">
        <v>2130</v>
      </c>
      <c r="G653" s="106" t="s">
        <v>280</v>
      </c>
      <c r="H653" s="106" t="s">
        <v>307</v>
      </c>
      <c r="I653" t="s">
        <v>311</v>
      </c>
      <c r="J653" t="s">
        <v>2262</v>
      </c>
    </row>
    <row r="654" spans="1:10" x14ac:dyDescent="0.2">
      <c r="A654" s="106" t="s">
        <v>592</v>
      </c>
      <c r="B654" s="106" t="s">
        <v>277</v>
      </c>
      <c r="C654" s="106" t="s">
        <v>278</v>
      </c>
      <c r="D654" s="106" t="s">
        <v>279</v>
      </c>
      <c r="E654">
        <v>1964</v>
      </c>
      <c r="F654" s="106" t="s">
        <v>598</v>
      </c>
      <c r="G654" s="106" t="s">
        <v>280</v>
      </c>
      <c r="H654" s="106" t="s">
        <v>307</v>
      </c>
      <c r="I654">
        <v>146</v>
      </c>
    </row>
    <row r="655" spans="1:10" x14ac:dyDescent="0.2">
      <c r="A655" s="106" t="s">
        <v>592</v>
      </c>
      <c r="B655" s="106" t="s">
        <v>277</v>
      </c>
      <c r="C655" s="106" t="s">
        <v>278</v>
      </c>
      <c r="D655" s="106" t="s">
        <v>279</v>
      </c>
      <c r="E655">
        <v>2108</v>
      </c>
      <c r="F655" s="106" t="s">
        <v>599</v>
      </c>
      <c r="G655" s="106" t="s">
        <v>280</v>
      </c>
      <c r="H655" s="106" t="s">
        <v>281</v>
      </c>
      <c r="I655">
        <v>308</v>
      </c>
    </row>
    <row r="656" spans="1:10" x14ac:dyDescent="0.2">
      <c r="A656" s="106" t="s">
        <v>592</v>
      </c>
      <c r="B656" s="106" t="s">
        <v>277</v>
      </c>
      <c r="C656" s="106" t="s">
        <v>278</v>
      </c>
      <c r="D656" s="106" t="s">
        <v>279</v>
      </c>
      <c r="E656">
        <v>2173</v>
      </c>
      <c r="F656" s="106" t="s">
        <v>745</v>
      </c>
      <c r="G656" s="106" t="s">
        <v>284</v>
      </c>
      <c r="H656" s="106" t="s">
        <v>285</v>
      </c>
      <c r="I656">
        <v>56</v>
      </c>
    </row>
    <row r="657" spans="1:10" x14ac:dyDescent="0.2">
      <c r="A657" s="106" t="s">
        <v>592</v>
      </c>
      <c r="B657" s="106" t="s">
        <v>277</v>
      </c>
      <c r="C657" s="106" t="s">
        <v>289</v>
      </c>
      <c r="D657" s="106" t="s">
        <v>279</v>
      </c>
      <c r="E657">
        <v>2180</v>
      </c>
      <c r="F657" s="106" t="s">
        <v>600</v>
      </c>
      <c r="G657" s="106" t="s">
        <v>280</v>
      </c>
      <c r="H657" s="106" t="s">
        <v>285</v>
      </c>
      <c r="I657">
        <v>168</v>
      </c>
    </row>
    <row r="658" spans="1:10" x14ac:dyDescent="0.2">
      <c r="A658" s="106" t="s">
        <v>592</v>
      </c>
      <c r="B658" s="106" t="s">
        <v>277</v>
      </c>
      <c r="C658" s="106" t="s">
        <v>278</v>
      </c>
      <c r="D658" s="106" t="s">
        <v>279</v>
      </c>
      <c r="E658">
        <v>2288</v>
      </c>
      <c r="F658" s="106" t="s">
        <v>601</v>
      </c>
      <c r="G658" s="106" t="s">
        <v>280</v>
      </c>
      <c r="H658" s="106" t="s">
        <v>281</v>
      </c>
      <c r="I658">
        <v>617</v>
      </c>
    </row>
    <row r="659" spans="1:10" x14ac:dyDescent="0.2">
      <c r="A659" s="106" t="s">
        <v>592</v>
      </c>
      <c r="B659" s="106" t="s">
        <v>277</v>
      </c>
      <c r="C659" s="106" t="s">
        <v>278</v>
      </c>
      <c r="D659" s="106" t="s">
        <v>279</v>
      </c>
      <c r="E659">
        <v>2349</v>
      </c>
      <c r="F659" s="106" t="s">
        <v>746</v>
      </c>
      <c r="G659" s="106" t="s">
        <v>284</v>
      </c>
      <c r="H659" s="106" t="s">
        <v>291</v>
      </c>
      <c r="I659">
        <v>183</v>
      </c>
    </row>
    <row r="660" spans="1:10" x14ac:dyDescent="0.2">
      <c r="A660" s="106" t="s">
        <v>592</v>
      </c>
      <c r="B660" s="106" t="s">
        <v>277</v>
      </c>
      <c r="C660" s="106" t="s">
        <v>278</v>
      </c>
      <c r="D660" s="106" t="s">
        <v>279</v>
      </c>
      <c r="E660">
        <v>2454</v>
      </c>
      <c r="F660" s="106" t="s">
        <v>844</v>
      </c>
      <c r="G660" s="106" t="s">
        <v>284</v>
      </c>
      <c r="H660" s="106" t="s">
        <v>285</v>
      </c>
      <c r="I660">
        <v>94</v>
      </c>
    </row>
    <row r="661" spans="1:10" x14ac:dyDescent="0.2">
      <c r="A661" s="106" t="s">
        <v>592</v>
      </c>
      <c r="B661" s="106" t="s">
        <v>277</v>
      </c>
      <c r="C661" s="106" t="s">
        <v>287</v>
      </c>
      <c r="D661" s="106" t="s">
        <v>279</v>
      </c>
      <c r="E661">
        <v>2675</v>
      </c>
      <c r="F661" s="106" t="s">
        <v>602</v>
      </c>
      <c r="G661" s="106" t="s">
        <v>288</v>
      </c>
      <c r="H661" s="106" t="s">
        <v>290</v>
      </c>
      <c r="I661" s="106">
        <v>120</v>
      </c>
      <c r="J661" s="106"/>
    </row>
    <row r="662" spans="1:10" x14ac:dyDescent="0.2">
      <c r="A662" s="106" t="s">
        <v>592</v>
      </c>
      <c r="B662" s="106" t="s">
        <v>277</v>
      </c>
      <c r="C662" s="106" t="s">
        <v>278</v>
      </c>
      <c r="D662" s="106" t="s">
        <v>279</v>
      </c>
      <c r="E662">
        <v>2733</v>
      </c>
      <c r="F662" s="106" t="s">
        <v>845</v>
      </c>
      <c r="G662" s="106" t="s">
        <v>280</v>
      </c>
      <c r="H662" s="106" t="s">
        <v>286</v>
      </c>
      <c r="I662">
        <v>840</v>
      </c>
    </row>
    <row r="663" spans="1:10" x14ac:dyDescent="0.2">
      <c r="A663" s="106" t="s">
        <v>592</v>
      </c>
      <c r="B663" s="106" t="s">
        <v>277</v>
      </c>
      <c r="C663" s="106" t="s">
        <v>278</v>
      </c>
      <c r="D663" s="106" t="s">
        <v>279</v>
      </c>
      <c r="E663">
        <v>2768</v>
      </c>
      <c r="F663" s="106" t="s">
        <v>846</v>
      </c>
      <c r="G663" s="106" t="s">
        <v>280</v>
      </c>
      <c r="H663" s="106" t="s">
        <v>286</v>
      </c>
      <c r="I663" t="s">
        <v>330</v>
      </c>
      <c r="J663" t="s">
        <v>2454</v>
      </c>
    </row>
    <row r="664" spans="1:10" x14ac:dyDescent="0.2">
      <c r="A664" s="106" t="s">
        <v>592</v>
      </c>
      <c r="B664" s="106" t="s">
        <v>277</v>
      </c>
      <c r="C664" s="106" t="s">
        <v>278</v>
      </c>
      <c r="D664" s="106" t="s">
        <v>279</v>
      </c>
      <c r="E664">
        <v>2812</v>
      </c>
      <c r="F664" s="106" t="s">
        <v>847</v>
      </c>
      <c r="G664" s="106" t="s">
        <v>280</v>
      </c>
      <c r="H664" s="106" t="s">
        <v>281</v>
      </c>
      <c r="I664">
        <v>136</v>
      </c>
    </row>
    <row r="665" spans="1:10" x14ac:dyDescent="0.2">
      <c r="A665" s="106" t="s">
        <v>592</v>
      </c>
      <c r="B665" s="106" t="s">
        <v>277</v>
      </c>
      <c r="C665" s="106" t="s">
        <v>278</v>
      </c>
      <c r="D665" s="106" t="s">
        <v>279</v>
      </c>
      <c r="E665">
        <v>2899</v>
      </c>
      <c r="F665" s="106" t="s">
        <v>2131</v>
      </c>
      <c r="G665" s="106" t="s">
        <v>280</v>
      </c>
      <c r="H665" s="106" t="s">
        <v>281</v>
      </c>
      <c r="I665">
        <v>415</v>
      </c>
    </row>
    <row r="666" spans="1:10" x14ac:dyDescent="0.2">
      <c r="A666" s="106" t="s">
        <v>592</v>
      </c>
      <c r="B666" s="106" t="s">
        <v>277</v>
      </c>
      <c r="C666" s="106" t="s">
        <v>278</v>
      </c>
      <c r="D666" s="106" t="s">
        <v>279</v>
      </c>
      <c r="E666">
        <v>2903</v>
      </c>
      <c r="F666" s="106" t="s">
        <v>848</v>
      </c>
      <c r="G666" s="106" t="s">
        <v>288</v>
      </c>
      <c r="H666" s="106" t="s">
        <v>281</v>
      </c>
      <c r="I666">
        <v>94</v>
      </c>
    </row>
    <row r="667" spans="1:10" x14ac:dyDescent="0.2">
      <c r="A667" s="106" t="s">
        <v>592</v>
      </c>
      <c r="B667" s="106" t="s">
        <v>277</v>
      </c>
      <c r="C667" s="106" t="s">
        <v>278</v>
      </c>
      <c r="D667" s="106" t="s">
        <v>279</v>
      </c>
      <c r="E667">
        <v>2915</v>
      </c>
      <c r="F667" s="106" t="s">
        <v>849</v>
      </c>
      <c r="G667" s="106" t="s">
        <v>280</v>
      </c>
      <c r="H667" s="106" t="s">
        <v>281</v>
      </c>
      <c r="I667" s="106">
        <v>411</v>
      </c>
      <c r="J667" s="106"/>
    </row>
    <row r="668" spans="1:10" x14ac:dyDescent="0.2">
      <c r="A668" s="106" t="s">
        <v>592</v>
      </c>
      <c r="B668" s="106" t="s">
        <v>277</v>
      </c>
      <c r="C668" s="106" t="s">
        <v>278</v>
      </c>
      <c r="D668" s="106" t="s">
        <v>279</v>
      </c>
      <c r="E668">
        <v>3284</v>
      </c>
      <c r="F668" s="106" t="s">
        <v>850</v>
      </c>
      <c r="G668" s="106" t="s">
        <v>280</v>
      </c>
      <c r="H668" s="106" t="s">
        <v>306</v>
      </c>
      <c r="I668" s="106">
        <v>421</v>
      </c>
      <c r="J668" s="106"/>
    </row>
    <row r="669" spans="1:10" x14ac:dyDescent="0.2">
      <c r="A669" s="106" t="s">
        <v>592</v>
      </c>
      <c r="B669" s="106" t="s">
        <v>277</v>
      </c>
      <c r="C669" s="106" t="s">
        <v>278</v>
      </c>
      <c r="D669" s="106" t="s">
        <v>279</v>
      </c>
      <c r="E669">
        <v>3289</v>
      </c>
      <c r="F669" s="106" t="s">
        <v>851</v>
      </c>
      <c r="G669" s="106" t="s">
        <v>280</v>
      </c>
      <c r="H669" s="106" t="s">
        <v>306</v>
      </c>
      <c r="I669" t="s">
        <v>297</v>
      </c>
      <c r="J669" t="s">
        <v>2455</v>
      </c>
    </row>
    <row r="670" spans="1:10" x14ac:dyDescent="0.2">
      <c r="A670" s="106" t="s">
        <v>592</v>
      </c>
      <c r="B670" s="106" t="s">
        <v>277</v>
      </c>
      <c r="C670" s="106" t="s">
        <v>278</v>
      </c>
      <c r="D670" s="106" t="s">
        <v>279</v>
      </c>
      <c r="E670">
        <v>3401</v>
      </c>
      <c r="F670" s="106" t="s">
        <v>852</v>
      </c>
      <c r="G670" s="106" t="s">
        <v>280</v>
      </c>
      <c r="H670" s="106" t="s">
        <v>313</v>
      </c>
      <c r="I670" t="s">
        <v>330</v>
      </c>
      <c r="J670" t="s">
        <v>2456</v>
      </c>
    </row>
    <row r="671" spans="1:10" x14ac:dyDescent="0.2">
      <c r="A671" s="106" t="s">
        <v>592</v>
      </c>
      <c r="B671" s="106" t="s">
        <v>277</v>
      </c>
      <c r="C671" s="106" t="s">
        <v>278</v>
      </c>
      <c r="D671" s="106" t="s">
        <v>279</v>
      </c>
      <c r="E671">
        <v>3447</v>
      </c>
      <c r="F671" s="106" t="s">
        <v>603</v>
      </c>
      <c r="G671" s="106" t="s">
        <v>280</v>
      </c>
      <c r="H671" s="106" t="s">
        <v>295</v>
      </c>
      <c r="I671">
        <v>155</v>
      </c>
    </row>
    <row r="672" spans="1:10" x14ac:dyDescent="0.2">
      <c r="A672" s="106" t="s">
        <v>592</v>
      </c>
      <c r="B672" s="106" t="s">
        <v>277</v>
      </c>
      <c r="C672" s="106" t="s">
        <v>287</v>
      </c>
      <c r="D672" s="106" t="s">
        <v>279</v>
      </c>
      <c r="E672">
        <v>3449</v>
      </c>
      <c r="F672" s="106" t="s">
        <v>2132</v>
      </c>
      <c r="G672" s="106" t="s">
        <v>288</v>
      </c>
      <c r="H672" s="106" t="s">
        <v>295</v>
      </c>
      <c r="I672">
        <v>266</v>
      </c>
    </row>
    <row r="673" spans="1:10" x14ac:dyDescent="0.2">
      <c r="A673" s="106" t="s">
        <v>592</v>
      </c>
      <c r="B673" s="106" t="s">
        <v>277</v>
      </c>
      <c r="C673" s="106" t="s">
        <v>278</v>
      </c>
      <c r="D673" s="106" t="s">
        <v>283</v>
      </c>
      <c r="E673">
        <v>3467</v>
      </c>
      <c r="F673" s="106" t="s">
        <v>605</v>
      </c>
      <c r="G673" s="106" t="s">
        <v>280</v>
      </c>
      <c r="H673" s="106" t="s">
        <v>306</v>
      </c>
      <c r="I673">
        <v>31</v>
      </c>
    </row>
    <row r="674" spans="1:10" x14ac:dyDescent="0.2">
      <c r="A674" s="106" t="s">
        <v>592</v>
      </c>
      <c r="B674" s="106" t="s">
        <v>277</v>
      </c>
      <c r="C674" s="106" t="s">
        <v>278</v>
      </c>
      <c r="D674" s="106" t="s">
        <v>279</v>
      </c>
      <c r="E674">
        <v>3571</v>
      </c>
      <c r="F674" s="106" t="s">
        <v>853</v>
      </c>
      <c r="G674" s="106" t="s">
        <v>280</v>
      </c>
      <c r="H674" s="106" t="s">
        <v>313</v>
      </c>
      <c r="I674">
        <v>136</v>
      </c>
    </row>
    <row r="675" spans="1:10" x14ac:dyDescent="0.2">
      <c r="A675" s="106" t="s">
        <v>592</v>
      </c>
      <c r="B675" s="106" t="s">
        <v>277</v>
      </c>
      <c r="C675" s="106" t="s">
        <v>278</v>
      </c>
      <c r="D675" s="106" t="s">
        <v>279</v>
      </c>
      <c r="E675">
        <v>3600</v>
      </c>
      <c r="F675" s="106" t="s">
        <v>854</v>
      </c>
      <c r="G675" s="106" t="s">
        <v>288</v>
      </c>
      <c r="H675" s="106" t="s">
        <v>313</v>
      </c>
      <c r="I675" s="106">
        <v>27</v>
      </c>
      <c r="J675" s="106"/>
    </row>
    <row r="676" spans="1:10" x14ac:dyDescent="0.2">
      <c r="A676" s="106" t="s">
        <v>592</v>
      </c>
      <c r="B676" s="106" t="s">
        <v>277</v>
      </c>
      <c r="C676" s="106" t="s">
        <v>278</v>
      </c>
      <c r="D676" s="106" t="s">
        <v>279</v>
      </c>
      <c r="E676">
        <v>3622</v>
      </c>
      <c r="F676" s="106" t="s">
        <v>855</v>
      </c>
      <c r="G676" s="106" t="s">
        <v>292</v>
      </c>
      <c r="H676" s="106" t="s">
        <v>291</v>
      </c>
      <c r="I676">
        <v>42</v>
      </c>
    </row>
    <row r="677" spans="1:10" x14ac:dyDescent="0.2">
      <c r="A677" s="106" t="s">
        <v>592</v>
      </c>
      <c r="B677" s="106" t="s">
        <v>277</v>
      </c>
      <c r="C677" s="106" t="s">
        <v>278</v>
      </c>
      <c r="D677" s="106" t="s">
        <v>279</v>
      </c>
      <c r="E677">
        <v>3626</v>
      </c>
      <c r="F677" s="106" t="s">
        <v>856</v>
      </c>
      <c r="G677" s="106" t="s">
        <v>280</v>
      </c>
      <c r="H677" s="106" t="s">
        <v>291</v>
      </c>
      <c r="I677" t="s">
        <v>297</v>
      </c>
      <c r="J677" t="s">
        <v>2457</v>
      </c>
    </row>
    <row r="678" spans="1:10" x14ac:dyDescent="0.2">
      <c r="A678" s="106" t="s">
        <v>592</v>
      </c>
      <c r="B678" s="106" t="s">
        <v>277</v>
      </c>
      <c r="C678" s="106" t="s">
        <v>278</v>
      </c>
      <c r="D678" s="106" t="s">
        <v>283</v>
      </c>
      <c r="E678">
        <v>3741</v>
      </c>
      <c r="F678" s="106" t="s">
        <v>857</v>
      </c>
      <c r="G678" s="106" t="s">
        <v>280</v>
      </c>
      <c r="H678" s="106" t="s">
        <v>291</v>
      </c>
      <c r="I678">
        <v>195</v>
      </c>
    </row>
    <row r="679" spans="1:10" x14ac:dyDescent="0.2">
      <c r="A679" s="106" t="s">
        <v>592</v>
      </c>
      <c r="B679" s="106" t="s">
        <v>277</v>
      </c>
      <c r="C679" s="106" t="s">
        <v>278</v>
      </c>
      <c r="D679" s="106" t="s">
        <v>279</v>
      </c>
      <c r="E679">
        <v>3943</v>
      </c>
      <c r="F679" s="106" t="s">
        <v>606</v>
      </c>
      <c r="G679" s="106" t="s">
        <v>485</v>
      </c>
      <c r="H679" s="106" t="s">
        <v>314</v>
      </c>
      <c r="I679">
        <v>84</v>
      </c>
    </row>
    <row r="680" spans="1:10" x14ac:dyDescent="0.2">
      <c r="A680" s="106" t="s">
        <v>592</v>
      </c>
      <c r="B680" s="106" t="s">
        <v>277</v>
      </c>
      <c r="C680" s="106" t="s">
        <v>278</v>
      </c>
      <c r="D680" s="106" t="s">
        <v>279</v>
      </c>
      <c r="E680">
        <v>4046</v>
      </c>
      <c r="F680" s="106" t="s">
        <v>607</v>
      </c>
      <c r="G680" s="106" t="s">
        <v>280</v>
      </c>
      <c r="H680" s="106" t="s">
        <v>293</v>
      </c>
      <c r="I680" s="106">
        <v>850</v>
      </c>
      <c r="J680" s="106"/>
    </row>
    <row r="681" spans="1:10" x14ac:dyDescent="0.2">
      <c r="A681" s="106" t="s">
        <v>592</v>
      </c>
      <c r="B681" s="106" t="s">
        <v>277</v>
      </c>
      <c r="C681" s="106" t="s">
        <v>278</v>
      </c>
      <c r="D681" s="106" t="s">
        <v>283</v>
      </c>
      <c r="E681">
        <v>4080</v>
      </c>
      <c r="F681" s="106" t="s">
        <v>608</v>
      </c>
      <c r="G681" s="106" t="s">
        <v>284</v>
      </c>
      <c r="H681" s="106" t="s">
        <v>293</v>
      </c>
      <c r="I681">
        <v>294</v>
      </c>
    </row>
    <row r="682" spans="1:10" x14ac:dyDescent="0.2">
      <c r="A682" s="106" t="s">
        <v>592</v>
      </c>
      <c r="B682" s="106" t="s">
        <v>277</v>
      </c>
      <c r="C682" s="106" t="s">
        <v>278</v>
      </c>
      <c r="D682" s="106" t="s">
        <v>279</v>
      </c>
      <c r="E682">
        <v>4203</v>
      </c>
      <c r="F682" s="106" t="s">
        <v>2133</v>
      </c>
      <c r="G682" s="106" t="s">
        <v>280</v>
      </c>
      <c r="H682" s="106" t="s">
        <v>293</v>
      </c>
      <c r="I682" t="s">
        <v>303</v>
      </c>
      <c r="J682" t="s">
        <v>2458</v>
      </c>
    </row>
    <row r="683" spans="1:10" x14ac:dyDescent="0.2">
      <c r="A683" s="106" t="s">
        <v>592</v>
      </c>
      <c r="B683" s="106" t="s">
        <v>277</v>
      </c>
      <c r="C683" s="106" t="s">
        <v>282</v>
      </c>
      <c r="D683" s="106" t="s">
        <v>283</v>
      </c>
      <c r="E683">
        <v>4447</v>
      </c>
      <c r="F683" s="106" t="s">
        <v>609</v>
      </c>
      <c r="G683" s="106" t="s">
        <v>485</v>
      </c>
      <c r="H683" s="106" t="s">
        <v>291</v>
      </c>
      <c r="I683">
        <v>27</v>
      </c>
    </row>
    <row r="684" spans="1:10" x14ac:dyDescent="0.2">
      <c r="A684" s="106" t="s">
        <v>592</v>
      </c>
      <c r="B684" s="106" t="s">
        <v>277</v>
      </c>
      <c r="C684" s="106" t="s">
        <v>278</v>
      </c>
      <c r="D684" s="106" t="s">
        <v>279</v>
      </c>
      <c r="E684">
        <v>4548</v>
      </c>
      <c r="F684" s="106" t="s">
        <v>610</v>
      </c>
      <c r="G684" s="106" t="s">
        <v>280</v>
      </c>
      <c r="H684" s="106" t="s">
        <v>325</v>
      </c>
      <c r="I684">
        <v>707</v>
      </c>
    </row>
    <row r="685" spans="1:10" x14ac:dyDescent="0.2">
      <c r="A685" s="106" t="s">
        <v>592</v>
      </c>
      <c r="B685" s="106" t="s">
        <v>277</v>
      </c>
      <c r="C685" s="106" t="s">
        <v>278</v>
      </c>
      <c r="D685" s="106" t="s">
        <v>279</v>
      </c>
      <c r="E685">
        <v>5192</v>
      </c>
      <c r="F685" s="106" t="s">
        <v>611</v>
      </c>
      <c r="G685" s="106" t="s">
        <v>280</v>
      </c>
      <c r="H685" s="106" t="s">
        <v>612</v>
      </c>
      <c r="I685">
        <v>702</v>
      </c>
    </row>
    <row r="686" spans="1:10" x14ac:dyDescent="0.2">
      <c r="A686" s="106" t="s">
        <v>592</v>
      </c>
      <c r="B686" s="106" t="s">
        <v>277</v>
      </c>
      <c r="C686" s="106" t="s">
        <v>278</v>
      </c>
      <c r="D686" s="106" t="s">
        <v>279</v>
      </c>
      <c r="E686">
        <v>5964</v>
      </c>
      <c r="F686" s="106" t="s">
        <v>613</v>
      </c>
      <c r="G686" s="106" t="s">
        <v>288</v>
      </c>
      <c r="H686" s="106" t="s">
        <v>295</v>
      </c>
      <c r="I686">
        <v>22</v>
      </c>
    </row>
    <row r="687" spans="1:10" x14ac:dyDescent="0.2">
      <c r="A687" s="106" t="s">
        <v>592</v>
      </c>
      <c r="B687" s="106" t="s">
        <v>277</v>
      </c>
      <c r="C687" s="106" t="s">
        <v>278</v>
      </c>
      <c r="D687" s="106" t="s">
        <v>279</v>
      </c>
      <c r="E687">
        <v>5989</v>
      </c>
      <c r="F687" s="106" t="s">
        <v>614</v>
      </c>
      <c r="G687" s="106" t="s">
        <v>280</v>
      </c>
      <c r="H687" s="106" t="s">
        <v>295</v>
      </c>
      <c r="I687">
        <v>240</v>
      </c>
    </row>
    <row r="688" spans="1:10" x14ac:dyDescent="0.2">
      <c r="A688" s="106" t="s">
        <v>592</v>
      </c>
      <c r="B688" s="106" t="s">
        <v>277</v>
      </c>
      <c r="C688" s="106" t="s">
        <v>278</v>
      </c>
      <c r="D688" s="106" t="s">
        <v>279</v>
      </c>
      <c r="E688">
        <v>6240</v>
      </c>
      <c r="F688" s="106" t="s">
        <v>615</v>
      </c>
      <c r="G688" s="106" t="s">
        <v>280</v>
      </c>
      <c r="H688" s="106" t="s">
        <v>301</v>
      </c>
      <c r="I688">
        <v>603</v>
      </c>
    </row>
    <row r="689" spans="1:10" x14ac:dyDescent="0.2">
      <c r="A689" s="106" t="s">
        <v>592</v>
      </c>
      <c r="B689" s="106" t="s">
        <v>277</v>
      </c>
      <c r="C689" s="106" t="s">
        <v>278</v>
      </c>
      <c r="D689" s="106" t="s">
        <v>279</v>
      </c>
      <c r="E689">
        <v>6282</v>
      </c>
      <c r="F689" s="106" t="s">
        <v>2134</v>
      </c>
      <c r="G689" s="106" t="s">
        <v>280</v>
      </c>
      <c r="H689" s="106" t="s">
        <v>301</v>
      </c>
      <c r="I689">
        <v>575</v>
      </c>
    </row>
    <row r="690" spans="1:10" x14ac:dyDescent="0.2">
      <c r="A690" s="106" t="s">
        <v>592</v>
      </c>
      <c r="B690" s="106" t="s">
        <v>277</v>
      </c>
      <c r="C690" s="106" t="s">
        <v>287</v>
      </c>
      <c r="D690" s="106" t="s">
        <v>279</v>
      </c>
      <c r="E690">
        <v>6537</v>
      </c>
      <c r="F690" s="106" t="s">
        <v>616</v>
      </c>
      <c r="G690" s="106" t="s">
        <v>292</v>
      </c>
      <c r="H690" s="106" t="s">
        <v>285</v>
      </c>
      <c r="I690">
        <v>61</v>
      </c>
    </row>
    <row r="691" spans="1:10" x14ac:dyDescent="0.2">
      <c r="A691" s="106" t="s">
        <v>592</v>
      </c>
      <c r="B691" s="106" t="s">
        <v>277</v>
      </c>
      <c r="C691" s="106" t="s">
        <v>289</v>
      </c>
      <c r="D691" s="106" t="s">
        <v>279</v>
      </c>
      <c r="E691">
        <v>6662</v>
      </c>
      <c r="F691" s="106" t="s">
        <v>747</v>
      </c>
      <c r="G691" s="106" t="s">
        <v>284</v>
      </c>
      <c r="H691" s="106" t="s">
        <v>305</v>
      </c>
      <c r="I691">
        <v>43</v>
      </c>
    </row>
    <row r="692" spans="1:10" x14ac:dyDescent="0.2">
      <c r="A692" s="106" t="s">
        <v>592</v>
      </c>
      <c r="B692" s="106" t="s">
        <v>277</v>
      </c>
      <c r="C692" s="106" t="s">
        <v>278</v>
      </c>
      <c r="D692" s="106" t="s">
        <v>279</v>
      </c>
      <c r="E692">
        <v>6832</v>
      </c>
      <c r="F692" s="106" t="s">
        <v>617</v>
      </c>
      <c r="G692" s="106" t="s">
        <v>288</v>
      </c>
      <c r="H692" s="106" t="s">
        <v>305</v>
      </c>
      <c r="I692" s="106">
        <v>330</v>
      </c>
      <c r="J692" s="106"/>
    </row>
    <row r="693" spans="1:10" x14ac:dyDescent="0.2">
      <c r="A693" s="106" t="s">
        <v>592</v>
      </c>
      <c r="B693" s="106" t="s">
        <v>277</v>
      </c>
      <c r="C693" s="106" t="s">
        <v>278</v>
      </c>
      <c r="D693" s="106" t="s">
        <v>279</v>
      </c>
      <c r="E693">
        <v>7057</v>
      </c>
      <c r="F693" s="106" t="s">
        <v>618</v>
      </c>
      <c r="G693" s="106" t="s">
        <v>284</v>
      </c>
      <c r="H693" s="106" t="s">
        <v>285</v>
      </c>
      <c r="I693" s="106">
        <v>37</v>
      </c>
      <c r="J693" s="106"/>
    </row>
    <row r="694" spans="1:10" x14ac:dyDescent="0.2">
      <c r="A694" s="106" t="s">
        <v>592</v>
      </c>
      <c r="B694" s="106" t="s">
        <v>277</v>
      </c>
      <c r="C694" s="106" t="s">
        <v>278</v>
      </c>
      <c r="D694" s="106" t="s">
        <v>283</v>
      </c>
      <c r="E694">
        <v>7164</v>
      </c>
      <c r="F694" s="106" t="s">
        <v>619</v>
      </c>
      <c r="G694" s="106" t="s">
        <v>280</v>
      </c>
      <c r="H694" s="106" t="s">
        <v>316</v>
      </c>
      <c r="I694" s="106" t="s">
        <v>364</v>
      </c>
      <c r="J694" s="106" t="s">
        <v>2381</v>
      </c>
    </row>
    <row r="695" spans="1:10" x14ac:dyDescent="0.2">
      <c r="A695" s="106" t="s">
        <v>592</v>
      </c>
      <c r="B695" s="106" t="s">
        <v>277</v>
      </c>
      <c r="C695" s="106" t="s">
        <v>278</v>
      </c>
      <c r="D695" s="106" t="s">
        <v>279</v>
      </c>
      <c r="E695">
        <v>7259</v>
      </c>
      <c r="F695" s="106" t="s">
        <v>621</v>
      </c>
      <c r="G695" s="106" t="s">
        <v>280</v>
      </c>
      <c r="H695" s="106" t="s">
        <v>310</v>
      </c>
      <c r="I695" t="s">
        <v>622</v>
      </c>
      <c r="J695" t="s">
        <v>2459</v>
      </c>
    </row>
    <row r="696" spans="1:10" x14ac:dyDescent="0.2">
      <c r="A696" s="106" t="s">
        <v>592</v>
      </c>
      <c r="B696" s="106" t="s">
        <v>277</v>
      </c>
      <c r="C696" s="106" t="s">
        <v>278</v>
      </c>
      <c r="D696" s="106" t="s">
        <v>279</v>
      </c>
      <c r="E696">
        <v>7702</v>
      </c>
      <c r="F696" s="106" t="s">
        <v>624</v>
      </c>
      <c r="G696" s="106" t="s">
        <v>280</v>
      </c>
      <c r="H696" s="106" t="s">
        <v>391</v>
      </c>
      <c r="I696">
        <v>207</v>
      </c>
    </row>
    <row r="697" spans="1:10" x14ac:dyDescent="0.2">
      <c r="A697" s="106" t="s">
        <v>592</v>
      </c>
      <c r="B697" s="106" t="s">
        <v>277</v>
      </c>
      <c r="C697" s="106" t="s">
        <v>289</v>
      </c>
      <c r="D697" s="106" t="s">
        <v>279</v>
      </c>
      <c r="E697">
        <v>7813</v>
      </c>
      <c r="F697" s="106" t="s">
        <v>625</v>
      </c>
      <c r="G697" s="106" t="s">
        <v>292</v>
      </c>
      <c r="H697" s="106" t="s">
        <v>302</v>
      </c>
      <c r="I697">
        <v>69</v>
      </c>
    </row>
    <row r="698" spans="1:10" x14ac:dyDescent="0.2">
      <c r="A698" s="106" t="s">
        <v>592</v>
      </c>
      <c r="B698" s="106" t="s">
        <v>277</v>
      </c>
      <c r="C698" s="106" t="s">
        <v>287</v>
      </c>
      <c r="D698" s="106" t="s">
        <v>279</v>
      </c>
      <c r="E698">
        <v>7963</v>
      </c>
      <c r="F698" s="106" t="s">
        <v>626</v>
      </c>
      <c r="G698" s="106" t="s">
        <v>284</v>
      </c>
      <c r="H698" s="106" t="s">
        <v>302</v>
      </c>
      <c r="I698">
        <v>69</v>
      </c>
    </row>
    <row r="699" spans="1:10" x14ac:dyDescent="0.2">
      <c r="A699" s="106" t="s">
        <v>592</v>
      </c>
      <c r="B699" s="106" t="s">
        <v>277</v>
      </c>
      <c r="C699" s="106" t="s">
        <v>278</v>
      </c>
      <c r="D699" s="106" t="s">
        <v>279</v>
      </c>
      <c r="E699">
        <v>7971</v>
      </c>
      <c r="F699" s="106" t="s">
        <v>2135</v>
      </c>
      <c r="G699" s="106" t="s">
        <v>280</v>
      </c>
      <c r="H699" s="106" t="s">
        <v>293</v>
      </c>
      <c r="I699">
        <v>221</v>
      </c>
    </row>
    <row r="700" spans="1:10" x14ac:dyDescent="0.2">
      <c r="A700" s="106" t="s">
        <v>592</v>
      </c>
      <c r="B700" s="106" t="s">
        <v>277</v>
      </c>
      <c r="C700" s="106" t="s">
        <v>278</v>
      </c>
      <c r="D700" s="106" t="s">
        <v>279</v>
      </c>
      <c r="E700">
        <v>8138</v>
      </c>
      <c r="F700" s="106" t="s">
        <v>627</v>
      </c>
      <c r="G700" s="106" t="s">
        <v>288</v>
      </c>
      <c r="H700" s="106" t="s">
        <v>286</v>
      </c>
      <c r="I700">
        <v>42</v>
      </c>
    </row>
    <row r="701" spans="1:10" x14ac:dyDescent="0.2">
      <c r="A701" s="106" t="s">
        <v>592</v>
      </c>
      <c r="B701" s="106" t="s">
        <v>277</v>
      </c>
      <c r="C701" s="106" t="s">
        <v>278</v>
      </c>
      <c r="D701" s="106" t="s">
        <v>279</v>
      </c>
      <c r="E701">
        <v>8153</v>
      </c>
      <c r="F701" s="106" t="s">
        <v>628</v>
      </c>
      <c r="G701" s="106" t="s">
        <v>280</v>
      </c>
      <c r="H701" s="106" t="s">
        <v>286</v>
      </c>
      <c r="I701">
        <v>978</v>
      </c>
    </row>
    <row r="702" spans="1:10" x14ac:dyDescent="0.2">
      <c r="A702" s="106" t="s">
        <v>592</v>
      </c>
      <c r="B702" s="106" t="s">
        <v>277</v>
      </c>
      <c r="C702" s="106" t="s">
        <v>278</v>
      </c>
      <c r="D702" s="106" t="s">
        <v>279</v>
      </c>
      <c r="E702">
        <v>8226</v>
      </c>
      <c r="F702" s="106" t="s">
        <v>629</v>
      </c>
      <c r="G702" s="106" t="s">
        <v>288</v>
      </c>
      <c r="H702" s="106" t="s">
        <v>286</v>
      </c>
      <c r="I702">
        <v>29</v>
      </c>
    </row>
    <row r="703" spans="1:10" x14ac:dyDescent="0.2">
      <c r="A703" s="106" t="s">
        <v>592</v>
      </c>
      <c r="B703" s="106" t="s">
        <v>277</v>
      </c>
      <c r="C703" s="106" t="s">
        <v>278</v>
      </c>
      <c r="D703" s="106" t="s">
        <v>279</v>
      </c>
      <c r="E703">
        <v>8281</v>
      </c>
      <c r="F703" s="106" t="s">
        <v>630</v>
      </c>
      <c r="G703" s="106" t="s">
        <v>280</v>
      </c>
      <c r="H703" s="106" t="s">
        <v>290</v>
      </c>
      <c r="I703" s="106">
        <v>642</v>
      </c>
      <c r="J703" s="106"/>
    </row>
    <row r="704" spans="1:10" x14ac:dyDescent="0.2">
      <c r="A704" s="106" t="s">
        <v>592</v>
      </c>
      <c r="B704" s="106" t="s">
        <v>277</v>
      </c>
      <c r="C704" s="106" t="s">
        <v>278</v>
      </c>
      <c r="D704" s="106" t="s">
        <v>279</v>
      </c>
      <c r="E704">
        <v>9001</v>
      </c>
      <c r="F704" s="106" t="s">
        <v>631</v>
      </c>
      <c r="G704" s="106" t="s">
        <v>280</v>
      </c>
      <c r="H704" s="106" t="s">
        <v>412</v>
      </c>
      <c r="I704" t="s">
        <v>393</v>
      </c>
      <c r="J704" t="s">
        <v>2251</v>
      </c>
    </row>
    <row r="705" spans="1:10" x14ac:dyDescent="0.2">
      <c r="A705" s="106" t="s">
        <v>592</v>
      </c>
      <c r="B705" s="106" t="s">
        <v>277</v>
      </c>
      <c r="C705" s="106" t="s">
        <v>287</v>
      </c>
      <c r="D705" s="106" t="s">
        <v>283</v>
      </c>
      <c r="E705">
        <v>9284</v>
      </c>
      <c r="F705" s="106" t="s">
        <v>748</v>
      </c>
      <c r="G705" s="106" t="s">
        <v>317</v>
      </c>
      <c r="H705" s="106" t="s">
        <v>318</v>
      </c>
      <c r="I705" s="106">
        <v>281</v>
      </c>
      <c r="J705" s="106"/>
    </row>
    <row r="706" spans="1:10" x14ac:dyDescent="0.2">
      <c r="A706" s="106" t="s">
        <v>592</v>
      </c>
      <c r="B706" s="106" t="s">
        <v>277</v>
      </c>
      <c r="C706" s="106" t="s">
        <v>278</v>
      </c>
      <c r="D706" s="106" t="s">
        <v>279</v>
      </c>
      <c r="E706">
        <v>9364</v>
      </c>
      <c r="F706" s="106" t="s">
        <v>632</v>
      </c>
      <c r="G706" s="106" t="s">
        <v>280</v>
      </c>
      <c r="H706" s="106" t="s">
        <v>633</v>
      </c>
      <c r="I706" s="106" t="s">
        <v>364</v>
      </c>
      <c r="J706" s="106" t="s">
        <v>2253</v>
      </c>
    </row>
    <row r="707" spans="1:10" x14ac:dyDescent="0.2">
      <c r="A707" s="106" t="s">
        <v>592</v>
      </c>
      <c r="B707" s="106" t="s">
        <v>277</v>
      </c>
      <c r="C707" s="106" t="s">
        <v>278</v>
      </c>
      <c r="D707" s="106" t="s">
        <v>279</v>
      </c>
      <c r="E707">
        <v>9613</v>
      </c>
      <c r="F707" s="106" t="s">
        <v>634</v>
      </c>
      <c r="G707" s="106" t="s">
        <v>280</v>
      </c>
      <c r="H707" s="106" t="s">
        <v>291</v>
      </c>
      <c r="I707" t="s">
        <v>841</v>
      </c>
      <c r="J707" t="s">
        <v>2460</v>
      </c>
    </row>
    <row r="708" spans="1:10" x14ac:dyDescent="0.2">
      <c r="A708" s="106" t="s">
        <v>592</v>
      </c>
      <c r="B708" s="106" t="s">
        <v>277</v>
      </c>
      <c r="C708" s="106" t="s">
        <v>278</v>
      </c>
      <c r="D708" s="106" t="s">
        <v>279</v>
      </c>
      <c r="E708">
        <v>9671</v>
      </c>
      <c r="F708" s="106" t="s">
        <v>635</v>
      </c>
      <c r="G708" s="106" t="s">
        <v>280</v>
      </c>
      <c r="H708" s="106" t="s">
        <v>285</v>
      </c>
      <c r="I708">
        <v>383</v>
      </c>
    </row>
    <row r="709" spans="1:10" x14ac:dyDescent="0.2">
      <c r="A709" s="106" t="s">
        <v>592</v>
      </c>
      <c r="B709" s="106" t="s">
        <v>277</v>
      </c>
      <c r="C709" s="106" t="s">
        <v>278</v>
      </c>
      <c r="D709" s="106" t="s">
        <v>279</v>
      </c>
      <c r="E709">
        <v>9887</v>
      </c>
      <c r="F709" s="106" t="s">
        <v>636</v>
      </c>
      <c r="G709" s="106" t="s">
        <v>280</v>
      </c>
      <c r="H709" s="106" t="s">
        <v>290</v>
      </c>
      <c r="I709">
        <v>866</v>
      </c>
    </row>
    <row r="710" spans="1:10" x14ac:dyDescent="0.2">
      <c r="A710" s="106" t="s">
        <v>592</v>
      </c>
      <c r="B710" s="106" t="s">
        <v>277</v>
      </c>
      <c r="C710" s="106" t="s">
        <v>278</v>
      </c>
      <c r="D710" s="106" t="s">
        <v>279</v>
      </c>
      <c r="E710">
        <v>9896</v>
      </c>
      <c r="F710" s="106" t="s">
        <v>637</v>
      </c>
      <c r="G710" s="106" t="s">
        <v>280</v>
      </c>
      <c r="H710" s="106" t="s">
        <v>286</v>
      </c>
      <c r="I710">
        <v>219</v>
      </c>
    </row>
    <row r="711" spans="1:10" x14ac:dyDescent="0.2">
      <c r="A711" s="106" t="s">
        <v>638</v>
      </c>
      <c r="B711" s="106" t="s">
        <v>277</v>
      </c>
      <c r="C711" s="106" t="s">
        <v>278</v>
      </c>
      <c r="D711" s="106" t="s">
        <v>283</v>
      </c>
      <c r="E711">
        <v>1450</v>
      </c>
      <c r="F711" s="106" t="s">
        <v>639</v>
      </c>
      <c r="G711" s="106" t="s">
        <v>284</v>
      </c>
      <c r="H711" s="106" t="s">
        <v>307</v>
      </c>
      <c r="I711">
        <v>58</v>
      </c>
    </row>
    <row r="712" spans="1:10" x14ac:dyDescent="0.2">
      <c r="A712" s="106" t="s">
        <v>638</v>
      </c>
      <c r="B712" s="106" t="s">
        <v>277</v>
      </c>
      <c r="C712" s="106" t="s">
        <v>278</v>
      </c>
      <c r="D712" s="106" t="s">
        <v>279</v>
      </c>
      <c r="E712">
        <v>1451</v>
      </c>
      <c r="F712" s="106" t="s">
        <v>640</v>
      </c>
      <c r="G712" s="106" t="s">
        <v>288</v>
      </c>
      <c r="H712" s="106" t="s">
        <v>307</v>
      </c>
      <c r="I712" s="106">
        <v>31</v>
      </c>
      <c r="J712" s="106"/>
    </row>
    <row r="713" spans="1:10" x14ac:dyDescent="0.2">
      <c r="A713" s="106" t="s">
        <v>638</v>
      </c>
      <c r="B713" s="106" t="s">
        <v>277</v>
      </c>
      <c r="C713" s="106" t="s">
        <v>287</v>
      </c>
      <c r="D713" s="106" t="s">
        <v>279</v>
      </c>
      <c r="E713">
        <v>1605</v>
      </c>
      <c r="F713" s="106" t="s">
        <v>641</v>
      </c>
      <c r="G713" s="106" t="s">
        <v>280</v>
      </c>
      <c r="H713" s="106" t="s">
        <v>642</v>
      </c>
      <c r="I713" t="s">
        <v>2461</v>
      </c>
      <c r="J713" t="s">
        <v>2462</v>
      </c>
    </row>
    <row r="714" spans="1:10" x14ac:dyDescent="0.2">
      <c r="A714" s="106" t="s">
        <v>638</v>
      </c>
      <c r="B714" s="106" t="s">
        <v>277</v>
      </c>
      <c r="C714" s="106" t="s">
        <v>278</v>
      </c>
      <c r="D714" s="106" t="s">
        <v>279</v>
      </c>
      <c r="E714">
        <v>1866</v>
      </c>
      <c r="F714" s="106" t="s">
        <v>643</v>
      </c>
      <c r="G714" s="106" t="s">
        <v>280</v>
      </c>
      <c r="H714" s="106" t="s">
        <v>307</v>
      </c>
      <c r="I714">
        <v>181</v>
      </c>
    </row>
    <row r="715" spans="1:10" x14ac:dyDescent="0.2">
      <c r="A715" s="106" t="s">
        <v>638</v>
      </c>
      <c r="B715" s="106" t="s">
        <v>277</v>
      </c>
      <c r="C715" s="106" t="s">
        <v>287</v>
      </c>
      <c r="D715" s="106" t="s">
        <v>279</v>
      </c>
      <c r="E715">
        <v>1899</v>
      </c>
      <c r="F715" s="106" t="s">
        <v>644</v>
      </c>
      <c r="G715" s="106" t="s">
        <v>280</v>
      </c>
      <c r="H715" s="106" t="s">
        <v>307</v>
      </c>
      <c r="I715">
        <v>464</v>
      </c>
    </row>
    <row r="716" spans="1:10" x14ac:dyDescent="0.2">
      <c r="A716" s="106" t="s">
        <v>638</v>
      </c>
      <c r="B716" s="106" t="s">
        <v>277</v>
      </c>
      <c r="C716" s="106" t="s">
        <v>278</v>
      </c>
      <c r="D716" s="106" t="s">
        <v>279</v>
      </c>
      <c r="E716">
        <v>1952</v>
      </c>
      <c r="F716" s="106" t="s">
        <v>645</v>
      </c>
      <c r="G716" s="106" t="s">
        <v>280</v>
      </c>
      <c r="H716" s="106" t="s">
        <v>307</v>
      </c>
      <c r="I716">
        <v>544</v>
      </c>
    </row>
    <row r="717" spans="1:10" x14ac:dyDescent="0.2">
      <c r="A717" s="106" t="s">
        <v>638</v>
      </c>
      <c r="B717" s="106" t="s">
        <v>277</v>
      </c>
      <c r="C717" s="106" t="s">
        <v>278</v>
      </c>
      <c r="D717" s="106" t="s">
        <v>279</v>
      </c>
      <c r="E717">
        <v>2134</v>
      </c>
      <c r="F717" s="106" t="s">
        <v>646</v>
      </c>
      <c r="G717" s="106" t="s">
        <v>284</v>
      </c>
      <c r="H717" s="106" t="s">
        <v>285</v>
      </c>
      <c r="I717">
        <v>41</v>
      </c>
    </row>
    <row r="718" spans="1:10" x14ac:dyDescent="0.2">
      <c r="A718" s="106" t="s">
        <v>638</v>
      </c>
      <c r="B718" s="106" t="s">
        <v>277</v>
      </c>
      <c r="C718" s="106" t="s">
        <v>289</v>
      </c>
      <c r="D718" s="106" t="s">
        <v>279</v>
      </c>
      <c r="E718">
        <v>2385</v>
      </c>
      <c r="F718" s="106" t="s">
        <v>2136</v>
      </c>
      <c r="G718" s="106" t="s">
        <v>292</v>
      </c>
      <c r="H718" s="106" t="s">
        <v>285</v>
      </c>
      <c r="I718">
        <v>157</v>
      </c>
    </row>
    <row r="719" spans="1:10" x14ac:dyDescent="0.2">
      <c r="A719" s="106" t="s">
        <v>638</v>
      </c>
      <c r="B719" s="106" t="s">
        <v>277</v>
      </c>
      <c r="C719" s="106" t="s">
        <v>278</v>
      </c>
      <c r="D719" s="106" t="s">
        <v>279</v>
      </c>
      <c r="E719">
        <v>2831</v>
      </c>
      <c r="F719" s="106" t="s">
        <v>858</v>
      </c>
      <c r="G719" s="106" t="s">
        <v>288</v>
      </c>
      <c r="H719" s="106" t="s">
        <v>281</v>
      </c>
      <c r="I719">
        <v>272</v>
      </c>
    </row>
    <row r="720" spans="1:10" x14ac:dyDescent="0.2">
      <c r="A720" s="106" t="s">
        <v>638</v>
      </c>
      <c r="B720" s="106" t="s">
        <v>277</v>
      </c>
      <c r="C720" s="106" t="s">
        <v>282</v>
      </c>
      <c r="D720" s="106" t="s">
        <v>279</v>
      </c>
      <c r="E720">
        <v>2974</v>
      </c>
      <c r="F720" s="106" t="s">
        <v>647</v>
      </c>
      <c r="G720" s="106" t="s">
        <v>485</v>
      </c>
      <c r="H720" s="106" t="s">
        <v>306</v>
      </c>
      <c r="I720">
        <v>34</v>
      </c>
    </row>
    <row r="721" spans="1:10" x14ac:dyDescent="0.2">
      <c r="A721" s="106" t="s">
        <v>638</v>
      </c>
      <c r="B721" s="106" t="s">
        <v>277</v>
      </c>
      <c r="C721" s="106" t="s">
        <v>278</v>
      </c>
      <c r="D721" s="106" t="s">
        <v>279</v>
      </c>
      <c r="E721">
        <v>2976</v>
      </c>
      <c r="F721" s="106" t="s">
        <v>648</v>
      </c>
      <c r="G721" s="106" t="s">
        <v>649</v>
      </c>
      <c r="H721" s="106" t="s">
        <v>306</v>
      </c>
      <c r="I721" s="106">
        <v>14</v>
      </c>
      <c r="J721" s="106"/>
    </row>
    <row r="722" spans="1:10" x14ac:dyDescent="0.2">
      <c r="A722" s="106" t="s">
        <v>638</v>
      </c>
      <c r="B722" s="106" t="s">
        <v>277</v>
      </c>
      <c r="C722" s="106" t="s">
        <v>278</v>
      </c>
      <c r="D722" s="106" t="s">
        <v>279</v>
      </c>
      <c r="E722">
        <v>3291</v>
      </c>
      <c r="F722" s="106" t="s">
        <v>859</v>
      </c>
      <c r="G722" s="106" t="s">
        <v>280</v>
      </c>
      <c r="H722" s="106" t="s">
        <v>306</v>
      </c>
      <c r="I722" t="s">
        <v>297</v>
      </c>
      <c r="J722" t="s">
        <v>2463</v>
      </c>
    </row>
    <row r="723" spans="1:10" x14ac:dyDescent="0.2">
      <c r="A723" s="106" t="s">
        <v>638</v>
      </c>
      <c r="B723" s="106" t="s">
        <v>277</v>
      </c>
      <c r="C723" s="106" t="s">
        <v>278</v>
      </c>
      <c r="D723" s="106" t="s">
        <v>279</v>
      </c>
      <c r="E723">
        <v>3372</v>
      </c>
      <c r="F723" s="106" t="s">
        <v>860</v>
      </c>
      <c r="G723" s="106" t="s">
        <v>288</v>
      </c>
      <c r="H723" s="106" t="s">
        <v>290</v>
      </c>
      <c r="I723">
        <v>51</v>
      </c>
    </row>
    <row r="724" spans="1:10" x14ac:dyDescent="0.2">
      <c r="A724" s="106" t="s">
        <v>638</v>
      </c>
      <c r="B724" s="106" t="s">
        <v>277</v>
      </c>
      <c r="C724" s="106" t="s">
        <v>287</v>
      </c>
      <c r="D724" s="106" t="s">
        <v>279</v>
      </c>
      <c r="E724">
        <v>3606</v>
      </c>
      <c r="F724" s="106" t="s">
        <v>650</v>
      </c>
      <c r="G724" s="106" t="s">
        <v>280</v>
      </c>
      <c r="H724" s="106" t="s">
        <v>313</v>
      </c>
      <c r="I724">
        <v>115</v>
      </c>
    </row>
    <row r="725" spans="1:10" x14ac:dyDescent="0.2">
      <c r="A725" s="106" t="s">
        <v>638</v>
      </c>
      <c r="B725" s="106" t="s">
        <v>277</v>
      </c>
      <c r="C725" s="106" t="s">
        <v>278</v>
      </c>
      <c r="D725" s="106" t="s">
        <v>283</v>
      </c>
      <c r="E725">
        <v>3652</v>
      </c>
      <c r="F725" s="106" t="s">
        <v>861</v>
      </c>
      <c r="G725" s="106" t="s">
        <v>292</v>
      </c>
      <c r="H725" s="106" t="s">
        <v>291</v>
      </c>
      <c r="I725">
        <v>124</v>
      </c>
    </row>
    <row r="726" spans="1:10" x14ac:dyDescent="0.2">
      <c r="A726" s="106" t="s">
        <v>638</v>
      </c>
      <c r="B726" s="106" t="s">
        <v>277</v>
      </c>
      <c r="C726" s="106" t="s">
        <v>287</v>
      </c>
      <c r="D726" s="106" t="s">
        <v>283</v>
      </c>
      <c r="E726">
        <v>3719</v>
      </c>
      <c r="F726" s="106" t="s">
        <v>862</v>
      </c>
      <c r="G726" s="106" t="s">
        <v>284</v>
      </c>
      <c r="H726" s="106" t="s">
        <v>291</v>
      </c>
      <c r="I726">
        <v>26</v>
      </c>
    </row>
    <row r="727" spans="1:10" x14ac:dyDescent="0.2">
      <c r="A727" s="106" t="s">
        <v>638</v>
      </c>
      <c r="B727" s="106" t="s">
        <v>277</v>
      </c>
      <c r="C727" s="106" t="s">
        <v>289</v>
      </c>
      <c r="D727" s="106" t="s">
        <v>279</v>
      </c>
      <c r="E727">
        <v>3856</v>
      </c>
      <c r="F727" s="106" t="s">
        <v>651</v>
      </c>
      <c r="G727" s="106" t="s">
        <v>288</v>
      </c>
      <c r="H727" s="106" t="s">
        <v>305</v>
      </c>
      <c r="I727">
        <v>30</v>
      </c>
    </row>
    <row r="728" spans="1:10" x14ac:dyDescent="0.2">
      <c r="A728" s="106" t="s">
        <v>638</v>
      </c>
      <c r="B728" s="106" t="s">
        <v>277</v>
      </c>
      <c r="C728" s="106" t="s">
        <v>278</v>
      </c>
      <c r="D728" s="106" t="s">
        <v>279</v>
      </c>
      <c r="E728">
        <v>3896</v>
      </c>
      <c r="F728" s="106" t="s">
        <v>652</v>
      </c>
      <c r="G728" s="106" t="s">
        <v>280</v>
      </c>
      <c r="H728" s="106" t="s">
        <v>314</v>
      </c>
      <c r="I728">
        <v>58</v>
      </c>
    </row>
    <row r="729" spans="1:10" x14ac:dyDescent="0.2">
      <c r="A729" s="106" t="s">
        <v>638</v>
      </c>
      <c r="B729" s="106" t="s">
        <v>277</v>
      </c>
      <c r="C729" s="106" t="s">
        <v>287</v>
      </c>
      <c r="D729" s="106" t="s">
        <v>279</v>
      </c>
      <c r="E729">
        <v>3902</v>
      </c>
      <c r="F729" s="106" t="s">
        <v>653</v>
      </c>
      <c r="G729" s="106" t="s">
        <v>280</v>
      </c>
      <c r="H729" s="106" t="s">
        <v>291</v>
      </c>
      <c r="I729">
        <v>339</v>
      </c>
    </row>
    <row r="730" spans="1:10" x14ac:dyDescent="0.2">
      <c r="A730" s="106" t="s">
        <v>638</v>
      </c>
      <c r="B730" s="106" t="s">
        <v>277</v>
      </c>
      <c r="C730" s="106" t="s">
        <v>278</v>
      </c>
      <c r="D730" s="106" t="s">
        <v>279</v>
      </c>
      <c r="E730">
        <v>3963</v>
      </c>
      <c r="F730" s="106" t="s">
        <v>654</v>
      </c>
      <c r="G730" s="106" t="s">
        <v>280</v>
      </c>
      <c r="H730" s="106" t="s">
        <v>291</v>
      </c>
      <c r="I730">
        <v>149</v>
      </c>
    </row>
    <row r="731" spans="1:10" x14ac:dyDescent="0.2">
      <c r="A731" s="106" t="s">
        <v>638</v>
      </c>
      <c r="B731" s="106" t="s">
        <v>277</v>
      </c>
      <c r="C731" s="106" t="s">
        <v>287</v>
      </c>
      <c r="D731" s="106" t="s">
        <v>279</v>
      </c>
      <c r="E731">
        <v>4245</v>
      </c>
      <c r="F731" s="106" t="s">
        <v>655</v>
      </c>
      <c r="G731" s="106" t="s">
        <v>280</v>
      </c>
      <c r="H731" s="106" t="s">
        <v>293</v>
      </c>
      <c r="I731">
        <v>125</v>
      </c>
    </row>
    <row r="732" spans="1:10" x14ac:dyDescent="0.2">
      <c r="A732" s="106" t="s">
        <v>638</v>
      </c>
      <c r="B732" s="106" t="s">
        <v>277</v>
      </c>
      <c r="C732" s="106" t="s">
        <v>287</v>
      </c>
      <c r="D732" s="106" t="s">
        <v>279</v>
      </c>
      <c r="E732">
        <v>4251</v>
      </c>
      <c r="F732" s="106" t="s">
        <v>656</v>
      </c>
      <c r="G732" s="106" t="s">
        <v>288</v>
      </c>
      <c r="H732" s="106" t="s">
        <v>293</v>
      </c>
      <c r="I732">
        <v>117</v>
      </c>
    </row>
    <row r="733" spans="1:10" x14ac:dyDescent="0.2">
      <c r="A733" s="106" t="s">
        <v>638</v>
      </c>
      <c r="B733" s="106" t="s">
        <v>277</v>
      </c>
      <c r="C733" s="106" t="s">
        <v>278</v>
      </c>
      <c r="D733" s="106" t="s">
        <v>279</v>
      </c>
      <c r="E733">
        <v>4390</v>
      </c>
      <c r="F733" s="106" t="s">
        <v>2137</v>
      </c>
      <c r="G733" s="106" t="s">
        <v>292</v>
      </c>
      <c r="H733" s="106" t="s">
        <v>291</v>
      </c>
      <c r="I733">
        <v>145</v>
      </c>
    </row>
    <row r="734" spans="1:10" x14ac:dyDescent="0.2">
      <c r="A734" s="106" t="s">
        <v>638</v>
      </c>
      <c r="B734" s="106" t="s">
        <v>277</v>
      </c>
      <c r="C734" s="106" t="s">
        <v>278</v>
      </c>
      <c r="D734" s="106" t="s">
        <v>279</v>
      </c>
      <c r="E734">
        <v>4425</v>
      </c>
      <c r="F734" s="106" t="s">
        <v>657</v>
      </c>
      <c r="G734" s="106" t="s">
        <v>292</v>
      </c>
      <c r="H734" s="106" t="s">
        <v>291</v>
      </c>
      <c r="I734">
        <v>599</v>
      </c>
    </row>
    <row r="735" spans="1:10" x14ac:dyDescent="0.2">
      <c r="A735" s="106" t="s">
        <v>638</v>
      </c>
      <c r="B735" s="106" t="s">
        <v>277</v>
      </c>
      <c r="C735" s="106" t="s">
        <v>278</v>
      </c>
      <c r="D735" s="106" t="s">
        <v>283</v>
      </c>
      <c r="E735">
        <v>4435</v>
      </c>
      <c r="F735" s="106" t="s">
        <v>658</v>
      </c>
      <c r="G735" s="106" t="s">
        <v>292</v>
      </c>
      <c r="H735" s="106" t="s">
        <v>291</v>
      </c>
      <c r="I735">
        <v>411</v>
      </c>
    </row>
    <row r="736" spans="1:10" x14ac:dyDescent="0.2">
      <c r="A736" s="106" t="s">
        <v>638</v>
      </c>
      <c r="B736" s="106" t="s">
        <v>277</v>
      </c>
      <c r="C736" s="106" t="s">
        <v>278</v>
      </c>
      <c r="D736" s="106" t="s">
        <v>279</v>
      </c>
      <c r="E736">
        <v>4442</v>
      </c>
      <c r="F736" s="106" t="s">
        <v>659</v>
      </c>
      <c r="G736" s="106" t="s">
        <v>292</v>
      </c>
      <c r="H736" s="106" t="s">
        <v>291</v>
      </c>
      <c r="I736">
        <v>119</v>
      </c>
    </row>
    <row r="737" spans="1:10" x14ac:dyDescent="0.2">
      <c r="A737" s="106" t="s">
        <v>638</v>
      </c>
      <c r="B737" s="106" t="s">
        <v>277</v>
      </c>
      <c r="C737" s="106" t="s">
        <v>287</v>
      </c>
      <c r="D737" s="106" t="s">
        <v>283</v>
      </c>
      <c r="E737">
        <v>4448</v>
      </c>
      <c r="F737" s="106" t="s">
        <v>660</v>
      </c>
      <c r="G737" s="106" t="s">
        <v>292</v>
      </c>
      <c r="H737" s="106" t="s">
        <v>291</v>
      </c>
      <c r="I737">
        <v>371</v>
      </c>
    </row>
    <row r="738" spans="1:10" x14ac:dyDescent="0.2">
      <c r="A738" s="106" t="s">
        <v>638</v>
      </c>
      <c r="B738" s="106" t="s">
        <v>277</v>
      </c>
      <c r="C738" s="106" t="s">
        <v>287</v>
      </c>
      <c r="D738" s="106" t="s">
        <v>279</v>
      </c>
      <c r="E738">
        <v>4449</v>
      </c>
      <c r="F738" s="106" t="s">
        <v>661</v>
      </c>
      <c r="G738" s="106" t="s">
        <v>292</v>
      </c>
      <c r="H738" s="106" t="s">
        <v>291</v>
      </c>
      <c r="I738">
        <v>413</v>
      </c>
    </row>
    <row r="739" spans="1:10" x14ac:dyDescent="0.2">
      <c r="A739" s="106" t="s">
        <v>638</v>
      </c>
      <c r="B739" s="106" t="s">
        <v>277</v>
      </c>
      <c r="C739" s="106" t="s">
        <v>282</v>
      </c>
      <c r="D739" s="106" t="s">
        <v>279</v>
      </c>
      <c r="E739">
        <v>4475</v>
      </c>
      <c r="F739" s="106" t="s">
        <v>663</v>
      </c>
      <c r="G739" s="106" t="s">
        <v>292</v>
      </c>
      <c r="H739" s="106" t="s">
        <v>291</v>
      </c>
      <c r="I739">
        <v>283</v>
      </c>
    </row>
    <row r="740" spans="1:10" x14ac:dyDescent="0.2">
      <c r="A740" s="106" t="s">
        <v>638</v>
      </c>
      <c r="B740" s="106" t="s">
        <v>277</v>
      </c>
      <c r="C740" s="106" t="s">
        <v>287</v>
      </c>
      <c r="D740" s="106" t="s">
        <v>283</v>
      </c>
      <c r="E740">
        <v>4476</v>
      </c>
      <c r="F740" s="106" t="s">
        <v>664</v>
      </c>
      <c r="G740" s="106" t="s">
        <v>292</v>
      </c>
      <c r="H740" s="106" t="s">
        <v>291</v>
      </c>
      <c r="I740">
        <v>98</v>
      </c>
    </row>
    <row r="741" spans="1:10" x14ac:dyDescent="0.2">
      <c r="A741" s="106" t="s">
        <v>638</v>
      </c>
      <c r="B741" s="106" t="s">
        <v>277</v>
      </c>
      <c r="C741" s="106" t="s">
        <v>287</v>
      </c>
      <c r="D741" s="106" t="s">
        <v>279</v>
      </c>
      <c r="E741">
        <v>4477</v>
      </c>
      <c r="F741" s="106" t="s">
        <v>665</v>
      </c>
      <c r="G741" s="106" t="s">
        <v>292</v>
      </c>
      <c r="H741" s="106" t="s">
        <v>291</v>
      </c>
      <c r="I741">
        <v>374</v>
      </c>
    </row>
    <row r="742" spans="1:10" x14ac:dyDescent="0.2">
      <c r="A742" s="106" t="s">
        <v>638</v>
      </c>
      <c r="B742" s="106" t="s">
        <v>277</v>
      </c>
      <c r="C742" s="106" t="s">
        <v>287</v>
      </c>
      <c r="D742" s="106" t="s">
        <v>283</v>
      </c>
      <c r="E742">
        <v>4482</v>
      </c>
      <c r="F742" s="106" t="s">
        <v>2138</v>
      </c>
      <c r="G742" s="106" t="s">
        <v>292</v>
      </c>
      <c r="H742" s="106" t="s">
        <v>291</v>
      </c>
      <c r="I742">
        <v>223</v>
      </c>
    </row>
    <row r="743" spans="1:10" x14ac:dyDescent="0.2">
      <c r="A743" s="106" t="s">
        <v>638</v>
      </c>
      <c r="B743" s="106" t="s">
        <v>277</v>
      </c>
      <c r="C743" s="106" t="s">
        <v>278</v>
      </c>
      <c r="D743" s="106" t="s">
        <v>279</v>
      </c>
      <c r="E743">
        <v>4484</v>
      </c>
      <c r="F743" s="106" t="s">
        <v>2139</v>
      </c>
      <c r="G743" s="106" t="s">
        <v>292</v>
      </c>
      <c r="H743" s="106" t="s">
        <v>291</v>
      </c>
      <c r="I743" s="106">
        <v>117</v>
      </c>
      <c r="J743" s="106"/>
    </row>
    <row r="744" spans="1:10" x14ac:dyDescent="0.2">
      <c r="A744" s="106" t="s">
        <v>638</v>
      </c>
      <c r="B744" s="106" t="s">
        <v>277</v>
      </c>
      <c r="C744" s="106" t="s">
        <v>287</v>
      </c>
      <c r="D744" s="106" t="s">
        <v>279</v>
      </c>
      <c r="E744">
        <v>4631</v>
      </c>
      <c r="F744" s="106" t="s">
        <v>666</v>
      </c>
      <c r="G744" s="106" t="s">
        <v>280</v>
      </c>
      <c r="H744" s="106" t="s">
        <v>293</v>
      </c>
      <c r="I744" t="s">
        <v>303</v>
      </c>
      <c r="J744" t="s">
        <v>2464</v>
      </c>
    </row>
    <row r="745" spans="1:10" x14ac:dyDescent="0.2">
      <c r="A745" s="106" t="s">
        <v>638</v>
      </c>
      <c r="B745" s="106" t="s">
        <v>277</v>
      </c>
      <c r="C745" s="106" t="s">
        <v>278</v>
      </c>
      <c r="D745" s="106" t="s">
        <v>279</v>
      </c>
      <c r="E745">
        <v>4691</v>
      </c>
      <c r="F745" s="106" t="s">
        <v>667</v>
      </c>
      <c r="G745" s="106" t="s">
        <v>288</v>
      </c>
      <c r="H745" s="106" t="s">
        <v>285</v>
      </c>
      <c r="I745">
        <v>164</v>
      </c>
    </row>
    <row r="746" spans="1:10" x14ac:dyDescent="0.2">
      <c r="A746" s="106" t="s">
        <v>638</v>
      </c>
      <c r="B746" s="106" t="s">
        <v>277</v>
      </c>
      <c r="C746" s="106" t="s">
        <v>289</v>
      </c>
      <c r="D746" s="106" t="s">
        <v>279</v>
      </c>
      <c r="E746">
        <v>4845</v>
      </c>
      <c r="F746" s="106" t="s">
        <v>668</v>
      </c>
      <c r="G746" s="106" t="s">
        <v>280</v>
      </c>
      <c r="H746" s="106" t="s">
        <v>291</v>
      </c>
      <c r="I746">
        <v>138</v>
      </c>
    </row>
    <row r="747" spans="1:10" x14ac:dyDescent="0.2">
      <c r="A747" s="106" t="s">
        <v>638</v>
      </c>
      <c r="B747" s="106" t="s">
        <v>277</v>
      </c>
      <c r="C747" s="106" t="s">
        <v>278</v>
      </c>
      <c r="D747" s="106" t="s">
        <v>279</v>
      </c>
      <c r="E747">
        <v>6059</v>
      </c>
      <c r="F747" s="106" t="s">
        <v>2140</v>
      </c>
      <c r="G747" s="106" t="s">
        <v>280</v>
      </c>
      <c r="H747" s="106" t="s">
        <v>285</v>
      </c>
      <c r="I747">
        <v>118</v>
      </c>
    </row>
    <row r="748" spans="1:10" x14ac:dyDescent="0.2">
      <c r="A748" s="106" t="s">
        <v>638</v>
      </c>
      <c r="B748" s="106" t="s">
        <v>277</v>
      </c>
      <c r="C748" s="106" t="s">
        <v>278</v>
      </c>
      <c r="D748" s="106" t="s">
        <v>279</v>
      </c>
      <c r="E748">
        <v>6082</v>
      </c>
      <c r="F748" s="106" t="s">
        <v>669</v>
      </c>
      <c r="G748" s="106" t="s">
        <v>280</v>
      </c>
      <c r="H748" s="106" t="s">
        <v>285</v>
      </c>
      <c r="I748">
        <v>218</v>
      </c>
    </row>
    <row r="749" spans="1:10" x14ac:dyDescent="0.2">
      <c r="A749" s="106" t="s">
        <v>638</v>
      </c>
      <c r="B749" s="106" t="s">
        <v>277</v>
      </c>
      <c r="C749" s="106" t="s">
        <v>278</v>
      </c>
      <c r="D749" s="106" t="s">
        <v>279</v>
      </c>
      <c r="E749">
        <v>6408</v>
      </c>
      <c r="F749" s="106" t="s">
        <v>670</v>
      </c>
      <c r="G749" s="106" t="s">
        <v>284</v>
      </c>
      <c r="H749" s="106" t="s">
        <v>301</v>
      </c>
      <c r="I749">
        <v>51</v>
      </c>
    </row>
    <row r="750" spans="1:10" x14ac:dyDescent="0.2">
      <c r="A750" s="106" t="s">
        <v>638</v>
      </c>
      <c r="B750" s="106" t="s">
        <v>277</v>
      </c>
      <c r="C750" s="106" t="s">
        <v>278</v>
      </c>
      <c r="D750" s="106" t="s">
        <v>279</v>
      </c>
      <c r="E750">
        <v>6424</v>
      </c>
      <c r="F750" s="106" t="s">
        <v>671</v>
      </c>
      <c r="G750" s="106" t="s">
        <v>284</v>
      </c>
      <c r="H750" s="106" t="s">
        <v>301</v>
      </c>
      <c r="I750">
        <v>60</v>
      </c>
    </row>
    <row r="751" spans="1:10" x14ac:dyDescent="0.2">
      <c r="A751" s="106" t="s">
        <v>638</v>
      </c>
      <c r="B751" s="106" t="s">
        <v>277</v>
      </c>
      <c r="C751" s="106" t="s">
        <v>278</v>
      </c>
      <c r="D751" s="106" t="s">
        <v>279</v>
      </c>
      <c r="E751">
        <v>6517</v>
      </c>
      <c r="F751" s="106" t="s">
        <v>672</v>
      </c>
      <c r="G751" s="106" t="s">
        <v>280</v>
      </c>
      <c r="H751" s="106" t="s">
        <v>305</v>
      </c>
      <c r="I751">
        <v>480</v>
      </c>
    </row>
    <row r="752" spans="1:10" x14ac:dyDescent="0.2">
      <c r="A752" s="106" t="s">
        <v>638</v>
      </c>
      <c r="B752" s="106" t="s">
        <v>277</v>
      </c>
      <c r="C752" s="106" t="s">
        <v>289</v>
      </c>
      <c r="D752" s="106" t="s">
        <v>283</v>
      </c>
      <c r="E752">
        <v>6597</v>
      </c>
      <c r="F752" s="106" t="s">
        <v>674</v>
      </c>
      <c r="G752" s="106" t="s">
        <v>292</v>
      </c>
      <c r="H752" s="106" t="s">
        <v>305</v>
      </c>
      <c r="I752">
        <v>81</v>
      </c>
    </row>
    <row r="753" spans="1:9" x14ac:dyDescent="0.2">
      <c r="A753" s="106" t="s">
        <v>638</v>
      </c>
      <c r="B753" s="106" t="s">
        <v>277</v>
      </c>
      <c r="C753" s="106" t="s">
        <v>278</v>
      </c>
      <c r="D753" s="106" t="s">
        <v>279</v>
      </c>
      <c r="E753">
        <v>6706</v>
      </c>
      <c r="F753" s="106" t="s">
        <v>675</v>
      </c>
      <c r="G753" s="106" t="s">
        <v>280</v>
      </c>
      <c r="H753" s="106" t="s">
        <v>305</v>
      </c>
      <c r="I753">
        <v>485</v>
      </c>
    </row>
    <row r="754" spans="1:9" x14ac:dyDescent="0.2">
      <c r="A754" s="106" t="s">
        <v>638</v>
      </c>
      <c r="B754" s="106" t="s">
        <v>277</v>
      </c>
      <c r="C754" s="106" t="s">
        <v>278</v>
      </c>
      <c r="D754" s="106" t="s">
        <v>279</v>
      </c>
      <c r="E754">
        <v>6819</v>
      </c>
      <c r="F754" s="106" t="s">
        <v>676</v>
      </c>
      <c r="G754" s="106" t="s">
        <v>284</v>
      </c>
      <c r="H754" s="106" t="s">
        <v>285</v>
      </c>
      <c r="I754">
        <v>35</v>
      </c>
    </row>
    <row r="755" spans="1:9" x14ac:dyDescent="0.2">
      <c r="A755" s="106" t="s">
        <v>638</v>
      </c>
      <c r="B755" s="106" t="s">
        <v>277</v>
      </c>
      <c r="C755" s="106" t="s">
        <v>287</v>
      </c>
      <c r="D755" s="106" t="s">
        <v>279</v>
      </c>
      <c r="E755">
        <v>6870</v>
      </c>
      <c r="F755" s="106" t="s">
        <v>677</v>
      </c>
      <c r="G755" s="106" t="s">
        <v>288</v>
      </c>
      <c r="H755" s="106" t="s">
        <v>305</v>
      </c>
      <c r="I755">
        <v>90</v>
      </c>
    </row>
    <row r="756" spans="1:9" x14ac:dyDescent="0.2">
      <c r="A756" s="106" t="s">
        <v>638</v>
      </c>
      <c r="B756" s="106" t="s">
        <v>277</v>
      </c>
      <c r="C756" s="106" t="s">
        <v>278</v>
      </c>
      <c r="D756" s="106" t="s">
        <v>279</v>
      </c>
      <c r="E756">
        <v>7059</v>
      </c>
      <c r="F756" s="106" t="s">
        <v>863</v>
      </c>
      <c r="G756" s="106" t="s">
        <v>292</v>
      </c>
      <c r="H756" s="106" t="s">
        <v>285</v>
      </c>
      <c r="I756">
        <v>147</v>
      </c>
    </row>
    <row r="757" spans="1:9" x14ac:dyDescent="0.2">
      <c r="A757" s="106" t="s">
        <v>638</v>
      </c>
      <c r="B757" s="106" t="s">
        <v>277</v>
      </c>
      <c r="C757" s="106" t="s">
        <v>278</v>
      </c>
      <c r="D757" s="106" t="s">
        <v>279</v>
      </c>
      <c r="E757">
        <v>7060</v>
      </c>
      <c r="F757" s="106" t="s">
        <v>678</v>
      </c>
      <c r="G757" s="106" t="s">
        <v>292</v>
      </c>
      <c r="H757" s="106" t="s">
        <v>285</v>
      </c>
      <c r="I757">
        <v>167</v>
      </c>
    </row>
    <row r="758" spans="1:9" x14ac:dyDescent="0.2">
      <c r="A758" s="106" t="s">
        <v>638</v>
      </c>
      <c r="B758" s="106" t="s">
        <v>277</v>
      </c>
      <c r="C758" s="106" t="s">
        <v>289</v>
      </c>
      <c r="D758" s="106" t="s">
        <v>279</v>
      </c>
      <c r="E758">
        <v>7063</v>
      </c>
      <c r="F758" s="106" t="s">
        <v>679</v>
      </c>
      <c r="G758" s="106" t="s">
        <v>292</v>
      </c>
      <c r="H758" s="106" t="s">
        <v>285</v>
      </c>
      <c r="I758">
        <v>78</v>
      </c>
    </row>
    <row r="759" spans="1:9" x14ac:dyDescent="0.2">
      <c r="A759" s="106" t="s">
        <v>638</v>
      </c>
      <c r="B759" s="106" t="s">
        <v>277</v>
      </c>
      <c r="C759" s="106" t="s">
        <v>278</v>
      </c>
      <c r="D759" s="106" t="s">
        <v>279</v>
      </c>
      <c r="E759">
        <v>7067</v>
      </c>
      <c r="F759" s="106" t="s">
        <v>680</v>
      </c>
      <c r="G759" s="106" t="s">
        <v>292</v>
      </c>
      <c r="H759" s="106" t="s">
        <v>285</v>
      </c>
      <c r="I759">
        <v>33</v>
      </c>
    </row>
    <row r="760" spans="1:9" x14ac:dyDescent="0.2">
      <c r="A760" s="106" t="s">
        <v>638</v>
      </c>
      <c r="B760" s="106" t="s">
        <v>277</v>
      </c>
      <c r="C760" s="106" t="s">
        <v>282</v>
      </c>
      <c r="D760" s="106" t="s">
        <v>279</v>
      </c>
      <c r="E760">
        <v>7071</v>
      </c>
      <c r="F760" s="106" t="s">
        <v>2141</v>
      </c>
      <c r="G760" s="106" t="s">
        <v>284</v>
      </c>
      <c r="H760" s="106" t="s">
        <v>285</v>
      </c>
      <c r="I760">
        <v>719</v>
      </c>
    </row>
    <row r="761" spans="1:9" x14ac:dyDescent="0.2">
      <c r="A761" s="106" t="s">
        <v>638</v>
      </c>
      <c r="B761" s="106" t="s">
        <v>277</v>
      </c>
      <c r="C761" s="106" t="s">
        <v>282</v>
      </c>
      <c r="D761" s="106" t="s">
        <v>283</v>
      </c>
      <c r="E761">
        <v>7072</v>
      </c>
      <c r="F761" s="106" t="s">
        <v>681</v>
      </c>
      <c r="G761" s="106" t="s">
        <v>292</v>
      </c>
      <c r="H761" s="106" t="s">
        <v>285</v>
      </c>
      <c r="I761">
        <v>76</v>
      </c>
    </row>
    <row r="762" spans="1:9" x14ac:dyDescent="0.2">
      <c r="A762" s="106" t="s">
        <v>638</v>
      </c>
      <c r="B762" s="106" t="s">
        <v>277</v>
      </c>
      <c r="C762" s="106" t="s">
        <v>278</v>
      </c>
      <c r="D762" s="106" t="s">
        <v>279</v>
      </c>
      <c r="E762">
        <v>7239</v>
      </c>
      <c r="F762" s="106" t="s">
        <v>682</v>
      </c>
      <c r="G762" s="106" t="s">
        <v>280</v>
      </c>
      <c r="H762" s="106" t="s">
        <v>310</v>
      </c>
      <c r="I762">
        <v>531</v>
      </c>
    </row>
    <row r="763" spans="1:9" x14ac:dyDescent="0.2">
      <c r="A763" s="106" t="s">
        <v>638</v>
      </c>
      <c r="B763" s="106" t="s">
        <v>277</v>
      </c>
      <c r="C763" s="106" t="s">
        <v>278</v>
      </c>
      <c r="D763" s="106" t="s">
        <v>279</v>
      </c>
      <c r="E763">
        <v>7242</v>
      </c>
      <c r="F763" s="106" t="s">
        <v>683</v>
      </c>
      <c r="G763" s="106" t="s">
        <v>280</v>
      </c>
      <c r="H763" s="106" t="s">
        <v>310</v>
      </c>
      <c r="I763">
        <v>866</v>
      </c>
    </row>
    <row r="764" spans="1:9" x14ac:dyDescent="0.2">
      <c r="A764" s="106" t="s">
        <v>638</v>
      </c>
      <c r="B764" s="106" t="s">
        <v>277</v>
      </c>
      <c r="C764" s="106" t="s">
        <v>289</v>
      </c>
      <c r="D764" s="106" t="s">
        <v>279</v>
      </c>
      <c r="E764">
        <v>7325</v>
      </c>
      <c r="F764" s="106" t="s">
        <v>749</v>
      </c>
      <c r="G764" s="106" t="s">
        <v>292</v>
      </c>
      <c r="H764" s="106" t="s">
        <v>750</v>
      </c>
      <c r="I764">
        <v>110</v>
      </c>
    </row>
    <row r="765" spans="1:9" x14ac:dyDescent="0.2">
      <c r="A765" s="106" t="s">
        <v>638</v>
      </c>
      <c r="B765" s="106" t="s">
        <v>277</v>
      </c>
      <c r="C765" s="106" t="s">
        <v>278</v>
      </c>
      <c r="D765" s="106" t="s">
        <v>279</v>
      </c>
      <c r="E765">
        <v>7593</v>
      </c>
      <c r="F765" s="106" t="s">
        <v>864</v>
      </c>
      <c r="G765" s="106" t="s">
        <v>280</v>
      </c>
      <c r="H765" s="106" t="s">
        <v>290</v>
      </c>
      <c r="I765">
        <v>561</v>
      </c>
    </row>
    <row r="766" spans="1:9" x14ac:dyDescent="0.2">
      <c r="A766" s="106" t="s">
        <v>638</v>
      </c>
      <c r="B766" s="106" t="s">
        <v>277</v>
      </c>
      <c r="C766" s="106" t="s">
        <v>289</v>
      </c>
      <c r="D766" s="106" t="s">
        <v>283</v>
      </c>
      <c r="E766">
        <v>7674</v>
      </c>
      <c r="F766" s="106" t="s">
        <v>684</v>
      </c>
      <c r="G766" s="106" t="s">
        <v>292</v>
      </c>
      <c r="H766" s="106" t="s">
        <v>290</v>
      </c>
      <c r="I766">
        <v>79</v>
      </c>
    </row>
    <row r="767" spans="1:9" x14ac:dyDescent="0.2">
      <c r="A767" s="106" t="s">
        <v>638</v>
      </c>
      <c r="B767" s="106" t="s">
        <v>277</v>
      </c>
      <c r="C767" s="106" t="s">
        <v>282</v>
      </c>
      <c r="D767" s="106" t="s">
        <v>283</v>
      </c>
      <c r="E767">
        <v>7676</v>
      </c>
      <c r="F767" s="106" t="s">
        <v>685</v>
      </c>
      <c r="G767" s="106" t="s">
        <v>292</v>
      </c>
      <c r="H767" s="106" t="s">
        <v>290</v>
      </c>
      <c r="I767">
        <v>44</v>
      </c>
    </row>
    <row r="768" spans="1:9" x14ac:dyDescent="0.2">
      <c r="A768" s="106" t="s">
        <v>638</v>
      </c>
      <c r="B768" s="106" t="s">
        <v>277</v>
      </c>
      <c r="C768" s="106" t="s">
        <v>282</v>
      </c>
      <c r="D768" s="106" t="s">
        <v>279</v>
      </c>
      <c r="E768">
        <v>7681</v>
      </c>
      <c r="F768" s="106" t="s">
        <v>687</v>
      </c>
      <c r="G768" s="106" t="s">
        <v>288</v>
      </c>
      <c r="H768" s="106" t="s">
        <v>286</v>
      </c>
      <c r="I768">
        <v>57</v>
      </c>
    </row>
    <row r="769" spans="1:10" x14ac:dyDescent="0.2">
      <c r="A769" s="106" t="s">
        <v>638</v>
      </c>
      <c r="B769" s="106" t="s">
        <v>277</v>
      </c>
      <c r="C769" s="106" t="s">
        <v>287</v>
      </c>
      <c r="D769" s="106" t="s">
        <v>283</v>
      </c>
      <c r="E769">
        <v>7685</v>
      </c>
      <c r="F769" s="106" t="s">
        <v>2264</v>
      </c>
      <c r="G769" s="106" t="s">
        <v>292</v>
      </c>
      <c r="H769" s="106" t="s">
        <v>286</v>
      </c>
      <c r="I769">
        <v>201</v>
      </c>
    </row>
    <row r="770" spans="1:10" x14ac:dyDescent="0.2">
      <c r="A770" s="106" t="s">
        <v>638</v>
      </c>
      <c r="B770" s="106" t="s">
        <v>277</v>
      </c>
      <c r="C770" s="106" t="s">
        <v>278</v>
      </c>
      <c r="D770" s="106" t="s">
        <v>279</v>
      </c>
      <c r="E770">
        <v>7749</v>
      </c>
      <c r="F770" s="106" t="s">
        <v>688</v>
      </c>
      <c r="G770" s="106" t="s">
        <v>284</v>
      </c>
      <c r="H770" s="106" t="s">
        <v>391</v>
      </c>
      <c r="I770">
        <v>655</v>
      </c>
    </row>
    <row r="771" spans="1:10" x14ac:dyDescent="0.2">
      <c r="A771" s="106" t="s">
        <v>638</v>
      </c>
      <c r="B771" s="106" t="s">
        <v>277</v>
      </c>
      <c r="C771" s="106" t="s">
        <v>282</v>
      </c>
      <c r="D771" s="106" t="s">
        <v>283</v>
      </c>
      <c r="E771">
        <v>7800</v>
      </c>
      <c r="F771" s="106" t="s">
        <v>689</v>
      </c>
      <c r="G771" s="106" t="s">
        <v>284</v>
      </c>
      <c r="H771" s="106" t="s">
        <v>302</v>
      </c>
      <c r="I771">
        <v>31</v>
      </c>
    </row>
    <row r="772" spans="1:10" x14ac:dyDescent="0.2">
      <c r="A772" s="106" t="s">
        <v>638</v>
      </c>
      <c r="B772" s="106" t="s">
        <v>277</v>
      </c>
      <c r="C772" s="106" t="s">
        <v>278</v>
      </c>
      <c r="D772" s="106" t="s">
        <v>279</v>
      </c>
      <c r="E772">
        <v>8152</v>
      </c>
      <c r="F772" s="106" t="s">
        <v>690</v>
      </c>
      <c r="G772" s="106" t="s">
        <v>288</v>
      </c>
      <c r="H772" s="106" t="s">
        <v>286</v>
      </c>
      <c r="I772">
        <v>37</v>
      </c>
    </row>
    <row r="773" spans="1:10" x14ac:dyDescent="0.2">
      <c r="A773" s="106" t="s">
        <v>638</v>
      </c>
      <c r="B773" s="106" t="s">
        <v>277</v>
      </c>
      <c r="C773" s="106" t="s">
        <v>289</v>
      </c>
      <c r="D773" s="106" t="s">
        <v>279</v>
      </c>
      <c r="E773">
        <v>8928</v>
      </c>
      <c r="F773" s="106" t="s">
        <v>751</v>
      </c>
      <c r="G773" s="106" t="s">
        <v>280</v>
      </c>
      <c r="H773" s="106" t="s">
        <v>306</v>
      </c>
      <c r="I773">
        <v>206</v>
      </c>
    </row>
    <row r="774" spans="1:10" x14ac:dyDescent="0.2">
      <c r="A774" s="106" t="s">
        <v>638</v>
      </c>
      <c r="B774" s="106" t="s">
        <v>277</v>
      </c>
      <c r="C774" s="106" t="s">
        <v>287</v>
      </c>
      <c r="D774" s="106" t="s">
        <v>279</v>
      </c>
      <c r="E774">
        <v>9672</v>
      </c>
      <c r="F774" s="106" t="s">
        <v>691</v>
      </c>
      <c r="G774" s="106" t="s">
        <v>280</v>
      </c>
      <c r="H774" s="106" t="s">
        <v>285</v>
      </c>
      <c r="I774" t="s">
        <v>311</v>
      </c>
      <c r="J774" t="s">
        <v>2465</v>
      </c>
    </row>
    <row r="775" spans="1:10" x14ac:dyDescent="0.2">
      <c r="A775" s="106" t="s">
        <v>638</v>
      </c>
      <c r="B775" s="106" t="s">
        <v>277</v>
      </c>
      <c r="C775" s="106" t="s">
        <v>287</v>
      </c>
      <c r="D775" s="106" t="s">
        <v>279</v>
      </c>
      <c r="E775">
        <v>9755</v>
      </c>
      <c r="F775" s="106" t="s">
        <v>2142</v>
      </c>
      <c r="G775" s="106" t="s">
        <v>280</v>
      </c>
      <c r="H775" s="106" t="s">
        <v>285</v>
      </c>
      <c r="I775">
        <v>415</v>
      </c>
    </row>
    <row r="776" spans="1:10" x14ac:dyDescent="0.2">
      <c r="A776" s="106" t="s">
        <v>865</v>
      </c>
      <c r="B776" s="106" t="s">
        <v>277</v>
      </c>
      <c r="C776" s="106" t="s">
        <v>278</v>
      </c>
      <c r="D776" s="106" t="s">
        <v>279</v>
      </c>
      <c r="E776">
        <v>2910</v>
      </c>
      <c r="F776" s="106" t="s">
        <v>298</v>
      </c>
      <c r="G776" s="106" t="s">
        <v>280</v>
      </c>
      <c r="H776" s="106" t="s">
        <v>281</v>
      </c>
      <c r="I776" s="106">
        <v>413</v>
      </c>
      <c r="J776" s="106"/>
    </row>
    <row r="777" spans="1:10" x14ac:dyDescent="0.2">
      <c r="A777" s="106" t="s">
        <v>865</v>
      </c>
      <c r="B777" s="106" t="s">
        <v>277</v>
      </c>
      <c r="C777" s="106" t="s">
        <v>278</v>
      </c>
      <c r="D777" s="106" t="s">
        <v>279</v>
      </c>
      <c r="E777">
        <v>3770</v>
      </c>
      <c r="F777" s="106" t="s">
        <v>299</v>
      </c>
      <c r="G777" s="106" t="s">
        <v>280</v>
      </c>
      <c r="H777" s="106" t="s">
        <v>291</v>
      </c>
      <c r="I777">
        <v>57</v>
      </c>
    </row>
    <row r="778" spans="1:10" x14ac:dyDescent="0.2">
      <c r="A778" s="106" t="s">
        <v>865</v>
      </c>
      <c r="B778" s="106" t="s">
        <v>277</v>
      </c>
      <c r="C778" s="106" t="s">
        <v>282</v>
      </c>
      <c r="D778" s="106" t="s">
        <v>279</v>
      </c>
      <c r="E778">
        <v>4996</v>
      </c>
      <c r="F778" s="106" t="s">
        <v>334</v>
      </c>
      <c r="G778" s="106" t="s">
        <v>280</v>
      </c>
      <c r="H778" s="106" t="s">
        <v>293</v>
      </c>
      <c r="I778" t="s">
        <v>311</v>
      </c>
      <c r="J778" t="s">
        <v>2466</v>
      </c>
    </row>
    <row r="779" spans="1:10" x14ac:dyDescent="0.2">
      <c r="A779" s="106" t="s">
        <v>865</v>
      </c>
      <c r="B779" s="106" t="s">
        <v>277</v>
      </c>
      <c r="C779" s="106" t="s">
        <v>289</v>
      </c>
      <c r="D779" s="106" t="s">
        <v>279</v>
      </c>
      <c r="E779">
        <v>6040</v>
      </c>
      <c r="F779" s="106" t="s">
        <v>309</v>
      </c>
      <c r="G779" s="106" t="s">
        <v>292</v>
      </c>
      <c r="H779" s="106" t="s">
        <v>285</v>
      </c>
      <c r="I779">
        <v>134</v>
      </c>
    </row>
    <row r="780" spans="1:10" x14ac:dyDescent="0.2">
      <c r="A780" s="106" t="s">
        <v>865</v>
      </c>
      <c r="B780" s="106" t="s">
        <v>277</v>
      </c>
      <c r="C780" s="106" t="s">
        <v>287</v>
      </c>
      <c r="D780" s="106" t="s">
        <v>279</v>
      </c>
      <c r="E780">
        <v>6696</v>
      </c>
      <c r="F780" s="106" t="s">
        <v>320</v>
      </c>
      <c r="G780" s="106" t="s">
        <v>292</v>
      </c>
      <c r="H780" s="106" t="s">
        <v>305</v>
      </c>
      <c r="I780">
        <v>45</v>
      </c>
    </row>
    <row r="781" spans="1:10" x14ac:dyDescent="0.2">
      <c r="A781" s="106" t="s">
        <v>865</v>
      </c>
      <c r="B781" s="106" t="s">
        <v>277</v>
      </c>
      <c r="C781" s="106" t="s">
        <v>287</v>
      </c>
      <c r="D781" s="106" t="s">
        <v>279</v>
      </c>
      <c r="E781">
        <v>6757</v>
      </c>
      <c r="F781" s="106" t="s">
        <v>705</v>
      </c>
      <c r="G781" s="106" t="s">
        <v>284</v>
      </c>
      <c r="H781" s="106" t="s">
        <v>305</v>
      </c>
      <c r="I781">
        <v>106</v>
      </c>
    </row>
    <row r="782" spans="1:10" x14ac:dyDescent="0.2">
      <c r="A782" s="106" t="s">
        <v>865</v>
      </c>
      <c r="B782" s="106" t="s">
        <v>277</v>
      </c>
      <c r="C782" s="106" t="s">
        <v>289</v>
      </c>
      <c r="D782" s="106" t="s">
        <v>283</v>
      </c>
      <c r="E782">
        <v>7682</v>
      </c>
      <c r="F782" s="106" t="s">
        <v>336</v>
      </c>
      <c r="G782" s="106" t="s">
        <v>284</v>
      </c>
      <c r="H782" s="106" t="s">
        <v>290</v>
      </c>
      <c r="I782" s="106">
        <v>25</v>
      </c>
      <c r="J782" s="106"/>
    </row>
    <row r="783" spans="1:10" x14ac:dyDescent="0.2">
      <c r="A783" s="106" t="s">
        <v>692</v>
      </c>
      <c r="B783" s="106" t="s">
        <v>277</v>
      </c>
      <c r="C783" s="106" t="s">
        <v>287</v>
      </c>
      <c r="D783" s="106" t="s">
        <v>283</v>
      </c>
      <c r="E783">
        <v>2163</v>
      </c>
      <c r="F783" s="106" t="s">
        <v>312</v>
      </c>
      <c r="G783" s="106" t="s">
        <v>280</v>
      </c>
      <c r="H783" s="106" t="s">
        <v>285</v>
      </c>
      <c r="I783">
        <v>82</v>
      </c>
    </row>
    <row r="784" spans="1:10" x14ac:dyDescent="0.2">
      <c r="A784" s="106" t="s">
        <v>692</v>
      </c>
      <c r="B784" s="106" t="s">
        <v>277</v>
      </c>
      <c r="C784" s="106" t="s">
        <v>287</v>
      </c>
      <c r="D784" s="106" t="s">
        <v>283</v>
      </c>
      <c r="E784">
        <v>3282</v>
      </c>
      <c r="F784" s="106" t="s">
        <v>693</v>
      </c>
      <c r="G784" s="106" t="s">
        <v>317</v>
      </c>
      <c r="H784" s="106" t="s">
        <v>318</v>
      </c>
      <c r="I784" t="s">
        <v>303</v>
      </c>
      <c r="J784" t="s">
        <v>2405</v>
      </c>
    </row>
    <row r="785" spans="1:10" x14ac:dyDescent="0.2">
      <c r="A785" s="106" t="s">
        <v>692</v>
      </c>
      <c r="B785" s="106" t="s">
        <v>277</v>
      </c>
      <c r="C785" s="106" t="s">
        <v>287</v>
      </c>
      <c r="D785" s="106" t="s">
        <v>283</v>
      </c>
      <c r="E785">
        <v>3463</v>
      </c>
      <c r="F785" s="106" t="s">
        <v>694</v>
      </c>
      <c r="G785" s="106" t="s">
        <v>317</v>
      </c>
      <c r="H785" s="106" t="s">
        <v>318</v>
      </c>
      <c r="I785">
        <v>338</v>
      </c>
    </row>
    <row r="786" spans="1:10" x14ac:dyDescent="0.2">
      <c r="A786" s="106" t="s">
        <v>692</v>
      </c>
      <c r="B786" s="106" t="s">
        <v>277</v>
      </c>
      <c r="C786" s="106" t="s">
        <v>289</v>
      </c>
      <c r="D786" s="106" t="s">
        <v>283</v>
      </c>
      <c r="E786">
        <v>3497</v>
      </c>
      <c r="F786" s="106" t="s">
        <v>331</v>
      </c>
      <c r="G786" s="106" t="s">
        <v>292</v>
      </c>
      <c r="H786" s="106" t="s">
        <v>306</v>
      </c>
      <c r="I786">
        <v>36</v>
      </c>
    </row>
    <row r="787" spans="1:10" x14ac:dyDescent="0.2">
      <c r="A787" s="106" t="s">
        <v>692</v>
      </c>
      <c r="B787" s="106" t="s">
        <v>277</v>
      </c>
      <c r="C787" s="106" t="s">
        <v>287</v>
      </c>
      <c r="D787" s="106" t="s">
        <v>283</v>
      </c>
      <c r="E787">
        <v>4380</v>
      </c>
      <c r="F787" s="106" t="s">
        <v>326</v>
      </c>
      <c r="G787" s="106" t="s">
        <v>292</v>
      </c>
      <c r="H787" s="106" t="s">
        <v>291</v>
      </c>
      <c r="I787">
        <v>39</v>
      </c>
    </row>
    <row r="788" spans="1:10" x14ac:dyDescent="0.2">
      <c r="A788" s="106" t="s">
        <v>692</v>
      </c>
      <c r="B788" s="106" t="s">
        <v>277</v>
      </c>
      <c r="C788" s="106" t="s">
        <v>289</v>
      </c>
      <c r="D788" s="106" t="s">
        <v>279</v>
      </c>
      <c r="E788">
        <v>4422</v>
      </c>
      <c r="F788" s="106" t="s">
        <v>324</v>
      </c>
      <c r="G788" s="106" t="s">
        <v>292</v>
      </c>
      <c r="H788" s="106" t="s">
        <v>291</v>
      </c>
      <c r="I788">
        <v>50</v>
      </c>
    </row>
    <row r="789" spans="1:10" x14ac:dyDescent="0.2">
      <c r="A789" s="106" t="s">
        <v>692</v>
      </c>
      <c r="B789" s="106" t="s">
        <v>277</v>
      </c>
      <c r="C789" s="106" t="s">
        <v>282</v>
      </c>
      <c r="D789" s="106" t="s">
        <v>283</v>
      </c>
      <c r="E789">
        <v>4441</v>
      </c>
      <c r="F789" s="106" t="s">
        <v>319</v>
      </c>
      <c r="G789" s="106" t="s">
        <v>292</v>
      </c>
      <c r="H789" s="106" t="s">
        <v>291</v>
      </c>
      <c r="I789">
        <v>237</v>
      </c>
    </row>
    <row r="790" spans="1:10" x14ac:dyDescent="0.2">
      <c r="A790" s="106" t="s">
        <v>692</v>
      </c>
      <c r="B790" s="106" t="s">
        <v>277</v>
      </c>
      <c r="C790" s="106" t="s">
        <v>278</v>
      </c>
      <c r="D790" s="106" t="s">
        <v>279</v>
      </c>
      <c r="E790">
        <v>6065</v>
      </c>
      <c r="F790" s="106" t="s">
        <v>315</v>
      </c>
      <c r="G790" s="106" t="s">
        <v>280</v>
      </c>
      <c r="H790" s="106" t="s">
        <v>285</v>
      </c>
      <c r="I790">
        <v>88</v>
      </c>
    </row>
    <row r="791" spans="1:10" x14ac:dyDescent="0.2">
      <c r="A791" s="106" t="s">
        <v>692</v>
      </c>
      <c r="B791" s="106" t="s">
        <v>277</v>
      </c>
      <c r="C791" s="106" t="s">
        <v>278</v>
      </c>
      <c r="D791" s="106" t="s">
        <v>279</v>
      </c>
      <c r="E791">
        <v>6905</v>
      </c>
      <c r="F791" s="106" t="s">
        <v>706</v>
      </c>
      <c r="G791" s="106" t="s">
        <v>280</v>
      </c>
      <c r="H791" s="106" t="s">
        <v>305</v>
      </c>
      <c r="I791">
        <v>449</v>
      </c>
    </row>
    <row r="792" spans="1:10" x14ac:dyDescent="0.2">
      <c r="A792" s="106" t="s">
        <v>692</v>
      </c>
      <c r="B792" s="106" t="s">
        <v>277</v>
      </c>
      <c r="C792" s="106" t="s">
        <v>287</v>
      </c>
      <c r="D792" s="106" t="s">
        <v>283</v>
      </c>
      <c r="E792">
        <v>7064</v>
      </c>
      <c r="F792" s="106" t="s">
        <v>323</v>
      </c>
      <c r="G792" s="106" t="s">
        <v>292</v>
      </c>
      <c r="H792" s="106" t="s">
        <v>285</v>
      </c>
      <c r="I792" s="106">
        <v>29</v>
      </c>
      <c r="J792" s="106"/>
    </row>
    <row r="793" spans="1:10" x14ac:dyDescent="0.2">
      <c r="A793" s="106" t="s">
        <v>692</v>
      </c>
      <c r="B793" s="106" t="s">
        <v>277</v>
      </c>
      <c r="C793" s="106" t="s">
        <v>287</v>
      </c>
      <c r="D793" s="106" t="s">
        <v>279</v>
      </c>
      <c r="E793">
        <v>7073</v>
      </c>
      <c r="F793" s="106" t="s">
        <v>335</v>
      </c>
      <c r="G793" s="106" t="s">
        <v>292</v>
      </c>
      <c r="H793" s="106" t="s">
        <v>285</v>
      </c>
      <c r="I793" s="106">
        <v>72</v>
      </c>
      <c r="J793" s="106"/>
    </row>
    <row r="794" spans="1:10" x14ac:dyDescent="0.2">
      <c r="A794" s="106" t="s">
        <v>695</v>
      </c>
      <c r="B794" s="106" t="s">
        <v>277</v>
      </c>
      <c r="C794" s="106" t="s">
        <v>287</v>
      </c>
      <c r="D794" s="106" t="s">
        <v>283</v>
      </c>
      <c r="E794">
        <v>3281</v>
      </c>
      <c r="F794" s="106" t="s">
        <v>696</v>
      </c>
      <c r="G794" s="106" t="s">
        <v>317</v>
      </c>
      <c r="H794" s="106" t="s">
        <v>318</v>
      </c>
      <c r="I794" t="s">
        <v>297</v>
      </c>
      <c r="J794" t="s">
        <v>2467</v>
      </c>
    </row>
    <row r="795" spans="1:10" x14ac:dyDescent="0.2">
      <c r="A795" s="106" t="s">
        <v>695</v>
      </c>
      <c r="B795" s="106" t="s">
        <v>277</v>
      </c>
      <c r="C795" s="106" t="s">
        <v>287</v>
      </c>
      <c r="D795" s="106" t="s">
        <v>283</v>
      </c>
      <c r="E795">
        <v>3466</v>
      </c>
      <c r="F795" s="106" t="s">
        <v>697</v>
      </c>
      <c r="G795" s="106" t="s">
        <v>317</v>
      </c>
      <c r="H795" s="106" t="s">
        <v>318</v>
      </c>
      <c r="I795" t="s">
        <v>303</v>
      </c>
      <c r="J795" t="s">
        <v>2468</v>
      </c>
    </row>
    <row r="796" spans="1:10" x14ac:dyDescent="0.2">
      <c r="A796" t="s">
        <v>695</v>
      </c>
      <c r="B796" t="s">
        <v>277</v>
      </c>
      <c r="C796" t="s">
        <v>287</v>
      </c>
      <c r="D796" t="s">
        <v>283</v>
      </c>
      <c r="E796">
        <v>7077</v>
      </c>
      <c r="F796" t="s">
        <v>2143</v>
      </c>
      <c r="G796" t="s">
        <v>292</v>
      </c>
      <c r="H796" t="s">
        <v>285</v>
      </c>
      <c r="I796">
        <v>80</v>
      </c>
    </row>
    <row r="797" spans="1:10" x14ac:dyDescent="0.2">
      <c r="A797" t="s">
        <v>2265</v>
      </c>
      <c r="B797" t="s">
        <v>277</v>
      </c>
      <c r="C797" t="s">
        <v>287</v>
      </c>
      <c r="D797" t="s">
        <v>283</v>
      </c>
      <c r="E797">
        <v>8975</v>
      </c>
      <c r="F797" t="s">
        <v>2266</v>
      </c>
      <c r="G797" t="s">
        <v>317</v>
      </c>
      <c r="H797" t="s">
        <v>318</v>
      </c>
      <c r="I797" t="s">
        <v>311</v>
      </c>
      <c r="J797" t="s">
        <v>2394</v>
      </c>
    </row>
    <row r="798" spans="1:10" x14ac:dyDescent="0.2">
      <c r="A798" t="s">
        <v>698</v>
      </c>
      <c r="B798" t="s">
        <v>277</v>
      </c>
      <c r="C798" t="s">
        <v>289</v>
      </c>
      <c r="D798" t="s">
        <v>283</v>
      </c>
      <c r="E798">
        <v>8155</v>
      </c>
      <c r="F798" t="s">
        <v>702</v>
      </c>
      <c r="G798" t="s">
        <v>280</v>
      </c>
      <c r="H798" t="s">
        <v>295</v>
      </c>
      <c r="I798">
        <v>770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G1106"/>
  <sheetViews>
    <sheetView workbookViewId="0">
      <selection activeCell="K28" sqref="K28"/>
    </sheetView>
  </sheetViews>
  <sheetFormatPr defaultRowHeight="14.25" x14ac:dyDescent="0.2"/>
  <sheetData>
    <row r="1" spans="1:7" x14ac:dyDescent="0.2">
      <c r="A1" s="106" t="s">
        <v>952</v>
      </c>
      <c r="B1" s="106" t="s">
        <v>953</v>
      </c>
      <c r="C1" s="189">
        <v>43819</v>
      </c>
      <c r="D1" s="189">
        <v>43818</v>
      </c>
      <c r="E1" s="189">
        <v>43817</v>
      </c>
      <c r="F1" s="189">
        <v>43816</v>
      </c>
      <c r="G1" s="189">
        <v>43815</v>
      </c>
    </row>
    <row r="2" spans="1:7" x14ac:dyDescent="0.2">
      <c r="A2" s="106">
        <v>1301</v>
      </c>
      <c r="B2" s="106" t="s">
        <v>954</v>
      </c>
      <c r="C2" s="189">
        <v>0</v>
      </c>
      <c r="D2" s="189">
        <v>0</v>
      </c>
      <c r="E2" s="189">
        <v>0</v>
      </c>
      <c r="F2" s="189">
        <v>0</v>
      </c>
      <c r="G2" s="189">
        <v>0</v>
      </c>
    </row>
    <row r="3" spans="1:7" x14ac:dyDescent="0.2">
      <c r="A3">
        <v>1377</v>
      </c>
      <c r="B3" s="106" t="s">
        <v>2469</v>
      </c>
      <c r="C3">
        <v>0</v>
      </c>
      <c r="D3" t="s">
        <v>171</v>
      </c>
      <c r="E3" t="s">
        <v>171</v>
      </c>
      <c r="F3" t="s">
        <v>171</v>
      </c>
      <c r="G3" t="s">
        <v>171</v>
      </c>
    </row>
    <row r="4" spans="1:7" x14ac:dyDescent="0.2">
      <c r="A4">
        <v>1379</v>
      </c>
      <c r="B4" s="106" t="s">
        <v>955</v>
      </c>
      <c r="C4">
        <v>0.05</v>
      </c>
      <c r="D4">
        <v>0.05</v>
      </c>
      <c r="E4">
        <v>0.15</v>
      </c>
      <c r="F4">
        <v>0.05</v>
      </c>
      <c r="G4">
        <v>0.05</v>
      </c>
    </row>
    <row r="5" spans="1:7" x14ac:dyDescent="0.2">
      <c r="A5">
        <v>1419</v>
      </c>
      <c r="B5" s="106" t="s">
        <v>956</v>
      </c>
      <c r="C5">
        <v>0.05</v>
      </c>
      <c r="D5">
        <v>0.05</v>
      </c>
      <c r="E5">
        <v>0.15</v>
      </c>
      <c r="F5">
        <v>0.05</v>
      </c>
      <c r="G5">
        <v>0.05</v>
      </c>
    </row>
    <row r="6" spans="1:7" x14ac:dyDescent="0.2">
      <c r="A6">
        <v>1420</v>
      </c>
      <c r="B6" s="106" t="s">
        <v>957</v>
      </c>
      <c r="C6">
        <v>0.05</v>
      </c>
      <c r="D6">
        <v>0</v>
      </c>
      <c r="E6">
        <v>0.15</v>
      </c>
      <c r="F6">
        <v>0</v>
      </c>
      <c r="G6">
        <v>0.05</v>
      </c>
    </row>
    <row r="7" spans="1:7" x14ac:dyDescent="0.2">
      <c r="A7">
        <v>1430</v>
      </c>
      <c r="B7" s="106" t="s">
        <v>958</v>
      </c>
      <c r="C7">
        <v>0</v>
      </c>
      <c r="D7">
        <v>0.05</v>
      </c>
      <c r="E7">
        <v>0</v>
      </c>
      <c r="F7">
        <v>0.05</v>
      </c>
      <c r="G7">
        <v>0</v>
      </c>
    </row>
    <row r="8" spans="1:7" x14ac:dyDescent="0.2">
      <c r="A8">
        <v>1433</v>
      </c>
      <c r="B8" s="106" t="s">
        <v>959</v>
      </c>
      <c r="C8">
        <v>0</v>
      </c>
      <c r="D8" s="106">
        <v>0</v>
      </c>
      <c r="E8">
        <v>0</v>
      </c>
      <c r="F8">
        <v>0</v>
      </c>
      <c r="G8" s="106">
        <v>0</v>
      </c>
    </row>
    <row r="9" spans="1:7" x14ac:dyDescent="0.2">
      <c r="A9">
        <v>1514</v>
      </c>
      <c r="B9" s="106" t="s">
        <v>2470</v>
      </c>
      <c r="C9">
        <v>0</v>
      </c>
      <c r="D9" t="s">
        <v>171</v>
      </c>
      <c r="E9">
        <v>0</v>
      </c>
      <c r="F9" t="s">
        <v>171</v>
      </c>
      <c r="G9">
        <v>0</v>
      </c>
    </row>
    <row r="10" spans="1:7" x14ac:dyDescent="0.2">
      <c r="A10">
        <v>1605</v>
      </c>
      <c r="B10" s="106" t="s">
        <v>960</v>
      </c>
      <c r="C10">
        <v>0.05</v>
      </c>
      <c r="D10">
        <v>0.05</v>
      </c>
      <c r="E10">
        <v>0.15</v>
      </c>
      <c r="F10">
        <v>0.05</v>
      </c>
      <c r="G10">
        <v>0.05</v>
      </c>
    </row>
    <row r="11" spans="1:7" x14ac:dyDescent="0.2">
      <c r="A11">
        <v>1662</v>
      </c>
      <c r="B11" s="106" t="s">
        <v>961</v>
      </c>
      <c r="C11">
        <v>0.1</v>
      </c>
      <c r="D11">
        <v>0.1</v>
      </c>
      <c r="E11">
        <v>0.3</v>
      </c>
      <c r="F11">
        <v>0.1</v>
      </c>
      <c r="G11">
        <v>0.05</v>
      </c>
    </row>
    <row r="12" spans="1:7" x14ac:dyDescent="0.2">
      <c r="A12">
        <v>1663</v>
      </c>
      <c r="B12" s="106" t="s">
        <v>962</v>
      </c>
      <c r="C12">
        <v>0.05</v>
      </c>
      <c r="D12">
        <v>0.05</v>
      </c>
      <c r="E12">
        <v>0.15</v>
      </c>
      <c r="F12">
        <v>0.05</v>
      </c>
      <c r="G12">
        <v>0.05</v>
      </c>
    </row>
    <row r="13" spans="1:7" x14ac:dyDescent="0.2">
      <c r="A13">
        <v>1719</v>
      </c>
      <c r="B13" s="106" t="s">
        <v>931</v>
      </c>
      <c r="C13">
        <v>0</v>
      </c>
      <c r="D13">
        <v>0</v>
      </c>
      <c r="E13">
        <v>0</v>
      </c>
      <c r="F13">
        <v>0</v>
      </c>
      <c r="G13">
        <v>0</v>
      </c>
    </row>
    <row r="14" spans="1:7" x14ac:dyDescent="0.2">
      <c r="A14">
        <v>1722</v>
      </c>
      <c r="B14" s="106" t="s">
        <v>963</v>
      </c>
      <c r="C14">
        <v>0.05</v>
      </c>
      <c r="D14">
        <v>0.05</v>
      </c>
      <c r="E14" s="106">
        <v>0.15</v>
      </c>
      <c r="F14">
        <v>0.05</v>
      </c>
      <c r="G14" s="106">
        <v>0.05</v>
      </c>
    </row>
    <row r="15" spans="1:7" x14ac:dyDescent="0.2">
      <c r="A15">
        <v>1766</v>
      </c>
      <c r="B15" s="106" t="s">
        <v>964</v>
      </c>
      <c r="C15">
        <v>0.15</v>
      </c>
      <c r="D15">
        <v>0.15</v>
      </c>
      <c r="E15">
        <v>0.45</v>
      </c>
      <c r="F15">
        <v>0.15</v>
      </c>
      <c r="G15">
        <v>0.15</v>
      </c>
    </row>
    <row r="16" spans="1:7" x14ac:dyDescent="0.2">
      <c r="A16">
        <v>1768</v>
      </c>
      <c r="B16" s="106" t="s">
        <v>965</v>
      </c>
      <c r="C16">
        <v>0</v>
      </c>
      <c r="D16" s="106">
        <v>0</v>
      </c>
      <c r="E16" s="106">
        <v>0</v>
      </c>
      <c r="F16" s="106">
        <v>0</v>
      </c>
      <c r="G16" s="106">
        <v>0</v>
      </c>
    </row>
    <row r="17" spans="1:7" x14ac:dyDescent="0.2">
      <c r="A17">
        <v>1780</v>
      </c>
      <c r="B17" s="106" t="s">
        <v>966</v>
      </c>
      <c r="C17">
        <v>0.05</v>
      </c>
      <c r="D17" s="106">
        <v>0.05</v>
      </c>
      <c r="E17" s="106">
        <v>0.15</v>
      </c>
      <c r="F17" s="106">
        <v>0.05</v>
      </c>
      <c r="G17" s="106">
        <v>0.05</v>
      </c>
    </row>
    <row r="18" spans="1:7" x14ac:dyDescent="0.2">
      <c r="A18">
        <v>1803</v>
      </c>
      <c r="B18" s="106" t="s">
        <v>932</v>
      </c>
      <c r="C18">
        <v>0</v>
      </c>
      <c r="D18">
        <v>0</v>
      </c>
      <c r="E18" s="106">
        <v>0</v>
      </c>
      <c r="F18" s="106" t="s">
        <v>171</v>
      </c>
      <c r="G18" t="s">
        <v>171</v>
      </c>
    </row>
    <row r="19" spans="1:7" x14ac:dyDescent="0.2">
      <c r="A19">
        <v>1808</v>
      </c>
      <c r="B19" s="106" t="s">
        <v>967</v>
      </c>
      <c r="C19">
        <v>0.05</v>
      </c>
      <c r="D19" s="106">
        <v>0.05</v>
      </c>
      <c r="E19" s="106">
        <v>0.15</v>
      </c>
      <c r="F19">
        <v>0.05</v>
      </c>
      <c r="G19">
        <v>0.05</v>
      </c>
    </row>
    <row r="20" spans="1:7" x14ac:dyDescent="0.2">
      <c r="A20">
        <v>1810</v>
      </c>
      <c r="B20" s="106" t="s">
        <v>968</v>
      </c>
      <c r="C20">
        <v>0</v>
      </c>
      <c r="D20">
        <v>0</v>
      </c>
      <c r="E20">
        <v>0</v>
      </c>
      <c r="F20">
        <v>0</v>
      </c>
      <c r="G20">
        <v>0</v>
      </c>
    </row>
    <row r="21" spans="1:7" x14ac:dyDescent="0.2">
      <c r="A21">
        <v>1826</v>
      </c>
      <c r="B21" s="106" t="s">
        <v>969</v>
      </c>
      <c r="C21">
        <v>0</v>
      </c>
      <c r="D21" s="106">
        <v>0</v>
      </c>
      <c r="E21" s="106">
        <v>0</v>
      </c>
      <c r="F21" s="106">
        <v>0</v>
      </c>
      <c r="G21" s="106">
        <v>0</v>
      </c>
    </row>
    <row r="22" spans="1:7" x14ac:dyDescent="0.2">
      <c r="A22">
        <v>1848</v>
      </c>
      <c r="B22" s="106" t="s">
        <v>970</v>
      </c>
      <c r="C22">
        <v>0</v>
      </c>
      <c r="D22" s="106">
        <v>0</v>
      </c>
      <c r="E22" s="106">
        <v>0</v>
      </c>
      <c r="F22" s="106">
        <v>0</v>
      </c>
      <c r="G22" s="106">
        <v>0</v>
      </c>
    </row>
    <row r="23" spans="1:7" x14ac:dyDescent="0.2">
      <c r="A23">
        <v>1860</v>
      </c>
      <c r="B23" s="106" t="s">
        <v>65</v>
      </c>
      <c r="C23">
        <v>0</v>
      </c>
      <c r="D23">
        <v>0.05</v>
      </c>
      <c r="E23">
        <v>0</v>
      </c>
      <c r="F23" s="106">
        <v>0.05</v>
      </c>
      <c r="G23" s="106">
        <v>0</v>
      </c>
    </row>
    <row r="24" spans="1:7" x14ac:dyDescent="0.2">
      <c r="A24">
        <v>1867</v>
      </c>
      <c r="B24" s="106" t="s">
        <v>2267</v>
      </c>
      <c r="C24">
        <v>0</v>
      </c>
      <c r="D24">
        <v>0.05</v>
      </c>
      <c r="E24" t="s">
        <v>171</v>
      </c>
      <c r="F24" s="106">
        <v>0.05</v>
      </c>
      <c r="G24" s="106" t="s">
        <v>171</v>
      </c>
    </row>
    <row r="25" spans="1:7" x14ac:dyDescent="0.2">
      <c r="A25">
        <v>1870</v>
      </c>
      <c r="B25" s="106" t="s">
        <v>971</v>
      </c>
      <c r="C25">
        <v>0</v>
      </c>
      <c r="D25">
        <v>0</v>
      </c>
      <c r="E25" s="106">
        <v>0</v>
      </c>
      <c r="F25" s="106" t="s">
        <v>171</v>
      </c>
      <c r="G25" s="106" t="s">
        <v>171</v>
      </c>
    </row>
    <row r="26" spans="1:7" x14ac:dyDescent="0.2">
      <c r="A26">
        <v>1878</v>
      </c>
      <c r="B26" s="106" t="s">
        <v>972</v>
      </c>
      <c r="C26">
        <v>0.25</v>
      </c>
      <c r="D26" s="106">
        <v>0.25</v>
      </c>
      <c r="E26" s="106">
        <v>0.75</v>
      </c>
      <c r="F26" s="106">
        <v>0.25</v>
      </c>
      <c r="G26" s="106">
        <v>0.25</v>
      </c>
    </row>
    <row r="27" spans="1:7" x14ac:dyDescent="0.2">
      <c r="A27">
        <v>1879</v>
      </c>
      <c r="B27" s="106" t="s">
        <v>2471</v>
      </c>
      <c r="C27">
        <v>0</v>
      </c>
      <c r="D27" s="106" t="s">
        <v>171</v>
      </c>
      <c r="E27" t="s">
        <v>171</v>
      </c>
      <c r="F27" s="106" t="s">
        <v>171</v>
      </c>
      <c r="G27" t="s">
        <v>171</v>
      </c>
    </row>
    <row r="28" spans="1:7" x14ac:dyDescent="0.2">
      <c r="A28">
        <v>1881</v>
      </c>
      <c r="B28" s="106" t="s">
        <v>973</v>
      </c>
      <c r="C28">
        <v>0</v>
      </c>
      <c r="D28" s="106">
        <v>0</v>
      </c>
      <c r="E28">
        <v>0</v>
      </c>
      <c r="F28" s="106">
        <v>0</v>
      </c>
      <c r="G28" s="106">
        <v>0</v>
      </c>
    </row>
    <row r="29" spans="1:7" x14ac:dyDescent="0.2">
      <c r="A29">
        <v>1883</v>
      </c>
      <c r="B29" s="106" t="s">
        <v>974</v>
      </c>
      <c r="C29">
        <v>0</v>
      </c>
      <c r="D29">
        <v>0</v>
      </c>
      <c r="E29">
        <v>0</v>
      </c>
      <c r="F29">
        <v>0</v>
      </c>
      <c r="G29" s="106">
        <v>0</v>
      </c>
    </row>
    <row r="30" spans="1:7" x14ac:dyDescent="0.2">
      <c r="A30">
        <v>1884</v>
      </c>
      <c r="B30" s="106" t="s">
        <v>975</v>
      </c>
      <c r="C30">
        <v>0.15</v>
      </c>
      <c r="D30">
        <v>0.15</v>
      </c>
      <c r="E30">
        <v>0.45</v>
      </c>
      <c r="F30">
        <v>0.15</v>
      </c>
      <c r="G30">
        <v>0.15</v>
      </c>
    </row>
    <row r="31" spans="1:7" x14ac:dyDescent="0.2">
      <c r="A31">
        <v>1885</v>
      </c>
      <c r="B31" s="106" t="s">
        <v>2472</v>
      </c>
      <c r="C31">
        <v>0</v>
      </c>
      <c r="D31" t="s">
        <v>171</v>
      </c>
      <c r="E31" s="106" t="s">
        <v>171</v>
      </c>
      <c r="F31" t="s">
        <v>171</v>
      </c>
      <c r="G31" s="106" t="s">
        <v>171</v>
      </c>
    </row>
    <row r="32" spans="1:7" x14ac:dyDescent="0.2">
      <c r="A32">
        <v>1911</v>
      </c>
      <c r="B32" s="106" t="s">
        <v>59</v>
      </c>
      <c r="C32">
        <v>0</v>
      </c>
      <c r="D32" t="s">
        <v>171</v>
      </c>
      <c r="E32">
        <v>0</v>
      </c>
      <c r="F32">
        <v>0</v>
      </c>
      <c r="G32" s="106" t="s">
        <v>171</v>
      </c>
    </row>
    <row r="33" spans="1:7" x14ac:dyDescent="0.2">
      <c r="A33">
        <v>1921</v>
      </c>
      <c r="B33" s="106" t="s">
        <v>976</v>
      </c>
      <c r="C33">
        <v>0</v>
      </c>
      <c r="D33" s="106">
        <v>0</v>
      </c>
      <c r="E33" s="106">
        <v>0</v>
      </c>
      <c r="F33" s="106">
        <v>0</v>
      </c>
      <c r="G33" t="s">
        <v>171</v>
      </c>
    </row>
    <row r="34" spans="1:7" x14ac:dyDescent="0.2">
      <c r="A34">
        <v>1928</v>
      </c>
      <c r="B34" s="106" t="s">
        <v>236</v>
      </c>
      <c r="C34">
        <v>0.05</v>
      </c>
      <c r="D34" s="106">
        <v>0.05</v>
      </c>
      <c r="E34">
        <v>0.15</v>
      </c>
      <c r="F34" s="106">
        <v>0.05</v>
      </c>
      <c r="G34">
        <v>0.05</v>
      </c>
    </row>
    <row r="35" spans="1:7" x14ac:dyDescent="0.2">
      <c r="A35">
        <v>1930</v>
      </c>
      <c r="B35" s="106" t="s">
        <v>977</v>
      </c>
      <c r="C35">
        <v>0</v>
      </c>
      <c r="D35" s="106">
        <v>0</v>
      </c>
      <c r="E35">
        <v>0</v>
      </c>
      <c r="F35" s="106">
        <v>0</v>
      </c>
      <c r="G35" s="106">
        <v>0</v>
      </c>
    </row>
    <row r="36" spans="1:7" x14ac:dyDescent="0.2">
      <c r="A36">
        <v>1934</v>
      </c>
      <c r="B36" s="106" t="s">
        <v>2144</v>
      </c>
      <c r="C36">
        <v>0</v>
      </c>
      <c r="D36" s="106">
        <v>0</v>
      </c>
      <c r="E36">
        <v>0</v>
      </c>
      <c r="F36" s="106" t="s">
        <v>171</v>
      </c>
      <c r="G36" s="106">
        <v>0</v>
      </c>
    </row>
    <row r="37" spans="1:7" x14ac:dyDescent="0.2">
      <c r="A37">
        <v>1939</v>
      </c>
      <c r="B37" s="106" t="s">
        <v>978</v>
      </c>
      <c r="C37">
        <v>0</v>
      </c>
      <c r="D37" s="106">
        <v>0</v>
      </c>
      <c r="E37" s="106">
        <v>0</v>
      </c>
      <c r="F37" s="106">
        <v>0</v>
      </c>
      <c r="G37">
        <v>0</v>
      </c>
    </row>
    <row r="38" spans="1:7" x14ac:dyDescent="0.2">
      <c r="A38">
        <v>1944</v>
      </c>
      <c r="B38" s="106" t="s">
        <v>2268</v>
      </c>
      <c r="C38">
        <v>0</v>
      </c>
      <c r="D38" s="106">
        <v>0</v>
      </c>
      <c r="E38" s="106" t="s">
        <v>171</v>
      </c>
      <c r="F38">
        <v>0</v>
      </c>
      <c r="G38" t="s">
        <v>171</v>
      </c>
    </row>
    <row r="39" spans="1:7" x14ac:dyDescent="0.2">
      <c r="A39">
        <v>1946</v>
      </c>
      <c r="B39" s="106" t="s">
        <v>2473</v>
      </c>
      <c r="C39">
        <v>0</v>
      </c>
      <c r="D39" t="s">
        <v>171</v>
      </c>
      <c r="E39" s="106" t="s">
        <v>171</v>
      </c>
      <c r="F39" t="s">
        <v>171</v>
      </c>
      <c r="G39" t="s">
        <v>171</v>
      </c>
    </row>
    <row r="40" spans="1:7" x14ac:dyDescent="0.2">
      <c r="A40">
        <v>1949</v>
      </c>
      <c r="B40" s="106" t="s">
        <v>979</v>
      </c>
      <c r="C40">
        <v>0</v>
      </c>
      <c r="D40">
        <v>0</v>
      </c>
      <c r="E40">
        <v>0</v>
      </c>
      <c r="F40">
        <v>0</v>
      </c>
      <c r="G40">
        <v>0</v>
      </c>
    </row>
    <row r="41" spans="1:7" x14ac:dyDescent="0.2">
      <c r="A41">
        <v>1952</v>
      </c>
      <c r="B41" s="106" t="s">
        <v>980</v>
      </c>
      <c r="C41">
        <v>0.05</v>
      </c>
      <c r="D41">
        <v>0.05</v>
      </c>
      <c r="E41">
        <v>0.15</v>
      </c>
      <c r="F41">
        <v>0.05</v>
      </c>
      <c r="G41">
        <v>0.05</v>
      </c>
    </row>
    <row r="42" spans="1:7" x14ac:dyDescent="0.2">
      <c r="A42">
        <v>1954</v>
      </c>
      <c r="B42" s="106" t="s">
        <v>981</v>
      </c>
      <c r="C42">
        <v>0.1</v>
      </c>
      <c r="D42">
        <v>0.1</v>
      </c>
      <c r="E42" s="106">
        <v>0.3</v>
      </c>
      <c r="F42">
        <v>0.1</v>
      </c>
      <c r="G42">
        <v>0.1</v>
      </c>
    </row>
    <row r="43" spans="1:7" x14ac:dyDescent="0.2">
      <c r="A43">
        <v>1961</v>
      </c>
      <c r="B43" s="106" t="s">
        <v>982</v>
      </c>
      <c r="C43">
        <v>0</v>
      </c>
      <c r="D43">
        <v>0</v>
      </c>
      <c r="E43">
        <v>0</v>
      </c>
      <c r="F43">
        <v>0</v>
      </c>
      <c r="G43">
        <v>0</v>
      </c>
    </row>
    <row r="44" spans="1:7" x14ac:dyDescent="0.2">
      <c r="A44">
        <v>1963</v>
      </c>
      <c r="B44" s="106" t="s">
        <v>2474</v>
      </c>
      <c r="C44">
        <v>0.05</v>
      </c>
      <c r="D44" t="s">
        <v>171</v>
      </c>
      <c r="E44">
        <v>0.15</v>
      </c>
      <c r="F44">
        <v>0</v>
      </c>
      <c r="G44" t="s">
        <v>171</v>
      </c>
    </row>
    <row r="45" spans="1:7" x14ac:dyDescent="0.2">
      <c r="A45">
        <v>1964</v>
      </c>
      <c r="B45" s="106" t="s">
        <v>983</v>
      </c>
      <c r="C45">
        <v>0</v>
      </c>
      <c r="D45">
        <v>0</v>
      </c>
      <c r="E45">
        <v>0</v>
      </c>
      <c r="F45">
        <v>0</v>
      </c>
      <c r="G45">
        <v>0</v>
      </c>
    </row>
    <row r="46" spans="1:7" x14ac:dyDescent="0.2">
      <c r="A46">
        <v>1969</v>
      </c>
      <c r="B46" s="106" t="s">
        <v>984</v>
      </c>
      <c r="C46">
        <v>0.05</v>
      </c>
      <c r="D46">
        <v>0</v>
      </c>
      <c r="E46" s="106">
        <v>0</v>
      </c>
      <c r="F46" s="106">
        <v>0.05</v>
      </c>
      <c r="G46">
        <v>0</v>
      </c>
    </row>
    <row r="47" spans="1:7" x14ac:dyDescent="0.2">
      <c r="A47">
        <v>1973</v>
      </c>
      <c r="B47" s="106" t="s">
        <v>243</v>
      </c>
      <c r="C47">
        <v>0</v>
      </c>
      <c r="D47">
        <v>0</v>
      </c>
      <c r="E47" s="106" t="s">
        <v>171</v>
      </c>
      <c r="F47" t="s">
        <v>171</v>
      </c>
      <c r="G47" t="s">
        <v>171</v>
      </c>
    </row>
    <row r="48" spans="1:7" x14ac:dyDescent="0.2">
      <c r="A48">
        <v>1975</v>
      </c>
      <c r="B48" s="106" t="s">
        <v>2475</v>
      </c>
      <c r="C48">
        <v>0</v>
      </c>
      <c r="D48" s="106" t="s">
        <v>171</v>
      </c>
      <c r="E48" s="106" t="s">
        <v>171</v>
      </c>
      <c r="F48" s="106" t="s">
        <v>171</v>
      </c>
      <c r="G48" t="s">
        <v>171</v>
      </c>
    </row>
    <row r="49" spans="1:7" x14ac:dyDescent="0.2">
      <c r="A49">
        <v>1976</v>
      </c>
      <c r="B49" s="106" t="s">
        <v>985</v>
      </c>
      <c r="C49">
        <v>0.05</v>
      </c>
      <c r="D49">
        <v>0.05</v>
      </c>
      <c r="E49">
        <v>0.15</v>
      </c>
      <c r="F49">
        <v>0.05</v>
      </c>
      <c r="G49">
        <v>0.05</v>
      </c>
    </row>
    <row r="50" spans="1:7" x14ac:dyDescent="0.2">
      <c r="A50">
        <v>1979</v>
      </c>
      <c r="B50" s="106" t="s">
        <v>986</v>
      </c>
      <c r="C50">
        <v>0.1</v>
      </c>
      <c r="D50" s="106">
        <v>0.1</v>
      </c>
      <c r="E50" s="106">
        <v>0.3</v>
      </c>
      <c r="F50" s="106">
        <v>0</v>
      </c>
      <c r="G50" s="106" t="s">
        <v>171</v>
      </c>
    </row>
    <row r="51" spans="1:7" x14ac:dyDescent="0.2">
      <c r="A51">
        <v>1980</v>
      </c>
      <c r="B51" s="106" t="s">
        <v>987</v>
      </c>
      <c r="C51">
        <v>0.05</v>
      </c>
      <c r="D51" s="106">
        <v>0.05</v>
      </c>
      <c r="E51" s="106">
        <v>0.15</v>
      </c>
      <c r="F51" s="106">
        <v>0.05</v>
      </c>
      <c r="G51" s="106">
        <v>0.05</v>
      </c>
    </row>
    <row r="52" spans="1:7" x14ac:dyDescent="0.2">
      <c r="A52">
        <v>1983</v>
      </c>
      <c r="B52" s="106" t="s">
        <v>988</v>
      </c>
      <c r="C52">
        <v>0.05</v>
      </c>
      <c r="D52" s="106">
        <v>0.05</v>
      </c>
      <c r="E52">
        <v>0.15</v>
      </c>
      <c r="F52" s="106" t="s">
        <v>171</v>
      </c>
      <c r="G52" s="106">
        <v>0.05</v>
      </c>
    </row>
    <row r="53" spans="1:7" x14ac:dyDescent="0.2">
      <c r="A53">
        <v>2004</v>
      </c>
      <c r="B53" s="106" t="s">
        <v>989</v>
      </c>
      <c r="C53">
        <v>0.1</v>
      </c>
      <c r="D53" s="106">
        <v>0.05</v>
      </c>
      <c r="E53" s="106">
        <v>0.15</v>
      </c>
      <c r="F53" s="106">
        <v>0.05</v>
      </c>
      <c r="G53" s="106">
        <v>0.05</v>
      </c>
    </row>
    <row r="54" spans="1:7" x14ac:dyDescent="0.2">
      <c r="A54">
        <v>2053</v>
      </c>
      <c r="B54" s="106" t="s">
        <v>2476</v>
      </c>
      <c r="C54">
        <v>0</v>
      </c>
      <c r="D54" t="s">
        <v>171</v>
      </c>
      <c r="E54" t="s">
        <v>171</v>
      </c>
      <c r="F54" t="s">
        <v>171</v>
      </c>
      <c r="G54" t="s">
        <v>171</v>
      </c>
    </row>
    <row r="55" spans="1:7" x14ac:dyDescent="0.2">
      <c r="A55">
        <v>2130</v>
      </c>
      <c r="B55" s="106" t="s">
        <v>990</v>
      </c>
      <c r="C55">
        <v>0</v>
      </c>
      <c r="D55">
        <v>0</v>
      </c>
      <c r="E55">
        <v>0</v>
      </c>
      <c r="F55">
        <v>0</v>
      </c>
      <c r="G55">
        <v>0</v>
      </c>
    </row>
    <row r="56" spans="1:7" x14ac:dyDescent="0.2">
      <c r="A56">
        <v>2139</v>
      </c>
      <c r="B56" s="106" t="s">
        <v>991</v>
      </c>
      <c r="C56">
        <v>0</v>
      </c>
      <c r="D56" s="106">
        <v>0</v>
      </c>
      <c r="E56" s="106">
        <v>0</v>
      </c>
      <c r="F56" s="106">
        <v>0</v>
      </c>
      <c r="G56">
        <v>0</v>
      </c>
    </row>
    <row r="57" spans="1:7" x14ac:dyDescent="0.2">
      <c r="A57">
        <v>2146</v>
      </c>
      <c r="B57" s="106" t="s">
        <v>992</v>
      </c>
      <c r="C57">
        <v>0.05</v>
      </c>
      <c r="D57">
        <v>0</v>
      </c>
      <c r="E57">
        <v>0</v>
      </c>
      <c r="F57" s="106">
        <v>0</v>
      </c>
      <c r="G57">
        <v>0.05</v>
      </c>
    </row>
    <row r="58" spans="1:7" x14ac:dyDescent="0.2">
      <c r="A58">
        <v>2170</v>
      </c>
      <c r="B58" s="106" t="s">
        <v>993</v>
      </c>
      <c r="C58">
        <v>0</v>
      </c>
      <c r="D58">
        <v>0.05</v>
      </c>
      <c r="E58">
        <v>0</v>
      </c>
      <c r="F58" s="106">
        <v>0.05</v>
      </c>
      <c r="G58">
        <v>0.05</v>
      </c>
    </row>
    <row r="59" spans="1:7" x14ac:dyDescent="0.2">
      <c r="A59">
        <v>2175</v>
      </c>
      <c r="B59" s="106" t="s">
        <v>255</v>
      </c>
      <c r="C59">
        <v>0.05</v>
      </c>
      <c r="D59">
        <v>0.05</v>
      </c>
      <c r="E59">
        <v>0.15</v>
      </c>
      <c r="F59">
        <v>0.1</v>
      </c>
      <c r="G59">
        <v>0.1</v>
      </c>
    </row>
    <row r="60" spans="1:7" x14ac:dyDescent="0.2">
      <c r="A60">
        <v>2193</v>
      </c>
      <c r="B60" s="106" t="s">
        <v>994</v>
      </c>
      <c r="C60">
        <v>0.05</v>
      </c>
      <c r="D60">
        <v>0</v>
      </c>
      <c r="E60">
        <v>0</v>
      </c>
      <c r="F60" s="106">
        <v>0.05</v>
      </c>
      <c r="G60" s="106">
        <v>0</v>
      </c>
    </row>
    <row r="61" spans="1:7" x14ac:dyDescent="0.2">
      <c r="A61">
        <v>2198</v>
      </c>
      <c r="B61" s="106" t="s">
        <v>995</v>
      </c>
      <c r="C61">
        <v>0</v>
      </c>
      <c r="D61">
        <v>0</v>
      </c>
      <c r="E61">
        <v>0</v>
      </c>
      <c r="F61" s="106">
        <v>0</v>
      </c>
      <c r="G61" s="106">
        <v>0</v>
      </c>
    </row>
    <row r="62" spans="1:7" x14ac:dyDescent="0.2">
      <c r="A62">
        <v>2201</v>
      </c>
      <c r="B62" s="106" t="s">
        <v>996</v>
      </c>
      <c r="C62">
        <v>0.1</v>
      </c>
      <c r="D62" s="106">
        <v>0.1</v>
      </c>
      <c r="E62">
        <v>0.3</v>
      </c>
      <c r="F62" s="106">
        <v>0.1</v>
      </c>
      <c r="G62">
        <v>0.1</v>
      </c>
    </row>
    <row r="63" spans="1:7" x14ac:dyDescent="0.2">
      <c r="A63">
        <v>2204</v>
      </c>
      <c r="B63" s="106" t="s">
        <v>997</v>
      </c>
      <c r="C63">
        <v>0.1</v>
      </c>
      <c r="D63">
        <v>0.1</v>
      </c>
      <c r="E63">
        <v>0.3</v>
      </c>
      <c r="F63">
        <v>0.1</v>
      </c>
      <c r="G63">
        <v>0.1</v>
      </c>
    </row>
    <row r="64" spans="1:7" x14ac:dyDescent="0.2">
      <c r="A64">
        <v>2206</v>
      </c>
      <c r="B64" s="106" t="s">
        <v>998</v>
      </c>
      <c r="C64">
        <v>0</v>
      </c>
      <c r="D64">
        <v>0</v>
      </c>
      <c r="E64">
        <v>0</v>
      </c>
      <c r="F64">
        <v>0</v>
      </c>
      <c r="G64">
        <v>0</v>
      </c>
    </row>
    <row r="65" spans="1:7" x14ac:dyDescent="0.2">
      <c r="A65">
        <v>2211</v>
      </c>
      <c r="B65" s="106" t="s">
        <v>2477</v>
      </c>
      <c r="C65">
        <v>0.05</v>
      </c>
      <c r="D65" t="s">
        <v>171</v>
      </c>
      <c r="E65">
        <v>0.15</v>
      </c>
      <c r="F65" t="s">
        <v>171</v>
      </c>
      <c r="G65">
        <v>0.05</v>
      </c>
    </row>
    <row r="66" spans="1:7" x14ac:dyDescent="0.2">
      <c r="A66">
        <v>2212</v>
      </c>
      <c r="B66" s="106" t="s">
        <v>999</v>
      </c>
      <c r="C66">
        <v>0.05</v>
      </c>
      <c r="D66" s="106">
        <v>0.05</v>
      </c>
      <c r="E66">
        <v>0.15</v>
      </c>
      <c r="F66" s="106">
        <v>0.05</v>
      </c>
      <c r="G66">
        <v>0.05</v>
      </c>
    </row>
    <row r="67" spans="1:7" x14ac:dyDescent="0.2">
      <c r="A67">
        <v>2215</v>
      </c>
      <c r="B67" s="106" t="s">
        <v>1000</v>
      </c>
      <c r="C67">
        <v>0.05</v>
      </c>
      <c r="D67" s="106">
        <v>0.05</v>
      </c>
      <c r="E67">
        <v>0.15</v>
      </c>
      <c r="F67" s="106">
        <v>0.05</v>
      </c>
      <c r="G67">
        <v>0.05</v>
      </c>
    </row>
    <row r="68" spans="1:7" x14ac:dyDescent="0.2">
      <c r="A68">
        <v>2217</v>
      </c>
      <c r="B68" s="106" t="s">
        <v>1001</v>
      </c>
      <c r="C68">
        <v>0.1</v>
      </c>
      <c r="D68">
        <v>0.1</v>
      </c>
      <c r="E68">
        <v>0.3</v>
      </c>
      <c r="F68">
        <v>0.1</v>
      </c>
      <c r="G68">
        <v>0.1</v>
      </c>
    </row>
    <row r="69" spans="1:7" x14ac:dyDescent="0.2">
      <c r="A69">
        <v>2222</v>
      </c>
      <c r="B69" s="106" t="s">
        <v>1002</v>
      </c>
      <c r="C69">
        <v>0.15</v>
      </c>
      <c r="D69">
        <v>0.15</v>
      </c>
      <c r="E69">
        <v>0.45</v>
      </c>
      <c r="F69">
        <v>0.15</v>
      </c>
      <c r="G69">
        <v>0.15</v>
      </c>
    </row>
    <row r="70" spans="1:7" x14ac:dyDescent="0.2">
      <c r="A70">
        <v>2229</v>
      </c>
      <c r="B70" s="106" t="s">
        <v>1003</v>
      </c>
      <c r="C70">
        <v>0.1</v>
      </c>
      <c r="D70">
        <v>0.1</v>
      </c>
      <c r="E70">
        <v>0.3</v>
      </c>
      <c r="F70" s="106">
        <v>0.1</v>
      </c>
      <c r="G70" s="106">
        <v>0.1</v>
      </c>
    </row>
    <row r="71" spans="1:7" x14ac:dyDescent="0.2">
      <c r="A71">
        <v>2266</v>
      </c>
      <c r="B71" s="106" t="s">
        <v>1004</v>
      </c>
      <c r="C71">
        <v>0.05</v>
      </c>
      <c r="D71" s="106">
        <v>0.05</v>
      </c>
      <c r="E71">
        <v>0.15</v>
      </c>
      <c r="F71" s="106">
        <v>0.05</v>
      </c>
      <c r="G71" s="106">
        <v>0.05</v>
      </c>
    </row>
    <row r="72" spans="1:7" x14ac:dyDescent="0.2">
      <c r="A72">
        <v>2282</v>
      </c>
      <c r="B72" s="106" t="s">
        <v>1005</v>
      </c>
      <c r="C72">
        <v>0.1</v>
      </c>
      <c r="D72">
        <v>0.1</v>
      </c>
      <c r="E72">
        <v>0.3</v>
      </c>
      <c r="F72" s="106">
        <v>0.1</v>
      </c>
      <c r="G72">
        <v>0.1</v>
      </c>
    </row>
    <row r="73" spans="1:7" x14ac:dyDescent="0.2">
      <c r="A73">
        <v>2288</v>
      </c>
      <c r="B73" s="106" t="s">
        <v>2478</v>
      </c>
      <c r="C73">
        <v>0.05</v>
      </c>
      <c r="D73" t="s">
        <v>171</v>
      </c>
      <c r="E73" s="106">
        <v>0.15</v>
      </c>
      <c r="F73" s="106" t="s">
        <v>171</v>
      </c>
      <c r="G73">
        <v>0.05</v>
      </c>
    </row>
    <row r="74" spans="1:7" x14ac:dyDescent="0.2">
      <c r="A74">
        <v>2294</v>
      </c>
      <c r="B74" s="106" t="s">
        <v>1006</v>
      </c>
      <c r="C74">
        <v>0.05</v>
      </c>
      <c r="D74" s="106">
        <v>0.05</v>
      </c>
      <c r="E74" s="106">
        <v>0.15</v>
      </c>
      <c r="F74" s="106">
        <v>0.05</v>
      </c>
      <c r="G74">
        <v>0.05</v>
      </c>
    </row>
    <row r="75" spans="1:7" x14ac:dyDescent="0.2">
      <c r="A75">
        <v>2301</v>
      </c>
      <c r="B75" s="106" t="s">
        <v>1007</v>
      </c>
      <c r="C75">
        <v>0.05</v>
      </c>
      <c r="D75" s="106">
        <v>0.05</v>
      </c>
      <c r="E75" s="106">
        <v>0.15</v>
      </c>
      <c r="F75" s="106">
        <v>0.05</v>
      </c>
      <c r="G75">
        <v>0.05</v>
      </c>
    </row>
    <row r="76" spans="1:7" x14ac:dyDescent="0.2">
      <c r="A76">
        <v>2305</v>
      </c>
      <c r="B76" s="106" t="s">
        <v>1008</v>
      </c>
      <c r="C76">
        <v>0.05</v>
      </c>
      <c r="D76" s="106">
        <v>0.05</v>
      </c>
      <c r="E76" s="106">
        <v>0.15</v>
      </c>
      <c r="F76" s="106">
        <v>0.05</v>
      </c>
      <c r="G76" s="106">
        <v>0.05</v>
      </c>
    </row>
    <row r="77" spans="1:7" x14ac:dyDescent="0.2">
      <c r="A77">
        <v>2325</v>
      </c>
      <c r="B77" s="106" t="s">
        <v>2479</v>
      </c>
      <c r="C77">
        <v>0</v>
      </c>
      <c r="D77" s="106" t="s">
        <v>171</v>
      </c>
      <c r="E77" t="s">
        <v>171</v>
      </c>
      <c r="F77" s="106" t="s">
        <v>171</v>
      </c>
      <c r="G77" t="s">
        <v>171</v>
      </c>
    </row>
    <row r="78" spans="1:7" x14ac:dyDescent="0.2">
      <c r="A78">
        <v>2337</v>
      </c>
      <c r="B78" s="106" t="s">
        <v>1009</v>
      </c>
      <c r="C78">
        <v>0.05</v>
      </c>
      <c r="D78" s="106">
        <v>0.05</v>
      </c>
      <c r="E78">
        <v>0.15</v>
      </c>
      <c r="F78" s="106">
        <v>0.05</v>
      </c>
      <c r="G78">
        <v>0.05</v>
      </c>
    </row>
    <row r="79" spans="1:7" x14ac:dyDescent="0.2">
      <c r="A79">
        <v>2371</v>
      </c>
      <c r="B79" s="106" t="s">
        <v>1010</v>
      </c>
      <c r="C79">
        <v>0.05</v>
      </c>
      <c r="D79">
        <v>0.05</v>
      </c>
      <c r="E79">
        <v>0.15</v>
      </c>
      <c r="F79">
        <v>0.05</v>
      </c>
      <c r="G79">
        <v>0</v>
      </c>
    </row>
    <row r="80" spans="1:7" x14ac:dyDescent="0.2">
      <c r="A80">
        <v>2379</v>
      </c>
      <c r="B80" s="106" t="s">
        <v>766</v>
      </c>
      <c r="C80">
        <v>0.1</v>
      </c>
      <c r="D80">
        <v>0.1</v>
      </c>
      <c r="E80">
        <v>0.3</v>
      </c>
      <c r="F80">
        <v>0.1</v>
      </c>
      <c r="G80">
        <v>0.1</v>
      </c>
    </row>
    <row r="81" spans="1:7" x14ac:dyDescent="0.2">
      <c r="A81">
        <v>2384</v>
      </c>
      <c r="B81" s="106" t="s">
        <v>1011</v>
      </c>
      <c r="C81">
        <v>0</v>
      </c>
      <c r="D81">
        <v>0</v>
      </c>
      <c r="E81">
        <v>0</v>
      </c>
      <c r="F81">
        <v>0</v>
      </c>
      <c r="G81">
        <v>0</v>
      </c>
    </row>
    <row r="82" spans="1:7" x14ac:dyDescent="0.2">
      <c r="A82">
        <v>2389</v>
      </c>
      <c r="B82" s="106" t="s">
        <v>2480</v>
      </c>
      <c r="C82">
        <v>0</v>
      </c>
      <c r="D82" s="106" t="s">
        <v>171</v>
      </c>
      <c r="E82" s="106">
        <v>0</v>
      </c>
      <c r="F82" s="106">
        <v>0</v>
      </c>
      <c r="G82" s="106">
        <v>0</v>
      </c>
    </row>
    <row r="83" spans="1:7" x14ac:dyDescent="0.2">
      <c r="A83">
        <v>2398</v>
      </c>
      <c r="B83" s="106" t="s">
        <v>2145</v>
      </c>
      <c r="C83">
        <v>0</v>
      </c>
      <c r="D83" s="106">
        <v>0</v>
      </c>
      <c r="E83" s="106">
        <v>0</v>
      </c>
      <c r="F83" s="106">
        <v>0</v>
      </c>
      <c r="G83" s="106">
        <v>0</v>
      </c>
    </row>
    <row r="84" spans="1:7" x14ac:dyDescent="0.2">
      <c r="A84">
        <v>2410</v>
      </c>
      <c r="B84" s="106" t="s">
        <v>2481</v>
      </c>
      <c r="C84">
        <v>0</v>
      </c>
      <c r="D84" s="106" t="s">
        <v>171</v>
      </c>
      <c r="E84">
        <v>0</v>
      </c>
      <c r="F84" s="106" t="s">
        <v>171</v>
      </c>
      <c r="G84">
        <v>0</v>
      </c>
    </row>
    <row r="85" spans="1:7" x14ac:dyDescent="0.2">
      <c r="A85">
        <v>2413</v>
      </c>
      <c r="B85" s="106" t="s">
        <v>901</v>
      </c>
      <c r="C85">
        <v>0.1</v>
      </c>
      <c r="D85">
        <v>0.1</v>
      </c>
      <c r="E85">
        <v>0.3</v>
      </c>
      <c r="F85">
        <v>0.1</v>
      </c>
      <c r="G85">
        <v>0.05</v>
      </c>
    </row>
    <row r="86" spans="1:7" x14ac:dyDescent="0.2">
      <c r="A86">
        <v>2418</v>
      </c>
      <c r="B86" s="106" t="s">
        <v>2482</v>
      </c>
      <c r="C86">
        <v>0</v>
      </c>
      <c r="D86" t="s">
        <v>171</v>
      </c>
      <c r="E86" t="s">
        <v>171</v>
      </c>
      <c r="F86" t="s">
        <v>171</v>
      </c>
      <c r="G86" s="106" t="s">
        <v>171</v>
      </c>
    </row>
    <row r="87" spans="1:7" x14ac:dyDescent="0.2">
      <c r="A87">
        <v>2427</v>
      </c>
      <c r="B87" s="106" t="s">
        <v>2146</v>
      </c>
      <c r="C87">
        <v>0</v>
      </c>
      <c r="D87" s="106">
        <v>0</v>
      </c>
      <c r="E87">
        <v>0</v>
      </c>
      <c r="F87" s="106">
        <v>0</v>
      </c>
      <c r="G87">
        <v>0</v>
      </c>
    </row>
    <row r="88" spans="1:7" x14ac:dyDescent="0.2">
      <c r="A88">
        <v>2428</v>
      </c>
      <c r="B88" s="106" t="s">
        <v>1012</v>
      </c>
      <c r="C88">
        <v>0.05</v>
      </c>
      <c r="D88" s="106">
        <v>0.05</v>
      </c>
      <c r="E88">
        <v>0</v>
      </c>
      <c r="F88" s="106">
        <v>0.05</v>
      </c>
      <c r="G88">
        <v>0.05</v>
      </c>
    </row>
    <row r="89" spans="1:7" x14ac:dyDescent="0.2">
      <c r="A89">
        <v>2433</v>
      </c>
      <c r="B89" s="106" t="s">
        <v>1013</v>
      </c>
      <c r="C89">
        <v>0.05</v>
      </c>
      <c r="D89" s="106">
        <v>0.05</v>
      </c>
      <c r="E89">
        <v>0.15</v>
      </c>
      <c r="F89" s="106">
        <v>0.05</v>
      </c>
      <c r="G89">
        <v>0.05</v>
      </c>
    </row>
    <row r="90" spans="1:7" x14ac:dyDescent="0.2">
      <c r="A90">
        <v>2440</v>
      </c>
      <c r="B90" s="106" t="s">
        <v>1014</v>
      </c>
      <c r="C90">
        <v>0.05</v>
      </c>
      <c r="D90">
        <v>0.05</v>
      </c>
      <c r="E90">
        <v>0.15</v>
      </c>
      <c r="F90">
        <v>0.05</v>
      </c>
      <c r="G90">
        <v>0.05</v>
      </c>
    </row>
    <row r="91" spans="1:7" x14ac:dyDescent="0.2">
      <c r="A91">
        <v>2462</v>
      </c>
      <c r="B91" s="106" t="s">
        <v>1015</v>
      </c>
      <c r="C91">
        <v>0</v>
      </c>
      <c r="D91">
        <v>0</v>
      </c>
      <c r="E91">
        <v>0</v>
      </c>
      <c r="F91">
        <v>0</v>
      </c>
      <c r="G91">
        <v>0</v>
      </c>
    </row>
    <row r="92" spans="1:7" x14ac:dyDescent="0.2">
      <c r="A92">
        <v>2471</v>
      </c>
      <c r="B92" s="106" t="s">
        <v>1016</v>
      </c>
      <c r="C92">
        <v>0</v>
      </c>
      <c r="D92">
        <v>0</v>
      </c>
      <c r="E92">
        <v>0</v>
      </c>
      <c r="F92">
        <v>0</v>
      </c>
      <c r="G92">
        <v>0</v>
      </c>
    </row>
    <row r="93" spans="1:7" x14ac:dyDescent="0.2">
      <c r="A93">
        <v>2487</v>
      </c>
      <c r="B93" s="106" t="s">
        <v>1017</v>
      </c>
      <c r="C93">
        <v>0.05</v>
      </c>
      <c r="D93">
        <v>0.05</v>
      </c>
      <c r="E93">
        <v>0.15</v>
      </c>
      <c r="F93">
        <v>0.05</v>
      </c>
      <c r="G93">
        <v>0.05</v>
      </c>
    </row>
    <row r="94" spans="1:7" x14ac:dyDescent="0.2">
      <c r="A94">
        <v>2492</v>
      </c>
      <c r="B94" s="106" t="s">
        <v>1018</v>
      </c>
      <c r="C94">
        <v>0.05</v>
      </c>
      <c r="D94">
        <v>0.05</v>
      </c>
      <c r="E94">
        <v>0.15</v>
      </c>
      <c r="F94">
        <v>0.05</v>
      </c>
      <c r="G94">
        <v>0.05</v>
      </c>
    </row>
    <row r="95" spans="1:7" x14ac:dyDescent="0.2">
      <c r="A95">
        <v>2501</v>
      </c>
      <c r="B95" s="106" t="s">
        <v>1019</v>
      </c>
      <c r="C95">
        <v>0.05</v>
      </c>
      <c r="D95" s="106">
        <v>0.05</v>
      </c>
      <c r="E95" s="106">
        <v>0.15</v>
      </c>
      <c r="F95">
        <v>0.05</v>
      </c>
      <c r="G95">
        <v>0.05</v>
      </c>
    </row>
    <row r="96" spans="1:7" x14ac:dyDescent="0.2">
      <c r="A96">
        <v>2502</v>
      </c>
      <c r="B96" s="106" t="s">
        <v>1020</v>
      </c>
      <c r="C96">
        <v>0</v>
      </c>
      <c r="D96">
        <v>0</v>
      </c>
      <c r="E96">
        <v>0</v>
      </c>
      <c r="F96" t="s">
        <v>171</v>
      </c>
      <c r="G96" t="s">
        <v>171</v>
      </c>
    </row>
    <row r="97" spans="1:7" x14ac:dyDescent="0.2">
      <c r="A97">
        <v>2593</v>
      </c>
      <c r="B97" s="106" t="s">
        <v>1021</v>
      </c>
      <c r="C97">
        <v>0.1</v>
      </c>
      <c r="D97">
        <v>0.1</v>
      </c>
      <c r="E97">
        <v>0.3</v>
      </c>
      <c r="F97">
        <v>0.1</v>
      </c>
      <c r="G97">
        <v>0.1</v>
      </c>
    </row>
    <row r="98" spans="1:7" x14ac:dyDescent="0.2">
      <c r="A98">
        <v>2594</v>
      </c>
      <c r="B98" s="106" t="s">
        <v>1022</v>
      </c>
      <c r="C98">
        <v>0.05</v>
      </c>
      <c r="D98">
        <v>0.05</v>
      </c>
      <c r="E98">
        <v>0.15</v>
      </c>
      <c r="F98">
        <v>0.05</v>
      </c>
      <c r="G98">
        <v>0.05</v>
      </c>
    </row>
    <row r="99" spans="1:7" x14ac:dyDescent="0.2">
      <c r="A99">
        <v>2599</v>
      </c>
      <c r="B99" s="106" t="s">
        <v>1023</v>
      </c>
      <c r="C99">
        <v>0</v>
      </c>
      <c r="D99">
        <v>0</v>
      </c>
      <c r="E99">
        <v>0</v>
      </c>
      <c r="F99">
        <v>0</v>
      </c>
      <c r="G99">
        <v>0</v>
      </c>
    </row>
    <row r="100" spans="1:7" x14ac:dyDescent="0.2">
      <c r="A100">
        <v>2602</v>
      </c>
      <c r="B100" s="106" t="s">
        <v>940</v>
      </c>
      <c r="C100">
        <v>0.1</v>
      </c>
      <c r="D100">
        <v>0.1</v>
      </c>
      <c r="E100">
        <v>0.3</v>
      </c>
      <c r="F100">
        <v>0.1</v>
      </c>
      <c r="G100">
        <v>0.1</v>
      </c>
    </row>
    <row r="101" spans="1:7" x14ac:dyDescent="0.2">
      <c r="A101">
        <v>2613</v>
      </c>
      <c r="B101" s="106" t="s">
        <v>2483</v>
      </c>
      <c r="C101">
        <v>0</v>
      </c>
      <c r="D101" t="s">
        <v>171</v>
      </c>
      <c r="E101" t="s">
        <v>171</v>
      </c>
      <c r="F101" t="s">
        <v>171</v>
      </c>
      <c r="G101" t="s">
        <v>171</v>
      </c>
    </row>
    <row r="102" spans="1:7" x14ac:dyDescent="0.2">
      <c r="A102">
        <v>2651</v>
      </c>
      <c r="B102" s="106" t="s">
        <v>1024</v>
      </c>
      <c r="C102">
        <v>0.15</v>
      </c>
      <c r="D102">
        <v>0.15</v>
      </c>
      <c r="E102">
        <v>0.45</v>
      </c>
      <c r="F102">
        <v>0.15</v>
      </c>
      <c r="G102">
        <v>0.1</v>
      </c>
    </row>
    <row r="103" spans="1:7" x14ac:dyDescent="0.2">
      <c r="A103">
        <v>2659</v>
      </c>
      <c r="B103" s="106" t="s">
        <v>1025</v>
      </c>
      <c r="C103">
        <v>0.1</v>
      </c>
      <c r="D103">
        <v>0.1</v>
      </c>
      <c r="E103">
        <v>0.3</v>
      </c>
      <c r="F103">
        <v>0.1</v>
      </c>
      <c r="G103">
        <v>0.1</v>
      </c>
    </row>
    <row r="104" spans="1:7" x14ac:dyDescent="0.2">
      <c r="A104">
        <v>2664</v>
      </c>
      <c r="B104" s="106" t="s">
        <v>1026</v>
      </c>
      <c r="C104">
        <v>0</v>
      </c>
      <c r="D104">
        <v>0</v>
      </c>
      <c r="E104">
        <v>0</v>
      </c>
      <c r="F104">
        <v>0.05</v>
      </c>
      <c r="G104">
        <v>0</v>
      </c>
    </row>
    <row r="105" spans="1:7" x14ac:dyDescent="0.2">
      <c r="A105">
        <v>2670</v>
      </c>
      <c r="B105" s="106" t="s">
        <v>1027</v>
      </c>
      <c r="C105">
        <v>0.15</v>
      </c>
      <c r="D105">
        <v>0.15</v>
      </c>
      <c r="E105" s="106">
        <v>0.45</v>
      </c>
      <c r="F105" s="106">
        <v>0.15</v>
      </c>
      <c r="G105" s="106">
        <v>0.15</v>
      </c>
    </row>
    <row r="106" spans="1:7" x14ac:dyDescent="0.2">
      <c r="A106">
        <v>2674</v>
      </c>
      <c r="B106" s="106" t="s">
        <v>2484</v>
      </c>
      <c r="C106">
        <v>0</v>
      </c>
      <c r="D106" t="s">
        <v>171</v>
      </c>
      <c r="E106" t="s">
        <v>171</v>
      </c>
      <c r="F106" t="s">
        <v>171</v>
      </c>
      <c r="G106">
        <v>0</v>
      </c>
    </row>
    <row r="107" spans="1:7" x14ac:dyDescent="0.2">
      <c r="A107">
        <v>2676</v>
      </c>
      <c r="B107" s="106" t="s">
        <v>2147</v>
      </c>
      <c r="C107">
        <v>0</v>
      </c>
      <c r="D107">
        <v>0</v>
      </c>
      <c r="E107">
        <v>0</v>
      </c>
      <c r="F107">
        <v>0</v>
      </c>
      <c r="G107" t="s">
        <v>171</v>
      </c>
    </row>
    <row r="108" spans="1:7" x14ac:dyDescent="0.2">
      <c r="A108">
        <v>2678</v>
      </c>
      <c r="B108" s="106" t="s">
        <v>1028</v>
      </c>
      <c r="C108">
        <v>0.1</v>
      </c>
      <c r="D108">
        <v>0.05</v>
      </c>
      <c r="E108">
        <v>0.15</v>
      </c>
      <c r="F108">
        <v>0.05</v>
      </c>
      <c r="G108">
        <v>0.05</v>
      </c>
    </row>
    <row r="109" spans="1:7" x14ac:dyDescent="0.2">
      <c r="A109">
        <v>2681</v>
      </c>
      <c r="B109" s="106" t="s">
        <v>2485</v>
      </c>
      <c r="C109">
        <v>0</v>
      </c>
      <c r="D109" t="s">
        <v>171</v>
      </c>
      <c r="E109" t="s">
        <v>171</v>
      </c>
      <c r="F109" t="s">
        <v>171</v>
      </c>
      <c r="G109" t="s">
        <v>171</v>
      </c>
    </row>
    <row r="110" spans="1:7" x14ac:dyDescent="0.2">
      <c r="A110">
        <v>2685</v>
      </c>
      <c r="B110" s="106" t="s">
        <v>1029</v>
      </c>
      <c r="C110">
        <v>0</v>
      </c>
      <c r="D110" s="106">
        <v>0.05</v>
      </c>
      <c r="E110" s="106">
        <v>0</v>
      </c>
      <c r="F110">
        <v>0.05</v>
      </c>
      <c r="G110">
        <v>0</v>
      </c>
    </row>
    <row r="111" spans="1:7" x14ac:dyDescent="0.2">
      <c r="A111">
        <v>2687</v>
      </c>
      <c r="B111" s="106" t="s">
        <v>1030</v>
      </c>
      <c r="C111">
        <v>0</v>
      </c>
      <c r="D111" s="106">
        <v>0</v>
      </c>
      <c r="E111" s="106">
        <v>0</v>
      </c>
      <c r="F111">
        <v>0</v>
      </c>
      <c r="G111">
        <v>0</v>
      </c>
    </row>
    <row r="112" spans="1:7" x14ac:dyDescent="0.2">
      <c r="A112">
        <v>2692</v>
      </c>
      <c r="B112" s="106" t="s">
        <v>1031</v>
      </c>
      <c r="C112">
        <v>0.1</v>
      </c>
      <c r="D112">
        <v>0.1</v>
      </c>
      <c r="E112">
        <v>0.3</v>
      </c>
      <c r="F112">
        <v>0.1</v>
      </c>
      <c r="G112">
        <v>0.1</v>
      </c>
    </row>
    <row r="113" spans="1:7" x14ac:dyDescent="0.2">
      <c r="A113">
        <v>2695</v>
      </c>
      <c r="B113" s="106" t="s">
        <v>1032</v>
      </c>
      <c r="C113">
        <v>0</v>
      </c>
      <c r="D113">
        <v>0</v>
      </c>
      <c r="E113">
        <v>0</v>
      </c>
      <c r="F113">
        <v>0</v>
      </c>
      <c r="G113">
        <v>0</v>
      </c>
    </row>
    <row r="114" spans="1:7" x14ac:dyDescent="0.2">
      <c r="A114">
        <v>2698</v>
      </c>
      <c r="B114" s="106" t="s">
        <v>1033</v>
      </c>
      <c r="C114">
        <v>0.05</v>
      </c>
      <c r="D114">
        <v>0.05</v>
      </c>
      <c r="E114">
        <v>0.15</v>
      </c>
      <c r="F114">
        <v>0.05</v>
      </c>
      <c r="G114" s="106">
        <v>0.05</v>
      </c>
    </row>
    <row r="115" spans="1:7" x14ac:dyDescent="0.2">
      <c r="A115">
        <v>2715</v>
      </c>
      <c r="B115" s="106" t="s">
        <v>2269</v>
      </c>
      <c r="C115">
        <v>0.05</v>
      </c>
      <c r="D115">
        <v>0</v>
      </c>
      <c r="E115" t="s">
        <v>171</v>
      </c>
      <c r="F115" s="106">
        <v>0.05</v>
      </c>
      <c r="G115" s="106">
        <v>0.05</v>
      </c>
    </row>
    <row r="116" spans="1:7" x14ac:dyDescent="0.2">
      <c r="A116">
        <v>2730</v>
      </c>
      <c r="B116" s="106" t="s">
        <v>1034</v>
      </c>
      <c r="C116">
        <v>0.05</v>
      </c>
      <c r="D116">
        <v>0.05</v>
      </c>
      <c r="E116" s="106">
        <v>0.15</v>
      </c>
      <c r="F116" s="106">
        <v>0.05</v>
      </c>
      <c r="G116" s="106">
        <v>0.05</v>
      </c>
    </row>
    <row r="117" spans="1:7" x14ac:dyDescent="0.2">
      <c r="A117">
        <v>2733</v>
      </c>
      <c r="B117" s="106" t="s">
        <v>2148</v>
      </c>
      <c r="C117">
        <v>0.05</v>
      </c>
      <c r="D117">
        <v>0</v>
      </c>
      <c r="E117">
        <v>0.3</v>
      </c>
      <c r="F117">
        <v>0</v>
      </c>
      <c r="G117">
        <v>0</v>
      </c>
    </row>
    <row r="118" spans="1:7" x14ac:dyDescent="0.2">
      <c r="A118">
        <v>2749</v>
      </c>
      <c r="B118" s="106" t="s">
        <v>2149</v>
      </c>
      <c r="C118">
        <v>0</v>
      </c>
      <c r="D118">
        <v>0</v>
      </c>
      <c r="E118">
        <v>0</v>
      </c>
      <c r="F118">
        <v>0</v>
      </c>
      <c r="G118">
        <v>0</v>
      </c>
    </row>
    <row r="119" spans="1:7" x14ac:dyDescent="0.2">
      <c r="A119">
        <v>2784</v>
      </c>
      <c r="B119" s="106" t="s">
        <v>2150</v>
      </c>
      <c r="C119">
        <v>0</v>
      </c>
      <c r="D119">
        <v>0</v>
      </c>
      <c r="E119" s="106">
        <v>0</v>
      </c>
      <c r="F119">
        <v>0</v>
      </c>
      <c r="G119" t="s">
        <v>171</v>
      </c>
    </row>
    <row r="120" spans="1:7" x14ac:dyDescent="0.2">
      <c r="A120">
        <v>2791</v>
      </c>
      <c r="B120" s="106" t="s">
        <v>2486</v>
      </c>
      <c r="C120">
        <v>0</v>
      </c>
      <c r="D120" t="s">
        <v>171</v>
      </c>
      <c r="E120" t="s">
        <v>171</v>
      </c>
      <c r="F120" t="s">
        <v>171</v>
      </c>
      <c r="G120">
        <v>0</v>
      </c>
    </row>
    <row r="121" spans="1:7" x14ac:dyDescent="0.2">
      <c r="A121">
        <v>2792</v>
      </c>
      <c r="B121" s="106" t="s">
        <v>1035</v>
      </c>
      <c r="C121">
        <v>0.05</v>
      </c>
      <c r="D121">
        <v>0.05</v>
      </c>
      <c r="E121">
        <v>0.15</v>
      </c>
      <c r="F121">
        <v>0.05</v>
      </c>
      <c r="G121" s="106">
        <v>0.05</v>
      </c>
    </row>
    <row r="122" spans="1:7" x14ac:dyDescent="0.2">
      <c r="A122">
        <v>2796</v>
      </c>
      <c r="B122" s="106" t="s">
        <v>2270</v>
      </c>
      <c r="C122">
        <v>0.05</v>
      </c>
      <c r="D122">
        <v>0.05</v>
      </c>
      <c r="E122" t="s">
        <v>171</v>
      </c>
      <c r="F122">
        <v>0.05</v>
      </c>
      <c r="G122" t="s">
        <v>171</v>
      </c>
    </row>
    <row r="123" spans="1:7" x14ac:dyDescent="0.2">
      <c r="A123">
        <v>2801</v>
      </c>
      <c r="B123" s="106" t="s">
        <v>1036</v>
      </c>
      <c r="C123">
        <v>0</v>
      </c>
      <c r="D123">
        <v>0.1</v>
      </c>
      <c r="E123">
        <v>0.3</v>
      </c>
      <c r="F123">
        <v>0.1</v>
      </c>
      <c r="G123">
        <v>0.1</v>
      </c>
    </row>
    <row r="124" spans="1:7" x14ac:dyDescent="0.2">
      <c r="A124">
        <v>2815</v>
      </c>
      <c r="B124" s="106" t="s">
        <v>1037</v>
      </c>
      <c r="C124">
        <v>0</v>
      </c>
      <c r="D124">
        <v>0</v>
      </c>
      <c r="E124">
        <v>0</v>
      </c>
      <c r="F124">
        <v>0</v>
      </c>
      <c r="G124" t="s">
        <v>171</v>
      </c>
    </row>
    <row r="125" spans="1:7" x14ac:dyDescent="0.2">
      <c r="A125">
        <v>2819</v>
      </c>
      <c r="B125" s="106" t="s">
        <v>1038</v>
      </c>
      <c r="C125">
        <v>0</v>
      </c>
      <c r="D125">
        <v>0</v>
      </c>
      <c r="E125">
        <v>0</v>
      </c>
      <c r="F125">
        <v>0</v>
      </c>
      <c r="G125">
        <v>0</v>
      </c>
    </row>
    <row r="126" spans="1:7" x14ac:dyDescent="0.2">
      <c r="A126">
        <v>2874</v>
      </c>
      <c r="B126" s="106" t="s">
        <v>2151</v>
      </c>
      <c r="C126">
        <v>0</v>
      </c>
      <c r="D126">
        <v>0</v>
      </c>
      <c r="E126">
        <v>0</v>
      </c>
      <c r="F126">
        <v>0</v>
      </c>
      <c r="G126">
        <v>0.05</v>
      </c>
    </row>
    <row r="127" spans="1:7" x14ac:dyDescent="0.2">
      <c r="A127">
        <v>2875</v>
      </c>
      <c r="B127" s="106" t="s">
        <v>1039</v>
      </c>
      <c r="C127">
        <v>0.1</v>
      </c>
      <c r="D127">
        <v>0.1</v>
      </c>
      <c r="E127">
        <v>0.3</v>
      </c>
      <c r="F127">
        <v>0.1</v>
      </c>
      <c r="G127">
        <v>0.1</v>
      </c>
    </row>
    <row r="128" spans="1:7" x14ac:dyDescent="0.2">
      <c r="A128">
        <v>2882</v>
      </c>
      <c r="B128" s="106" t="s">
        <v>1040</v>
      </c>
      <c r="C128">
        <v>0.05</v>
      </c>
      <c r="D128">
        <v>0.05</v>
      </c>
      <c r="E128">
        <v>0.15</v>
      </c>
      <c r="F128">
        <v>0.05</v>
      </c>
      <c r="G128">
        <v>0.05</v>
      </c>
    </row>
    <row r="129" spans="1:7" x14ac:dyDescent="0.2">
      <c r="A129">
        <v>2884</v>
      </c>
      <c r="B129" s="106" t="s">
        <v>1041</v>
      </c>
      <c r="C129">
        <v>0</v>
      </c>
      <c r="D129" s="106">
        <v>0</v>
      </c>
      <c r="E129">
        <v>0</v>
      </c>
      <c r="F129" s="106">
        <v>0</v>
      </c>
      <c r="G129">
        <v>0</v>
      </c>
    </row>
    <row r="130" spans="1:7" x14ac:dyDescent="0.2">
      <c r="A130">
        <v>2897</v>
      </c>
      <c r="B130" s="106" t="s">
        <v>1042</v>
      </c>
      <c r="C130">
        <v>0.15</v>
      </c>
      <c r="D130">
        <v>0.15</v>
      </c>
      <c r="E130">
        <v>0.45</v>
      </c>
      <c r="F130">
        <v>0.15</v>
      </c>
      <c r="G130">
        <v>0.15</v>
      </c>
    </row>
    <row r="131" spans="1:7" x14ac:dyDescent="0.2">
      <c r="A131">
        <v>2904</v>
      </c>
      <c r="B131" s="106" t="s">
        <v>1043</v>
      </c>
      <c r="C131">
        <v>0.05</v>
      </c>
      <c r="D131" s="106">
        <v>0.05</v>
      </c>
      <c r="E131">
        <v>0.15</v>
      </c>
      <c r="F131" s="106">
        <v>0.05</v>
      </c>
      <c r="G131" s="106">
        <v>0.05</v>
      </c>
    </row>
    <row r="132" spans="1:7" x14ac:dyDescent="0.2">
      <c r="A132">
        <v>2908</v>
      </c>
      <c r="B132" s="106" t="s">
        <v>1044</v>
      </c>
      <c r="C132">
        <v>0</v>
      </c>
      <c r="D132" s="106">
        <v>0</v>
      </c>
      <c r="E132">
        <v>0</v>
      </c>
      <c r="F132" s="106">
        <v>0</v>
      </c>
      <c r="G132" s="106">
        <v>0</v>
      </c>
    </row>
    <row r="133" spans="1:7" x14ac:dyDescent="0.2">
      <c r="A133">
        <v>2910</v>
      </c>
      <c r="B133" s="106" t="s">
        <v>1045</v>
      </c>
      <c r="C133">
        <v>0.05</v>
      </c>
      <c r="D133">
        <v>0.05</v>
      </c>
      <c r="E133">
        <v>0.15</v>
      </c>
      <c r="F133">
        <v>0.05</v>
      </c>
      <c r="G133">
        <v>0.05</v>
      </c>
    </row>
    <row r="134" spans="1:7" x14ac:dyDescent="0.2">
      <c r="A134">
        <v>2914</v>
      </c>
      <c r="B134" s="106" t="s">
        <v>56</v>
      </c>
      <c r="C134">
        <v>0</v>
      </c>
      <c r="D134" t="s">
        <v>171</v>
      </c>
      <c r="E134">
        <v>0</v>
      </c>
      <c r="F134" t="s">
        <v>171</v>
      </c>
      <c r="G134">
        <v>0</v>
      </c>
    </row>
    <row r="135" spans="1:7" x14ac:dyDescent="0.2">
      <c r="A135">
        <v>2915</v>
      </c>
      <c r="B135" s="106" t="s">
        <v>1046</v>
      </c>
      <c r="C135">
        <v>0.05</v>
      </c>
      <c r="D135" s="106">
        <v>0.05</v>
      </c>
      <c r="E135">
        <v>0.15</v>
      </c>
      <c r="F135">
        <v>0.05</v>
      </c>
      <c r="G135" s="106">
        <v>0.05</v>
      </c>
    </row>
    <row r="136" spans="1:7" x14ac:dyDescent="0.2">
      <c r="A136">
        <v>2922</v>
      </c>
      <c r="B136" s="106" t="s">
        <v>1047</v>
      </c>
      <c r="C136">
        <v>0.05</v>
      </c>
      <c r="D136" s="106">
        <v>0.05</v>
      </c>
      <c r="E136">
        <v>0.15</v>
      </c>
      <c r="F136" s="106">
        <v>0.05</v>
      </c>
      <c r="G136" s="106">
        <v>0.05</v>
      </c>
    </row>
    <row r="137" spans="1:7" x14ac:dyDescent="0.2">
      <c r="A137">
        <v>2924</v>
      </c>
      <c r="B137" s="106" t="s">
        <v>1048</v>
      </c>
      <c r="C137">
        <v>0</v>
      </c>
      <c r="D137" s="106">
        <v>0</v>
      </c>
      <c r="E137">
        <v>0</v>
      </c>
      <c r="F137" t="s">
        <v>171</v>
      </c>
      <c r="G137">
        <v>0.05</v>
      </c>
    </row>
    <row r="138" spans="1:7" x14ac:dyDescent="0.2">
      <c r="A138">
        <v>2930</v>
      </c>
      <c r="B138" s="106" t="s">
        <v>1049</v>
      </c>
      <c r="C138">
        <v>0</v>
      </c>
      <c r="D138">
        <v>0</v>
      </c>
      <c r="E138">
        <v>0</v>
      </c>
      <c r="F138">
        <v>0</v>
      </c>
      <c r="G138">
        <v>0</v>
      </c>
    </row>
    <row r="139" spans="1:7" x14ac:dyDescent="0.2">
      <c r="A139">
        <v>2931</v>
      </c>
      <c r="B139" s="106" t="s">
        <v>1050</v>
      </c>
      <c r="C139">
        <v>0.05</v>
      </c>
      <c r="D139" s="106">
        <v>0.05</v>
      </c>
      <c r="E139">
        <v>0.15</v>
      </c>
      <c r="F139">
        <v>0.05</v>
      </c>
      <c r="G139" s="106">
        <v>0.05</v>
      </c>
    </row>
    <row r="140" spans="1:7" x14ac:dyDescent="0.2">
      <c r="A140">
        <v>2975</v>
      </c>
      <c r="B140" s="106" t="s">
        <v>1051</v>
      </c>
      <c r="C140">
        <v>0.05</v>
      </c>
      <c r="D140" s="106">
        <v>0.05</v>
      </c>
      <c r="E140">
        <v>0.15</v>
      </c>
      <c r="F140">
        <v>0.05</v>
      </c>
      <c r="G140" s="106">
        <v>0.05</v>
      </c>
    </row>
    <row r="141" spans="1:7" x14ac:dyDescent="0.2">
      <c r="A141">
        <v>3003</v>
      </c>
      <c r="B141" s="106" t="s">
        <v>938</v>
      </c>
      <c r="C141">
        <v>0.05</v>
      </c>
      <c r="D141">
        <v>0.05</v>
      </c>
      <c r="E141">
        <v>0.15</v>
      </c>
      <c r="F141" s="106">
        <v>0.05</v>
      </c>
      <c r="G141">
        <v>0.05</v>
      </c>
    </row>
    <row r="142" spans="1:7" x14ac:dyDescent="0.2">
      <c r="A142">
        <v>3004</v>
      </c>
      <c r="B142" s="106" t="s">
        <v>1052</v>
      </c>
      <c r="C142">
        <v>0</v>
      </c>
      <c r="D142">
        <v>0</v>
      </c>
      <c r="E142">
        <v>0</v>
      </c>
      <c r="F142">
        <v>0</v>
      </c>
      <c r="G142">
        <v>0</v>
      </c>
    </row>
    <row r="143" spans="1:7" x14ac:dyDescent="0.2">
      <c r="A143">
        <v>3028</v>
      </c>
      <c r="B143" s="106" t="s">
        <v>2271</v>
      </c>
      <c r="C143">
        <v>0</v>
      </c>
      <c r="D143">
        <v>0</v>
      </c>
      <c r="E143" s="106" t="s">
        <v>171</v>
      </c>
      <c r="F143" s="106" t="s">
        <v>171</v>
      </c>
      <c r="G143" s="106" t="s">
        <v>171</v>
      </c>
    </row>
    <row r="144" spans="1:7" x14ac:dyDescent="0.2">
      <c r="A144">
        <v>3046</v>
      </c>
      <c r="B144" s="106" t="s">
        <v>1053</v>
      </c>
      <c r="C144">
        <v>0.15</v>
      </c>
      <c r="D144">
        <v>0.15</v>
      </c>
      <c r="E144" s="106">
        <v>0.45</v>
      </c>
      <c r="F144" s="106">
        <v>0.15</v>
      </c>
      <c r="G144" s="106">
        <v>0.15</v>
      </c>
    </row>
    <row r="145" spans="1:7" x14ac:dyDescent="0.2">
      <c r="A145">
        <v>3048</v>
      </c>
      <c r="B145" s="106" t="s">
        <v>1054</v>
      </c>
      <c r="C145">
        <v>0</v>
      </c>
      <c r="D145">
        <v>0</v>
      </c>
      <c r="E145">
        <v>0</v>
      </c>
      <c r="F145">
        <v>0</v>
      </c>
      <c r="G145">
        <v>0</v>
      </c>
    </row>
    <row r="146" spans="1:7" x14ac:dyDescent="0.2">
      <c r="A146">
        <v>3067</v>
      </c>
      <c r="B146" s="106" t="s">
        <v>1055</v>
      </c>
      <c r="C146">
        <v>0.05</v>
      </c>
      <c r="D146">
        <v>0.05</v>
      </c>
      <c r="E146">
        <v>0.15</v>
      </c>
      <c r="F146">
        <v>0.05</v>
      </c>
      <c r="G146">
        <v>0.05</v>
      </c>
    </row>
    <row r="147" spans="1:7" x14ac:dyDescent="0.2">
      <c r="A147">
        <v>3079</v>
      </c>
      <c r="B147" s="106" t="s">
        <v>2272</v>
      </c>
      <c r="C147">
        <v>0</v>
      </c>
      <c r="D147" s="106">
        <v>0</v>
      </c>
      <c r="E147" s="106" t="s">
        <v>171</v>
      </c>
      <c r="F147" s="106">
        <v>0</v>
      </c>
      <c r="G147" s="106">
        <v>0</v>
      </c>
    </row>
    <row r="148" spans="1:7" x14ac:dyDescent="0.2">
      <c r="A148">
        <v>3082</v>
      </c>
      <c r="B148" s="106" t="s">
        <v>1056</v>
      </c>
      <c r="C148">
        <v>0.05</v>
      </c>
      <c r="D148">
        <v>0</v>
      </c>
      <c r="E148">
        <v>0.15</v>
      </c>
      <c r="F148">
        <v>0</v>
      </c>
      <c r="G148">
        <v>0</v>
      </c>
    </row>
    <row r="149" spans="1:7" x14ac:dyDescent="0.2">
      <c r="A149">
        <v>3086</v>
      </c>
      <c r="B149" s="106" t="s">
        <v>1057</v>
      </c>
      <c r="C149">
        <v>0.05</v>
      </c>
      <c r="D149">
        <v>0.05</v>
      </c>
      <c r="E149">
        <v>0.15</v>
      </c>
      <c r="F149">
        <v>0.05</v>
      </c>
      <c r="G149">
        <v>0.05</v>
      </c>
    </row>
    <row r="150" spans="1:7" x14ac:dyDescent="0.2">
      <c r="A150">
        <v>3088</v>
      </c>
      <c r="B150" s="106" t="s">
        <v>1058</v>
      </c>
      <c r="C150">
        <v>0.1</v>
      </c>
      <c r="D150">
        <v>0.1</v>
      </c>
      <c r="E150">
        <v>0.3</v>
      </c>
      <c r="F150">
        <v>0.1</v>
      </c>
      <c r="G150">
        <v>0.1</v>
      </c>
    </row>
    <row r="151" spans="1:7" x14ac:dyDescent="0.2">
      <c r="A151">
        <v>3092</v>
      </c>
      <c r="B151" s="106" t="s">
        <v>1059</v>
      </c>
      <c r="C151">
        <v>0.05</v>
      </c>
      <c r="D151">
        <v>0.05</v>
      </c>
      <c r="E151">
        <v>0.15</v>
      </c>
      <c r="F151">
        <v>0.05</v>
      </c>
      <c r="G151">
        <v>0.05</v>
      </c>
    </row>
    <row r="152" spans="1:7" x14ac:dyDescent="0.2">
      <c r="A152">
        <v>3098</v>
      </c>
      <c r="B152" s="106" t="s">
        <v>2152</v>
      </c>
      <c r="C152">
        <v>0.15</v>
      </c>
      <c r="D152">
        <v>0.15</v>
      </c>
      <c r="E152">
        <v>0.45</v>
      </c>
      <c r="F152" t="s">
        <v>171</v>
      </c>
      <c r="G152" t="s">
        <v>171</v>
      </c>
    </row>
    <row r="153" spans="1:7" x14ac:dyDescent="0.2">
      <c r="A153">
        <v>3099</v>
      </c>
      <c r="B153" s="106" t="s">
        <v>37</v>
      </c>
      <c r="C153">
        <v>0.05</v>
      </c>
      <c r="D153">
        <v>0.05</v>
      </c>
      <c r="E153">
        <v>0</v>
      </c>
      <c r="F153">
        <v>0.05</v>
      </c>
      <c r="G153">
        <v>0.05</v>
      </c>
    </row>
    <row r="154" spans="1:7" x14ac:dyDescent="0.2">
      <c r="A154">
        <v>3101</v>
      </c>
      <c r="B154" s="106" t="s">
        <v>937</v>
      </c>
      <c r="C154">
        <v>0.05</v>
      </c>
      <c r="D154" s="106">
        <v>0.05</v>
      </c>
      <c r="E154">
        <v>0</v>
      </c>
      <c r="F154" s="106">
        <v>0.05</v>
      </c>
      <c r="G154" s="106">
        <v>0.05</v>
      </c>
    </row>
    <row r="155" spans="1:7" x14ac:dyDescent="0.2">
      <c r="A155">
        <v>3103</v>
      </c>
      <c r="B155" s="106" t="s">
        <v>1060</v>
      </c>
      <c r="C155">
        <v>0</v>
      </c>
      <c r="D155">
        <v>0</v>
      </c>
      <c r="E155" s="106">
        <v>0</v>
      </c>
      <c r="F155" s="106">
        <v>0</v>
      </c>
      <c r="G155">
        <v>0.05</v>
      </c>
    </row>
    <row r="156" spans="1:7" x14ac:dyDescent="0.2">
      <c r="A156">
        <v>3104</v>
      </c>
      <c r="B156" s="106" t="s">
        <v>1061</v>
      </c>
      <c r="C156">
        <v>0.1</v>
      </c>
      <c r="D156">
        <v>0.1</v>
      </c>
      <c r="E156" s="106">
        <v>0.3</v>
      </c>
      <c r="F156" s="106">
        <v>0.1</v>
      </c>
      <c r="G156">
        <v>0.1</v>
      </c>
    </row>
    <row r="157" spans="1:7" x14ac:dyDescent="0.2">
      <c r="A157">
        <v>3105</v>
      </c>
      <c r="B157" s="106" t="s">
        <v>53</v>
      </c>
      <c r="C157">
        <v>0.05</v>
      </c>
      <c r="D157">
        <v>0.05</v>
      </c>
      <c r="E157">
        <v>0</v>
      </c>
      <c r="F157">
        <v>0</v>
      </c>
      <c r="G157">
        <v>0</v>
      </c>
    </row>
    <row r="158" spans="1:7" x14ac:dyDescent="0.2">
      <c r="A158">
        <v>3106</v>
      </c>
      <c r="B158" s="106" t="s">
        <v>1062</v>
      </c>
      <c r="C158">
        <v>0.05</v>
      </c>
      <c r="D158" s="106">
        <v>0.05</v>
      </c>
      <c r="E158" s="106">
        <v>0.15</v>
      </c>
      <c r="F158" s="106">
        <v>0.05</v>
      </c>
      <c r="G158" s="106">
        <v>0.05</v>
      </c>
    </row>
    <row r="159" spans="1:7" x14ac:dyDescent="0.2">
      <c r="A159">
        <v>3110</v>
      </c>
      <c r="B159" s="106" t="s">
        <v>925</v>
      </c>
      <c r="C159">
        <v>0.1</v>
      </c>
      <c r="D159">
        <v>0.15</v>
      </c>
      <c r="E159">
        <v>0.3</v>
      </c>
      <c r="F159">
        <v>0.1</v>
      </c>
      <c r="G159">
        <v>0.1</v>
      </c>
    </row>
    <row r="160" spans="1:7" x14ac:dyDescent="0.2">
      <c r="A160">
        <v>3116</v>
      </c>
      <c r="B160" s="106" t="s">
        <v>71</v>
      </c>
      <c r="C160">
        <v>0.05</v>
      </c>
      <c r="D160">
        <v>0.05</v>
      </c>
      <c r="E160">
        <v>0.15</v>
      </c>
      <c r="F160">
        <v>0.05</v>
      </c>
      <c r="G160">
        <v>0.05</v>
      </c>
    </row>
    <row r="161" spans="1:7" x14ac:dyDescent="0.2">
      <c r="A161">
        <v>3132</v>
      </c>
      <c r="B161" s="106" t="s">
        <v>1063</v>
      </c>
      <c r="C161">
        <v>0.05</v>
      </c>
      <c r="D161">
        <v>0.05</v>
      </c>
      <c r="E161">
        <v>0.15</v>
      </c>
      <c r="F161">
        <v>0.05</v>
      </c>
      <c r="G161">
        <v>0.05</v>
      </c>
    </row>
    <row r="162" spans="1:7" x14ac:dyDescent="0.2">
      <c r="A162">
        <v>3134</v>
      </c>
      <c r="B162" s="106" t="s">
        <v>2153</v>
      </c>
      <c r="C162">
        <v>0</v>
      </c>
      <c r="D162">
        <v>0</v>
      </c>
      <c r="E162">
        <v>0</v>
      </c>
      <c r="F162" t="s">
        <v>171</v>
      </c>
      <c r="G162" t="s">
        <v>171</v>
      </c>
    </row>
    <row r="163" spans="1:7" x14ac:dyDescent="0.2">
      <c r="A163">
        <v>3141</v>
      </c>
      <c r="B163" s="106" t="s">
        <v>1064</v>
      </c>
      <c r="C163">
        <v>0.15</v>
      </c>
      <c r="D163">
        <v>0.15</v>
      </c>
      <c r="E163">
        <v>0.45</v>
      </c>
      <c r="F163">
        <v>0.15</v>
      </c>
      <c r="G163">
        <v>0.15</v>
      </c>
    </row>
    <row r="164" spans="1:7" x14ac:dyDescent="0.2">
      <c r="A164">
        <v>3148</v>
      </c>
      <c r="B164" s="106" t="s">
        <v>1065</v>
      </c>
      <c r="C164">
        <v>0.05</v>
      </c>
      <c r="D164" s="106">
        <v>0.05</v>
      </c>
      <c r="E164">
        <v>0.15</v>
      </c>
      <c r="F164">
        <v>0.05</v>
      </c>
      <c r="G164">
        <v>0.05</v>
      </c>
    </row>
    <row r="165" spans="1:7" x14ac:dyDescent="0.2">
      <c r="A165">
        <v>3151</v>
      </c>
      <c r="B165" s="106" t="s">
        <v>1066</v>
      </c>
      <c r="C165">
        <v>0.05</v>
      </c>
      <c r="D165">
        <v>0.05</v>
      </c>
      <c r="E165">
        <v>0.15</v>
      </c>
      <c r="F165">
        <v>0</v>
      </c>
      <c r="G165">
        <v>0.05</v>
      </c>
    </row>
    <row r="166" spans="1:7" x14ac:dyDescent="0.2">
      <c r="A166">
        <v>3154</v>
      </c>
      <c r="B166" s="106" t="s">
        <v>1067</v>
      </c>
      <c r="C166">
        <v>0</v>
      </c>
      <c r="D166">
        <v>0</v>
      </c>
      <c r="E166">
        <v>0</v>
      </c>
      <c r="F166">
        <v>0</v>
      </c>
      <c r="G166">
        <v>0</v>
      </c>
    </row>
    <row r="167" spans="1:7" x14ac:dyDescent="0.2">
      <c r="A167">
        <v>3159</v>
      </c>
      <c r="B167" s="106" t="s">
        <v>1068</v>
      </c>
      <c r="C167">
        <v>0</v>
      </c>
      <c r="D167">
        <v>0.05</v>
      </c>
      <c r="E167">
        <v>0</v>
      </c>
      <c r="F167">
        <v>0</v>
      </c>
      <c r="G167">
        <v>0</v>
      </c>
    </row>
    <row r="168" spans="1:7" x14ac:dyDescent="0.2">
      <c r="A168">
        <v>3160</v>
      </c>
      <c r="B168" s="106" t="s">
        <v>1069</v>
      </c>
      <c r="C168">
        <v>0</v>
      </c>
      <c r="D168">
        <v>0</v>
      </c>
      <c r="E168">
        <v>0</v>
      </c>
      <c r="F168" t="s">
        <v>171</v>
      </c>
      <c r="G168">
        <v>0</v>
      </c>
    </row>
    <row r="169" spans="1:7" x14ac:dyDescent="0.2">
      <c r="A169">
        <v>3166</v>
      </c>
      <c r="B169" s="106" t="s">
        <v>1070</v>
      </c>
      <c r="C169">
        <v>0.05</v>
      </c>
      <c r="D169" s="106">
        <v>0.05</v>
      </c>
      <c r="E169">
        <v>0.15</v>
      </c>
      <c r="F169" s="106">
        <v>0.05</v>
      </c>
      <c r="G169" s="106">
        <v>0.05</v>
      </c>
    </row>
    <row r="170" spans="1:7" x14ac:dyDescent="0.2">
      <c r="A170">
        <v>3167</v>
      </c>
      <c r="B170" s="106" t="s">
        <v>1071</v>
      </c>
      <c r="C170">
        <v>0</v>
      </c>
      <c r="D170" s="106">
        <v>0</v>
      </c>
      <c r="E170">
        <v>0</v>
      </c>
      <c r="F170" s="106">
        <v>0</v>
      </c>
      <c r="G170" s="106">
        <v>0.05</v>
      </c>
    </row>
    <row r="171" spans="1:7" x14ac:dyDescent="0.2">
      <c r="A171">
        <v>3168</v>
      </c>
      <c r="B171" s="106" t="s">
        <v>1072</v>
      </c>
      <c r="C171">
        <v>0.05</v>
      </c>
      <c r="D171">
        <v>0.05</v>
      </c>
      <c r="E171">
        <v>0.15</v>
      </c>
      <c r="F171">
        <v>0.05</v>
      </c>
      <c r="G171" s="106">
        <v>0.05</v>
      </c>
    </row>
    <row r="172" spans="1:7" x14ac:dyDescent="0.2">
      <c r="A172">
        <v>3178</v>
      </c>
      <c r="B172" s="106" t="s">
        <v>1073</v>
      </c>
      <c r="C172">
        <v>0</v>
      </c>
      <c r="D172">
        <v>0</v>
      </c>
      <c r="E172">
        <v>0</v>
      </c>
      <c r="F172">
        <v>0</v>
      </c>
      <c r="G172" s="106">
        <v>0</v>
      </c>
    </row>
    <row r="173" spans="1:7" x14ac:dyDescent="0.2">
      <c r="A173">
        <v>3179</v>
      </c>
      <c r="B173" s="106" t="s">
        <v>1074</v>
      </c>
      <c r="C173">
        <v>0</v>
      </c>
      <c r="D173">
        <v>0</v>
      </c>
      <c r="E173">
        <v>0</v>
      </c>
      <c r="F173">
        <v>0</v>
      </c>
      <c r="G173" s="106">
        <v>0</v>
      </c>
    </row>
    <row r="174" spans="1:7" x14ac:dyDescent="0.2">
      <c r="A174">
        <v>3180</v>
      </c>
      <c r="B174" s="106" t="s">
        <v>1075</v>
      </c>
      <c r="C174">
        <v>0.05</v>
      </c>
      <c r="D174">
        <v>0.05</v>
      </c>
      <c r="E174">
        <v>0</v>
      </c>
      <c r="F174">
        <v>0.05</v>
      </c>
      <c r="G174">
        <v>0</v>
      </c>
    </row>
    <row r="175" spans="1:7" x14ac:dyDescent="0.2">
      <c r="A175">
        <v>3183</v>
      </c>
      <c r="B175" s="106" t="s">
        <v>1076</v>
      </c>
      <c r="C175">
        <v>0.05</v>
      </c>
      <c r="D175" s="106">
        <v>0.05</v>
      </c>
      <c r="E175" s="106">
        <v>0.15</v>
      </c>
      <c r="F175" s="106">
        <v>0.05</v>
      </c>
      <c r="G175" s="106">
        <v>0.05</v>
      </c>
    </row>
    <row r="176" spans="1:7" x14ac:dyDescent="0.2">
      <c r="A176">
        <v>3186</v>
      </c>
      <c r="B176" s="106" t="s">
        <v>1077</v>
      </c>
      <c r="C176">
        <v>0.05</v>
      </c>
      <c r="D176">
        <v>0</v>
      </c>
      <c r="E176">
        <v>0.15</v>
      </c>
      <c r="F176">
        <v>0.05</v>
      </c>
      <c r="G176">
        <v>0.05</v>
      </c>
    </row>
    <row r="177" spans="1:7" x14ac:dyDescent="0.2">
      <c r="A177">
        <v>3191</v>
      </c>
      <c r="B177" s="106" t="s">
        <v>2487</v>
      </c>
      <c r="C177">
        <v>0</v>
      </c>
      <c r="D177" t="s">
        <v>171</v>
      </c>
      <c r="E177">
        <v>0.15</v>
      </c>
      <c r="F177">
        <v>0</v>
      </c>
      <c r="G177">
        <v>0</v>
      </c>
    </row>
    <row r="178" spans="1:7" x14ac:dyDescent="0.2">
      <c r="A178">
        <v>3193</v>
      </c>
      <c r="B178" s="106" t="s">
        <v>1078</v>
      </c>
      <c r="C178">
        <v>0.05</v>
      </c>
      <c r="D178">
        <v>0.05</v>
      </c>
      <c r="E178" s="106">
        <v>0.15</v>
      </c>
      <c r="F178">
        <v>0.5</v>
      </c>
      <c r="G178">
        <v>0.5</v>
      </c>
    </row>
    <row r="179" spans="1:7" x14ac:dyDescent="0.2">
      <c r="A179">
        <v>3196</v>
      </c>
      <c r="B179" s="106" t="s">
        <v>2154</v>
      </c>
      <c r="C179">
        <v>0.05</v>
      </c>
      <c r="D179">
        <v>0.05</v>
      </c>
      <c r="E179">
        <v>0.15</v>
      </c>
      <c r="F179" t="s">
        <v>171</v>
      </c>
      <c r="G179" t="s">
        <v>171</v>
      </c>
    </row>
    <row r="180" spans="1:7" x14ac:dyDescent="0.2">
      <c r="A180">
        <v>3197</v>
      </c>
      <c r="B180" s="106" t="s">
        <v>1079</v>
      </c>
      <c r="C180">
        <v>0.05</v>
      </c>
      <c r="D180">
        <v>0.05</v>
      </c>
      <c r="E180">
        <v>0.15</v>
      </c>
      <c r="F180">
        <v>0.05</v>
      </c>
      <c r="G180">
        <v>0.05</v>
      </c>
    </row>
    <row r="181" spans="1:7" x14ac:dyDescent="0.2">
      <c r="A181">
        <v>3201</v>
      </c>
      <c r="B181" s="106" t="s">
        <v>1080</v>
      </c>
      <c r="C181">
        <v>0.05</v>
      </c>
      <c r="D181">
        <v>0.05</v>
      </c>
      <c r="E181">
        <v>0.15</v>
      </c>
      <c r="F181">
        <v>0.05</v>
      </c>
      <c r="G181">
        <v>0.05</v>
      </c>
    </row>
    <row r="182" spans="1:7" x14ac:dyDescent="0.2">
      <c r="A182">
        <v>3204</v>
      </c>
      <c r="B182" s="106" t="s">
        <v>1081</v>
      </c>
      <c r="C182">
        <v>0</v>
      </c>
      <c r="D182">
        <v>0</v>
      </c>
      <c r="E182">
        <v>0</v>
      </c>
      <c r="F182">
        <v>0</v>
      </c>
      <c r="G182" t="s">
        <v>171</v>
      </c>
    </row>
    <row r="183" spans="1:7" x14ac:dyDescent="0.2">
      <c r="A183">
        <v>3205</v>
      </c>
      <c r="B183" s="106" t="s">
        <v>1082</v>
      </c>
      <c r="C183">
        <v>0.05</v>
      </c>
      <c r="D183">
        <v>0.05</v>
      </c>
      <c r="E183" s="106">
        <v>0.15</v>
      </c>
      <c r="F183">
        <v>0.05</v>
      </c>
      <c r="G183">
        <v>0.05</v>
      </c>
    </row>
    <row r="184" spans="1:7" x14ac:dyDescent="0.2">
      <c r="A184">
        <v>3222</v>
      </c>
      <c r="B184" s="106" t="s">
        <v>1083</v>
      </c>
      <c r="C184">
        <v>0</v>
      </c>
      <c r="D184" s="106">
        <v>0</v>
      </c>
      <c r="E184">
        <v>0</v>
      </c>
      <c r="F184">
        <v>0</v>
      </c>
      <c r="G184">
        <v>0</v>
      </c>
    </row>
    <row r="185" spans="1:7" x14ac:dyDescent="0.2">
      <c r="A185">
        <v>3231</v>
      </c>
      <c r="B185" s="106" t="s">
        <v>718</v>
      </c>
      <c r="C185">
        <v>0.05</v>
      </c>
      <c r="D185" s="106">
        <v>0.05</v>
      </c>
      <c r="E185">
        <v>0.15</v>
      </c>
      <c r="F185">
        <v>0.05</v>
      </c>
      <c r="G185">
        <v>0.05</v>
      </c>
    </row>
    <row r="186" spans="1:7" x14ac:dyDescent="0.2">
      <c r="A186">
        <v>3232</v>
      </c>
      <c r="B186" s="106" t="s">
        <v>1084</v>
      </c>
      <c r="C186">
        <v>0.05</v>
      </c>
      <c r="D186">
        <v>0.05</v>
      </c>
      <c r="E186">
        <v>0.15</v>
      </c>
      <c r="F186">
        <v>0.05</v>
      </c>
      <c r="G186">
        <v>0.05</v>
      </c>
    </row>
    <row r="187" spans="1:7" x14ac:dyDescent="0.2">
      <c r="A187">
        <v>3244</v>
      </c>
      <c r="B187" s="106" t="s">
        <v>1085</v>
      </c>
      <c r="C187">
        <v>0</v>
      </c>
      <c r="D187">
        <v>0</v>
      </c>
      <c r="E187">
        <v>0</v>
      </c>
      <c r="F187">
        <v>0</v>
      </c>
      <c r="G187" s="106" t="s">
        <v>171</v>
      </c>
    </row>
    <row r="188" spans="1:7" x14ac:dyDescent="0.2">
      <c r="A188">
        <v>3271</v>
      </c>
      <c r="B188" s="106" t="s">
        <v>1086</v>
      </c>
      <c r="C188">
        <v>0</v>
      </c>
      <c r="D188">
        <v>0</v>
      </c>
      <c r="E188">
        <v>0</v>
      </c>
      <c r="F188">
        <v>0</v>
      </c>
      <c r="G188">
        <v>0</v>
      </c>
    </row>
    <row r="189" spans="1:7" x14ac:dyDescent="0.2">
      <c r="A189">
        <v>3276</v>
      </c>
      <c r="B189" s="106" t="s">
        <v>1087</v>
      </c>
      <c r="C189">
        <v>0.05</v>
      </c>
      <c r="D189">
        <v>0.05</v>
      </c>
      <c r="E189">
        <v>0.15</v>
      </c>
      <c r="F189">
        <v>0.05</v>
      </c>
      <c r="G189">
        <v>0.05</v>
      </c>
    </row>
    <row r="190" spans="1:7" x14ac:dyDescent="0.2">
      <c r="A190">
        <v>3284</v>
      </c>
      <c r="B190" s="106" t="s">
        <v>1088</v>
      </c>
      <c r="C190">
        <v>0</v>
      </c>
      <c r="D190">
        <v>0</v>
      </c>
      <c r="E190">
        <v>0</v>
      </c>
      <c r="F190">
        <v>0</v>
      </c>
      <c r="G190">
        <v>0</v>
      </c>
    </row>
    <row r="191" spans="1:7" x14ac:dyDescent="0.2">
      <c r="A191">
        <v>3288</v>
      </c>
      <c r="B191" s="106" t="s">
        <v>2155</v>
      </c>
      <c r="C191">
        <v>0.05</v>
      </c>
      <c r="D191" s="106">
        <v>0</v>
      </c>
      <c r="E191" s="106">
        <v>0.15</v>
      </c>
      <c r="F191" s="106">
        <v>0</v>
      </c>
      <c r="G191" s="106">
        <v>0</v>
      </c>
    </row>
    <row r="192" spans="1:7" x14ac:dyDescent="0.2">
      <c r="A192">
        <v>3289</v>
      </c>
      <c r="B192" s="106" t="s">
        <v>1089</v>
      </c>
      <c r="C192">
        <v>0.05</v>
      </c>
      <c r="D192" s="106">
        <v>0.05</v>
      </c>
      <c r="E192">
        <v>0.15</v>
      </c>
      <c r="F192" s="106">
        <v>0.05</v>
      </c>
      <c r="G192">
        <v>0.05</v>
      </c>
    </row>
    <row r="193" spans="1:7" x14ac:dyDescent="0.2">
      <c r="A193">
        <v>3291</v>
      </c>
      <c r="B193" s="106" t="s">
        <v>67</v>
      </c>
      <c r="C193">
        <v>0.05</v>
      </c>
      <c r="D193" s="106">
        <v>0.05</v>
      </c>
      <c r="E193" s="106">
        <v>0.15</v>
      </c>
      <c r="F193" s="106">
        <v>0.05</v>
      </c>
      <c r="G193" s="106">
        <v>0.05</v>
      </c>
    </row>
    <row r="194" spans="1:7" x14ac:dyDescent="0.2">
      <c r="A194">
        <v>3299</v>
      </c>
      <c r="B194" s="106" t="s">
        <v>1090</v>
      </c>
      <c r="C194">
        <v>0.05</v>
      </c>
      <c r="D194" s="106">
        <v>0.05</v>
      </c>
      <c r="E194" s="106">
        <v>0.15</v>
      </c>
      <c r="F194">
        <v>0.05</v>
      </c>
      <c r="G194" s="106">
        <v>0.05</v>
      </c>
    </row>
    <row r="195" spans="1:7" x14ac:dyDescent="0.2">
      <c r="A195">
        <v>3349</v>
      </c>
      <c r="B195" s="106" t="s">
        <v>1091</v>
      </c>
      <c r="C195">
        <v>0.4</v>
      </c>
      <c r="D195">
        <v>0.4</v>
      </c>
      <c r="E195" s="106">
        <v>1.5</v>
      </c>
      <c r="F195">
        <v>0.4</v>
      </c>
      <c r="G195" s="106">
        <v>0.4</v>
      </c>
    </row>
    <row r="196" spans="1:7" x14ac:dyDescent="0.2">
      <c r="A196">
        <v>3360</v>
      </c>
      <c r="B196" s="106" t="s">
        <v>2156</v>
      </c>
      <c r="C196">
        <v>0.1</v>
      </c>
      <c r="D196">
        <v>0.1</v>
      </c>
      <c r="E196" s="106">
        <v>0.3</v>
      </c>
      <c r="F196" s="106" t="s">
        <v>171</v>
      </c>
      <c r="G196" s="106" t="s">
        <v>171</v>
      </c>
    </row>
    <row r="197" spans="1:7" x14ac:dyDescent="0.2">
      <c r="A197">
        <v>3371</v>
      </c>
      <c r="B197" s="106" t="s">
        <v>2488</v>
      </c>
      <c r="C197">
        <v>0</v>
      </c>
      <c r="D197" t="s">
        <v>171</v>
      </c>
      <c r="E197" t="s">
        <v>171</v>
      </c>
      <c r="F197">
        <v>0</v>
      </c>
      <c r="G197">
        <v>0</v>
      </c>
    </row>
    <row r="198" spans="1:7" x14ac:dyDescent="0.2">
      <c r="A198">
        <v>3382</v>
      </c>
      <c r="B198" s="106" t="s">
        <v>1092</v>
      </c>
      <c r="C198">
        <v>0</v>
      </c>
      <c r="D198" s="106">
        <v>0</v>
      </c>
      <c r="E198" s="106">
        <v>0</v>
      </c>
      <c r="F198" s="106" t="s">
        <v>171</v>
      </c>
      <c r="G198" s="106">
        <v>0</v>
      </c>
    </row>
    <row r="199" spans="1:7" x14ac:dyDescent="0.2">
      <c r="A199">
        <v>3387</v>
      </c>
      <c r="B199" s="106" t="s">
        <v>1093</v>
      </c>
      <c r="C199">
        <v>0.05</v>
      </c>
      <c r="D199" s="106">
        <v>0.05</v>
      </c>
      <c r="E199" s="106">
        <v>0.15</v>
      </c>
      <c r="F199" s="106">
        <v>0.05</v>
      </c>
      <c r="G199" s="106">
        <v>0.05</v>
      </c>
    </row>
    <row r="200" spans="1:7" x14ac:dyDescent="0.2">
      <c r="A200">
        <v>3388</v>
      </c>
      <c r="B200" s="106" t="s">
        <v>2157</v>
      </c>
      <c r="C200">
        <v>0</v>
      </c>
      <c r="D200">
        <v>0</v>
      </c>
      <c r="E200">
        <v>0</v>
      </c>
      <c r="F200">
        <v>0</v>
      </c>
      <c r="G200" t="s">
        <v>171</v>
      </c>
    </row>
    <row r="201" spans="1:7" x14ac:dyDescent="0.2">
      <c r="A201">
        <v>3391</v>
      </c>
      <c r="B201" s="106" t="s">
        <v>1094</v>
      </c>
      <c r="C201">
        <v>0.25</v>
      </c>
      <c r="D201">
        <v>0.25</v>
      </c>
      <c r="E201">
        <v>0.75</v>
      </c>
      <c r="F201">
        <v>0.25</v>
      </c>
      <c r="G201" s="106">
        <v>0.25</v>
      </c>
    </row>
    <row r="202" spans="1:7" x14ac:dyDescent="0.2">
      <c r="A202">
        <v>3393</v>
      </c>
      <c r="B202" s="106" t="s">
        <v>1095</v>
      </c>
      <c r="C202">
        <v>0</v>
      </c>
      <c r="D202">
        <v>0</v>
      </c>
      <c r="E202">
        <v>0</v>
      </c>
      <c r="F202">
        <v>0</v>
      </c>
      <c r="G202" s="106">
        <v>0</v>
      </c>
    </row>
    <row r="203" spans="1:7" x14ac:dyDescent="0.2">
      <c r="A203">
        <v>3397</v>
      </c>
      <c r="B203" s="106" t="s">
        <v>1096</v>
      </c>
      <c r="C203">
        <v>0</v>
      </c>
      <c r="D203">
        <v>0</v>
      </c>
      <c r="E203">
        <v>0</v>
      </c>
      <c r="F203">
        <v>0.05</v>
      </c>
      <c r="G203">
        <v>0.05</v>
      </c>
    </row>
    <row r="204" spans="1:7" x14ac:dyDescent="0.2">
      <c r="A204">
        <v>3401</v>
      </c>
      <c r="B204" s="106" t="s">
        <v>1097</v>
      </c>
      <c r="C204">
        <v>0</v>
      </c>
      <c r="D204">
        <v>0</v>
      </c>
      <c r="E204" s="106">
        <v>0</v>
      </c>
      <c r="F204">
        <v>0</v>
      </c>
      <c r="G204" s="106">
        <v>0.05</v>
      </c>
    </row>
    <row r="205" spans="1:7" x14ac:dyDescent="0.2">
      <c r="A205">
        <v>3405</v>
      </c>
      <c r="B205" s="106" t="s">
        <v>2489</v>
      </c>
      <c r="C205">
        <v>0</v>
      </c>
      <c r="D205" t="s">
        <v>171</v>
      </c>
      <c r="E205" s="106">
        <v>0</v>
      </c>
      <c r="F205">
        <v>0</v>
      </c>
      <c r="G205" s="106">
        <v>0</v>
      </c>
    </row>
    <row r="206" spans="1:7" x14ac:dyDescent="0.2">
      <c r="A206">
        <v>3407</v>
      </c>
      <c r="B206" s="106" t="s">
        <v>947</v>
      </c>
      <c r="C206">
        <v>0.05</v>
      </c>
      <c r="D206" s="106">
        <v>0.05</v>
      </c>
      <c r="E206" s="106">
        <v>0</v>
      </c>
      <c r="F206" s="106">
        <v>0.05</v>
      </c>
      <c r="G206" s="106">
        <v>0</v>
      </c>
    </row>
    <row r="207" spans="1:7" x14ac:dyDescent="0.2">
      <c r="A207">
        <v>3415</v>
      </c>
      <c r="B207" s="106" t="s">
        <v>2273</v>
      </c>
      <c r="C207">
        <v>0</v>
      </c>
      <c r="D207" s="106">
        <v>0</v>
      </c>
      <c r="E207" t="s">
        <v>171</v>
      </c>
      <c r="F207" s="106" t="s">
        <v>171</v>
      </c>
      <c r="G207" s="106" t="s">
        <v>171</v>
      </c>
    </row>
    <row r="208" spans="1:7" x14ac:dyDescent="0.2">
      <c r="A208">
        <v>3433</v>
      </c>
      <c r="B208" s="106" t="s">
        <v>1098</v>
      </c>
      <c r="C208">
        <v>0</v>
      </c>
      <c r="D208">
        <v>0</v>
      </c>
      <c r="E208">
        <v>0.15</v>
      </c>
      <c r="F208">
        <v>0</v>
      </c>
      <c r="G208">
        <v>0</v>
      </c>
    </row>
    <row r="209" spans="1:7" x14ac:dyDescent="0.2">
      <c r="A209">
        <v>3436</v>
      </c>
      <c r="B209" s="106" t="s">
        <v>2274</v>
      </c>
      <c r="C209">
        <v>0</v>
      </c>
      <c r="D209">
        <v>0</v>
      </c>
      <c r="E209" t="s">
        <v>171</v>
      </c>
      <c r="F209">
        <v>0</v>
      </c>
      <c r="G209" t="s">
        <v>171</v>
      </c>
    </row>
    <row r="210" spans="1:7" x14ac:dyDescent="0.2">
      <c r="A210">
        <v>3454</v>
      </c>
      <c r="B210" s="106" t="s">
        <v>1099</v>
      </c>
      <c r="C210">
        <v>0</v>
      </c>
      <c r="D210">
        <v>0</v>
      </c>
      <c r="E210">
        <v>0</v>
      </c>
      <c r="F210" s="106">
        <v>0</v>
      </c>
      <c r="G210" s="106">
        <v>0</v>
      </c>
    </row>
    <row r="211" spans="1:7" x14ac:dyDescent="0.2">
      <c r="A211">
        <v>3457</v>
      </c>
      <c r="B211" s="106" t="s">
        <v>1100</v>
      </c>
      <c r="C211">
        <v>0</v>
      </c>
      <c r="D211">
        <v>0</v>
      </c>
      <c r="E211" s="106">
        <v>0</v>
      </c>
      <c r="F211">
        <v>0</v>
      </c>
      <c r="G211">
        <v>0</v>
      </c>
    </row>
    <row r="212" spans="1:7" x14ac:dyDescent="0.2">
      <c r="A212">
        <v>3465</v>
      </c>
      <c r="B212" s="106" t="s">
        <v>2158</v>
      </c>
      <c r="C212">
        <v>0</v>
      </c>
      <c r="D212">
        <v>0</v>
      </c>
      <c r="E212">
        <v>0</v>
      </c>
      <c r="F212">
        <v>0</v>
      </c>
      <c r="G212" t="s">
        <v>171</v>
      </c>
    </row>
    <row r="213" spans="1:7" x14ac:dyDescent="0.2">
      <c r="A213">
        <v>3475</v>
      </c>
      <c r="B213" s="106" t="s">
        <v>2159</v>
      </c>
      <c r="C213">
        <v>0</v>
      </c>
      <c r="D213">
        <v>0</v>
      </c>
      <c r="E213">
        <v>0</v>
      </c>
      <c r="F213">
        <v>0</v>
      </c>
      <c r="G213">
        <v>0</v>
      </c>
    </row>
    <row r="214" spans="1:7" x14ac:dyDescent="0.2">
      <c r="A214">
        <v>3484</v>
      </c>
      <c r="B214" s="106" t="s">
        <v>1101</v>
      </c>
      <c r="C214">
        <v>0.05</v>
      </c>
      <c r="D214">
        <v>0.05</v>
      </c>
      <c r="E214">
        <v>0.15</v>
      </c>
      <c r="F214">
        <v>0.05</v>
      </c>
      <c r="G214">
        <v>0.05</v>
      </c>
    </row>
    <row r="215" spans="1:7" x14ac:dyDescent="0.2">
      <c r="A215">
        <v>3501</v>
      </c>
      <c r="B215" s="106" t="s">
        <v>1102</v>
      </c>
      <c r="C215">
        <v>0.05</v>
      </c>
      <c r="D215">
        <v>0.05</v>
      </c>
      <c r="E215">
        <v>0.15</v>
      </c>
      <c r="F215">
        <v>0.05</v>
      </c>
      <c r="G215">
        <v>0.05</v>
      </c>
    </row>
    <row r="216" spans="1:7" x14ac:dyDescent="0.2">
      <c r="A216">
        <v>3526</v>
      </c>
      <c r="B216" s="106" t="s">
        <v>2160</v>
      </c>
      <c r="C216">
        <v>0</v>
      </c>
      <c r="D216">
        <v>0</v>
      </c>
      <c r="E216">
        <v>0</v>
      </c>
      <c r="F216">
        <v>0</v>
      </c>
      <c r="G216">
        <v>0</v>
      </c>
    </row>
    <row r="217" spans="1:7" x14ac:dyDescent="0.2">
      <c r="A217">
        <v>3529</v>
      </c>
      <c r="B217" s="106" t="s">
        <v>1103</v>
      </c>
      <c r="C217">
        <v>0</v>
      </c>
      <c r="D217">
        <v>0</v>
      </c>
      <c r="E217">
        <v>0</v>
      </c>
      <c r="F217">
        <v>0</v>
      </c>
      <c r="G217" t="s">
        <v>171</v>
      </c>
    </row>
    <row r="218" spans="1:7" x14ac:dyDescent="0.2">
      <c r="A218">
        <v>3538</v>
      </c>
      <c r="B218" s="106" t="s">
        <v>1104</v>
      </c>
      <c r="C218">
        <v>0</v>
      </c>
      <c r="D218">
        <v>0</v>
      </c>
      <c r="E218">
        <v>0</v>
      </c>
      <c r="F218">
        <v>0</v>
      </c>
      <c r="G218">
        <v>0</v>
      </c>
    </row>
    <row r="219" spans="1:7" x14ac:dyDescent="0.2">
      <c r="A219">
        <v>3539</v>
      </c>
      <c r="B219" s="106" t="s">
        <v>1105</v>
      </c>
      <c r="C219">
        <v>0</v>
      </c>
      <c r="D219">
        <v>0</v>
      </c>
      <c r="E219">
        <v>0</v>
      </c>
      <c r="F219">
        <v>0</v>
      </c>
      <c r="G219">
        <v>0</v>
      </c>
    </row>
    <row r="220" spans="1:7" x14ac:dyDescent="0.2">
      <c r="A220">
        <v>3544</v>
      </c>
      <c r="B220" s="106" t="s">
        <v>1106</v>
      </c>
      <c r="C220">
        <v>0.05</v>
      </c>
      <c r="D220">
        <v>0.05</v>
      </c>
      <c r="E220">
        <v>0.15</v>
      </c>
      <c r="F220">
        <v>0.05</v>
      </c>
      <c r="G220" s="106">
        <v>0.05</v>
      </c>
    </row>
    <row r="221" spans="1:7" x14ac:dyDescent="0.2">
      <c r="A221">
        <v>3547</v>
      </c>
      <c r="B221" s="106" t="s">
        <v>1107</v>
      </c>
      <c r="C221">
        <v>0.05</v>
      </c>
      <c r="D221">
        <v>0.05</v>
      </c>
      <c r="E221">
        <v>0.15</v>
      </c>
      <c r="F221">
        <v>0.05</v>
      </c>
      <c r="G221" s="106">
        <v>0.05</v>
      </c>
    </row>
    <row r="222" spans="1:7" x14ac:dyDescent="0.2">
      <c r="A222">
        <v>3563</v>
      </c>
      <c r="B222" s="106" t="s">
        <v>2490</v>
      </c>
      <c r="C222">
        <v>0</v>
      </c>
      <c r="D222" t="s">
        <v>171</v>
      </c>
      <c r="E222" t="s">
        <v>171</v>
      </c>
      <c r="F222" t="s">
        <v>171</v>
      </c>
      <c r="G222" s="106" t="s">
        <v>171</v>
      </c>
    </row>
    <row r="223" spans="1:7" x14ac:dyDescent="0.2">
      <c r="A223">
        <v>3569</v>
      </c>
      <c r="B223" s="106" t="s">
        <v>2491</v>
      </c>
      <c r="C223">
        <v>0.05</v>
      </c>
      <c r="D223" t="s">
        <v>171</v>
      </c>
      <c r="E223">
        <v>0</v>
      </c>
      <c r="F223">
        <v>0</v>
      </c>
      <c r="G223">
        <v>0</v>
      </c>
    </row>
    <row r="224" spans="1:7" x14ac:dyDescent="0.2">
      <c r="A224">
        <v>3571</v>
      </c>
      <c r="B224" s="106" t="s">
        <v>1108</v>
      </c>
      <c r="C224">
        <v>0.05</v>
      </c>
      <c r="D224">
        <v>0.05</v>
      </c>
      <c r="E224">
        <v>0.15</v>
      </c>
      <c r="F224">
        <v>0.05</v>
      </c>
      <c r="G224" s="106">
        <v>0.05</v>
      </c>
    </row>
    <row r="225" spans="1:7" x14ac:dyDescent="0.2">
      <c r="A225">
        <v>3580</v>
      </c>
      <c r="B225" s="106" t="s">
        <v>1109</v>
      </c>
      <c r="C225">
        <v>0.05</v>
      </c>
      <c r="D225" s="106">
        <v>0.05</v>
      </c>
      <c r="E225">
        <v>0.15</v>
      </c>
      <c r="F225">
        <v>0.05</v>
      </c>
      <c r="G225" s="106">
        <v>0.05</v>
      </c>
    </row>
    <row r="226" spans="1:7" x14ac:dyDescent="0.2">
      <c r="A226">
        <v>3591</v>
      </c>
      <c r="B226" s="106" t="s">
        <v>1110</v>
      </c>
      <c r="C226">
        <v>0.05</v>
      </c>
      <c r="D226" s="106">
        <v>0.05</v>
      </c>
      <c r="E226">
        <v>0.15</v>
      </c>
      <c r="F226">
        <v>0.05</v>
      </c>
      <c r="G226">
        <v>0.05</v>
      </c>
    </row>
    <row r="227" spans="1:7" x14ac:dyDescent="0.2">
      <c r="A227">
        <v>3593</v>
      </c>
      <c r="B227" s="106" t="s">
        <v>1111</v>
      </c>
      <c r="C227">
        <v>0.1</v>
      </c>
      <c r="D227">
        <v>0.1</v>
      </c>
      <c r="E227">
        <v>0.3</v>
      </c>
      <c r="F227">
        <v>0.1</v>
      </c>
      <c r="G227">
        <v>0.1</v>
      </c>
    </row>
    <row r="228" spans="1:7" x14ac:dyDescent="0.2">
      <c r="A228">
        <v>3606</v>
      </c>
      <c r="B228" s="106" t="s">
        <v>1112</v>
      </c>
      <c r="C228">
        <v>0</v>
      </c>
      <c r="D228">
        <v>0</v>
      </c>
      <c r="E228">
        <v>0</v>
      </c>
      <c r="F228">
        <v>0</v>
      </c>
      <c r="G228">
        <v>0</v>
      </c>
    </row>
    <row r="229" spans="1:7" x14ac:dyDescent="0.2">
      <c r="A229">
        <v>3611</v>
      </c>
      <c r="B229" s="106" t="s">
        <v>2161</v>
      </c>
      <c r="C229">
        <v>0</v>
      </c>
      <c r="D229">
        <v>0</v>
      </c>
      <c r="E229">
        <v>0</v>
      </c>
      <c r="F229">
        <v>0</v>
      </c>
      <c r="G229">
        <v>0</v>
      </c>
    </row>
    <row r="230" spans="1:7" x14ac:dyDescent="0.2">
      <c r="A230">
        <v>3612</v>
      </c>
      <c r="B230" s="106" t="s">
        <v>1113</v>
      </c>
      <c r="C230">
        <v>0.05</v>
      </c>
      <c r="D230">
        <v>0.05</v>
      </c>
      <c r="E230">
        <v>0</v>
      </c>
      <c r="F230">
        <v>0.05</v>
      </c>
      <c r="G230">
        <v>0</v>
      </c>
    </row>
    <row r="231" spans="1:7" x14ac:dyDescent="0.2">
      <c r="A231">
        <v>3627</v>
      </c>
      <c r="B231" s="106" t="s">
        <v>1114</v>
      </c>
      <c r="C231">
        <v>0</v>
      </c>
      <c r="D231">
        <v>0</v>
      </c>
      <c r="E231">
        <v>0</v>
      </c>
      <c r="F231">
        <v>0</v>
      </c>
      <c r="G231">
        <v>0</v>
      </c>
    </row>
    <row r="232" spans="1:7" x14ac:dyDescent="0.2">
      <c r="A232">
        <v>3635</v>
      </c>
      <c r="B232" s="106" t="s">
        <v>49</v>
      </c>
      <c r="C232">
        <v>0.05</v>
      </c>
      <c r="D232">
        <v>0.05</v>
      </c>
      <c r="E232">
        <v>0.15</v>
      </c>
      <c r="F232">
        <v>0.05</v>
      </c>
      <c r="G232">
        <v>0.05</v>
      </c>
    </row>
    <row r="233" spans="1:7" x14ac:dyDescent="0.2">
      <c r="A233">
        <v>3639</v>
      </c>
      <c r="B233" s="106" t="s">
        <v>1115</v>
      </c>
      <c r="C233">
        <v>0</v>
      </c>
      <c r="D233" s="106">
        <v>0.05</v>
      </c>
      <c r="E233">
        <v>0</v>
      </c>
      <c r="F233">
        <v>0</v>
      </c>
      <c r="G233">
        <v>0</v>
      </c>
    </row>
    <row r="234" spans="1:7" x14ac:dyDescent="0.2">
      <c r="A234">
        <v>3640</v>
      </c>
      <c r="B234" s="106" t="s">
        <v>1116</v>
      </c>
      <c r="C234">
        <v>0.05</v>
      </c>
      <c r="D234" s="106">
        <v>0.05</v>
      </c>
      <c r="E234">
        <v>0.15</v>
      </c>
      <c r="F234">
        <v>0.05</v>
      </c>
      <c r="G234">
        <v>0.05</v>
      </c>
    </row>
    <row r="235" spans="1:7" x14ac:dyDescent="0.2">
      <c r="A235">
        <v>3648</v>
      </c>
      <c r="B235" s="106" t="s">
        <v>1117</v>
      </c>
      <c r="C235">
        <v>0.05</v>
      </c>
      <c r="D235">
        <v>0.05</v>
      </c>
      <c r="E235">
        <v>0</v>
      </c>
      <c r="F235">
        <v>0.05</v>
      </c>
      <c r="G235">
        <v>0</v>
      </c>
    </row>
    <row r="236" spans="1:7" x14ac:dyDescent="0.2">
      <c r="A236">
        <v>3655</v>
      </c>
      <c r="B236" s="106" t="s">
        <v>1118</v>
      </c>
      <c r="C236">
        <v>0.1</v>
      </c>
      <c r="D236" s="106">
        <v>0.1</v>
      </c>
      <c r="E236" s="106">
        <v>0</v>
      </c>
      <c r="F236" s="106">
        <v>0</v>
      </c>
      <c r="G236" s="106">
        <v>0</v>
      </c>
    </row>
    <row r="237" spans="1:7" x14ac:dyDescent="0.2">
      <c r="A237">
        <v>3656</v>
      </c>
      <c r="B237" s="106" t="s">
        <v>1119</v>
      </c>
      <c r="C237">
        <v>0</v>
      </c>
      <c r="D237" s="106">
        <v>0</v>
      </c>
      <c r="E237">
        <v>0</v>
      </c>
      <c r="F237" s="106">
        <v>0</v>
      </c>
      <c r="G237" s="106">
        <v>0</v>
      </c>
    </row>
    <row r="238" spans="1:7" x14ac:dyDescent="0.2">
      <c r="A238">
        <v>3659</v>
      </c>
      <c r="B238" s="106" t="s">
        <v>1120</v>
      </c>
      <c r="C238">
        <v>0</v>
      </c>
      <c r="D238" s="106">
        <v>0</v>
      </c>
      <c r="E238">
        <v>0</v>
      </c>
      <c r="F238" s="106">
        <v>0</v>
      </c>
      <c r="G238" s="106">
        <v>0</v>
      </c>
    </row>
    <row r="239" spans="1:7" x14ac:dyDescent="0.2">
      <c r="A239">
        <v>3660</v>
      </c>
      <c r="B239" s="106" t="s">
        <v>1121</v>
      </c>
      <c r="C239">
        <v>0.05</v>
      </c>
      <c r="D239">
        <v>0.05</v>
      </c>
      <c r="E239">
        <v>0.15</v>
      </c>
      <c r="F239">
        <v>0.05</v>
      </c>
      <c r="G239">
        <v>0.05</v>
      </c>
    </row>
    <row r="240" spans="1:7" x14ac:dyDescent="0.2">
      <c r="A240">
        <v>3661</v>
      </c>
      <c r="B240" s="106" t="s">
        <v>1122</v>
      </c>
      <c r="C240">
        <v>0.05</v>
      </c>
      <c r="D240" s="106">
        <v>0.05</v>
      </c>
      <c r="E240">
        <v>0.15</v>
      </c>
      <c r="F240" s="106">
        <v>0.05</v>
      </c>
      <c r="G240">
        <v>0.05</v>
      </c>
    </row>
    <row r="241" spans="1:7" x14ac:dyDescent="0.2">
      <c r="A241">
        <v>3662</v>
      </c>
      <c r="B241" s="106" t="s">
        <v>1123</v>
      </c>
      <c r="C241">
        <v>0</v>
      </c>
      <c r="D241">
        <v>0</v>
      </c>
      <c r="E241">
        <v>0</v>
      </c>
      <c r="F241">
        <v>0</v>
      </c>
      <c r="G241">
        <v>0</v>
      </c>
    </row>
    <row r="242" spans="1:7" x14ac:dyDescent="0.2">
      <c r="A242">
        <v>3667</v>
      </c>
      <c r="B242" s="106" t="s">
        <v>2162</v>
      </c>
      <c r="C242">
        <v>0</v>
      </c>
      <c r="D242">
        <v>0</v>
      </c>
      <c r="E242">
        <v>0</v>
      </c>
      <c r="F242" t="s">
        <v>171</v>
      </c>
      <c r="G242" t="s">
        <v>171</v>
      </c>
    </row>
    <row r="243" spans="1:7" x14ac:dyDescent="0.2">
      <c r="A243">
        <v>3668</v>
      </c>
      <c r="B243" s="106" t="s">
        <v>1124</v>
      </c>
      <c r="C243">
        <v>0.05</v>
      </c>
      <c r="D243">
        <v>0.05</v>
      </c>
      <c r="E243">
        <v>0.15</v>
      </c>
      <c r="F243">
        <v>0.05</v>
      </c>
      <c r="G243">
        <v>0.05</v>
      </c>
    </row>
    <row r="244" spans="1:7" x14ac:dyDescent="0.2">
      <c r="A244">
        <v>3678</v>
      </c>
      <c r="B244" s="106" t="s">
        <v>1125</v>
      </c>
      <c r="C244">
        <v>0.1</v>
      </c>
      <c r="D244">
        <v>0.1</v>
      </c>
      <c r="E244">
        <v>0.3</v>
      </c>
      <c r="F244">
        <v>0.1</v>
      </c>
      <c r="G244">
        <v>0.1</v>
      </c>
    </row>
    <row r="245" spans="1:7" x14ac:dyDescent="0.2">
      <c r="A245">
        <v>3681</v>
      </c>
      <c r="B245" s="106" t="s">
        <v>1126</v>
      </c>
      <c r="C245">
        <v>0.05</v>
      </c>
      <c r="D245" s="106">
        <v>0.05</v>
      </c>
      <c r="E245" s="106">
        <v>0.15</v>
      </c>
      <c r="F245" s="106">
        <v>0.05</v>
      </c>
      <c r="G245" s="106">
        <v>0.05</v>
      </c>
    </row>
    <row r="246" spans="1:7" x14ac:dyDescent="0.2">
      <c r="A246">
        <v>3683</v>
      </c>
      <c r="B246" s="106" t="s">
        <v>2492</v>
      </c>
      <c r="C246">
        <v>0</v>
      </c>
      <c r="D246" s="106" t="s">
        <v>171</v>
      </c>
      <c r="E246" s="106">
        <v>0</v>
      </c>
      <c r="F246" s="106" t="s">
        <v>171</v>
      </c>
      <c r="G246" s="106">
        <v>0</v>
      </c>
    </row>
    <row r="247" spans="1:7" x14ac:dyDescent="0.2">
      <c r="A247">
        <v>3694</v>
      </c>
      <c r="B247" s="106" t="s">
        <v>1127</v>
      </c>
      <c r="C247">
        <v>0.05</v>
      </c>
      <c r="D247">
        <v>0.05</v>
      </c>
      <c r="E247">
        <v>0.15</v>
      </c>
      <c r="F247">
        <v>0.05</v>
      </c>
      <c r="G247" s="106">
        <v>0.05</v>
      </c>
    </row>
    <row r="248" spans="1:7" x14ac:dyDescent="0.2">
      <c r="A248">
        <v>3697</v>
      </c>
      <c r="B248" s="106" t="s">
        <v>1128</v>
      </c>
      <c r="C248">
        <v>0.05</v>
      </c>
      <c r="D248">
        <v>0.15</v>
      </c>
      <c r="E248">
        <v>0.45</v>
      </c>
      <c r="F248">
        <v>0.15</v>
      </c>
      <c r="G248" s="106">
        <v>0.15</v>
      </c>
    </row>
    <row r="249" spans="1:7" x14ac:dyDescent="0.2">
      <c r="A249">
        <v>3708</v>
      </c>
      <c r="B249" s="106" t="s">
        <v>1129</v>
      </c>
      <c r="C249">
        <v>0.1</v>
      </c>
      <c r="D249">
        <v>0.1</v>
      </c>
      <c r="E249" s="106">
        <v>0.3</v>
      </c>
      <c r="F249">
        <v>0.1</v>
      </c>
      <c r="G249" s="106">
        <v>0.1</v>
      </c>
    </row>
    <row r="250" spans="1:7" x14ac:dyDescent="0.2">
      <c r="A250">
        <v>3738</v>
      </c>
      <c r="B250" s="106" t="s">
        <v>1130</v>
      </c>
      <c r="C250">
        <v>0.05</v>
      </c>
      <c r="D250" s="106">
        <v>0.05</v>
      </c>
      <c r="E250" s="106">
        <v>0.15</v>
      </c>
      <c r="F250" s="106">
        <v>0.05</v>
      </c>
      <c r="G250" s="106">
        <v>0.05</v>
      </c>
    </row>
    <row r="251" spans="1:7" x14ac:dyDescent="0.2">
      <c r="A251">
        <v>3774</v>
      </c>
      <c r="B251" s="106" t="s">
        <v>1131</v>
      </c>
      <c r="C251">
        <v>0.05</v>
      </c>
      <c r="D251" s="106">
        <v>0.05</v>
      </c>
      <c r="E251" s="106">
        <v>0.15</v>
      </c>
      <c r="F251" s="106">
        <v>0.05</v>
      </c>
      <c r="G251" s="106">
        <v>0.05</v>
      </c>
    </row>
    <row r="252" spans="1:7" x14ac:dyDescent="0.2">
      <c r="A252">
        <v>3778</v>
      </c>
      <c r="B252" s="106" t="s">
        <v>1132</v>
      </c>
      <c r="C252">
        <v>0</v>
      </c>
      <c r="D252">
        <v>0</v>
      </c>
      <c r="E252" s="106">
        <v>0</v>
      </c>
      <c r="F252">
        <v>0</v>
      </c>
      <c r="G252" s="106">
        <v>0</v>
      </c>
    </row>
    <row r="253" spans="1:7" x14ac:dyDescent="0.2">
      <c r="A253">
        <v>3822</v>
      </c>
      <c r="B253" s="106" t="s">
        <v>1133</v>
      </c>
      <c r="C253">
        <v>0.05</v>
      </c>
      <c r="D253">
        <v>0.05</v>
      </c>
      <c r="E253">
        <v>0.15</v>
      </c>
      <c r="F253">
        <v>0.1</v>
      </c>
      <c r="G253">
        <v>0.05</v>
      </c>
    </row>
    <row r="254" spans="1:7" x14ac:dyDescent="0.2">
      <c r="A254">
        <v>3843</v>
      </c>
      <c r="B254" s="106" t="s">
        <v>2163</v>
      </c>
      <c r="C254">
        <v>0</v>
      </c>
      <c r="D254">
        <v>0</v>
      </c>
      <c r="E254" s="106">
        <v>0</v>
      </c>
      <c r="F254" s="106">
        <v>0</v>
      </c>
      <c r="G254" s="106">
        <v>0</v>
      </c>
    </row>
    <row r="255" spans="1:7" x14ac:dyDescent="0.2">
      <c r="A255">
        <v>3844</v>
      </c>
      <c r="B255" s="106" t="s">
        <v>2493</v>
      </c>
      <c r="C255">
        <v>0</v>
      </c>
      <c r="D255" s="106" t="s">
        <v>171</v>
      </c>
      <c r="E255">
        <v>0</v>
      </c>
      <c r="F255" s="106">
        <v>0</v>
      </c>
      <c r="G255" t="s">
        <v>171</v>
      </c>
    </row>
    <row r="256" spans="1:7" x14ac:dyDescent="0.2">
      <c r="A256">
        <v>3861</v>
      </c>
      <c r="B256" s="106" t="s">
        <v>38</v>
      </c>
      <c r="C256">
        <v>0</v>
      </c>
      <c r="D256" t="s">
        <v>171</v>
      </c>
      <c r="E256">
        <v>0</v>
      </c>
      <c r="F256" s="106">
        <v>0</v>
      </c>
      <c r="G256" s="106">
        <v>0</v>
      </c>
    </row>
    <row r="257" spans="1:7" x14ac:dyDescent="0.2">
      <c r="A257">
        <v>3865</v>
      </c>
      <c r="B257" s="106" t="s">
        <v>1134</v>
      </c>
      <c r="C257">
        <v>0</v>
      </c>
      <c r="D257" s="106">
        <v>0</v>
      </c>
      <c r="E257" s="106">
        <v>0.15</v>
      </c>
      <c r="F257" s="106">
        <v>0.05</v>
      </c>
      <c r="G257" s="106">
        <v>0</v>
      </c>
    </row>
    <row r="258" spans="1:7" x14ac:dyDescent="0.2">
      <c r="A258">
        <v>3877</v>
      </c>
      <c r="B258" s="106" t="s">
        <v>1135</v>
      </c>
      <c r="C258">
        <v>0</v>
      </c>
      <c r="D258">
        <v>0</v>
      </c>
      <c r="E258">
        <v>0</v>
      </c>
      <c r="F258">
        <v>0</v>
      </c>
      <c r="G258">
        <v>0</v>
      </c>
    </row>
    <row r="259" spans="1:7" x14ac:dyDescent="0.2">
      <c r="A259">
        <v>3878</v>
      </c>
      <c r="B259" s="106" t="s">
        <v>1136</v>
      </c>
      <c r="C259">
        <v>0</v>
      </c>
      <c r="D259">
        <v>0</v>
      </c>
      <c r="E259" s="106">
        <v>0</v>
      </c>
      <c r="F259" s="106">
        <v>0</v>
      </c>
      <c r="G259" s="106">
        <v>0</v>
      </c>
    </row>
    <row r="260" spans="1:7" x14ac:dyDescent="0.2">
      <c r="A260">
        <v>3919</v>
      </c>
      <c r="B260" s="106" t="s">
        <v>2494</v>
      </c>
      <c r="C260">
        <v>0</v>
      </c>
      <c r="D260" t="s">
        <v>171</v>
      </c>
      <c r="E260" s="106" t="s">
        <v>171</v>
      </c>
      <c r="F260" s="106" t="s">
        <v>171</v>
      </c>
      <c r="G260" s="106" t="s">
        <v>171</v>
      </c>
    </row>
    <row r="261" spans="1:7" x14ac:dyDescent="0.2">
      <c r="A261">
        <v>3928</v>
      </c>
      <c r="B261" s="106" t="s">
        <v>2164</v>
      </c>
      <c r="C261">
        <v>0</v>
      </c>
      <c r="D261">
        <v>0</v>
      </c>
      <c r="E261">
        <v>0</v>
      </c>
      <c r="F261">
        <v>0</v>
      </c>
      <c r="G261" t="s">
        <v>171</v>
      </c>
    </row>
    <row r="262" spans="1:7" x14ac:dyDescent="0.2">
      <c r="A262">
        <v>3946</v>
      </c>
      <c r="B262" s="106" t="s">
        <v>2495</v>
      </c>
      <c r="C262">
        <v>0</v>
      </c>
      <c r="D262" t="s">
        <v>171</v>
      </c>
      <c r="E262">
        <v>0</v>
      </c>
      <c r="F262" t="s">
        <v>171</v>
      </c>
      <c r="G262">
        <v>0</v>
      </c>
    </row>
    <row r="263" spans="1:7" x14ac:dyDescent="0.2">
      <c r="A263">
        <v>3950</v>
      </c>
      <c r="B263" s="106" t="s">
        <v>2165</v>
      </c>
      <c r="C263">
        <v>0.1</v>
      </c>
      <c r="D263" s="106">
        <v>0.1</v>
      </c>
      <c r="E263" s="106">
        <v>0</v>
      </c>
      <c r="F263" s="106">
        <v>0</v>
      </c>
      <c r="G263" s="106">
        <v>0</v>
      </c>
    </row>
    <row r="264" spans="1:7" x14ac:dyDescent="0.2">
      <c r="A264">
        <v>3963</v>
      </c>
      <c r="B264" s="106" t="s">
        <v>2166</v>
      </c>
      <c r="C264">
        <v>0</v>
      </c>
      <c r="D264">
        <v>0</v>
      </c>
      <c r="E264" s="106">
        <v>0</v>
      </c>
      <c r="F264" s="106" t="s">
        <v>171</v>
      </c>
      <c r="G264" s="106" t="s">
        <v>171</v>
      </c>
    </row>
    <row r="265" spans="1:7" x14ac:dyDescent="0.2">
      <c r="A265">
        <v>3964</v>
      </c>
      <c r="B265" s="106" t="s">
        <v>1137</v>
      </c>
      <c r="C265">
        <v>0.05</v>
      </c>
      <c r="D265" s="106">
        <v>0.05</v>
      </c>
      <c r="E265" s="106">
        <v>0.15</v>
      </c>
      <c r="F265" s="106">
        <v>0.05</v>
      </c>
      <c r="G265" s="106">
        <v>0.05</v>
      </c>
    </row>
    <row r="266" spans="1:7" x14ac:dyDescent="0.2">
      <c r="A266">
        <v>3968</v>
      </c>
      <c r="B266" s="106" t="s">
        <v>1138</v>
      </c>
      <c r="C266">
        <v>0</v>
      </c>
      <c r="D266" s="106">
        <v>0</v>
      </c>
      <c r="E266" s="106">
        <v>0</v>
      </c>
      <c r="F266" s="106">
        <v>0</v>
      </c>
      <c r="G266" s="106">
        <v>0</v>
      </c>
    </row>
    <row r="267" spans="1:7" x14ac:dyDescent="0.2">
      <c r="A267">
        <v>3975</v>
      </c>
      <c r="B267" s="106" t="s">
        <v>1139</v>
      </c>
      <c r="C267">
        <v>0</v>
      </c>
      <c r="D267">
        <v>0</v>
      </c>
      <c r="E267">
        <v>0</v>
      </c>
      <c r="F267">
        <v>0</v>
      </c>
      <c r="G267">
        <v>0</v>
      </c>
    </row>
    <row r="268" spans="1:7" x14ac:dyDescent="0.2">
      <c r="A268">
        <v>3983</v>
      </c>
      <c r="B268" s="106" t="s">
        <v>1140</v>
      </c>
      <c r="C268">
        <v>0.1</v>
      </c>
      <c r="D268">
        <v>0.1</v>
      </c>
      <c r="E268">
        <v>0.3</v>
      </c>
      <c r="F268">
        <v>0.1</v>
      </c>
      <c r="G268">
        <v>0.1</v>
      </c>
    </row>
    <row r="269" spans="1:7" x14ac:dyDescent="0.2">
      <c r="A269">
        <v>3996</v>
      </c>
      <c r="B269" s="106" t="s">
        <v>1141</v>
      </c>
      <c r="C269">
        <v>0.05</v>
      </c>
      <c r="D269">
        <v>0.05</v>
      </c>
      <c r="E269" s="106">
        <v>0.15</v>
      </c>
      <c r="F269">
        <v>9.1999999999999993</v>
      </c>
      <c r="G269">
        <v>9.5</v>
      </c>
    </row>
    <row r="270" spans="1:7" x14ac:dyDescent="0.2">
      <c r="A270">
        <v>4004</v>
      </c>
      <c r="B270" s="106" t="s">
        <v>2167</v>
      </c>
      <c r="C270">
        <v>0</v>
      </c>
      <c r="D270" s="106">
        <v>0</v>
      </c>
      <c r="E270" s="106">
        <v>0</v>
      </c>
      <c r="F270" s="106" t="s">
        <v>171</v>
      </c>
      <c r="G270" s="106" t="s">
        <v>171</v>
      </c>
    </row>
    <row r="271" spans="1:7" x14ac:dyDescent="0.2">
      <c r="A271">
        <v>4021</v>
      </c>
      <c r="B271" s="106" t="s">
        <v>2168</v>
      </c>
      <c r="C271">
        <v>0</v>
      </c>
      <c r="D271" s="106">
        <v>0</v>
      </c>
      <c r="E271" s="106">
        <v>0</v>
      </c>
      <c r="F271" s="106">
        <v>0</v>
      </c>
      <c r="G271" s="106">
        <v>0</v>
      </c>
    </row>
    <row r="272" spans="1:7" x14ac:dyDescent="0.2">
      <c r="A272">
        <v>4025</v>
      </c>
      <c r="B272" s="106" t="s">
        <v>1142</v>
      </c>
      <c r="C272">
        <v>0.1</v>
      </c>
      <c r="D272">
        <v>0.1</v>
      </c>
      <c r="E272">
        <v>0.3</v>
      </c>
      <c r="F272">
        <v>0.1</v>
      </c>
      <c r="G272">
        <v>0.1</v>
      </c>
    </row>
    <row r="273" spans="1:7" x14ac:dyDescent="0.2">
      <c r="A273">
        <v>4031</v>
      </c>
      <c r="B273" s="106" t="s">
        <v>1143</v>
      </c>
      <c r="C273">
        <v>0.05</v>
      </c>
      <c r="D273">
        <v>0</v>
      </c>
      <c r="E273">
        <v>0</v>
      </c>
      <c r="F273">
        <v>0</v>
      </c>
      <c r="G273" s="106">
        <v>0</v>
      </c>
    </row>
    <row r="274" spans="1:7" x14ac:dyDescent="0.2">
      <c r="A274">
        <v>4041</v>
      </c>
      <c r="B274" s="106" t="s">
        <v>1144</v>
      </c>
      <c r="C274">
        <v>0.05</v>
      </c>
      <c r="D274" s="106">
        <v>0.05</v>
      </c>
      <c r="E274">
        <v>0.15</v>
      </c>
      <c r="F274" s="106">
        <v>0.05</v>
      </c>
      <c r="G274" s="106">
        <v>0.05</v>
      </c>
    </row>
    <row r="275" spans="1:7" x14ac:dyDescent="0.2">
      <c r="A275">
        <v>4042</v>
      </c>
      <c r="B275" s="106" t="s">
        <v>929</v>
      </c>
      <c r="C275">
        <v>0</v>
      </c>
      <c r="D275">
        <v>0</v>
      </c>
      <c r="E275">
        <v>0</v>
      </c>
      <c r="F275">
        <v>0.05</v>
      </c>
      <c r="G275">
        <v>0</v>
      </c>
    </row>
    <row r="276" spans="1:7" x14ac:dyDescent="0.2">
      <c r="A276">
        <v>4043</v>
      </c>
      <c r="B276" s="106" t="s">
        <v>1145</v>
      </c>
      <c r="C276">
        <v>0.05</v>
      </c>
      <c r="D276">
        <v>0.05</v>
      </c>
      <c r="E276">
        <v>0.15</v>
      </c>
      <c r="F276">
        <v>0.05</v>
      </c>
      <c r="G276">
        <v>0.05</v>
      </c>
    </row>
    <row r="277" spans="1:7" x14ac:dyDescent="0.2">
      <c r="A277">
        <v>4044</v>
      </c>
      <c r="B277" s="106" t="s">
        <v>1146</v>
      </c>
      <c r="C277">
        <v>0</v>
      </c>
      <c r="D277" s="106">
        <v>0</v>
      </c>
      <c r="E277" s="106">
        <v>0.15</v>
      </c>
      <c r="F277" s="106">
        <v>0.05</v>
      </c>
      <c r="G277" s="106">
        <v>0.05</v>
      </c>
    </row>
    <row r="278" spans="1:7" x14ac:dyDescent="0.2">
      <c r="A278">
        <v>4045</v>
      </c>
      <c r="B278" s="106" t="s">
        <v>1147</v>
      </c>
      <c r="C278">
        <v>0.05</v>
      </c>
      <c r="D278">
        <v>0.05</v>
      </c>
      <c r="E278">
        <v>0.15</v>
      </c>
      <c r="F278">
        <v>0.05</v>
      </c>
      <c r="G278">
        <v>0.05</v>
      </c>
    </row>
    <row r="279" spans="1:7" x14ac:dyDescent="0.2">
      <c r="A279">
        <v>4047</v>
      </c>
      <c r="B279" s="106" t="s">
        <v>1148</v>
      </c>
      <c r="C279">
        <v>0.05</v>
      </c>
      <c r="D279">
        <v>0.05</v>
      </c>
      <c r="E279">
        <v>0.15</v>
      </c>
      <c r="F279">
        <v>0.05</v>
      </c>
      <c r="G279" s="106">
        <v>0.05</v>
      </c>
    </row>
    <row r="280" spans="1:7" x14ac:dyDescent="0.2">
      <c r="A280">
        <v>4062</v>
      </c>
      <c r="B280" s="106" t="s">
        <v>254</v>
      </c>
      <c r="C280">
        <v>0.05</v>
      </c>
      <c r="D280">
        <v>0.05</v>
      </c>
      <c r="E280">
        <v>0.15</v>
      </c>
      <c r="F280">
        <v>0.05</v>
      </c>
      <c r="G280" s="106">
        <v>0.05</v>
      </c>
    </row>
    <row r="281" spans="1:7" x14ac:dyDescent="0.2">
      <c r="A281">
        <v>4091</v>
      </c>
      <c r="B281" s="106" t="s">
        <v>1149</v>
      </c>
      <c r="C281">
        <v>0</v>
      </c>
      <c r="D281" s="106">
        <v>0</v>
      </c>
      <c r="E281">
        <v>0</v>
      </c>
      <c r="F281">
        <v>0</v>
      </c>
      <c r="G281" s="106">
        <v>0</v>
      </c>
    </row>
    <row r="282" spans="1:7" x14ac:dyDescent="0.2">
      <c r="A282">
        <v>4092</v>
      </c>
      <c r="B282" s="106" t="s">
        <v>1150</v>
      </c>
      <c r="C282">
        <v>0.1</v>
      </c>
      <c r="D282">
        <v>0.1</v>
      </c>
      <c r="E282">
        <v>0.3</v>
      </c>
      <c r="F282">
        <v>0.1</v>
      </c>
      <c r="G282">
        <v>0.1</v>
      </c>
    </row>
    <row r="283" spans="1:7" x14ac:dyDescent="0.2">
      <c r="A283">
        <v>4099</v>
      </c>
      <c r="B283" s="106" t="s">
        <v>2169</v>
      </c>
      <c r="C283">
        <v>0.05</v>
      </c>
      <c r="D283">
        <v>0.05</v>
      </c>
      <c r="E283">
        <v>0.15</v>
      </c>
      <c r="F283" t="s">
        <v>171</v>
      </c>
      <c r="G283">
        <v>0.05</v>
      </c>
    </row>
    <row r="284" spans="1:7" x14ac:dyDescent="0.2">
      <c r="A284">
        <v>4100</v>
      </c>
      <c r="B284" s="106" t="s">
        <v>1151</v>
      </c>
      <c r="C284">
        <v>0</v>
      </c>
      <c r="D284">
        <v>0</v>
      </c>
      <c r="E284">
        <v>0</v>
      </c>
      <c r="F284">
        <v>0</v>
      </c>
      <c r="G284">
        <v>0</v>
      </c>
    </row>
    <row r="285" spans="1:7" x14ac:dyDescent="0.2">
      <c r="A285">
        <v>4112</v>
      </c>
      <c r="B285" s="106" t="s">
        <v>1152</v>
      </c>
      <c r="C285">
        <v>0.1</v>
      </c>
      <c r="D285">
        <v>0.1</v>
      </c>
      <c r="E285">
        <v>0.3</v>
      </c>
      <c r="F285">
        <v>0.1</v>
      </c>
      <c r="G285">
        <v>0.1</v>
      </c>
    </row>
    <row r="286" spans="1:7" x14ac:dyDescent="0.2">
      <c r="A286">
        <v>4114</v>
      </c>
      <c r="B286" s="106" t="s">
        <v>1153</v>
      </c>
      <c r="C286">
        <v>0.15</v>
      </c>
      <c r="D286">
        <v>0.15</v>
      </c>
      <c r="E286">
        <v>0.45</v>
      </c>
      <c r="F286">
        <v>0.15</v>
      </c>
      <c r="G286">
        <v>0.15</v>
      </c>
    </row>
    <row r="287" spans="1:7" x14ac:dyDescent="0.2">
      <c r="A287">
        <v>4116</v>
      </c>
      <c r="B287" s="106" t="s">
        <v>1154</v>
      </c>
      <c r="C287">
        <v>0</v>
      </c>
      <c r="D287">
        <v>0</v>
      </c>
      <c r="E287">
        <v>0</v>
      </c>
      <c r="F287">
        <v>0</v>
      </c>
      <c r="G287">
        <v>0.05</v>
      </c>
    </row>
    <row r="288" spans="1:7" x14ac:dyDescent="0.2">
      <c r="A288">
        <v>4151</v>
      </c>
      <c r="B288" s="106" t="s">
        <v>1155</v>
      </c>
      <c r="C288">
        <v>0.05</v>
      </c>
      <c r="D288">
        <v>0.05</v>
      </c>
      <c r="E288">
        <v>0.15</v>
      </c>
      <c r="F288">
        <v>0.05</v>
      </c>
      <c r="G288">
        <v>0.05</v>
      </c>
    </row>
    <row r="289" spans="1:7" x14ac:dyDescent="0.2">
      <c r="A289">
        <v>4182</v>
      </c>
      <c r="B289" s="106" t="s">
        <v>51</v>
      </c>
      <c r="C289">
        <v>0.05</v>
      </c>
      <c r="D289">
        <v>0</v>
      </c>
      <c r="E289" s="106">
        <v>0</v>
      </c>
      <c r="F289" s="106">
        <v>0</v>
      </c>
      <c r="G289" s="106">
        <v>0</v>
      </c>
    </row>
    <row r="290" spans="1:7" x14ac:dyDescent="0.2">
      <c r="A290">
        <v>4183</v>
      </c>
      <c r="B290" s="106" t="s">
        <v>235</v>
      </c>
      <c r="C290">
        <v>0</v>
      </c>
      <c r="D290">
        <v>0</v>
      </c>
      <c r="E290">
        <v>0</v>
      </c>
      <c r="F290">
        <v>0.05</v>
      </c>
      <c r="G290">
        <v>0.05</v>
      </c>
    </row>
    <row r="291" spans="1:7" x14ac:dyDescent="0.2">
      <c r="A291">
        <v>4185</v>
      </c>
      <c r="B291" s="106" t="s">
        <v>2170</v>
      </c>
      <c r="C291">
        <v>0</v>
      </c>
      <c r="D291" s="106">
        <v>0</v>
      </c>
      <c r="E291" s="106">
        <v>0</v>
      </c>
      <c r="F291" s="106">
        <v>0</v>
      </c>
      <c r="G291" s="106" t="s">
        <v>171</v>
      </c>
    </row>
    <row r="292" spans="1:7" x14ac:dyDescent="0.2">
      <c r="A292">
        <v>4186</v>
      </c>
      <c r="B292" s="106" t="s">
        <v>1156</v>
      </c>
      <c r="C292">
        <v>0.1</v>
      </c>
      <c r="D292">
        <v>0.05</v>
      </c>
      <c r="E292">
        <v>0</v>
      </c>
      <c r="F292">
        <v>0.1</v>
      </c>
      <c r="G292">
        <v>0.1</v>
      </c>
    </row>
    <row r="293" spans="1:7" x14ac:dyDescent="0.2">
      <c r="A293">
        <v>4187</v>
      </c>
      <c r="B293" s="106" t="s">
        <v>2171</v>
      </c>
      <c r="C293">
        <v>0</v>
      </c>
      <c r="D293">
        <v>0</v>
      </c>
      <c r="E293">
        <v>0</v>
      </c>
      <c r="F293" t="s">
        <v>171</v>
      </c>
      <c r="G293" t="s">
        <v>171</v>
      </c>
    </row>
    <row r="294" spans="1:7" x14ac:dyDescent="0.2">
      <c r="A294">
        <v>4202</v>
      </c>
      <c r="B294" s="106" t="s">
        <v>52</v>
      </c>
      <c r="C294">
        <v>0.05</v>
      </c>
      <c r="D294">
        <v>0.05</v>
      </c>
      <c r="E294">
        <v>0</v>
      </c>
      <c r="F294">
        <v>0.05</v>
      </c>
      <c r="G294">
        <v>0</v>
      </c>
    </row>
    <row r="295" spans="1:7" x14ac:dyDescent="0.2">
      <c r="A295">
        <v>4203</v>
      </c>
      <c r="B295" s="106" t="s">
        <v>1157</v>
      </c>
      <c r="C295">
        <v>0</v>
      </c>
      <c r="D295">
        <v>0</v>
      </c>
      <c r="E295">
        <v>0</v>
      </c>
      <c r="F295">
        <v>0</v>
      </c>
      <c r="G295">
        <v>0</v>
      </c>
    </row>
    <row r="296" spans="1:7" x14ac:dyDescent="0.2">
      <c r="A296">
        <v>4204</v>
      </c>
      <c r="B296" s="106" t="s">
        <v>252</v>
      </c>
      <c r="C296">
        <v>0</v>
      </c>
      <c r="D296">
        <v>0.05</v>
      </c>
      <c r="E296">
        <v>0.15</v>
      </c>
      <c r="F296">
        <v>0</v>
      </c>
      <c r="G296">
        <v>0</v>
      </c>
    </row>
    <row r="297" spans="1:7" x14ac:dyDescent="0.2">
      <c r="A297">
        <v>4205</v>
      </c>
      <c r="B297" s="106" t="s">
        <v>1158</v>
      </c>
      <c r="C297">
        <v>0.05</v>
      </c>
      <c r="D297">
        <v>0.05</v>
      </c>
      <c r="E297">
        <v>0.15</v>
      </c>
      <c r="F297">
        <v>0.05</v>
      </c>
      <c r="G297">
        <v>0.05</v>
      </c>
    </row>
    <row r="298" spans="1:7" x14ac:dyDescent="0.2">
      <c r="A298">
        <v>4208</v>
      </c>
      <c r="B298" s="106" t="s">
        <v>57</v>
      </c>
      <c r="C298">
        <v>0.05</v>
      </c>
      <c r="D298">
        <v>0.05</v>
      </c>
      <c r="E298">
        <v>0.15</v>
      </c>
      <c r="F298" s="106">
        <v>0.05</v>
      </c>
      <c r="G298" s="106">
        <v>0.05</v>
      </c>
    </row>
    <row r="299" spans="1:7" x14ac:dyDescent="0.2">
      <c r="A299">
        <v>4212</v>
      </c>
      <c r="B299" s="106" t="s">
        <v>1159</v>
      </c>
      <c r="C299">
        <v>0</v>
      </c>
      <c r="D299">
        <v>0</v>
      </c>
      <c r="E299">
        <v>0</v>
      </c>
      <c r="F299">
        <v>0</v>
      </c>
      <c r="G299" s="106">
        <v>0</v>
      </c>
    </row>
    <row r="300" spans="1:7" x14ac:dyDescent="0.2">
      <c r="A300">
        <v>4216</v>
      </c>
      <c r="B300" s="106" t="s">
        <v>1160</v>
      </c>
      <c r="C300">
        <v>0.05</v>
      </c>
      <c r="D300">
        <v>0.05</v>
      </c>
      <c r="E300">
        <v>0.15</v>
      </c>
      <c r="F300">
        <v>0.05</v>
      </c>
      <c r="G300" s="106">
        <v>0.05</v>
      </c>
    </row>
    <row r="301" spans="1:7" x14ac:dyDescent="0.2">
      <c r="A301">
        <v>4218</v>
      </c>
      <c r="B301" s="106" t="s">
        <v>1161</v>
      </c>
      <c r="C301">
        <v>0</v>
      </c>
      <c r="D301">
        <v>0.05</v>
      </c>
      <c r="E301" s="106">
        <v>0</v>
      </c>
      <c r="F301">
        <v>0.05</v>
      </c>
      <c r="G301" s="106">
        <v>0</v>
      </c>
    </row>
    <row r="302" spans="1:7" x14ac:dyDescent="0.2">
      <c r="A302">
        <v>4245</v>
      </c>
      <c r="B302" s="106" t="s">
        <v>2496</v>
      </c>
      <c r="C302">
        <v>0</v>
      </c>
      <c r="D302" t="s">
        <v>171</v>
      </c>
      <c r="E302" s="106">
        <v>0</v>
      </c>
      <c r="F302">
        <v>0</v>
      </c>
      <c r="G302" s="106" t="s">
        <v>171</v>
      </c>
    </row>
    <row r="303" spans="1:7" x14ac:dyDescent="0.2">
      <c r="A303">
        <v>4246</v>
      </c>
      <c r="B303" s="106" t="s">
        <v>2497</v>
      </c>
      <c r="C303">
        <v>0</v>
      </c>
      <c r="D303" s="106" t="s">
        <v>171</v>
      </c>
      <c r="E303" s="106">
        <v>0</v>
      </c>
      <c r="F303" s="106" t="s">
        <v>171</v>
      </c>
      <c r="G303" s="106">
        <v>0</v>
      </c>
    </row>
    <row r="304" spans="1:7" x14ac:dyDescent="0.2">
      <c r="A304">
        <v>4272</v>
      </c>
      <c r="B304" s="106" t="s">
        <v>1162</v>
      </c>
      <c r="C304">
        <v>0.05</v>
      </c>
      <c r="D304">
        <v>0.05</v>
      </c>
      <c r="E304">
        <v>0</v>
      </c>
      <c r="F304">
        <v>0</v>
      </c>
      <c r="G304">
        <v>0</v>
      </c>
    </row>
    <row r="305" spans="1:7" x14ac:dyDescent="0.2">
      <c r="A305">
        <v>4286</v>
      </c>
      <c r="B305" s="106" t="s">
        <v>1163</v>
      </c>
      <c r="C305">
        <v>0.05</v>
      </c>
      <c r="D305" s="106">
        <v>0</v>
      </c>
      <c r="E305">
        <v>0.15</v>
      </c>
      <c r="F305">
        <v>0</v>
      </c>
      <c r="G305">
        <v>0</v>
      </c>
    </row>
    <row r="306" spans="1:7" x14ac:dyDescent="0.2">
      <c r="A306">
        <v>4290</v>
      </c>
      <c r="B306" s="106" t="s">
        <v>1164</v>
      </c>
      <c r="C306">
        <v>0</v>
      </c>
      <c r="D306" s="106">
        <v>0</v>
      </c>
      <c r="E306">
        <v>0</v>
      </c>
      <c r="F306">
        <v>0</v>
      </c>
      <c r="G306">
        <v>0</v>
      </c>
    </row>
    <row r="307" spans="1:7" x14ac:dyDescent="0.2">
      <c r="A307">
        <v>4299</v>
      </c>
      <c r="B307" s="106" t="s">
        <v>1165</v>
      </c>
      <c r="C307">
        <v>0.05</v>
      </c>
      <c r="D307">
        <v>0.05</v>
      </c>
      <c r="E307">
        <v>0.15</v>
      </c>
      <c r="F307">
        <v>0.05</v>
      </c>
      <c r="G307">
        <v>0.05</v>
      </c>
    </row>
    <row r="308" spans="1:7" x14ac:dyDescent="0.2">
      <c r="A308">
        <v>4307</v>
      </c>
      <c r="B308" s="106" t="s">
        <v>1166</v>
      </c>
      <c r="C308">
        <v>0</v>
      </c>
      <c r="D308">
        <v>0</v>
      </c>
      <c r="E308">
        <v>0</v>
      </c>
      <c r="F308">
        <v>0</v>
      </c>
      <c r="G308">
        <v>0</v>
      </c>
    </row>
    <row r="309" spans="1:7" x14ac:dyDescent="0.2">
      <c r="A309">
        <v>4310</v>
      </c>
      <c r="B309" s="106" t="s">
        <v>1167</v>
      </c>
      <c r="C309">
        <v>0</v>
      </c>
      <c r="D309">
        <v>0</v>
      </c>
      <c r="E309">
        <v>0</v>
      </c>
      <c r="F309">
        <v>0</v>
      </c>
      <c r="G309">
        <v>0</v>
      </c>
    </row>
    <row r="310" spans="1:7" x14ac:dyDescent="0.2">
      <c r="A310">
        <v>4321</v>
      </c>
      <c r="B310" s="106" t="s">
        <v>1168</v>
      </c>
      <c r="C310">
        <v>0</v>
      </c>
      <c r="D310">
        <v>0</v>
      </c>
      <c r="E310">
        <v>0</v>
      </c>
      <c r="F310">
        <v>0</v>
      </c>
      <c r="G310">
        <v>0</v>
      </c>
    </row>
    <row r="311" spans="1:7" x14ac:dyDescent="0.2">
      <c r="A311">
        <v>4337</v>
      </c>
      <c r="B311" s="106" t="s">
        <v>1169</v>
      </c>
      <c r="C311">
        <v>0.1</v>
      </c>
      <c r="D311">
        <v>0.1</v>
      </c>
      <c r="E311">
        <v>0.3</v>
      </c>
      <c r="F311">
        <v>0.1</v>
      </c>
      <c r="G311">
        <v>0.1</v>
      </c>
    </row>
    <row r="312" spans="1:7" x14ac:dyDescent="0.2">
      <c r="A312">
        <v>4344</v>
      </c>
      <c r="B312" s="106" t="s">
        <v>1170</v>
      </c>
      <c r="C312">
        <v>0</v>
      </c>
      <c r="D312">
        <v>0.05</v>
      </c>
      <c r="E312">
        <v>0</v>
      </c>
      <c r="F312">
        <v>0</v>
      </c>
      <c r="G312">
        <v>0.05</v>
      </c>
    </row>
    <row r="313" spans="1:7" x14ac:dyDescent="0.2">
      <c r="A313">
        <v>4345</v>
      </c>
      <c r="B313" s="106" t="s">
        <v>1171</v>
      </c>
      <c r="C313">
        <v>0</v>
      </c>
      <c r="D313">
        <v>0</v>
      </c>
      <c r="E313">
        <v>0</v>
      </c>
      <c r="F313">
        <v>0</v>
      </c>
      <c r="G313">
        <v>0</v>
      </c>
    </row>
    <row r="314" spans="1:7" x14ac:dyDescent="0.2">
      <c r="A314">
        <v>4368</v>
      </c>
      <c r="B314" s="106" t="s">
        <v>1172</v>
      </c>
      <c r="C314">
        <v>0</v>
      </c>
      <c r="D314">
        <v>0</v>
      </c>
      <c r="E314" s="106">
        <v>0</v>
      </c>
      <c r="F314">
        <v>0</v>
      </c>
      <c r="G314" s="106">
        <v>0</v>
      </c>
    </row>
    <row r="315" spans="1:7" x14ac:dyDescent="0.2">
      <c r="A315">
        <v>4401</v>
      </c>
      <c r="B315" s="106" t="s">
        <v>248</v>
      </c>
      <c r="C315">
        <v>0.05</v>
      </c>
      <c r="D315">
        <v>0.05</v>
      </c>
      <c r="E315">
        <v>0.15</v>
      </c>
      <c r="F315">
        <v>0.05</v>
      </c>
      <c r="G315">
        <v>0.05</v>
      </c>
    </row>
    <row r="316" spans="1:7" x14ac:dyDescent="0.2">
      <c r="A316">
        <v>4403</v>
      </c>
      <c r="B316" s="106" t="s">
        <v>1173</v>
      </c>
      <c r="C316">
        <v>0</v>
      </c>
      <c r="D316">
        <v>0</v>
      </c>
      <c r="E316">
        <v>0</v>
      </c>
      <c r="F316">
        <v>0</v>
      </c>
      <c r="G316" t="s">
        <v>171</v>
      </c>
    </row>
    <row r="317" spans="1:7" x14ac:dyDescent="0.2">
      <c r="A317">
        <v>4404</v>
      </c>
      <c r="B317" s="106" t="s">
        <v>2498</v>
      </c>
      <c r="C317">
        <v>0</v>
      </c>
      <c r="D317" t="s">
        <v>171</v>
      </c>
      <c r="E317" s="106">
        <v>0</v>
      </c>
      <c r="F317" s="106">
        <v>0</v>
      </c>
      <c r="G317">
        <v>0</v>
      </c>
    </row>
    <row r="318" spans="1:7" x14ac:dyDescent="0.2">
      <c r="A318">
        <v>4410</v>
      </c>
      <c r="B318" s="106" t="s">
        <v>1174</v>
      </c>
      <c r="C318">
        <v>0.05</v>
      </c>
      <c r="D318">
        <v>0.05</v>
      </c>
      <c r="E318">
        <v>0.15</v>
      </c>
      <c r="F318">
        <v>0.05</v>
      </c>
      <c r="G318">
        <v>0</v>
      </c>
    </row>
    <row r="319" spans="1:7" x14ac:dyDescent="0.2">
      <c r="A319">
        <v>4452</v>
      </c>
      <c r="B319" s="106" t="s">
        <v>1175</v>
      </c>
      <c r="C319">
        <v>0.15</v>
      </c>
      <c r="D319">
        <v>0.15</v>
      </c>
      <c r="E319">
        <v>0.45</v>
      </c>
      <c r="F319" s="106">
        <v>0.15</v>
      </c>
      <c r="G319">
        <v>0.15</v>
      </c>
    </row>
    <row r="320" spans="1:7" x14ac:dyDescent="0.2">
      <c r="A320">
        <v>4461</v>
      </c>
      <c r="B320" s="106" t="s">
        <v>1176</v>
      </c>
      <c r="C320">
        <v>0.1</v>
      </c>
      <c r="D320">
        <v>0.1</v>
      </c>
      <c r="E320">
        <v>0.3</v>
      </c>
      <c r="F320" s="106">
        <v>0.1</v>
      </c>
      <c r="G320">
        <v>0.1</v>
      </c>
    </row>
    <row r="321" spans="1:7" x14ac:dyDescent="0.2">
      <c r="A321">
        <v>4462</v>
      </c>
      <c r="B321" s="106" t="s">
        <v>2275</v>
      </c>
      <c r="C321">
        <v>0.05</v>
      </c>
      <c r="D321">
        <v>0</v>
      </c>
      <c r="E321" t="s">
        <v>171</v>
      </c>
      <c r="F321" s="106">
        <v>0</v>
      </c>
      <c r="G321" t="s">
        <v>171</v>
      </c>
    </row>
    <row r="322" spans="1:7" x14ac:dyDescent="0.2">
      <c r="A322">
        <v>4503</v>
      </c>
      <c r="B322" s="106" t="s">
        <v>1177</v>
      </c>
      <c r="C322">
        <v>0</v>
      </c>
      <c r="D322">
        <v>0.05</v>
      </c>
      <c r="E322">
        <v>0</v>
      </c>
      <c r="F322">
        <v>0.05</v>
      </c>
      <c r="G322">
        <v>0</v>
      </c>
    </row>
    <row r="323" spans="1:7" x14ac:dyDescent="0.2">
      <c r="A323">
        <v>4507</v>
      </c>
      <c r="B323" s="106" t="s">
        <v>2276</v>
      </c>
      <c r="C323">
        <v>0</v>
      </c>
      <c r="D323">
        <v>0</v>
      </c>
      <c r="E323" t="s">
        <v>171</v>
      </c>
      <c r="F323" t="s">
        <v>171</v>
      </c>
      <c r="G323" t="s">
        <v>171</v>
      </c>
    </row>
    <row r="324" spans="1:7" x14ac:dyDescent="0.2">
      <c r="A324">
        <v>4512</v>
      </c>
      <c r="B324" s="106" t="s">
        <v>1178</v>
      </c>
      <c r="C324">
        <v>0.05</v>
      </c>
      <c r="D324">
        <v>0</v>
      </c>
      <c r="E324">
        <v>0</v>
      </c>
      <c r="F324">
        <v>0</v>
      </c>
      <c r="G324">
        <v>0</v>
      </c>
    </row>
    <row r="325" spans="1:7" x14ac:dyDescent="0.2">
      <c r="A325">
        <v>4519</v>
      </c>
      <c r="B325" s="106" t="s">
        <v>711</v>
      </c>
      <c r="C325">
        <v>0.2</v>
      </c>
      <c r="D325">
        <v>0.2</v>
      </c>
      <c r="E325">
        <v>0.6</v>
      </c>
      <c r="F325">
        <v>0.2</v>
      </c>
      <c r="G325">
        <v>0.2</v>
      </c>
    </row>
    <row r="326" spans="1:7" x14ac:dyDescent="0.2">
      <c r="A326">
        <v>4521</v>
      </c>
      <c r="B326" s="106" t="s">
        <v>1179</v>
      </c>
      <c r="C326">
        <v>0.1</v>
      </c>
      <c r="D326">
        <v>0.1</v>
      </c>
      <c r="E326">
        <v>0.3</v>
      </c>
      <c r="F326" s="106">
        <v>0.1</v>
      </c>
      <c r="G326">
        <v>0.1</v>
      </c>
    </row>
    <row r="327" spans="1:7" x14ac:dyDescent="0.2">
      <c r="A327">
        <v>4526</v>
      </c>
      <c r="B327" s="106" t="s">
        <v>1180</v>
      </c>
      <c r="C327">
        <v>0</v>
      </c>
      <c r="D327">
        <v>0</v>
      </c>
      <c r="E327">
        <v>0</v>
      </c>
      <c r="F327" s="106">
        <v>0.1</v>
      </c>
      <c r="G327">
        <v>0.1</v>
      </c>
    </row>
    <row r="328" spans="1:7" x14ac:dyDescent="0.2">
      <c r="A328">
        <v>4527</v>
      </c>
      <c r="B328" s="106" t="s">
        <v>1181</v>
      </c>
      <c r="C328">
        <v>0</v>
      </c>
      <c r="D328">
        <v>0</v>
      </c>
      <c r="E328">
        <v>0.15</v>
      </c>
      <c r="F328">
        <v>0</v>
      </c>
      <c r="G328">
        <v>0.05</v>
      </c>
    </row>
    <row r="329" spans="1:7" x14ac:dyDescent="0.2">
      <c r="A329">
        <v>4528</v>
      </c>
      <c r="B329" s="106" t="s">
        <v>1182</v>
      </c>
      <c r="C329">
        <v>0</v>
      </c>
      <c r="D329">
        <v>0</v>
      </c>
      <c r="E329">
        <v>0</v>
      </c>
      <c r="F329">
        <v>0</v>
      </c>
      <c r="G329" s="106">
        <v>0</v>
      </c>
    </row>
    <row r="330" spans="1:7" x14ac:dyDescent="0.2">
      <c r="A330">
        <v>4530</v>
      </c>
      <c r="B330" s="106" t="s">
        <v>2172</v>
      </c>
      <c r="C330">
        <v>0.1</v>
      </c>
      <c r="D330">
        <v>0</v>
      </c>
      <c r="E330">
        <v>0</v>
      </c>
      <c r="F330">
        <v>0</v>
      </c>
      <c r="G330">
        <v>0</v>
      </c>
    </row>
    <row r="331" spans="1:7" x14ac:dyDescent="0.2">
      <c r="A331">
        <v>4534</v>
      </c>
      <c r="B331" s="106" t="s">
        <v>1183</v>
      </c>
      <c r="C331">
        <v>0.1</v>
      </c>
      <c r="D331">
        <v>0.1</v>
      </c>
      <c r="E331">
        <v>0.3</v>
      </c>
      <c r="F331">
        <v>0.1</v>
      </c>
      <c r="G331">
        <v>0.1</v>
      </c>
    </row>
    <row r="332" spans="1:7" x14ac:dyDescent="0.2">
      <c r="A332">
        <v>4536</v>
      </c>
      <c r="B332" s="106" t="s">
        <v>1184</v>
      </c>
      <c r="C332">
        <v>0.05</v>
      </c>
      <c r="D332">
        <v>0.05</v>
      </c>
      <c r="E332">
        <v>0.15</v>
      </c>
      <c r="F332">
        <v>0.05</v>
      </c>
      <c r="G332">
        <v>0.05</v>
      </c>
    </row>
    <row r="333" spans="1:7" x14ac:dyDescent="0.2">
      <c r="A333">
        <v>4538</v>
      </c>
      <c r="B333" s="106" t="s">
        <v>1185</v>
      </c>
      <c r="C333">
        <v>0.05</v>
      </c>
      <c r="D333">
        <v>0</v>
      </c>
      <c r="E333">
        <v>0</v>
      </c>
      <c r="F333">
        <v>0</v>
      </c>
      <c r="G333">
        <v>0</v>
      </c>
    </row>
    <row r="334" spans="1:7" x14ac:dyDescent="0.2">
      <c r="A334">
        <v>4540</v>
      </c>
      <c r="B334" s="106" t="s">
        <v>1186</v>
      </c>
      <c r="C334">
        <v>0</v>
      </c>
      <c r="D334">
        <v>0.05</v>
      </c>
      <c r="E334">
        <v>0</v>
      </c>
      <c r="F334">
        <v>0.05</v>
      </c>
      <c r="G334">
        <v>0</v>
      </c>
    </row>
    <row r="335" spans="1:7" x14ac:dyDescent="0.2">
      <c r="A335">
        <v>4541</v>
      </c>
      <c r="B335" s="106" t="s">
        <v>2173</v>
      </c>
      <c r="C335">
        <v>0</v>
      </c>
      <c r="D335">
        <v>0</v>
      </c>
      <c r="E335">
        <v>0</v>
      </c>
      <c r="F335">
        <v>0</v>
      </c>
      <c r="G335" s="106">
        <v>0</v>
      </c>
    </row>
    <row r="336" spans="1:7" x14ac:dyDescent="0.2">
      <c r="A336">
        <v>4543</v>
      </c>
      <c r="B336" s="106" t="s">
        <v>1187</v>
      </c>
      <c r="C336">
        <v>0.05</v>
      </c>
      <c r="D336">
        <v>0.1</v>
      </c>
      <c r="E336">
        <v>0.3</v>
      </c>
      <c r="F336">
        <v>0.1</v>
      </c>
      <c r="G336">
        <v>0</v>
      </c>
    </row>
    <row r="337" spans="1:7" x14ac:dyDescent="0.2">
      <c r="A337">
        <v>4547</v>
      </c>
      <c r="B337" s="106" t="s">
        <v>1188</v>
      </c>
      <c r="C337">
        <v>0.05</v>
      </c>
      <c r="D337">
        <v>0.05</v>
      </c>
      <c r="E337">
        <v>0.15</v>
      </c>
      <c r="F337">
        <v>0.05</v>
      </c>
      <c r="G337">
        <v>0.05</v>
      </c>
    </row>
    <row r="338" spans="1:7" x14ac:dyDescent="0.2">
      <c r="A338">
        <v>4550</v>
      </c>
      <c r="B338" s="106" t="s">
        <v>2174</v>
      </c>
      <c r="C338">
        <v>0</v>
      </c>
      <c r="D338">
        <v>0</v>
      </c>
      <c r="E338">
        <v>0</v>
      </c>
      <c r="F338" s="106">
        <v>0</v>
      </c>
      <c r="G338" s="106">
        <v>0</v>
      </c>
    </row>
    <row r="339" spans="1:7" x14ac:dyDescent="0.2">
      <c r="A339">
        <v>4553</v>
      </c>
      <c r="B339" s="106" t="s">
        <v>1189</v>
      </c>
      <c r="C339">
        <v>0.05</v>
      </c>
      <c r="D339">
        <v>0.05</v>
      </c>
      <c r="E339">
        <v>0.15</v>
      </c>
      <c r="F339">
        <v>0.05</v>
      </c>
      <c r="G339">
        <v>0.05</v>
      </c>
    </row>
    <row r="340" spans="1:7" x14ac:dyDescent="0.2">
      <c r="A340">
        <v>4554</v>
      </c>
      <c r="B340" s="106" t="s">
        <v>1190</v>
      </c>
      <c r="C340">
        <v>0.05</v>
      </c>
      <c r="D340">
        <v>0.05</v>
      </c>
      <c r="E340">
        <v>0.15</v>
      </c>
      <c r="F340">
        <v>0.05</v>
      </c>
      <c r="G340">
        <v>0.05</v>
      </c>
    </row>
    <row r="341" spans="1:7" x14ac:dyDescent="0.2">
      <c r="A341">
        <v>4555</v>
      </c>
      <c r="B341" s="106" t="s">
        <v>1191</v>
      </c>
      <c r="C341">
        <v>0.15</v>
      </c>
      <c r="D341">
        <v>0.15</v>
      </c>
      <c r="E341">
        <v>0.45</v>
      </c>
      <c r="F341">
        <v>0.15</v>
      </c>
      <c r="G341">
        <v>0.15</v>
      </c>
    </row>
    <row r="342" spans="1:7" x14ac:dyDescent="0.2">
      <c r="A342">
        <v>4559</v>
      </c>
      <c r="B342" s="106" t="s">
        <v>1192</v>
      </c>
      <c r="C342">
        <v>0</v>
      </c>
      <c r="D342" s="106">
        <v>0</v>
      </c>
      <c r="E342">
        <v>0</v>
      </c>
      <c r="F342" s="106">
        <v>0</v>
      </c>
      <c r="G342">
        <v>0</v>
      </c>
    </row>
    <row r="343" spans="1:7" x14ac:dyDescent="0.2">
      <c r="A343">
        <v>4574</v>
      </c>
      <c r="B343" s="106" t="s">
        <v>1193</v>
      </c>
      <c r="C343">
        <v>0.1</v>
      </c>
      <c r="D343" s="106">
        <v>0.05</v>
      </c>
      <c r="E343">
        <v>0.3</v>
      </c>
      <c r="F343" s="106">
        <v>0.1</v>
      </c>
      <c r="G343">
        <v>0.05</v>
      </c>
    </row>
    <row r="344" spans="1:7" x14ac:dyDescent="0.2">
      <c r="A344">
        <v>4578</v>
      </c>
      <c r="B344" s="106" t="s">
        <v>2499</v>
      </c>
      <c r="C344">
        <v>0</v>
      </c>
      <c r="D344" t="s">
        <v>171</v>
      </c>
      <c r="E344" t="s">
        <v>171</v>
      </c>
      <c r="F344">
        <v>0.1</v>
      </c>
      <c r="G344" t="s">
        <v>171</v>
      </c>
    </row>
    <row r="345" spans="1:7" x14ac:dyDescent="0.2">
      <c r="A345">
        <v>4611</v>
      </c>
      <c r="B345" s="106" t="s">
        <v>2500</v>
      </c>
      <c r="C345">
        <v>0</v>
      </c>
      <c r="D345" t="s">
        <v>171</v>
      </c>
      <c r="E345" t="s">
        <v>171</v>
      </c>
      <c r="F345">
        <v>0</v>
      </c>
      <c r="G345">
        <v>0</v>
      </c>
    </row>
    <row r="346" spans="1:7" x14ac:dyDescent="0.2">
      <c r="A346">
        <v>4612</v>
      </c>
      <c r="B346" s="106" t="s">
        <v>1194</v>
      </c>
      <c r="C346">
        <v>0.1</v>
      </c>
      <c r="D346">
        <v>0.1</v>
      </c>
      <c r="E346">
        <v>0.3</v>
      </c>
      <c r="F346">
        <v>0.1</v>
      </c>
      <c r="G346" s="106">
        <v>0.1</v>
      </c>
    </row>
    <row r="347" spans="1:7" x14ac:dyDescent="0.2">
      <c r="A347">
        <v>4613</v>
      </c>
      <c r="B347" s="106" t="s">
        <v>249</v>
      </c>
      <c r="C347">
        <v>0.05</v>
      </c>
      <c r="D347">
        <v>0.05</v>
      </c>
      <c r="E347">
        <v>0.15</v>
      </c>
      <c r="F347">
        <v>0.05</v>
      </c>
      <c r="G347" s="106">
        <v>0.05</v>
      </c>
    </row>
    <row r="348" spans="1:7" x14ac:dyDescent="0.2">
      <c r="A348">
        <v>4617</v>
      </c>
      <c r="B348" s="106" t="s">
        <v>1195</v>
      </c>
      <c r="C348">
        <v>0</v>
      </c>
      <c r="D348">
        <v>0</v>
      </c>
      <c r="E348">
        <v>0.15</v>
      </c>
      <c r="F348">
        <v>0</v>
      </c>
      <c r="G348">
        <v>0</v>
      </c>
    </row>
    <row r="349" spans="1:7" x14ac:dyDescent="0.2">
      <c r="A349">
        <v>4619</v>
      </c>
      <c r="B349" s="106" t="s">
        <v>2277</v>
      </c>
      <c r="C349">
        <v>0</v>
      </c>
      <c r="D349">
        <v>0</v>
      </c>
      <c r="E349" t="s">
        <v>171</v>
      </c>
      <c r="F349" t="s">
        <v>171</v>
      </c>
      <c r="G349" t="s">
        <v>171</v>
      </c>
    </row>
    <row r="350" spans="1:7" x14ac:dyDescent="0.2">
      <c r="A350">
        <v>4633</v>
      </c>
      <c r="B350" s="106" t="s">
        <v>1196</v>
      </c>
      <c r="C350">
        <v>0.05</v>
      </c>
      <c r="D350">
        <v>0.05</v>
      </c>
      <c r="E350">
        <v>0.15</v>
      </c>
      <c r="F350">
        <v>0.05</v>
      </c>
      <c r="G350">
        <v>0.05</v>
      </c>
    </row>
    <row r="351" spans="1:7" x14ac:dyDescent="0.2">
      <c r="A351">
        <v>4634</v>
      </c>
      <c r="B351" s="106" t="s">
        <v>79</v>
      </c>
      <c r="C351">
        <v>0.05</v>
      </c>
      <c r="D351">
        <v>0.05</v>
      </c>
      <c r="E351">
        <v>0.15</v>
      </c>
      <c r="F351" s="106">
        <v>0.05</v>
      </c>
      <c r="G351">
        <v>0.05</v>
      </c>
    </row>
    <row r="352" spans="1:7" x14ac:dyDescent="0.2">
      <c r="A352">
        <v>4658</v>
      </c>
      <c r="B352" s="106" t="s">
        <v>1197</v>
      </c>
      <c r="C352">
        <v>0</v>
      </c>
      <c r="D352" s="106">
        <v>0</v>
      </c>
      <c r="E352" s="106">
        <v>0</v>
      </c>
      <c r="F352">
        <v>0</v>
      </c>
      <c r="G352">
        <v>0</v>
      </c>
    </row>
    <row r="353" spans="1:7" x14ac:dyDescent="0.2">
      <c r="A353">
        <v>4665</v>
      </c>
      <c r="B353" s="106" t="s">
        <v>1198</v>
      </c>
      <c r="C353">
        <v>0.05</v>
      </c>
      <c r="D353" s="106">
        <v>0.05</v>
      </c>
      <c r="E353" s="106">
        <v>0.15</v>
      </c>
      <c r="F353">
        <v>0.05</v>
      </c>
      <c r="G353">
        <v>0.05</v>
      </c>
    </row>
    <row r="354" spans="1:7" x14ac:dyDescent="0.2">
      <c r="A354">
        <v>4666</v>
      </c>
      <c r="B354" s="106" t="s">
        <v>2501</v>
      </c>
      <c r="C354">
        <v>0</v>
      </c>
      <c r="D354" t="s">
        <v>171</v>
      </c>
      <c r="E354">
        <v>0</v>
      </c>
      <c r="F354">
        <v>0.05</v>
      </c>
      <c r="G354">
        <v>0</v>
      </c>
    </row>
    <row r="355" spans="1:7" x14ac:dyDescent="0.2">
      <c r="A355">
        <v>4668</v>
      </c>
      <c r="B355" s="106" t="s">
        <v>1199</v>
      </c>
      <c r="C355">
        <v>0.05</v>
      </c>
      <c r="D355">
        <v>0.05</v>
      </c>
      <c r="E355">
        <v>0</v>
      </c>
      <c r="F355">
        <v>0.05</v>
      </c>
      <c r="G355" s="106">
        <v>0.05</v>
      </c>
    </row>
    <row r="356" spans="1:7" x14ac:dyDescent="0.2">
      <c r="A356">
        <v>4671</v>
      </c>
      <c r="B356" s="106" t="s">
        <v>1200</v>
      </c>
      <c r="C356">
        <v>0</v>
      </c>
      <c r="D356" s="106">
        <v>0.05</v>
      </c>
      <c r="E356" s="106">
        <v>0</v>
      </c>
      <c r="F356" s="106">
        <v>0</v>
      </c>
      <c r="G356" s="106">
        <v>0</v>
      </c>
    </row>
    <row r="357" spans="1:7" x14ac:dyDescent="0.2">
      <c r="A357">
        <v>4676</v>
      </c>
      <c r="B357" s="106" t="s">
        <v>1201</v>
      </c>
      <c r="C357">
        <v>0</v>
      </c>
      <c r="D357">
        <v>0</v>
      </c>
      <c r="E357">
        <v>0</v>
      </c>
      <c r="F357">
        <v>0.05</v>
      </c>
      <c r="G357">
        <v>0.05</v>
      </c>
    </row>
    <row r="358" spans="1:7" x14ac:dyDescent="0.2">
      <c r="A358">
        <v>4678</v>
      </c>
      <c r="B358" s="106" t="s">
        <v>2175</v>
      </c>
      <c r="C358">
        <v>0</v>
      </c>
      <c r="D358" s="106">
        <v>0</v>
      </c>
      <c r="E358" s="106">
        <v>0</v>
      </c>
      <c r="F358" s="106">
        <v>0</v>
      </c>
      <c r="G358" s="106">
        <v>0</v>
      </c>
    </row>
    <row r="359" spans="1:7" x14ac:dyDescent="0.2">
      <c r="A359">
        <v>4681</v>
      </c>
      <c r="B359" s="106" t="s">
        <v>2278</v>
      </c>
      <c r="C359">
        <v>0</v>
      </c>
      <c r="D359" s="106">
        <v>0.05</v>
      </c>
      <c r="E359" s="106" t="s">
        <v>171</v>
      </c>
      <c r="F359" s="106">
        <v>0.05</v>
      </c>
      <c r="G359">
        <v>0</v>
      </c>
    </row>
    <row r="360" spans="1:7" x14ac:dyDescent="0.2">
      <c r="A360">
        <v>4687</v>
      </c>
      <c r="B360" s="106" t="s">
        <v>2502</v>
      </c>
      <c r="C360">
        <v>0</v>
      </c>
      <c r="D360" t="s">
        <v>171</v>
      </c>
      <c r="E360" t="s">
        <v>171</v>
      </c>
      <c r="F360" t="s">
        <v>171</v>
      </c>
      <c r="G360" t="s">
        <v>171</v>
      </c>
    </row>
    <row r="361" spans="1:7" x14ac:dyDescent="0.2">
      <c r="A361">
        <v>4694</v>
      </c>
      <c r="B361" s="106" t="s">
        <v>2176</v>
      </c>
      <c r="C361">
        <v>0</v>
      </c>
      <c r="D361">
        <v>0</v>
      </c>
      <c r="E361">
        <v>0</v>
      </c>
      <c r="F361" t="s">
        <v>171</v>
      </c>
      <c r="G361" t="s">
        <v>171</v>
      </c>
    </row>
    <row r="362" spans="1:7" x14ac:dyDescent="0.2">
      <c r="A362">
        <v>4696</v>
      </c>
      <c r="B362" s="106" t="s">
        <v>1202</v>
      </c>
      <c r="C362">
        <v>0</v>
      </c>
      <c r="D362">
        <v>0</v>
      </c>
      <c r="E362">
        <v>0</v>
      </c>
      <c r="F362">
        <v>0</v>
      </c>
      <c r="G362" s="106">
        <v>0</v>
      </c>
    </row>
    <row r="363" spans="1:7" x14ac:dyDescent="0.2">
      <c r="A363">
        <v>4704</v>
      </c>
      <c r="B363" s="106" t="s">
        <v>2177</v>
      </c>
      <c r="C363">
        <v>0</v>
      </c>
      <c r="D363" s="106">
        <v>0</v>
      </c>
      <c r="E363">
        <v>0</v>
      </c>
      <c r="F363" s="106">
        <v>0</v>
      </c>
      <c r="G363">
        <v>0</v>
      </c>
    </row>
    <row r="364" spans="1:7" x14ac:dyDescent="0.2">
      <c r="A364">
        <v>4716</v>
      </c>
      <c r="B364" s="106" t="s">
        <v>1203</v>
      </c>
      <c r="C364">
        <v>0.2</v>
      </c>
      <c r="D364" s="106">
        <v>0.2</v>
      </c>
      <c r="E364">
        <v>0.6</v>
      </c>
      <c r="F364" s="106">
        <v>0.2</v>
      </c>
      <c r="G364">
        <v>0.2</v>
      </c>
    </row>
    <row r="365" spans="1:7" x14ac:dyDescent="0.2">
      <c r="A365">
        <v>4719</v>
      </c>
      <c r="B365" s="106" t="s">
        <v>1204</v>
      </c>
      <c r="C365">
        <v>0.05</v>
      </c>
      <c r="D365">
        <v>0.05</v>
      </c>
      <c r="E365">
        <v>0</v>
      </c>
      <c r="F365" s="106">
        <v>0</v>
      </c>
      <c r="G365">
        <v>0</v>
      </c>
    </row>
    <row r="366" spans="1:7" x14ac:dyDescent="0.2">
      <c r="A366">
        <v>4725</v>
      </c>
      <c r="B366" s="106" t="s">
        <v>1205</v>
      </c>
      <c r="C366">
        <v>0.05</v>
      </c>
      <c r="D366">
        <v>0.05</v>
      </c>
      <c r="E366">
        <v>0.15</v>
      </c>
      <c r="F366" s="106">
        <v>0.05</v>
      </c>
      <c r="G366">
        <v>0.05</v>
      </c>
    </row>
    <row r="367" spans="1:7" x14ac:dyDescent="0.2">
      <c r="A367">
        <v>4726</v>
      </c>
      <c r="B367" s="106" t="s">
        <v>2178</v>
      </c>
      <c r="C367">
        <v>0</v>
      </c>
      <c r="D367">
        <v>0</v>
      </c>
      <c r="E367">
        <v>0</v>
      </c>
      <c r="F367">
        <v>0</v>
      </c>
      <c r="G367">
        <v>0</v>
      </c>
    </row>
    <row r="368" spans="1:7" x14ac:dyDescent="0.2">
      <c r="A368">
        <v>4732</v>
      </c>
      <c r="B368" s="106" t="s">
        <v>1206</v>
      </c>
      <c r="C368">
        <v>0</v>
      </c>
      <c r="D368" s="106">
        <v>0</v>
      </c>
      <c r="E368" s="106">
        <v>0</v>
      </c>
      <c r="F368" s="106">
        <v>0.05</v>
      </c>
      <c r="G368" s="106">
        <v>0.05</v>
      </c>
    </row>
    <row r="369" spans="1:7" x14ac:dyDescent="0.2">
      <c r="A369">
        <v>4812</v>
      </c>
      <c r="B369" s="106" t="s">
        <v>1207</v>
      </c>
      <c r="C369">
        <v>0.1</v>
      </c>
      <c r="D369" s="106">
        <v>0</v>
      </c>
      <c r="E369" s="106">
        <v>0.3</v>
      </c>
      <c r="F369" s="106">
        <v>0.1</v>
      </c>
      <c r="G369" s="106">
        <v>0.1</v>
      </c>
    </row>
    <row r="370" spans="1:7" x14ac:dyDescent="0.2">
      <c r="A370">
        <v>4820</v>
      </c>
      <c r="B370" s="106" t="s">
        <v>1208</v>
      </c>
      <c r="C370">
        <v>0.05</v>
      </c>
      <c r="D370" s="106">
        <v>0.05</v>
      </c>
      <c r="E370">
        <v>0.6</v>
      </c>
      <c r="F370" s="106">
        <v>0.05</v>
      </c>
      <c r="G370" s="106">
        <v>0.05</v>
      </c>
    </row>
    <row r="371" spans="1:7" x14ac:dyDescent="0.2">
      <c r="A371">
        <v>4825</v>
      </c>
      <c r="B371" s="106" t="s">
        <v>1209</v>
      </c>
      <c r="C371">
        <v>0.1</v>
      </c>
      <c r="D371" s="106">
        <v>0.1</v>
      </c>
      <c r="E371">
        <v>0.3</v>
      </c>
      <c r="F371" s="106">
        <v>0.1</v>
      </c>
      <c r="G371" s="106">
        <v>0.1</v>
      </c>
    </row>
    <row r="372" spans="1:7" x14ac:dyDescent="0.2">
      <c r="A372">
        <v>4826</v>
      </c>
      <c r="B372" s="106" t="s">
        <v>1210</v>
      </c>
      <c r="C372">
        <v>0</v>
      </c>
      <c r="D372">
        <v>0</v>
      </c>
      <c r="E372">
        <v>0</v>
      </c>
      <c r="F372">
        <v>0</v>
      </c>
      <c r="G372">
        <v>0.05</v>
      </c>
    </row>
    <row r="373" spans="1:7" x14ac:dyDescent="0.2">
      <c r="A373">
        <v>4828</v>
      </c>
      <c r="B373" s="106" t="s">
        <v>1211</v>
      </c>
      <c r="C373">
        <v>0</v>
      </c>
      <c r="D373">
        <v>0</v>
      </c>
      <c r="E373" s="106">
        <v>0</v>
      </c>
      <c r="F373">
        <v>0</v>
      </c>
      <c r="G373" s="106">
        <v>0</v>
      </c>
    </row>
    <row r="374" spans="1:7" x14ac:dyDescent="0.2">
      <c r="A374">
        <v>4839</v>
      </c>
      <c r="B374" s="106" t="s">
        <v>1212</v>
      </c>
      <c r="C374">
        <v>0</v>
      </c>
      <c r="D374">
        <v>0</v>
      </c>
      <c r="E374" s="106">
        <v>0</v>
      </c>
      <c r="F374" s="106">
        <v>0</v>
      </c>
      <c r="G374" s="106">
        <v>0</v>
      </c>
    </row>
    <row r="375" spans="1:7" x14ac:dyDescent="0.2">
      <c r="A375">
        <v>4848</v>
      </c>
      <c r="B375" s="106" t="s">
        <v>1213</v>
      </c>
      <c r="C375">
        <v>0.05</v>
      </c>
      <c r="D375">
        <v>0.05</v>
      </c>
      <c r="E375" s="106">
        <v>0.15</v>
      </c>
      <c r="F375">
        <v>0.05</v>
      </c>
      <c r="G375">
        <v>0.05</v>
      </c>
    </row>
    <row r="376" spans="1:7" x14ac:dyDescent="0.2">
      <c r="A376">
        <v>4849</v>
      </c>
      <c r="B376" s="106" t="s">
        <v>933</v>
      </c>
      <c r="C376">
        <v>0.1</v>
      </c>
      <c r="D376">
        <v>0.1</v>
      </c>
      <c r="E376" s="106">
        <v>0.3</v>
      </c>
      <c r="F376">
        <v>0.1</v>
      </c>
      <c r="G376">
        <v>0.1</v>
      </c>
    </row>
    <row r="377" spans="1:7" x14ac:dyDescent="0.2">
      <c r="A377">
        <v>4917</v>
      </c>
      <c r="B377" s="106" t="s">
        <v>1214</v>
      </c>
      <c r="C377">
        <v>0</v>
      </c>
      <c r="D377">
        <v>0</v>
      </c>
      <c r="E377">
        <v>0</v>
      </c>
      <c r="F377" s="106">
        <v>0</v>
      </c>
      <c r="G377" s="106">
        <v>0</v>
      </c>
    </row>
    <row r="378" spans="1:7" x14ac:dyDescent="0.2">
      <c r="A378">
        <v>4919</v>
      </c>
      <c r="B378" s="106" t="s">
        <v>1215</v>
      </c>
      <c r="C378">
        <v>0.1</v>
      </c>
      <c r="D378">
        <v>0.1</v>
      </c>
      <c r="E378">
        <v>0.3</v>
      </c>
      <c r="F378" s="106">
        <v>0.1</v>
      </c>
      <c r="G378" s="106">
        <v>0.1</v>
      </c>
    </row>
    <row r="379" spans="1:7" x14ac:dyDescent="0.2">
      <c r="A379">
        <v>4929</v>
      </c>
      <c r="B379" s="106" t="s">
        <v>1216</v>
      </c>
      <c r="C379">
        <v>0.05</v>
      </c>
      <c r="D379" s="106">
        <v>0.05</v>
      </c>
      <c r="E379" s="106">
        <v>0.15</v>
      </c>
      <c r="F379" s="106">
        <v>0.05</v>
      </c>
      <c r="G379">
        <v>0.05</v>
      </c>
    </row>
    <row r="380" spans="1:7" x14ac:dyDescent="0.2">
      <c r="A380">
        <v>4951</v>
      </c>
      <c r="B380" s="106" t="s">
        <v>1217</v>
      </c>
      <c r="C380">
        <v>0</v>
      </c>
      <c r="D380" s="106">
        <v>0</v>
      </c>
      <c r="E380">
        <v>0</v>
      </c>
      <c r="F380" s="106">
        <v>0</v>
      </c>
      <c r="G380">
        <v>0</v>
      </c>
    </row>
    <row r="381" spans="1:7" x14ac:dyDescent="0.2">
      <c r="A381">
        <v>4955</v>
      </c>
      <c r="B381" s="106" t="s">
        <v>1218</v>
      </c>
      <c r="C381">
        <v>0</v>
      </c>
      <c r="D381" s="106">
        <v>0</v>
      </c>
      <c r="E381">
        <v>0</v>
      </c>
      <c r="F381" s="106">
        <v>0</v>
      </c>
      <c r="G381">
        <v>0</v>
      </c>
    </row>
    <row r="382" spans="1:7" x14ac:dyDescent="0.2">
      <c r="A382">
        <v>4958</v>
      </c>
      <c r="B382" s="106" t="s">
        <v>1219</v>
      </c>
      <c r="C382">
        <v>0.05</v>
      </c>
      <c r="D382">
        <v>0.05</v>
      </c>
      <c r="E382">
        <v>0.15</v>
      </c>
      <c r="F382">
        <v>0.05</v>
      </c>
      <c r="G382">
        <v>0.05</v>
      </c>
    </row>
    <row r="383" spans="1:7" x14ac:dyDescent="0.2">
      <c r="A383">
        <v>4963</v>
      </c>
      <c r="B383" s="106" t="s">
        <v>2503</v>
      </c>
      <c r="C383">
        <v>0</v>
      </c>
      <c r="D383" t="s">
        <v>171</v>
      </c>
      <c r="E383">
        <v>0</v>
      </c>
      <c r="F383" t="s">
        <v>171</v>
      </c>
      <c r="G383" t="s">
        <v>171</v>
      </c>
    </row>
    <row r="384" spans="1:7" x14ac:dyDescent="0.2">
      <c r="A384">
        <v>4967</v>
      </c>
      <c r="B384" s="106" t="s">
        <v>1220</v>
      </c>
      <c r="C384">
        <v>0.2</v>
      </c>
      <c r="D384">
        <v>0.15</v>
      </c>
      <c r="E384">
        <v>0.45</v>
      </c>
      <c r="F384" s="106">
        <v>0.15</v>
      </c>
      <c r="G384">
        <v>0.15</v>
      </c>
    </row>
    <row r="385" spans="1:7" x14ac:dyDescent="0.2">
      <c r="A385">
        <v>4968</v>
      </c>
      <c r="B385" s="106" t="s">
        <v>1221</v>
      </c>
      <c r="C385">
        <v>0</v>
      </c>
      <c r="D385" s="106">
        <v>0</v>
      </c>
      <c r="E385" s="106">
        <v>0</v>
      </c>
      <c r="F385">
        <v>0</v>
      </c>
      <c r="G385">
        <v>0</v>
      </c>
    </row>
    <row r="386" spans="1:7" x14ac:dyDescent="0.2">
      <c r="A386">
        <v>4975</v>
      </c>
      <c r="B386" s="106" t="s">
        <v>1222</v>
      </c>
      <c r="C386">
        <v>0.05</v>
      </c>
      <c r="D386" s="106">
        <v>0.05</v>
      </c>
      <c r="E386" s="106">
        <v>0.15</v>
      </c>
      <c r="F386">
        <v>0.05</v>
      </c>
      <c r="G386">
        <v>0.05</v>
      </c>
    </row>
    <row r="387" spans="1:7" x14ac:dyDescent="0.2">
      <c r="A387">
        <v>4985</v>
      </c>
      <c r="B387" s="106" t="s">
        <v>1223</v>
      </c>
      <c r="C387">
        <v>0.1</v>
      </c>
      <c r="D387">
        <v>0.1</v>
      </c>
      <c r="E387">
        <v>0.3</v>
      </c>
      <c r="F387" s="106">
        <v>0.1</v>
      </c>
      <c r="G387">
        <v>0.1</v>
      </c>
    </row>
    <row r="388" spans="1:7" x14ac:dyDescent="0.2">
      <c r="A388">
        <v>4994</v>
      </c>
      <c r="B388" s="106" t="s">
        <v>2504</v>
      </c>
      <c r="C388">
        <v>0.05</v>
      </c>
      <c r="D388" s="106" t="s">
        <v>171</v>
      </c>
      <c r="E388" s="106">
        <v>0.15</v>
      </c>
      <c r="F388" s="106">
        <v>0.05</v>
      </c>
      <c r="G388" s="106">
        <v>0.05</v>
      </c>
    </row>
    <row r="389" spans="1:7" x14ac:dyDescent="0.2">
      <c r="A389">
        <v>4996</v>
      </c>
      <c r="B389" s="106" t="s">
        <v>256</v>
      </c>
      <c r="C389">
        <v>0.05</v>
      </c>
      <c r="D389">
        <v>0.05</v>
      </c>
      <c r="E389" s="106">
        <v>0</v>
      </c>
      <c r="F389" s="106">
        <v>0</v>
      </c>
      <c r="G389" s="106">
        <v>0.05</v>
      </c>
    </row>
    <row r="390" spans="1:7" x14ac:dyDescent="0.2">
      <c r="A390">
        <v>4997</v>
      </c>
      <c r="B390" s="106" t="s">
        <v>1224</v>
      </c>
      <c r="C390">
        <v>0</v>
      </c>
      <c r="D390">
        <v>0</v>
      </c>
      <c r="E390" s="106">
        <v>0</v>
      </c>
      <c r="F390" s="106">
        <v>0.05</v>
      </c>
      <c r="G390" s="106">
        <v>0</v>
      </c>
    </row>
    <row r="391" spans="1:7" x14ac:dyDescent="0.2">
      <c r="A391">
        <v>5009</v>
      </c>
      <c r="B391" s="106" t="s">
        <v>2279</v>
      </c>
      <c r="C391">
        <v>0</v>
      </c>
      <c r="D391">
        <v>0</v>
      </c>
      <c r="E391" t="s">
        <v>171</v>
      </c>
      <c r="F391">
        <v>0</v>
      </c>
      <c r="G391">
        <v>0</v>
      </c>
    </row>
    <row r="392" spans="1:7" x14ac:dyDescent="0.2">
      <c r="A392">
        <v>5018</v>
      </c>
      <c r="B392" s="106" t="s">
        <v>1225</v>
      </c>
      <c r="C392">
        <v>0</v>
      </c>
      <c r="D392">
        <v>0</v>
      </c>
      <c r="E392">
        <v>0</v>
      </c>
      <c r="F392">
        <v>0</v>
      </c>
      <c r="G392">
        <v>0</v>
      </c>
    </row>
    <row r="393" spans="1:7" x14ac:dyDescent="0.2">
      <c r="A393">
        <v>5101</v>
      </c>
      <c r="B393" s="106" t="s">
        <v>2179</v>
      </c>
      <c r="C393">
        <v>0</v>
      </c>
      <c r="D393">
        <v>0</v>
      </c>
      <c r="E393">
        <v>0</v>
      </c>
      <c r="F393">
        <v>0</v>
      </c>
      <c r="G393">
        <v>0</v>
      </c>
    </row>
    <row r="394" spans="1:7" x14ac:dyDescent="0.2">
      <c r="A394">
        <v>5105</v>
      </c>
      <c r="B394" s="106" t="s">
        <v>1226</v>
      </c>
      <c r="C394">
        <v>0.05</v>
      </c>
      <c r="D394" s="106">
        <v>0.05</v>
      </c>
      <c r="E394">
        <v>0.15</v>
      </c>
      <c r="F394" s="106">
        <v>0.05</v>
      </c>
      <c r="G394">
        <v>0.05</v>
      </c>
    </row>
    <row r="395" spans="1:7" x14ac:dyDescent="0.2">
      <c r="A395">
        <v>5110</v>
      </c>
      <c r="B395" s="106" t="s">
        <v>73</v>
      </c>
      <c r="C395">
        <v>0</v>
      </c>
      <c r="D395">
        <v>0</v>
      </c>
      <c r="E395">
        <v>0</v>
      </c>
      <c r="F395">
        <v>0</v>
      </c>
      <c r="G395">
        <v>0.05</v>
      </c>
    </row>
    <row r="396" spans="1:7" x14ac:dyDescent="0.2">
      <c r="A396">
        <v>5121</v>
      </c>
      <c r="B396" s="106" t="s">
        <v>1227</v>
      </c>
      <c r="C396">
        <v>0</v>
      </c>
      <c r="D396">
        <v>0</v>
      </c>
      <c r="E396">
        <v>0</v>
      </c>
      <c r="F396">
        <v>0</v>
      </c>
      <c r="G396" s="106">
        <v>0</v>
      </c>
    </row>
    <row r="397" spans="1:7" x14ac:dyDescent="0.2">
      <c r="A397">
        <v>5142</v>
      </c>
      <c r="B397" s="106" t="s">
        <v>2505</v>
      </c>
      <c r="C397">
        <v>0.05</v>
      </c>
      <c r="D397" t="s">
        <v>171</v>
      </c>
      <c r="E397">
        <v>0.15</v>
      </c>
      <c r="F397" t="s">
        <v>171</v>
      </c>
      <c r="G397" s="106">
        <v>0.05</v>
      </c>
    </row>
    <row r="398" spans="1:7" x14ac:dyDescent="0.2">
      <c r="A398">
        <v>5185</v>
      </c>
      <c r="B398" s="106" t="s">
        <v>1228</v>
      </c>
      <c r="C398">
        <v>0</v>
      </c>
      <c r="D398">
        <v>0.05</v>
      </c>
      <c r="E398">
        <v>0.15</v>
      </c>
      <c r="F398">
        <v>0.05</v>
      </c>
      <c r="G398">
        <v>0.05</v>
      </c>
    </row>
    <row r="399" spans="1:7" x14ac:dyDescent="0.2">
      <c r="A399">
        <v>5186</v>
      </c>
      <c r="B399" s="106" t="s">
        <v>1229</v>
      </c>
      <c r="C399">
        <v>0.05</v>
      </c>
      <c r="D399">
        <v>0.05</v>
      </c>
      <c r="E399" s="106">
        <v>0.3</v>
      </c>
      <c r="F399">
        <v>0.05</v>
      </c>
      <c r="G399">
        <v>0.05</v>
      </c>
    </row>
    <row r="400" spans="1:7" x14ac:dyDescent="0.2">
      <c r="A400">
        <v>5191</v>
      </c>
      <c r="B400" s="106" t="s">
        <v>1230</v>
      </c>
      <c r="C400">
        <v>0.05</v>
      </c>
      <c r="D400">
        <v>0.05</v>
      </c>
      <c r="E400">
        <v>0.15</v>
      </c>
      <c r="F400">
        <v>0.05</v>
      </c>
      <c r="G400">
        <v>0.05</v>
      </c>
    </row>
    <row r="401" spans="1:7" x14ac:dyDescent="0.2">
      <c r="A401">
        <v>5192</v>
      </c>
      <c r="B401" s="106" t="s">
        <v>1231</v>
      </c>
      <c r="C401">
        <v>0.05</v>
      </c>
      <c r="D401">
        <v>0</v>
      </c>
      <c r="E401">
        <v>0.15</v>
      </c>
      <c r="F401">
        <v>0.05</v>
      </c>
      <c r="G401">
        <v>0.05</v>
      </c>
    </row>
    <row r="402" spans="1:7" x14ac:dyDescent="0.2">
      <c r="A402">
        <v>5195</v>
      </c>
      <c r="B402" s="106" t="s">
        <v>2506</v>
      </c>
      <c r="C402">
        <v>0</v>
      </c>
      <c r="D402" s="106" t="s">
        <v>171</v>
      </c>
      <c r="E402" s="106">
        <v>0</v>
      </c>
      <c r="F402" s="106">
        <v>0</v>
      </c>
      <c r="G402" s="106" t="s">
        <v>171</v>
      </c>
    </row>
    <row r="403" spans="1:7" x14ac:dyDescent="0.2">
      <c r="A403">
        <v>5201</v>
      </c>
      <c r="B403" s="106" t="s">
        <v>1232</v>
      </c>
      <c r="C403">
        <v>0.1</v>
      </c>
      <c r="D403">
        <v>0.1</v>
      </c>
      <c r="E403">
        <v>0.15</v>
      </c>
      <c r="F403">
        <v>0.1</v>
      </c>
      <c r="G403">
        <v>0.1</v>
      </c>
    </row>
    <row r="404" spans="1:7" x14ac:dyDescent="0.2">
      <c r="A404">
        <v>5202</v>
      </c>
      <c r="B404" s="106" t="s">
        <v>2280</v>
      </c>
      <c r="C404">
        <v>0</v>
      </c>
      <c r="D404" s="106">
        <v>0</v>
      </c>
      <c r="E404" t="s">
        <v>171</v>
      </c>
      <c r="F404">
        <v>0</v>
      </c>
      <c r="G404" t="s">
        <v>171</v>
      </c>
    </row>
    <row r="405" spans="1:7" x14ac:dyDescent="0.2">
      <c r="A405">
        <v>5210</v>
      </c>
      <c r="B405" s="106" t="s">
        <v>1233</v>
      </c>
      <c r="C405">
        <v>0</v>
      </c>
      <c r="D405" s="106">
        <v>0</v>
      </c>
      <c r="E405">
        <v>0</v>
      </c>
      <c r="F405">
        <v>0</v>
      </c>
      <c r="G405" s="106">
        <v>0</v>
      </c>
    </row>
    <row r="406" spans="1:7" x14ac:dyDescent="0.2">
      <c r="A406">
        <v>5218</v>
      </c>
      <c r="B406" s="106" t="s">
        <v>1234</v>
      </c>
      <c r="C406">
        <v>0</v>
      </c>
      <c r="D406">
        <v>0</v>
      </c>
      <c r="E406">
        <v>0</v>
      </c>
      <c r="F406" s="106">
        <v>0</v>
      </c>
      <c r="G406" s="106">
        <v>0</v>
      </c>
    </row>
    <row r="407" spans="1:7" x14ac:dyDescent="0.2">
      <c r="A407">
        <v>5232</v>
      </c>
      <c r="B407" s="106" t="s">
        <v>1235</v>
      </c>
      <c r="C407">
        <v>0.1</v>
      </c>
      <c r="D407">
        <v>0.1</v>
      </c>
      <c r="E407">
        <v>0.3</v>
      </c>
      <c r="F407" s="106">
        <v>0.1</v>
      </c>
      <c r="G407" s="106">
        <v>0.1</v>
      </c>
    </row>
    <row r="408" spans="1:7" x14ac:dyDescent="0.2">
      <c r="A408">
        <v>5269</v>
      </c>
      <c r="B408" s="106" t="s">
        <v>2507</v>
      </c>
      <c r="C408">
        <v>0</v>
      </c>
      <c r="D408" t="s">
        <v>171</v>
      </c>
      <c r="E408" s="106">
        <v>0</v>
      </c>
      <c r="F408">
        <v>0</v>
      </c>
      <c r="G408">
        <v>0</v>
      </c>
    </row>
    <row r="409" spans="1:7" x14ac:dyDescent="0.2">
      <c r="A409">
        <v>5273</v>
      </c>
      <c r="B409" s="106" t="s">
        <v>1236</v>
      </c>
      <c r="C409">
        <v>0.1</v>
      </c>
      <c r="D409">
        <v>0.1</v>
      </c>
      <c r="E409" s="106">
        <v>0.3</v>
      </c>
      <c r="F409">
        <v>0.1</v>
      </c>
      <c r="G409">
        <v>0.1</v>
      </c>
    </row>
    <row r="410" spans="1:7" x14ac:dyDescent="0.2">
      <c r="A410">
        <v>5301</v>
      </c>
      <c r="B410" s="106" t="s">
        <v>1237</v>
      </c>
      <c r="C410">
        <v>0.05</v>
      </c>
      <c r="D410">
        <v>0.05</v>
      </c>
      <c r="E410">
        <v>0.15</v>
      </c>
      <c r="F410">
        <v>0.05</v>
      </c>
      <c r="G410">
        <v>0.05</v>
      </c>
    </row>
    <row r="411" spans="1:7" x14ac:dyDescent="0.2">
      <c r="A411">
        <v>5302</v>
      </c>
      <c r="B411" s="106" t="s">
        <v>1238</v>
      </c>
      <c r="C411">
        <v>0.1</v>
      </c>
      <c r="D411">
        <v>0.1</v>
      </c>
      <c r="E411">
        <v>0.3</v>
      </c>
      <c r="F411">
        <v>0.1</v>
      </c>
      <c r="G411" s="106">
        <v>0.1</v>
      </c>
    </row>
    <row r="412" spans="1:7" x14ac:dyDescent="0.2">
      <c r="A412">
        <v>5310</v>
      </c>
      <c r="B412" s="106" t="s">
        <v>1239</v>
      </c>
      <c r="C412">
        <v>0</v>
      </c>
      <c r="D412">
        <v>0</v>
      </c>
      <c r="E412">
        <v>0</v>
      </c>
      <c r="F412">
        <v>0</v>
      </c>
      <c r="G412">
        <v>0</v>
      </c>
    </row>
    <row r="413" spans="1:7" x14ac:dyDescent="0.2">
      <c r="A413">
        <v>5332</v>
      </c>
      <c r="B413" s="106" t="s">
        <v>1240</v>
      </c>
      <c r="C413">
        <v>0.1</v>
      </c>
      <c r="D413">
        <v>0.1</v>
      </c>
      <c r="E413">
        <v>0.3</v>
      </c>
      <c r="F413">
        <v>0.1</v>
      </c>
      <c r="G413">
        <v>0.1</v>
      </c>
    </row>
    <row r="414" spans="1:7" x14ac:dyDescent="0.2">
      <c r="A414">
        <v>5333</v>
      </c>
      <c r="B414" s="106" t="s">
        <v>262</v>
      </c>
      <c r="C414">
        <v>0</v>
      </c>
      <c r="D414">
        <v>0</v>
      </c>
      <c r="E414">
        <v>0</v>
      </c>
      <c r="F414">
        <v>0</v>
      </c>
      <c r="G414">
        <v>0</v>
      </c>
    </row>
    <row r="415" spans="1:7" x14ac:dyDescent="0.2">
      <c r="A415">
        <v>5334</v>
      </c>
      <c r="B415" s="106" t="s">
        <v>2281</v>
      </c>
      <c r="C415">
        <v>0</v>
      </c>
      <c r="D415" s="106">
        <v>0</v>
      </c>
      <c r="E415" t="s">
        <v>171</v>
      </c>
      <c r="F415" s="106">
        <v>0</v>
      </c>
      <c r="G415" t="s">
        <v>171</v>
      </c>
    </row>
    <row r="416" spans="1:7" x14ac:dyDescent="0.2">
      <c r="A416">
        <v>5344</v>
      </c>
      <c r="B416" s="106" t="s">
        <v>1241</v>
      </c>
      <c r="C416">
        <v>0.15</v>
      </c>
      <c r="D416">
        <v>0.15</v>
      </c>
      <c r="E416">
        <v>0.45</v>
      </c>
      <c r="F416" s="106">
        <v>0.15</v>
      </c>
      <c r="G416" s="106">
        <v>0.15</v>
      </c>
    </row>
    <row r="417" spans="1:7" x14ac:dyDescent="0.2">
      <c r="A417">
        <v>5352</v>
      </c>
      <c r="B417" s="106" t="s">
        <v>1242</v>
      </c>
      <c r="C417">
        <v>0.15</v>
      </c>
      <c r="D417" s="106">
        <v>0.15</v>
      </c>
      <c r="E417" s="106">
        <v>0.45</v>
      </c>
      <c r="F417">
        <v>0.15</v>
      </c>
      <c r="G417" s="106">
        <v>0.15</v>
      </c>
    </row>
    <row r="418" spans="1:7" x14ac:dyDescent="0.2">
      <c r="A418">
        <v>5358</v>
      </c>
      <c r="B418" s="106" t="s">
        <v>1243</v>
      </c>
      <c r="C418">
        <v>0.05</v>
      </c>
      <c r="D418">
        <v>0</v>
      </c>
      <c r="E418">
        <v>0.15</v>
      </c>
      <c r="F418">
        <v>0</v>
      </c>
      <c r="G418">
        <v>0</v>
      </c>
    </row>
    <row r="419" spans="1:7" x14ac:dyDescent="0.2">
      <c r="A419">
        <v>5384</v>
      </c>
      <c r="B419" s="106" t="s">
        <v>2508</v>
      </c>
      <c r="C419">
        <v>0.05</v>
      </c>
      <c r="D419" t="s">
        <v>171</v>
      </c>
      <c r="E419">
        <v>0.15</v>
      </c>
      <c r="F419" t="s">
        <v>171</v>
      </c>
      <c r="G419">
        <v>0.05</v>
      </c>
    </row>
    <row r="420" spans="1:7" x14ac:dyDescent="0.2">
      <c r="A420">
        <v>5388</v>
      </c>
      <c r="B420" s="106" t="s">
        <v>2509</v>
      </c>
      <c r="C420">
        <v>0</v>
      </c>
      <c r="D420" t="s">
        <v>171</v>
      </c>
      <c r="E420" t="s">
        <v>171</v>
      </c>
      <c r="F420" s="106" t="s">
        <v>171</v>
      </c>
      <c r="G420" t="s">
        <v>171</v>
      </c>
    </row>
    <row r="421" spans="1:7" x14ac:dyDescent="0.2">
      <c r="A421">
        <v>5393</v>
      </c>
      <c r="B421" s="106" t="s">
        <v>261</v>
      </c>
      <c r="C421">
        <v>0.05</v>
      </c>
      <c r="D421">
        <v>0.05</v>
      </c>
      <c r="E421">
        <v>0.15</v>
      </c>
      <c r="F421">
        <v>0.05</v>
      </c>
      <c r="G421">
        <v>0.05</v>
      </c>
    </row>
    <row r="422" spans="1:7" x14ac:dyDescent="0.2">
      <c r="A422">
        <v>5401</v>
      </c>
      <c r="B422" s="106" t="s">
        <v>1244</v>
      </c>
      <c r="C422">
        <v>0</v>
      </c>
      <c r="D422">
        <v>0</v>
      </c>
      <c r="E422">
        <v>0</v>
      </c>
      <c r="F422" t="s">
        <v>171</v>
      </c>
      <c r="G422" t="s">
        <v>171</v>
      </c>
    </row>
    <row r="423" spans="1:7" x14ac:dyDescent="0.2">
      <c r="A423">
        <v>5410</v>
      </c>
      <c r="B423" s="106" t="s">
        <v>1245</v>
      </c>
      <c r="C423">
        <v>0.05</v>
      </c>
      <c r="D423">
        <v>0.05</v>
      </c>
      <c r="E423">
        <v>0.15</v>
      </c>
      <c r="F423">
        <v>0.05</v>
      </c>
      <c r="G423">
        <v>0.05</v>
      </c>
    </row>
    <row r="424" spans="1:7" x14ac:dyDescent="0.2">
      <c r="A424">
        <v>5440</v>
      </c>
      <c r="B424" s="106" t="s">
        <v>1246</v>
      </c>
      <c r="C424">
        <v>0.05</v>
      </c>
      <c r="D424">
        <v>0</v>
      </c>
      <c r="E424">
        <v>0.15</v>
      </c>
      <c r="F424">
        <v>0</v>
      </c>
      <c r="G424" s="106">
        <v>0</v>
      </c>
    </row>
    <row r="425" spans="1:7" x14ac:dyDescent="0.2">
      <c r="A425">
        <v>5451</v>
      </c>
      <c r="B425" s="106" t="s">
        <v>1247</v>
      </c>
      <c r="C425">
        <v>0.05</v>
      </c>
      <c r="D425" s="106">
        <v>0.05</v>
      </c>
      <c r="E425">
        <v>0.15</v>
      </c>
      <c r="F425" s="106">
        <v>0.05</v>
      </c>
      <c r="G425" s="106">
        <v>0.05</v>
      </c>
    </row>
    <row r="426" spans="1:7" x14ac:dyDescent="0.2">
      <c r="A426">
        <v>5463</v>
      </c>
      <c r="B426" s="106" t="s">
        <v>80</v>
      </c>
      <c r="C426">
        <v>0.05</v>
      </c>
      <c r="D426" s="106">
        <v>0.05</v>
      </c>
      <c r="E426">
        <v>0.15</v>
      </c>
      <c r="F426" s="106">
        <v>0.05</v>
      </c>
      <c r="G426">
        <v>0.05</v>
      </c>
    </row>
    <row r="427" spans="1:7" x14ac:dyDescent="0.2">
      <c r="A427">
        <v>5464</v>
      </c>
      <c r="B427" s="106" t="s">
        <v>2282</v>
      </c>
      <c r="C427">
        <v>0</v>
      </c>
      <c r="D427">
        <v>0</v>
      </c>
      <c r="E427" t="s">
        <v>171</v>
      </c>
      <c r="F427">
        <v>0</v>
      </c>
      <c r="G427">
        <v>0</v>
      </c>
    </row>
    <row r="428" spans="1:7" x14ac:dyDescent="0.2">
      <c r="A428">
        <v>5471</v>
      </c>
      <c r="B428" s="106" t="s">
        <v>237</v>
      </c>
      <c r="C428">
        <v>0.1</v>
      </c>
      <c r="D428">
        <v>0.1</v>
      </c>
      <c r="E428">
        <v>0.3</v>
      </c>
      <c r="F428">
        <v>0.1</v>
      </c>
      <c r="G428">
        <v>0.1</v>
      </c>
    </row>
    <row r="429" spans="1:7" x14ac:dyDescent="0.2">
      <c r="A429">
        <v>5476</v>
      </c>
      <c r="B429" s="106" t="s">
        <v>1248</v>
      </c>
      <c r="C429">
        <v>0</v>
      </c>
      <c r="D429">
        <v>0</v>
      </c>
      <c r="E429">
        <v>0</v>
      </c>
      <c r="F429">
        <v>0</v>
      </c>
      <c r="G429">
        <v>0</v>
      </c>
    </row>
    <row r="430" spans="1:7" x14ac:dyDescent="0.2">
      <c r="A430">
        <v>5480</v>
      </c>
      <c r="B430" s="106" t="s">
        <v>1249</v>
      </c>
      <c r="C430">
        <v>0.05</v>
      </c>
      <c r="D430">
        <v>0</v>
      </c>
      <c r="E430">
        <v>0.15</v>
      </c>
      <c r="F430">
        <v>0</v>
      </c>
      <c r="G430">
        <v>0.05</v>
      </c>
    </row>
    <row r="431" spans="1:7" x14ac:dyDescent="0.2">
      <c r="A431">
        <v>5481</v>
      </c>
      <c r="B431" s="106" t="s">
        <v>1250</v>
      </c>
      <c r="C431">
        <v>0</v>
      </c>
      <c r="D431">
        <v>0</v>
      </c>
      <c r="E431">
        <v>0</v>
      </c>
      <c r="F431" s="106">
        <v>0</v>
      </c>
      <c r="G431" s="106">
        <v>0</v>
      </c>
    </row>
    <row r="432" spans="1:7" x14ac:dyDescent="0.2">
      <c r="A432">
        <v>5482</v>
      </c>
      <c r="B432" s="106" t="s">
        <v>1251</v>
      </c>
      <c r="C432">
        <v>0</v>
      </c>
      <c r="D432">
        <v>0</v>
      </c>
      <c r="E432">
        <v>0</v>
      </c>
      <c r="F432" s="106">
        <v>0</v>
      </c>
      <c r="G432" s="106">
        <v>0</v>
      </c>
    </row>
    <row r="433" spans="1:7" x14ac:dyDescent="0.2">
      <c r="A433">
        <v>5486</v>
      </c>
      <c r="B433" s="106" t="s">
        <v>1252</v>
      </c>
      <c r="C433">
        <v>0.05</v>
      </c>
      <c r="D433">
        <v>0.05</v>
      </c>
      <c r="E433">
        <v>0.15</v>
      </c>
      <c r="F433" s="106">
        <v>0.05</v>
      </c>
      <c r="G433" s="106">
        <v>0.05</v>
      </c>
    </row>
    <row r="434" spans="1:7" x14ac:dyDescent="0.2">
      <c r="A434">
        <v>5602</v>
      </c>
      <c r="B434" s="106" t="s">
        <v>1253</v>
      </c>
      <c r="C434">
        <v>0.05</v>
      </c>
      <c r="D434">
        <v>0.05</v>
      </c>
      <c r="E434">
        <v>0.15</v>
      </c>
      <c r="F434">
        <v>0.05</v>
      </c>
      <c r="G434">
        <v>0.05</v>
      </c>
    </row>
    <row r="435" spans="1:7" x14ac:dyDescent="0.2">
      <c r="A435">
        <v>5603</v>
      </c>
      <c r="B435" s="106" t="s">
        <v>1254</v>
      </c>
      <c r="C435">
        <v>0</v>
      </c>
      <c r="D435">
        <v>0</v>
      </c>
      <c r="E435">
        <v>0</v>
      </c>
      <c r="F435">
        <v>0</v>
      </c>
      <c r="G435">
        <v>0</v>
      </c>
    </row>
    <row r="436" spans="1:7" x14ac:dyDescent="0.2">
      <c r="A436">
        <v>5631</v>
      </c>
      <c r="B436" s="106" t="s">
        <v>1255</v>
      </c>
      <c r="C436">
        <v>0</v>
      </c>
      <c r="D436">
        <v>0</v>
      </c>
      <c r="E436">
        <v>0</v>
      </c>
      <c r="F436">
        <v>0</v>
      </c>
      <c r="G436" s="106">
        <v>0</v>
      </c>
    </row>
    <row r="437" spans="1:7" x14ac:dyDescent="0.2">
      <c r="A437">
        <v>5632</v>
      </c>
      <c r="B437" s="106" t="s">
        <v>1256</v>
      </c>
      <c r="C437">
        <v>0</v>
      </c>
      <c r="D437" s="106">
        <v>0</v>
      </c>
      <c r="E437" s="106">
        <v>0</v>
      </c>
      <c r="F437" s="106">
        <v>0</v>
      </c>
      <c r="G437" s="106">
        <v>0</v>
      </c>
    </row>
    <row r="438" spans="1:7" x14ac:dyDescent="0.2">
      <c r="A438">
        <v>5659</v>
      </c>
      <c r="B438" s="106" t="s">
        <v>1257</v>
      </c>
      <c r="C438">
        <v>0</v>
      </c>
      <c r="D438" s="106">
        <v>0</v>
      </c>
      <c r="E438" s="106">
        <v>0</v>
      </c>
      <c r="F438" s="106">
        <v>0</v>
      </c>
      <c r="G438" s="106">
        <v>0.05</v>
      </c>
    </row>
    <row r="439" spans="1:7" x14ac:dyDescent="0.2">
      <c r="A439">
        <v>5706</v>
      </c>
      <c r="B439" s="106" t="s">
        <v>2510</v>
      </c>
      <c r="C439">
        <v>0</v>
      </c>
      <c r="D439" s="106" t="s">
        <v>171</v>
      </c>
      <c r="E439" s="106" t="s">
        <v>171</v>
      </c>
      <c r="F439">
        <v>0</v>
      </c>
      <c r="G439" s="106" t="s">
        <v>171</v>
      </c>
    </row>
    <row r="440" spans="1:7" x14ac:dyDescent="0.2">
      <c r="A440">
        <v>5711</v>
      </c>
      <c r="B440" s="106" t="s">
        <v>1258</v>
      </c>
      <c r="C440">
        <v>0.05</v>
      </c>
      <c r="D440" s="106">
        <v>0.05</v>
      </c>
      <c r="E440">
        <v>0.15</v>
      </c>
      <c r="F440" s="106">
        <v>0.05</v>
      </c>
      <c r="G440">
        <v>0</v>
      </c>
    </row>
    <row r="441" spans="1:7" x14ac:dyDescent="0.2">
      <c r="A441">
        <v>5713</v>
      </c>
      <c r="B441" s="106" t="s">
        <v>2180</v>
      </c>
      <c r="C441">
        <v>0</v>
      </c>
      <c r="D441">
        <v>0</v>
      </c>
      <c r="E441">
        <v>0.3</v>
      </c>
      <c r="F441">
        <v>0.1</v>
      </c>
      <c r="G441">
        <v>0.1</v>
      </c>
    </row>
    <row r="442" spans="1:7" x14ac:dyDescent="0.2">
      <c r="A442">
        <v>5714</v>
      </c>
      <c r="B442" s="106" t="s">
        <v>1259</v>
      </c>
      <c r="C442">
        <v>0.1</v>
      </c>
      <c r="D442">
        <v>0.1</v>
      </c>
      <c r="E442" s="106">
        <v>0.3</v>
      </c>
      <c r="F442">
        <v>0.1</v>
      </c>
      <c r="G442">
        <v>0.1</v>
      </c>
    </row>
    <row r="443" spans="1:7" x14ac:dyDescent="0.2">
      <c r="A443">
        <v>5741</v>
      </c>
      <c r="B443" s="106" t="s">
        <v>1260</v>
      </c>
      <c r="C443">
        <v>0.05</v>
      </c>
      <c r="D443">
        <v>0.05</v>
      </c>
      <c r="E443">
        <v>0.15</v>
      </c>
      <c r="F443">
        <v>0.05</v>
      </c>
      <c r="G443">
        <v>0.05</v>
      </c>
    </row>
    <row r="444" spans="1:7" x14ac:dyDescent="0.2">
      <c r="A444">
        <v>5802</v>
      </c>
      <c r="B444" s="106" t="s">
        <v>74</v>
      </c>
      <c r="C444">
        <v>0</v>
      </c>
      <c r="D444">
        <v>0</v>
      </c>
      <c r="E444">
        <v>0</v>
      </c>
      <c r="F444">
        <v>0</v>
      </c>
      <c r="G444" s="106">
        <v>0</v>
      </c>
    </row>
    <row r="445" spans="1:7" x14ac:dyDescent="0.2">
      <c r="A445">
        <v>5803</v>
      </c>
      <c r="B445" s="106" t="s">
        <v>27</v>
      </c>
      <c r="C445">
        <v>0</v>
      </c>
      <c r="D445" t="s">
        <v>171</v>
      </c>
      <c r="E445" t="s">
        <v>171</v>
      </c>
      <c r="F445">
        <v>0</v>
      </c>
      <c r="G445" s="106">
        <v>0</v>
      </c>
    </row>
    <row r="446" spans="1:7" x14ac:dyDescent="0.2">
      <c r="A446">
        <v>5805</v>
      </c>
      <c r="B446" s="106" t="s">
        <v>2511</v>
      </c>
      <c r="C446">
        <v>0.05</v>
      </c>
      <c r="D446" t="s">
        <v>171</v>
      </c>
      <c r="E446">
        <v>0</v>
      </c>
      <c r="F446" t="s">
        <v>171</v>
      </c>
      <c r="G446" s="106">
        <v>0.05</v>
      </c>
    </row>
    <row r="447" spans="1:7" x14ac:dyDescent="0.2">
      <c r="A447">
        <v>5807</v>
      </c>
      <c r="B447" s="106" t="s">
        <v>1261</v>
      </c>
      <c r="C447">
        <v>0.05</v>
      </c>
      <c r="D447">
        <v>0.05</v>
      </c>
      <c r="E447">
        <v>0.15</v>
      </c>
      <c r="F447">
        <v>0.05</v>
      </c>
      <c r="G447">
        <v>0.05</v>
      </c>
    </row>
    <row r="448" spans="1:7" x14ac:dyDescent="0.2">
      <c r="A448">
        <v>5809</v>
      </c>
      <c r="B448" s="106" t="s">
        <v>1262</v>
      </c>
      <c r="C448">
        <v>0</v>
      </c>
      <c r="D448" s="106">
        <v>0</v>
      </c>
      <c r="E448" s="106">
        <v>0</v>
      </c>
      <c r="F448">
        <v>0</v>
      </c>
      <c r="G448" t="s">
        <v>171</v>
      </c>
    </row>
    <row r="449" spans="1:7" x14ac:dyDescent="0.2">
      <c r="A449">
        <v>5901</v>
      </c>
      <c r="B449" s="106" t="s">
        <v>250</v>
      </c>
      <c r="C449">
        <v>0</v>
      </c>
      <c r="D449">
        <v>0</v>
      </c>
      <c r="E449">
        <v>0</v>
      </c>
      <c r="F449">
        <v>0</v>
      </c>
      <c r="G449">
        <v>0</v>
      </c>
    </row>
    <row r="450" spans="1:7" x14ac:dyDescent="0.2">
      <c r="A450">
        <v>5902</v>
      </c>
      <c r="B450" s="106" t="s">
        <v>1263</v>
      </c>
      <c r="C450">
        <v>0.05</v>
      </c>
      <c r="D450">
        <v>0.05</v>
      </c>
      <c r="E450">
        <v>0.15</v>
      </c>
      <c r="F450">
        <v>0.05</v>
      </c>
      <c r="G450">
        <v>0.05</v>
      </c>
    </row>
    <row r="451" spans="1:7" x14ac:dyDescent="0.2">
      <c r="A451">
        <v>5911</v>
      </c>
      <c r="B451" s="106" t="s">
        <v>1264</v>
      </c>
      <c r="C451">
        <v>0</v>
      </c>
      <c r="D451">
        <v>0</v>
      </c>
      <c r="E451">
        <v>0</v>
      </c>
      <c r="F451">
        <v>0</v>
      </c>
      <c r="G451">
        <v>0</v>
      </c>
    </row>
    <row r="452" spans="1:7" x14ac:dyDescent="0.2">
      <c r="A452">
        <v>5932</v>
      </c>
      <c r="B452" s="106" t="s">
        <v>1265</v>
      </c>
      <c r="C452">
        <v>0.05</v>
      </c>
      <c r="D452">
        <v>0.05</v>
      </c>
      <c r="E452">
        <v>0.15</v>
      </c>
      <c r="F452">
        <v>0.05</v>
      </c>
      <c r="G452">
        <v>0.05</v>
      </c>
    </row>
    <row r="453" spans="1:7" x14ac:dyDescent="0.2">
      <c r="A453">
        <v>5933</v>
      </c>
      <c r="B453" s="106" t="s">
        <v>1266</v>
      </c>
      <c r="C453">
        <v>0</v>
      </c>
      <c r="D453">
        <v>0</v>
      </c>
      <c r="E453">
        <v>0</v>
      </c>
      <c r="F453" t="s">
        <v>171</v>
      </c>
      <c r="G453" t="s">
        <v>171</v>
      </c>
    </row>
    <row r="454" spans="1:7" x14ac:dyDescent="0.2">
      <c r="A454">
        <v>5936</v>
      </c>
      <c r="B454" s="106" t="s">
        <v>2512</v>
      </c>
      <c r="C454">
        <v>0</v>
      </c>
      <c r="D454" t="s">
        <v>171</v>
      </c>
      <c r="E454" t="s">
        <v>171</v>
      </c>
      <c r="F454" t="s">
        <v>171</v>
      </c>
      <c r="G454" t="s">
        <v>171</v>
      </c>
    </row>
    <row r="455" spans="1:7" x14ac:dyDescent="0.2">
      <c r="A455">
        <v>5943</v>
      </c>
      <c r="B455" s="106" t="s">
        <v>1267</v>
      </c>
      <c r="C455">
        <v>0.05</v>
      </c>
      <c r="D455">
        <v>0</v>
      </c>
      <c r="E455">
        <v>0.15</v>
      </c>
      <c r="F455">
        <v>0</v>
      </c>
      <c r="G455">
        <v>0.05</v>
      </c>
    </row>
    <row r="456" spans="1:7" x14ac:dyDescent="0.2">
      <c r="A456">
        <v>5946</v>
      </c>
      <c r="B456" s="106" t="s">
        <v>1268</v>
      </c>
      <c r="C456">
        <v>0.05</v>
      </c>
      <c r="D456">
        <v>0</v>
      </c>
      <c r="E456">
        <v>0</v>
      </c>
      <c r="F456">
        <v>0.05</v>
      </c>
      <c r="G456">
        <v>0</v>
      </c>
    </row>
    <row r="457" spans="1:7" x14ac:dyDescent="0.2">
      <c r="A457">
        <v>5947</v>
      </c>
      <c r="B457" s="106" t="s">
        <v>253</v>
      </c>
      <c r="C457">
        <v>0.15</v>
      </c>
      <c r="D457" s="106">
        <v>0.15</v>
      </c>
      <c r="E457">
        <v>0.45</v>
      </c>
      <c r="F457">
        <v>0.15</v>
      </c>
      <c r="G457" s="106">
        <v>0.15</v>
      </c>
    </row>
    <row r="458" spans="1:7" x14ac:dyDescent="0.2">
      <c r="A458">
        <v>5949</v>
      </c>
      <c r="B458" s="106" t="s">
        <v>1269</v>
      </c>
      <c r="C458">
        <v>0</v>
      </c>
      <c r="D458" s="106">
        <v>0</v>
      </c>
      <c r="E458">
        <v>0</v>
      </c>
      <c r="F458">
        <v>0</v>
      </c>
      <c r="G458" s="106">
        <v>0</v>
      </c>
    </row>
    <row r="459" spans="1:7" x14ac:dyDescent="0.2">
      <c r="A459">
        <v>5951</v>
      </c>
      <c r="B459" s="106" t="s">
        <v>1270</v>
      </c>
      <c r="C459">
        <v>0.05</v>
      </c>
      <c r="D459">
        <v>0.05</v>
      </c>
      <c r="E459">
        <v>0.15</v>
      </c>
      <c r="F459">
        <v>0.05</v>
      </c>
      <c r="G459">
        <v>0.05</v>
      </c>
    </row>
    <row r="460" spans="1:7" x14ac:dyDescent="0.2">
      <c r="A460">
        <v>5957</v>
      </c>
      <c r="B460" s="106" t="s">
        <v>1271</v>
      </c>
      <c r="C460">
        <v>0</v>
      </c>
      <c r="D460">
        <v>0</v>
      </c>
      <c r="E460">
        <v>0</v>
      </c>
      <c r="F460">
        <v>0</v>
      </c>
      <c r="G460">
        <v>0</v>
      </c>
    </row>
    <row r="461" spans="1:7" x14ac:dyDescent="0.2">
      <c r="A461">
        <v>5976</v>
      </c>
      <c r="B461" s="106" t="s">
        <v>1272</v>
      </c>
      <c r="C461">
        <v>0</v>
      </c>
      <c r="D461" s="106">
        <v>0</v>
      </c>
      <c r="E461">
        <v>0</v>
      </c>
      <c r="F461">
        <v>0</v>
      </c>
      <c r="G461">
        <v>0</v>
      </c>
    </row>
    <row r="462" spans="1:7" x14ac:dyDescent="0.2">
      <c r="A462">
        <v>5981</v>
      </c>
      <c r="B462" s="106" t="s">
        <v>1273</v>
      </c>
      <c r="C462">
        <v>0</v>
      </c>
      <c r="D462">
        <v>0</v>
      </c>
      <c r="E462">
        <v>0</v>
      </c>
      <c r="F462">
        <v>0</v>
      </c>
      <c r="G462">
        <v>0</v>
      </c>
    </row>
    <row r="463" spans="1:7" x14ac:dyDescent="0.2">
      <c r="A463">
        <v>5988</v>
      </c>
      <c r="B463" s="106" t="s">
        <v>2513</v>
      </c>
      <c r="C463">
        <v>0</v>
      </c>
      <c r="D463" t="s">
        <v>171</v>
      </c>
      <c r="E463" t="s">
        <v>171</v>
      </c>
      <c r="F463" t="s">
        <v>171</v>
      </c>
      <c r="G463" t="s">
        <v>171</v>
      </c>
    </row>
    <row r="464" spans="1:7" x14ac:dyDescent="0.2">
      <c r="A464">
        <v>5991</v>
      </c>
      <c r="B464" s="106" t="s">
        <v>1274</v>
      </c>
      <c r="C464">
        <v>0.05</v>
      </c>
      <c r="D464">
        <v>0.05</v>
      </c>
      <c r="E464">
        <v>0.15</v>
      </c>
      <c r="F464">
        <v>0.05</v>
      </c>
      <c r="G464">
        <v>0.05</v>
      </c>
    </row>
    <row r="465" spans="1:7" x14ac:dyDescent="0.2">
      <c r="A465">
        <v>5998</v>
      </c>
      <c r="B465" s="106" t="s">
        <v>1275</v>
      </c>
      <c r="C465">
        <v>0.05</v>
      </c>
      <c r="D465">
        <v>0.05</v>
      </c>
      <c r="E465">
        <v>0.15</v>
      </c>
      <c r="F465">
        <v>0.05</v>
      </c>
      <c r="G465">
        <v>0.05</v>
      </c>
    </row>
    <row r="466" spans="1:7" x14ac:dyDescent="0.2">
      <c r="A466">
        <v>6005</v>
      </c>
      <c r="B466" s="106" t="s">
        <v>1276</v>
      </c>
      <c r="C466">
        <v>0.1</v>
      </c>
      <c r="D466">
        <v>0.1</v>
      </c>
      <c r="E466">
        <v>0.3</v>
      </c>
      <c r="F466">
        <v>0.1</v>
      </c>
      <c r="G466">
        <v>0.1</v>
      </c>
    </row>
    <row r="467" spans="1:7" x14ac:dyDescent="0.2">
      <c r="A467">
        <v>6028</v>
      </c>
      <c r="B467" s="106" t="s">
        <v>941</v>
      </c>
      <c r="C467">
        <v>0.15</v>
      </c>
      <c r="D467" s="106">
        <v>0.15</v>
      </c>
      <c r="E467" s="106">
        <v>0.45</v>
      </c>
      <c r="F467" s="106">
        <v>0.15</v>
      </c>
      <c r="G467" s="106">
        <v>0.15</v>
      </c>
    </row>
    <row r="468" spans="1:7" x14ac:dyDescent="0.2">
      <c r="A468">
        <v>6037</v>
      </c>
      <c r="B468" s="106" t="s">
        <v>1277</v>
      </c>
      <c r="C468">
        <v>0</v>
      </c>
      <c r="D468" s="106">
        <v>0</v>
      </c>
      <c r="E468" s="106">
        <v>0</v>
      </c>
      <c r="F468" s="106" t="s">
        <v>171</v>
      </c>
      <c r="G468" s="106">
        <v>0</v>
      </c>
    </row>
    <row r="469" spans="1:7" x14ac:dyDescent="0.2">
      <c r="A469">
        <v>6047</v>
      </c>
      <c r="B469" s="106" t="s">
        <v>1278</v>
      </c>
      <c r="C469">
        <v>0</v>
      </c>
      <c r="D469">
        <v>0</v>
      </c>
      <c r="E469">
        <v>0</v>
      </c>
      <c r="F469" s="106">
        <v>0</v>
      </c>
      <c r="G469" s="106">
        <v>0</v>
      </c>
    </row>
    <row r="470" spans="1:7" x14ac:dyDescent="0.2">
      <c r="A470">
        <v>6048</v>
      </c>
      <c r="B470" s="106" t="s">
        <v>1279</v>
      </c>
      <c r="C470">
        <v>0</v>
      </c>
      <c r="D470">
        <v>0</v>
      </c>
      <c r="E470">
        <v>0</v>
      </c>
      <c r="F470">
        <v>0</v>
      </c>
      <c r="G470">
        <v>0</v>
      </c>
    </row>
    <row r="471" spans="1:7" x14ac:dyDescent="0.2">
      <c r="A471">
        <v>6054</v>
      </c>
      <c r="B471" s="106" t="s">
        <v>1280</v>
      </c>
      <c r="C471">
        <v>0.05</v>
      </c>
      <c r="D471">
        <v>0.05</v>
      </c>
      <c r="E471">
        <v>0.15</v>
      </c>
      <c r="F471">
        <v>0.05</v>
      </c>
      <c r="G471">
        <v>0.05</v>
      </c>
    </row>
    <row r="472" spans="1:7" x14ac:dyDescent="0.2">
      <c r="A472">
        <v>6055</v>
      </c>
      <c r="B472" s="106" t="s">
        <v>1281</v>
      </c>
      <c r="C472">
        <v>0.05</v>
      </c>
      <c r="D472">
        <v>0.05</v>
      </c>
      <c r="E472">
        <v>0.15</v>
      </c>
      <c r="F472">
        <v>0.05</v>
      </c>
      <c r="G472">
        <v>0.05</v>
      </c>
    </row>
    <row r="473" spans="1:7" x14ac:dyDescent="0.2">
      <c r="A473">
        <v>6058</v>
      </c>
      <c r="B473" s="106" t="s">
        <v>1282</v>
      </c>
      <c r="C473">
        <v>0.05</v>
      </c>
      <c r="D473">
        <v>0.05</v>
      </c>
      <c r="E473">
        <v>0.15</v>
      </c>
      <c r="F473">
        <v>0.05</v>
      </c>
      <c r="G473">
        <v>0.05</v>
      </c>
    </row>
    <row r="474" spans="1:7" x14ac:dyDescent="0.2">
      <c r="A474">
        <v>6088</v>
      </c>
      <c r="B474" s="106" t="s">
        <v>1283</v>
      </c>
      <c r="C474">
        <v>0.05</v>
      </c>
      <c r="D474" s="106">
        <v>0.05</v>
      </c>
      <c r="E474" s="106">
        <v>0.6</v>
      </c>
      <c r="F474">
        <v>0.05</v>
      </c>
      <c r="G474" s="106">
        <v>0.05</v>
      </c>
    </row>
    <row r="475" spans="1:7" x14ac:dyDescent="0.2">
      <c r="A475">
        <v>6093</v>
      </c>
      <c r="B475" s="106" t="s">
        <v>1284</v>
      </c>
      <c r="C475">
        <v>0</v>
      </c>
      <c r="D475">
        <v>0</v>
      </c>
      <c r="E475">
        <v>0</v>
      </c>
      <c r="F475">
        <v>0</v>
      </c>
      <c r="G475">
        <v>0</v>
      </c>
    </row>
    <row r="476" spans="1:7" x14ac:dyDescent="0.2">
      <c r="A476">
        <v>6098</v>
      </c>
      <c r="B476" s="106" t="s">
        <v>265</v>
      </c>
      <c r="C476">
        <v>0.1</v>
      </c>
      <c r="D476">
        <v>0.1</v>
      </c>
      <c r="E476">
        <v>0.3</v>
      </c>
      <c r="F476">
        <v>0.1</v>
      </c>
      <c r="G476">
        <v>0.1</v>
      </c>
    </row>
    <row r="477" spans="1:7" x14ac:dyDescent="0.2">
      <c r="A477">
        <v>6099</v>
      </c>
      <c r="B477" s="106" t="s">
        <v>1285</v>
      </c>
      <c r="C477">
        <v>0</v>
      </c>
      <c r="D477">
        <v>0</v>
      </c>
      <c r="E477">
        <v>0</v>
      </c>
      <c r="F477">
        <v>0</v>
      </c>
      <c r="G477">
        <v>0</v>
      </c>
    </row>
    <row r="478" spans="1:7" x14ac:dyDescent="0.2">
      <c r="A478">
        <v>6101</v>
      </c>
      <c r="B478" s="106" t="s">
        <v>1286</v>
      </c>
      <c r="C478">
        <v>0.05</v>
      </c>
      <c r="D478">
        <v>0.05</v>
      </c>
      <c r="E478">
        <v>0.15</v>
      </c>
      <c r="F478">
        <v>0.05</v>
      </c>
      <c r="G478">
        <v>0.05</v>
      </c>
    </row>
    <row r="479" spans="1:7" x14ac:dyDescent="0.2">
      <c r="A479">
        <v>6103</v>
      </c>
      <c r="B479" s="106" t="s">
        <v>1287</v>
      </c>
      <c r="C479">
        <v>0.1</v>
      </c>
      <c r="D479">
        <v>0.05</v>
      </c>
      <c r="E479">
        <v>0.3</v>
      </c>
      <c r="F479">
        <v>0.1</v>
      </c>
      <c r="G479">
        <v>0.1</v>
      </c>
    </row>
    <row r="480" spans="1:7" x14ac:dyDescent="0.2">
      <c r="A480">
        <v>6104</v>
      </c>
      <c r="B480" s="106" t="s">
        <v>1288</v>
      </c>
      <c r="C480">
        <v>0.05</v>
      </c>
      <c r="D480">
        <v>0</v>
      </c>
      <c r="E480">
        <v>0.15</v>
      </c>
      <c r="F480">
        <v>0</v>
      </c>
      <c r="G480">
        <v>0.05</v>
      </c>
    </row>
    <row r="481" spans="1:7" x14ac:dyDescent="0.2">
      <c r="A481">
        <v>6113</v>
      </c>
      <c r="B481" s="106" t="s">
        <v>2181</v>
      </c>
      <c r="C481">
        <v>0</v>
      </c>
      <c r="D481">
        <v>0</v>
      </c>
      <c r="E481">
        <v>0</v>
      </c>
      <c r="F481" t="s">
        <v>171</v>
      </c>
      <c r="G481" t="s">
        <v>171</v>
      </c>
    </row>
    <row r="482" spans="1:7" x14ac:dyDescent="0.2">
      <c r="A482">
        <v>6118</v>
      </c>
      <c r="B482" s="106" t="s">
        <v>1289</v>
      </c>
      <c r="C482">
        <v>0</v>
      </c>
      <c r="D482">
        <v>0</v>
      </c>
      <c r="E482">
        <v>0</v>
      </c>
      <c r="F482">
        <v>0</v>
      </c>
      <c r="G482">
        <v>0</v>
      </c>
    </row>
    <row r="483" spans="1:7" x14ac:dyDescent="0.2">
      <c r="A483">
        <v>6134</v>
      </c>
      <c r="B483" s="106" t="s">
        <v>707</v>
      </c>
      <c r="C483">
        <v>0.05</v>
      </c>
      <c r="D483">
        <v>0.05</v>
      </c>
      <c r="E483">
        <v>0.15</v>
      </c>
      <c r="F483">
        <v>0.05</v>
      </c>
      <c r="G483" s="106">
        <v>0.05</v>
      </c>
    </row>
    <row r="484" spans="1:7" x14ac:dyDescent="0.2">
      <c r="A484">
        <v>6135</v>
      </c>
      <c r="B484" s="106" t="s">
        <v>241</v>
      </c>
      <c r="C484">
        <v>0</v>
      </c>
      <c r="D484">
        <v>0</v>
      </c>
      <c r="E484">
        <v>0</v>
      </c>
      <c r="F484">
        <v>0.05</v>
      </c>
      <c r="G484" s="106">
        <v>0.1</v>
      </c>
    </row>
    <row r="485" spans="1:7" x14ac:dyDescent="0.2">
      <c r="A485">
        <v>6136</v>
      </c>
      <c r="B485" s="106" t="s">
        <v>1290</v>
      </c>
      <c r="C485">
        <v>0.05</v>
      </c>
      <c r="D485">
        <v>0.05</v>
      </c>
      <c r="E485">
        <v>0.15</v>
      </c>
      <c r="F485">
        <v>0</v>
      </c>
      <c r="G485">
        <v>0.05</v>
      </c>
    </row>
    <row r="486" spans="1:7" x14ac:dyDescent="0.2">
      <c r="A486">
        <v>6140</v>
      </c>
      <c r="B486" s="106" t="s">
        <v>1291</v>
      </c>
      <c r="C486">
        <v>0</v>
      </c>
      <c r="D486" s="106">
        <v>0</v>
      </c>
      <c r="E486" s="106">
        <v>0</v>
      </c>
      <c r="F486" s="106">
        <v>0</v>
      </c>
      <c r="G486">
        <v>0</v>
      </c>
    </row>
    <row r="487" spans="1:7" x14ac:dyDescent="0.2">
      <c r="A487">
        <v>6141</v>
      </c>
      <c r="B487" s="106" t="s">
        <v>2283</v>
      </c>
      <c r="C487">
        <v>0</v>
      </c>
      <c r="D487">
        <v>0</v>
      </c>
      <c r="E487" t="s">
        <v>171</v>
      </c>
      <c r="F487">
        <v>0</v>
      </c>
      <c r="G487">
        <v>0</v>
      </c>
    </row>
    <row r="488" spans="1:7" x14ac:dyDescent="0.2">
      <c r="A488">
        <v>6143</v>
      </c>
      <c r="B488" s="106" t="s">
        <v>1292</v>
      </c>
      <c r="C488">
        <v>0</v>
      </c>
      <c r="D488">
        <v>0</v>
      </c>
      <c r="E488">
        <v>0</v>
      </c>
      <c r="F488">
        <v>0.05</v>
      </c>
      <c r="G488">
        <v>0.05</v>
      </c>
    </row>
    <row r="489" spans="1:7" x14ac:dyDescent="0.2">
      <c r="A489">
        <v>6146</v>
      </c>
      <c r="B489" s="106" t="s">
        <v>1293</v>
      </c>
      <c r="C489">
        <v>0.45</v>
      </c>
      <c r="D489" s="106">
        <v>0.45</v>
      </c>
      <c r="E489">
        <v>1.35</v>
      </c>
      <c r="F489" s="106">
        <v>0.45</v>
      </c>
      <c r="G489">
        <v>0.45</v>
      </c>
    </row>
    <row r="490" spans="1:7" x14ac:dyDescent="0.2">
      <c r="A490">
        <v>6151</v>
      </c>
      <c r="B490" s="106" t="s">
        <v>1294</v>
      </c>
      <c r="C490">
        <v>0</v>
      </c>
      <c r="D490" s="106">
        <v>0</v>
      </c>
      <c r="E490" s="106">
        <v>0</v>
      </c>
      <c r="F490" s="106">
        <v>0</v>
      </c>
      <c r="G490" s="106">
        <v>0</v>
      </c>
    </row>
    <row r="491" spans="1:7" x14ac:dyDescent="0.2">
      <c r="A491">
        <v>6157</v>
      </c>
      <c r="B491" s="106" t="s">
        <v>1295</v>
      </c>
      <c r="C491">
        <v>0.05</v>
      </c>
      <c r="D491">
        <v>0.05</v>
      </c>
      <c r="E491" s="106">
        <v>0.15</v>
      </c>
      <c r="F491" s="106">
        <v>0.05</v>
      </c>
      <c r="G491">
        <v>0.05</v>
      </c>
    </row>
    <row r="492" spans="1:7" x14ac:dyDescent="0.2">
      <c r="A492">
        <v>6165</v>
      </c>
      <c r="B492" s="106" t="s">
        <v>1296</v>
      </c>
      <c r="C492">
        <v>0</v>
      </c>
      <c r="D492">
        <v>0</v>
      </c>
      <c r="E492">
        <v>0</v>
      </c>
      <c r="F492">
        <v>0</v>
      </c>
      <c r="G492">
        <v>0</v>
      </c>
    </row>
    <row r="493" spans="1:7" x14ac:dyDescent="0.2">
      <c r="A493">
        <v>6184</v>
      </c>
      <c r="B493" s="106" t="s">
        <v>1297</v>
      </c>
      <c r="C493">
        <v>0.05</v>
      </c>
      <c r="D493" s="106">
        <v>0.05</v>
      </c>
      <c r="E493" s="106">
        <v>0.15</v>
      </c>
      <c r="F493" s="106">
        <v>0.05</v>
      </c>
      <c r="G493">
        <v>0.05</v>
      </c>
    </row>
    <row r="494" spans="1:7" x14ac:dyDescent="0.2">
      <c r="A494">
        <v>6194</v>
      </c>
      <c r="B494" s="106" t="s">
        <v>1298</v>
      </c>
      <c r="C494">
        <v>0.1</v>
      </c>
      <c r="D494" s="106">
        <v>0.1</v>
      </c>
      <c r="E494" s="106">
        <v>0.3</v>
      </c>
      <c r="F494" s="106">
        <v>0.1</v>
      </c>
      <c r="G494" s="106">
        <v>0.1</v>
      </c>
    </row>
    <row r="495" spans="1:7" x14ac:dyDescent="0.2">
      <c r="A495">
        <v>6196</v>
      </c>
      <c r="B495" s="106" t="s">
        <v>1299</v>
      </c>
      <c r="C495">
        <v>0.1</v>
      </c>
      <c r="D495">
        <v>0.1</v>
      </c>
      <c r="E495" s="106">
        <v>0.3</v>
      </c>
      <c r="F495" s="106">
        <v>0.1</v>
      </c>
      <c r="G495" s="106">
        <v>0.1</v>
      </c>
    </row>
    <row r="496" spans="1:7" x14ac:dyDescent="0.2">
      <c r="A496">
        <v>6200</v>
      </c>
      <c r="B496" s="106" t="s">
        <v>1300</v>
      </c>
      <c r="C496">
        <v>0.1</v>
      </c>
      <c r="D496">
        <v>0.1</v>
      </c>
      <c r="E496">
        <v>0.3</v>
      </c>
      <c r="F496" s="106">
        <v>0.1</v>
      </c>
      <c r="G496">
        <v>0.1</v>
      </c>
    </row>
    <row r="497" spans="1:7" x14ac:dyDescent="0.2">
      <c r="A497">
        <v>6201</v>
      </c>
      <c r="B497" s="106" t="s">
        <v>2284</v>
      </c>
      <c r="C497">
        <v>0.15</v>
      </c>
      <c r="D497">
        <v>0.15</v>
      </c>
      <c r="E497" t="s">
        <v>171</v>
      </c>
      <c r="F497" t="s">
        <v>171</v>
      </c>
      <c r="G497" t="s">
        <v>171</v>
      </c>
    </row>
    <row r="498" spans="1:7" x14ac:dyDescent="0.2">
      <c r="A498">
        <v>6205</v>
      </c>
      <c r="B498" s="106" t="s">
        <v>1301</v>
      </c>
      <c r="C498">
        <v>0</v>
      </c>
      <c r="D498" s="106">
        <v>0.05</v>
      </c>
      <c r="E498">
        <v>0</v>
      </c>
      <c r="F498">
        <v>0.05</v>
      </c>
      <c r="G498">
        <v>0</v>
      </c>
    </row>
    <row r="499" spans="1:7" x14ac:dyDescent="0.2">
      <c r="A499">
        <v>6217</v>
      </c>
      <c r="B499" s="106" t="s">
        <v>1302</v>
      </c>
      <c r="C499">
        <v>0</v>
      </c>
      <c r="D499">
        <v>0</v>
      </c>
      <c r="E499">
        <v>0</v>
      </c>
      <c r="F499">
        <v>0</v>
      </c>
      <c r="G499">
        <v>0</v>
      </c>
    </row>
    <row r="500" spans="1:7" x14ac:dyDescent="0.2">
      <c r="A500">
        <v>6218</v>
      </c>
      <c r="B500" s="106" t="s">
        <v>1303</v>
      </c>
      <c r="C500">
        <v>0</v>
      </c>
      <c r="D500">
        <v>0</v>
      </c>
      <c r="E500">
        <v>0</v>
      </c>
      <c r="F500">
        <v>0</v>
      </c>
      <c r="G500">
        <v>0</v>
      </c>
    </row>
    <row r="501" spans="1:7" x14ac:dyDescent="0.2">
      <c r="A501">
        <v>6222</v>
      </c>
      <c r="B501" s="106" t="s">
        <v>1304</v>
      </c>
      <c r="C501">
        <v>0</v>
      </c>
      <c r="D501">
        <v>0</v>
      </c>
      <c r="E501">
        <v>0</v>
      </c>
      <c r="F501">
        <v>0</v>
      </c>
      <c r="G501" s="106">
        <v>0</v>
      </c>
    </row>
    <row r="502" spans="1:7" x14ac:dyDescent="0.2">
      <c r="A502">
        <v>6237</v>
      </c>
      <c r="B502" s="106" t="s">
        <v>1305</v>
      </c>
      <c r="C502">
        <v>0.05</v>
      </c>
      <c r="D502">
        <v>0.05</v>
      </c>
      <c r="E502">
        <v>0.15</v>
      </c>
      <c r="F502">
        <v>0.05</v>
      </c>
      <c r="G502">
        <v>0.05</v>
      </c>
    </row>
    <row r="503" spans="1:7" x14ac:dyDescent="0.2">
      <c r="A503">
        <v>6240</v>
      </c>
      <c r="B503" s="106" t="s">
        <v>1306</v>
      </c>
      <c r="C503">
        <v>0.55000000000000004</v>
      </c>
      <c r="D503">
        <v>3.2</v>
      </c>
      <c r="E503">
        <v>0.15</v>
      </c>
      <c r="F503">
        <v>0.05</v>
      </c>
      <c r="G503">
        <v>0.05</v>
      </c>
    </row>
    <row r="504" spans="1:7" x14ac:dyDescent="0.2">
      <c r="A504">
        <v>6247</v>
      </c>
      <c r="B504" s="106" t="s">
        <v>1307</v>
      </c>
      <c r="C504">
        <v>0</v>
      </c>
      <c r="D504">
        <v>0</v>
      </c>
      <c r="E504">
        <v>0</v>
      </c>
      <c r="F504">
        <v>0</v>
      </c>
      <c r="G504">
        <v>0</v>
      </c>
    </row>
    <row r="505" spans="1:7" x14ac:dyDescent="0.2">
      <c r="A505">
        <v>6258</v>
      </c>
      <c r="B505" s="106" t="s">
        <v>1308</v>
      </c>
      <c r="C505">
        <v>0.15</v>
      </c>
      <c r="D505">
        <v>0.15</v>
      </c>
      <c r="E505">
        <v>0.45</v>
      </c>
      <c r="F505">
        <v>0.15</v>
      </c>
      <c r="G505">
        <v>0.2</v>
      </c>
    </row>
    <row r="506" spans="1:7" x14ac:dyDescent="0.2">
      <c r="A506">
        <v>6262</v>
      </c>
      <c r="B506" s="106" t="s">
        <v>1309</v>
      </c>
      <c r="C506">
        <v>0</v>
      </c>
      <c r="D506" s="106">
        <v>0</v>
      </c>
      <c r="E506" s="106">
        <v>0</v>
      </c>
      <c r="F506" s="106">
        <v>0</v>
      </c>
      <c r="G506" s="106">
        <v>0</v>
      </c>
    </row>
    <row r="507" spans="1:7" x14ac:dyDescent="0.2">
      <c r="A507">
        <v>6264</v>
      </c>
      <c r="B507" s="106" t="s">
        <v>2285</v>
      </c>
      <c r="C507">
        <v>0</v>
      </c>
      <c r="D507" s="106">
        <v>0</v>
      </c>
      <c r="E507" s="106" t="s">
        <v>171</v>
      </c>
      <c r="F507" s="106" t="s">
        <v>171</v>
      </c>
      <c r="G507" s="106" t="s">
        <v>171</v>
      </c>
    </row>
    <row r="508" spans="1:7" x14ac:dyDescent="0.2">
      <c r="A508">
        <v>6266</v>
      </c>
      <c r="B508" s="106" t="s">
        <v>2182</v>
      </c>
      <c r="C508">
        <v>0</v>
      </c>
      <c r="D508">
        <v>0</v>
      </c>
      <c r="E508" s="106">
        <v>0</v>
      </c>
      <c r="F508" s="106">
        <v>0</v>
      </c>
      <c r="G508" s="106">
        <v>0</v>
      </c>
    </row>
    <row r="509" spans="1:7" x14ac:dyDescent="0.2">
      <c r="A509">
        <v>6269</v>
      </c>
      <c r="B509" s="106" t="s">
        <v>1310</v>
      </c>
      <c r="C509">
        <v>0</v>
      </c>
      <c r="D509">
        <v>0</v>
      </c>
      <c r="E509">
        <v>0</v>
      </c>
      <c r="F509">
        <v>0.05</v>
      </c>
      <c r="G509">
        <v>0</v>
      </c>
    </row>
    <row r="510" spans="1:7" x14ac:dyDescent="0.2">
      <c r="A510">
        <v>6273</v>
      </c>
      <c r="B510" s="106" t="s">
        <v>1311</v>
      </c>
      <c r="C510">
        <v>0.85</v>
      </c>
      <c r="D510">
        <v>0.9</v>
      </c>
      <c r="E510">
        <v>2.5499999999999998</v>
      </c>
      <c r="F510">
        <v>0.85</v>
      </c>
      <c r="G510" s="106">
        <v>0.9</v>
      </c>
    </row>
    <row r="511" spans="1:7" x14ac:dyDescent="0.2">
      <c r="A511">
        <v>6274</v>
      </c>
      <c r="B511" s="106" t="s">
        <v>1312</v>
      </c>
      <c r="C511">
        <v>0.05</v>
      </c>
      <c r="D511">
        <v>0</v>
      </c>
      <c r="E511">
        <v>0</v>
      </c>
      <c r="F511">
        <v>0</v>
      </c>
      <c r="G511">
        <v>0</v>
      </c>
    </row>
    <row r="512" spans="1:7" x14ac:dyDescent="0.2">
      <c r="A512">
        <v>6278</v>
      </c>
      <c r="B512" s="106" t="s">
        <v>1313</v>
      </c>
      <c r="C512">
        <v>0.05</v>
      </c>
      <c r="D512">
        <v>0.05</v>
      </c>
      <c r="E512">
        <v>0.15</v>
      </c>
      <c r="F512">
        <v>0.05</v>
      </c>
      <c r="G512">
        <v>0.05</v>
      </c>
    </row>
    <row r="513" spans="1:7" x14ac:dyDescent="0.2">
      <c r="A513">
        <v>6284</v>
      </c>
      <c r="B513" s="106" t="s">
        <v>1314</v>
      </c>
      <c r="C513">
        <v>0.1</v>
      </c>
      <c r="D513">
        <v>0.1</v>
      </c>
      <c r="E513">
        <v>0.3</v>
      </c>
      <c r="F513">
        <v>0.1</v>
      </c>
      <c r="G513">
        <v>0.1</v>
      </c>
    </row>
    <row r="514" spans="1:7" x14ac:dyDescent="0.2">
      <c r="A514">
        <v>6287</v>
      </c>
      <c r="B514" s="106" t="s">
        <v>708</v>
      </c>
      <c r="C514">
        <v>0.05</v>
      </c>
      <c r="D514">
        <v>0.1</v>
      </c>
      <c r="E514">
        <v>0.3</v>
      </c>
      <c r="F514">
        <v>0.1</v>
      </c>
      <c r="G514">
        <v>0.1</v>
      </c>
    </row>
    <row r="515" spans="1:7" x14ac:dyDescent="0.2">
      <c r="A515">
        <v>6298</v>
      </c>
      <c r="B515" s="106" t="s">
        <v>2183</v>
      </c>
      <c r="C515">
        <v>0</v>
      </c>
      <c r="D515">
        <v>0</v>
      </c>
      <c r="E515">
        <v>0</v>
      </c>
      <c r="F515">
        <v>0</v>
      </c>
      <c r="G515">
        <v>0</v>
      </c>
    </row>
    <row r="516" spans="1:7" x14ac:dyDescent="0.2">
      <c r="A516">
        <v>6301</v>
      </c>
      <c r="B516" s="106" t="s">
        <v>64</v>
      </c>
      <c r="C516">
        <v>0</v>
      </c>
      <c r="D516">
        <v>0</v>
      </c>
      <c r="E516">
        <v>0.15</v>
      </c>
      <c r="F516">
        <v>0</v>
      </c>
      <c r="G516">
        <v>0</v>
      </c>
    </row>
    <row r="517" spans="1:7" x14ac:dyDescent="0.2">
      <c r="A517">
        <v>6302</v>
      </c>
      <c r="B517" s="106" t="s">
        <v>942</v>
      </c>
      <c r="C517">
        <v>0</v>
      </c>
      <c r="D517">
        <v>0</v>
      </c>
      <c r="E517">
        <v>0</v>
      </c>
      <c r="F517">
        <v>0</v>
      </c>
      <c r="G517">
        <v>0</v>
      </c>
    </row>
    <row r="518" spans="1:7" x14ac:dyDescent="0.2">
      <c r="A518">
        <v>6305</v>
      </c>
      <c r="B518" s="106" t="s">
        <v>32</v>
      </c>
      <c r="C518">
        <v>0.05</v>
      </c>
      <c r="D518" s="106">
        <v>0.05</v>
      </c>
      <c r="E518" s="106">
        <v>0.15</v>
      </c>
      <c r="F518">
        <v>0.1</v>
      </c>
      <c r="G518">
        <v>0.1</v>
      </c>
    </row>
    <row r="519" spans="1:7" x14ac:dyDescent="0.2">
      <c r="A519">
        <v>6306</v>
      </c>
      <c r="B519" s="106" t="s">
        <v>2514</v>
      </c>
      <c r="C519">
        <v>0</v>
      </c>
      <c r="D519" s="106" t="s">
        <v>171</v>
      </c>
      <c r="E519" s="106" t="s">
        <v>171</v>
      </c>
      <c r="F519" t="s">
        <v>171</v>
      </c>
      <c r="G519" t="s">
        <v>171</v>
      </c>
    </row>
    <row r="520" spans="1:7" x14ac:dyDescent="0.2">
      <c r="A520">
        <v>6310</v>
      </c>
      <c r="B520" s="106" t="s">
        <v>1315</v>
      </c>
      <c r="C520">
        <v>0</v>
      </c>
      <c r="D520" s="106">
        <v>0</v>
      </c>
      <c r="E520" s="106">
        <v>0</v>
      </c>
      <c r="F520">
        <v>0</v>
      </c>
      <c r="G520" s="106">
        <v>0</v>
      </c>
    </row>
    <row r="521" spans="1:7" x14ac:dyDescent="0.2">
      <c r="A521">
        <v>6315</v>
      </c>
      <c r="B521" s="106" t="s">
        <v>1316</v>
      </c>
      <c r="C521">
        <v>0.05</v>
      </c>
      <c r="D521" s="106">
        <v>0.05</v>
      </c>
      <c r="E521" s="106">
        <v>0.15</v>
      </c>
      <c r="F521">
        <v>0.05</v>
      </c>
      <c r="G521">
        <v>0.05</v>
      </c>
    </row>
    <row r="522" spans="1:7" x14ac:dyDescent="0.2">
      <c r="A522">
        <v>6316</v>
      </c>
      <c r="B522" s="106" t="s">
        <v>1317</v>
      </c>
      <c r="C522">
        <v>0</v>
      </c>
      <c r="D522">
        <v>0</v>
      </c>
      <c r="E522">
        <v>0</v>
      </c>
      <c r="F522">
        <v>0</v>
      </c>
      <c r="G522">
        <v>0</v>
      </c>
    </row>
    <row r="523" spans="1:7" x14ac:dyDescent="0.2">
      <c r="A523">
        <v>6325</v>
      </c>
      <c r="B523" s="106" t="s">
        <v>1318</v>
      </c>
      <c r="C523">
        <v>0</v>
      </c>
      <c r="D523">
        <v>0.05</v>
      </c>
      <c r="E523">
        <v>0</v>
      </c>
      <c r="F523">
        <v>0</v>
      </c>
      <c r="G523">
        <v>0</v>
      </c>
    </row>
    <row r="524" spans="1:7" x14ac:dyDescent="0.2">
      <c r="A524">
        <v>6326</v>
      </c>
      <c r="B524" s="106" t="s">
        <v>1319</v>
      </c>
      <c r="C524">
        <v>0</v>
      </c>
      <c r="D524">
        <v>0</v>
      </c>
      <c r="E524">
        <v>0</v>
      </c>
      <c r="F524">
        <v>0</v>
      </c>
      <c r="G524">
        <v>0</v>
      </c>
    </row>
    <row r="525" spans="1:7" x14ac:dyDescent="0.2">
      <c r="A525">
        <v>6330</v>
      </c>
      <c r="B525" s="106" t="s">
        <v>1320</v>
      </c>
      <c r="C525">
        <v>0.05</v>
      </c>
      <c r="D525">
        <v>0</v>
      </c>
      <c r="E525">
        <v>0.15</v>
      </c>
      <c r="F525">
        <v>0</v>
      </c>
      <c r="G525">
        <v>0.05</v>
      </c>
    </row>
    <row r="526" spans="1:7" x14ac:dyDescent="0.2">
      <c r="A526">
        <v>6331</v>
      </c>
      <c r="B526" s="106" t="s">
        <v>1321</v>
      </c>
      <c r="C526">
        <v>0</v>
      </c>
      <c r="D526">
        <v>0</v>
      </c>
      <c r="E526">
        <v>0</v>
      </c>
      <c r="F526">
        <v>0</v>
      </c>
      <c r="G526">
        <v>0</v>
      </c>
    </row>
    <row r="527" spans="1:7" x14ac:dyDescent="0.2">
      <c r="A527">
        <v>6332</v>
      </c>
      <c r="B527" s="106" t="s">
        <v>1322</v>
      </c>
      <c r="C527">
        <v>0.05</v>
      </c>
      <c r="D527" s="106">
        <v>0.05</v>
      </c>
      <c r="E527">
        <v>0.15</v>
      </c>
      <c r="F527">
        <v>0.05</v>
      </c>
      <c r="G527">
        <v>0.05</v>
      </c>
    </row>
    <row r="528" spans="1:7" x14ac:dyDescent="0.2">
      <c r="A528">
        <v>6339</v>
      </c>
      <c r="B528" s="106" t="s">
        <v>2184</v>
      </c>
      <c r="C528">
        <v>0.05</v>
      </c>
      <c r="D528" s="106">
        <v>0.05</v>
      </c>
      <c r="E528" s="106">
        <v>0.15</v>
      </c>
      <c r="F528">
        <v>0.05</v>
      </c>
      <c r="G528" t="s">
        <v>171</v>
      </c>
    </row>
    <row r="529" spans="1:7" x14ac:dyDescent="0.2">
      <c r="A529">
        <v>6349</v>
      </c>
      <c r="B529" s="106" t="s">
        <v>1323</v>
      </c>
      <c r="C529">
        <v>0.05</v>
      </c>
      <c r="D529" s="106">
        <v>0.05</v>
      </c>
      <c r="E529">
        <v>0.15</v>
      </c>
      <c r="F529">
        <v>0.05</v>
      </c>
      <c r="G529">
        <v>0.05</v>
      </c>
    </row>
    <row r="530" spans="1:7" x14ac:dyDescent="0.2">
      <c r="A530">
        <v>6351</v>
      </c>
      <c r="B530" s="106" t="s">
        <v>1324</v>
      </c>
      <c r="C530">
        <v>0.05</v>
      </c>
      <c r="D530">
        <v>0.05</v>
      </c>
      <c r="E530">
        <v>0.15</v>
      </c>
      <c r="F530" s="106">
        <v>0.05</v>
      </c>
      <c r="G530">
        <v>0.05</v>
      </c>
    </row>
    <row r="531" spans="1:7" x14ac:dyDescent="0.2">
      <c r="A531">
        <v>6358</v>
      </c>
      <c r="B531" s="106" t="s">
        <v>1325</v>
      </c>
      <c r="C531">
        <v>0.05</v>
      </c>
      <c r="D531">
        <v>0.05</v>
      </c>
      <c r="E531">
        <v>0.15</v>
      </c>
      <c r="F531" s="106">
        <v>0.1</v>
      </c>
      <c r="G531">
        <v>0.05</v>
      </c>
    </row>
    <row r="532" spans="1:7" x14ac:dyDescent="0.2">
      <c r="A532">
        <v>6361</v>
      </c>
      <c r="B532" s="106" t="s">
        <v>1326</v>
      </c>
      <c r="C532">
        <v>0.1</v>
      </c>
      <c r="D532" s="106">
        <v>0.1</v>
      </c>
      <c r="E532" s="106">
        <v>0.15</v>
      </c>
      <c r="F532">
        <v>0.1</v>
      </c>
      <c r="G532" s="106">
        <v>0.1</v>
      </c>
    </row>
    <row r="533" spans="1:7" x14ac:dyDescent="0.2">
      <c r="A533">
        <v>6362</v>
      </c>
      <c r="B533" s="106" t="s">
        <v>1327</v>
      </c>
      <c r="C533">
        <v>0.05</v>
      </c>
      <c r="D533">
        <v>0.05</v>
      </c>
      <c r="E533">
        <v>0.15</v>
      </c>
      <c r="F533">
        <v>0.05</v>
      </c>
      <c r="G533">
        <v>0.05</v>
      </c>
    </row>
    <row r="534" spans="1:7" x14ac:dyDescent="0.2">
      <c r="A534">
        <v>6363</v>
      </c>
      <c r="B534" s="106" t="s">
        <v>1328</v>
      </c>
      <c r="C534">
        <v>0</v>
      </c>
      <c r="D534">
        <v>0</v>
      </c>
      <c r="E534">
        <v>0</v>
      </c>
      <c r="F534">
        <v>0</v>
      </c>
      <c r="G534">
        <v>0</v>
      </c>
    </row>
    <row r="535" spans="1:7" x14ac:dyDescent="0.2">
      <c r="A535">
        <v>6367</v>
      </c>
      <c r="B535" s="106" t="s">
        <v>1329</v>
      </c>
      <c r="C535">
        <v>0</v>
      </c>
      <c r="D535">
        <v>0.05</v>
      </c>
      <c r="E535">
        <v>0.9</v>
      </c>
      <c r="F535">
        <v>0.3</v>
      </c>
      <c r="G535">
        <v>0.3</v>
      </c>
    </row>
    <row r="536" spans="1:7" x14ac:dyDescent="0.2">
      <c r="A536">
        <v>6368</v>
      </c>
      <c r="B536" s="106" t="s">
        <v>1330</v>
      </c>
      <c r="C536">
        <v>0</v>
      </c>
      <c r="D536">
        <v>0</v>
      </c>
      <c r="E536" s="106">
        <v>0</v>
      </c>
      <c r="F536">
        <v>0</v>
      </c>
      <c r="G536" s="106" t="s">
        <v>171</v>
      </c>
    </row>
    <row r="537" spans="1:7" x14ac:dyDescent="0.2">
      <c r="A537">
        <v>6371</v>
      </c>
      <c r="B537" s="106" t="s">
        <v>63</v>
      </c>
      <c r="C537">
        <v>0.1</v>
      </c>
      <c r="D537">
        <v>0.1</v>
      </c>
      <c r="E537" s="106">
        <v>0.3</v>
      </c>
      <c r="F537">
        <v>0.1</v>
      </c>
      <c r="G537" s="106">
        <v>0.1</v>
      </c>
    </row>
    <row r="538" spans="1:7" x14ac:dyDescent="0.2">
      <c r="A538">
        <v>6379</v>
      </c>
      <c r="B538" s="106" t="s">
        <v>2185</v>
      </c>
      <c r="C538">
        <v>0</v>
      </c>
      <c r="D538">
        <v>0</v>
      </c>
      <c r="E538">
        <v>0</v>
      </c>
      <c r="F538" t="s">
        <v>171</v>
      </c>
      <c r="G538" t="s">
        <v>171</v>
      </c>
    </row>
    <row r="539" spans="1:7" x14ac:dyDescent="0.2">
      <c r="A539">
        <v>6381</v>
      </c>
      <c r="B539" s="106" t="s">
        <v>1331</v>
      </c>
      <c r="C539">
        <v>0.05</v>
      </c>
      <c r="D539">
        <v>0.05</v>
      </c>
      <c r="E539">
        <v>0.15</v>
      </c>
      <c r="F539">
        <v>0.05</v>
      </c>
      <c r="G539" s="106">
        <v>0.05</v>
      </c>
    </row>
    <row r="540" spans="1:7" x14ac:dyDescent="0.2">
      <c r="A540">
        <v>6383</v>
      </c>
      <c r="B540" s="106" t="s">
        <v>949</v>
      </c>
      <c r="C540">
        <v>0.15</v>
      </c>
      <c r="D540">
        <v>0.2</v>
      </c>
      <c r="E540">
        <v>0.45</v>
      </c>
      <c r="F540">
        <v>0.15</v>
      </c>
      <c r="G540">
        <v>0.15</v>
      </c>
    </row>
    <row r="541" spans="1:7" x14ac:dyDescent="0.2">
      <c r="A541">
        <v>6393</v>
      </c>
      <c r="B541" s="106" t="s">
        <v>1332</v>
      </c>
      <c r="C541">
        <v>0</v>
      </c>
      <c r="D541">
        <v>0</v>
      </c>
      <c r="E541">
        <v>0</v>
      </c>
      <c r="F541">
        <v>0</v>
      </c>
      <c r="G541">
        <v>0</v>
      </c>
    </row>
    <row r="542" spans="1:7" x14ac:dyDescent="0.2">
      <c r="A542">
        <v>6407</v>
      </c>
      <c r="B542" s="106" t="s">
        <v>1333</v>
      </c>
      <c r="C542">
        <v>0.05</v>
      </c>
      <c r="D542">
        <v>0.05</v>
      </c>
      <c r="E542">
        <v>0.15</v>
      </c>
      <c r="F542">
        <v>0.05</v>
      </c>
      <c r="G542">
        <v>0.05</v>
      </c>
    </row>
    <row r="543" spans="1:7" x14ac:dyDescent="0.2">
      <c r="A543">
        <v>6412</v>
      </c>
      <c r="B543" s="106" t="s">
        <v>1334</v>
      </c>
      <c r="C543">
        <v>0</v>
      </c>
      <c r="D543">
        <v>0</v>
      </c>
      <c r="E543">
        <v>0</v>
      </c>
      <c r="F543">
        <v>0</v>
      </c>
      <c r="G543">
        <v>0</v>
      </c>
    </row>
    <row r="544" spans="1:7" x14ac:dyDescent="0.2">
      <c r="A544">
        <v>6413</v>
      </c>
      <c r="B544" s="106" t="s">
        <v>1335</v>
      </c>
      <c r="C544">
        <v>0.05</v>
      </c>
      <c r="D544">
        <v>0.05</v>
      </c>
      <c r="E544">
        <v>0.15</v>
      </c>
      <c r="F544">
        <v>0.05</v>
      </c>
      <c r="G544">
        <v>0.05</v>
      </c>
    </row>
    <row r="545" spans="1:7" x14ac:dyDescent="0.2">
      <c r="A545">
        <v>6417</v>
      </c>
      <c r="B545" s="106" t="s">
        <v>2515</v>
      </c>
      <c r="C545">
        <v>0</v>
      </c>
      <c r="D545" t="s">
        <v>171</v>
      </c>
      <c r="E545">
        <v>0</v>
      </c>
      <c r="F545">
        <v>0</v>
      </c>
      <c r="G545">
        <v>0</v>
      </c>
    </row>
    <row r="546" spans="1:7" x14ac:dyDescent="0.2">
      <c r="A546">
        <v>6428</v>
      </c>
      <c r="B546" s="106" t="s">
        <v>1336</v>
      </c>
      <c r="C546">
        <v>0.05</v>
      </c>
      <c r="D546">
        <v>0.05</v>
      </c>
      <c r="E546">
        <v>0.15</v>
      </c>
      <c r="F546">
        <v>0.05</v>
      </c>
      <c r="G546">
        <v>0.05</v>
      </c>
    </row>
    <row r="547" spans="1:7" x14ac:dyDescent="0.2">
      <c r="A547">
        <v>6430</v>
      </c>
      <c r="B547" s="106" t="s">
        <v>1337</v>
      </c>
      <c r="C547">
        <v>0.05</v>
      </c>
      <c r="D547">
        <v>0.05</v>
      </c>
      <c r="E547" s="106">
        <v>0.15</v>
      </c>
      <c r="F547" s="106">
        <v>0.05</v>
      </c>
      <c r="G547">
        <v>0.05</v>
      </c>
    </row>
    <row r="548" spans="1:7" x14ac:dyDescent="0.2">
      <c r="A548">
        <v>6436</v>
      </c>
      <c r="B548" s="106" t="s">
        <v>1338</v>
      </c>
      <c r="C548">
        <v>0</v>
      </c>
      <c r="D548">
        <v>0</v>
      </c>
      <c r="E548">
        <v>0</v>
      </c>
      <c r="F548">
        <v>0</v>
      </c>
      <c r="G548">
        <v>0</v>
      </c>
    </row>
    <row r="549" spans="1:7" x14ac:dyDescent="0.2">
      <c r="A549">
        <v>6444</v>
      </c>
      <c r="B549" s="106" t="s">
        <v>1339</v>
      </c>
      <c r="C549">
        <v>0.05</v>
      </c>
      <c r="D549" s="106">
        <v>0.05</v>
      </c>
      <c r="E549">
        <v>0.15</v>
      </c>
      <c r="F549" s="106">
        <v>0.05</v>
      </c>
      <c r="G549" s="106">
        <v>0.05</v>
      </c>
    </row>
    <row r="550" spans="1:7" x14ac:dyDescent="0.2">
      <c r="A550">
        <v>6448</v>
      </c>
      <c r="B550" s="106" t="s">
        <v>716</v>
      </c>
      <c r="C550">
        <v>0.05</v>
      </c>
      <c r="D550" s="106">
        <v>0.05</v>
      </c>
      <c r="E550">
        <v>0.15</v>
      </c>
      <c r="F550" s="106">
        <v>0.05</v>
      </c>
      <c r="G550" s="106">
        <v>0.05</v>
      </c>
    </row>
    <row r="551" spans="1:7" x14ac:dyDescent="0.2">
      <c r="A551">
        <v>6454</v>
      </c>
      <c r="B551" s="106" t="s">
        <v>1340</v>
      </c>
      <c r="C551">
        <v>0.05</v>
      </c>
      <c r="D551">
        <v>0.05</v>
      </c>
      <c r="E551">
        <v>0.15</v>
      </c>
      <c r="F551">
        <v>0.05</v>
      </c>
      <c r="G551">
        <v>0.05</v>
      </c>
    </row>
    <row r="552" spans="1:7" x14ac:dyDescent="0.2">
      <c r="A552">
        <v>6457</v>
      </c>
      <c r="B552" s="106" t="s">
        <v>246</v>
      </c>
      <c r="C552">
        <v>0</v>
      </c>
      <c r="D552">
        <v>0</v>
      </c>
      <c r="E552">
        <v>0</v>
      </c>
      <c r="F552">
        <v>0</v>
      </c>
      <c r="G552">
        <v>0</v>
      </c>
    </row>
    <row r="553" spans="1:7" x14ac:dyDescent="0.2">
      <c r="A553">
        <v>6463</v>
      </c>
      <c r="B553" s="106" t="s">
        <v>1341</v>
      </c>
      <c r="C553">
        <v>0.05</v>
      </c>
      <c r="D553">
        <v>0.05</v>
      </c>
      <c r="E553">
        <v>0.15</v>
      </c>
      <c r="F553">
        <v>0.05</v>
      </c>
      <c r="G553">
        <v>0.05</v>
      </c>
    </row>
    <row r="554" spans="1:7" x14ac:dyDescent="0.2">
      <c r="A554">
        <v>6465</v>
      </c>
      <c r="B554" s="106" t="s">
        <v>709</v>
      </c>
      <c r="C554">
        <v>0.2</v>
      </c>
      <c r="D554">
        <v>0.2</v>
      </c>
      <c r="E554">
        <v>0.6</v>
      </c>
      <c r="F554">
        <v>0.2</v>
      </c>
      <c r="G554">
        <v>0.2</v>
      </c>
    </row>
    <row r="555" spans="1:7" x14ac:dyDescent="0.2">
      <c r="A555">
        <v>6472</v>
      </c>
      <c r="B555" s="106" t="s">
        <v>75</v>
      </c>
      <c r="C555">
        <v>0</v>
      </c>
      <c r="D555" s="106">
        <v>0.05</v>
      </c>
      <c r="E555" s="106">
        <v>0</v>
      </c>
      <c r="F555">
        <v>0.05</v>
      </c>
      <c r="G555" s="106">
        <v>0</v>
      </c>
    </row>
    <row r="556" spans="1:7" x14ac:dyDescent="0.2">
      <c r="A556">
        <v>6474</v>
      </c>
      <c r="B556" s="106" t="s">
        <v>247</v>
      </c>
      <c r="C556">
        <v>0</v>
      </c>
      <c r="D556">
        <v>0</v>
      </c>
      <c r="E556" s="106">
        <v>0</v>
      </c>
      <c r="F556">
        <v>0.1</v>
      </c>
      <c r="G556">
        <v>0.1</v>
      </c>
    </row>
    <row r="557" spans="1:7" x14ac:dyDescent="0.2">
      <c r="A557">
        <v>6479</v>
      </c>
      <c r="B557" s="106" t="s">
        <v>936</v>
      </c>
      <c r="C557">
        <v>0.05</v>
      </c>
      <c r="D557" s="106">
        <v>0.05</v>
      </c>
      <c r="E557" s="106">
        <v>0.15</v>
      </c>
      <c r="F557" s="106">
        <v>0.05</v>
      </c>
      <c r="G557" s="106">
        <v>0.05</v>
      </c>
    </row>
    <row r="558" spans="1:7" x14ac:dyDescent="0.2">
      <c r="A558">
        <v>6480</v>
      </c>
      <c r="B558" s="106" t="s">
        <v>1342</v>
      </c>
      <c r="C558">
        <v>0</v>
      </c>
      <c r="D558" s="106">
        <v>0</v>
      </c>
      <c r="E558">
        <v>0</v>
      </c>
      <c r="F558" s="106">
        <v>0</v>
      </c>
      <c r="G558">
        <v>0</v>
      </c>
    </row>
    <row r="559" spans="1:7" x14ac:dyDescent="0.2">
      <c r="A559">
        <v>6481</v>
      </c>
      <c r="B559" s="106" t="s">
        <v>2516</v>
      </c>
      <c r="C559">
        <v>0</v>
      </c>
      <c r="D559" t="s">
        <v>171</v>
      </c>
      <c r="E559" t="s">
        <v>171</v>
      </c>
      <c r="F559">
        <v>0</v>
      </c>
      <c r="G559">
        <v>0</v>
      </c>
    </row>
    <row r="560" spans="1:7" x14ac:dyDescent="0.2">
      <c r="A560">
        <v>6482</v>
      </c>
      <c r="B560" s="106" t="s">
        <v>1343</v>
      </c>
      <c r="C560">
        <v>0</v>
      </c>
      <c r="D560">
        <v>0.05</v>
      </c>
      <c r="E560">
        <v>0.15</v>
      </c>
      <c r="F560" s="106">
        <v>0.05</v>
      </c>
      <c r="G560" s="106">
        <v>0.05</v>
      </c>
    </row>
    <row r="561" spans="1:7" x14ac:dyDescent="0.2">
      <c r="A561">
        <v>6485</v>
      </c>
      <c r="B561" s="106" t="s">
        <v>2186</v>
      </c>
      <c r="C561">
        <v>0</v>
      </c>
      <c r="D561">
        <v>0</v>
      </c>
      <c r="E561">
        <v>0</v>
      </c>
      <c r="F561" s="106" t="s">
        <v>171</v>
      </c>
      <c r="G561" s="106">
        <v>0</v>
      </c>
    </row>
    <row r="562" spans="1:7" x14ac:dyDescent="0.2">
      <c r="A562">
        <v>6490</v>
      </c>
      <c r="B562" s="106" t="s">
        <v>1344</v>
      </c>
      <c r="C562">
        <v>0.05</v>
      </c>
      <c r="D562">
        <v>0.05</v>
      </c>
      <c r="E562">
        <v>0.15</v>
      </c>
      <c r="F562">
        <v>0.05</v>
      </c>
      <c r="G562">
        <v>0.05</v>
      </c>
    </row>
    <row r="563" spans="1:7" x14ac:dyDescent="0.2">
      <c r="A563">
        <v>6501</v>
      </c>
      <c r="B563" s="106" t="s">
        <v>2187</v>
      </c>
      <c r="C563">
        <v>0.1</v>
      </c>
      <c r="D563">
        <v>0</v>
      </c>
      <c r="E563">
        <v>0</v>
      </c>
      <c r="F563" t="s">
        <v>171</v>
      </c>
      <c r="G563" t="s">
        <v>171</v>
      </c>
    </row>
    <row r="564" spans="1:7" x14ac:dyDescent="0.2">
      <c r="A564">
        <v>6503</v>
      </c>
      <c r="B564" s="106" t="s">
        <v>2517</v>
      </c>
      <c r="C564">
        <v>0</v>
      </c>
      <c r="D564" t="s">
        <v>171</v>
      </c>
      <c r="E564" t="s">
        <v>171</v>
      </c>
      <c r="F564">
        <v>0</v>
      </c>
      <c r="G564">
        <v>0</v>
      </c>
    </row>
    <row r="565" spans="1:7" x14ac:dyDescent="0.2">
      <c r="A565">
        <v>6505</v>
      </c>
      <c r="B565" s="106" t="s">
        <v>1345</v>
      </c>
      <c r="C565">
        <v>0</v>
      </c>
      <c r="D565">
        <v>0.05</v>
      </c>
      <c r="E565">
        <v>0</v>
      </c>
      <c r="F565">
        <v>0.05</v>
      </c>
      <c r="G565">
        <v>0</v>
      </c>
    </row>
    <row r="566" spans="1:7" x14ac:dyDescent="0.2">
      <c r="A566">
        <v>6506</v>
      </c>
      <c r="B566" s="106" t="s">
        <v>1346</v>
      </c>
      <c r="C566">
        <v>0.1</v>
      </c>
      <c r="D566">
        <v>0.1</v>
      </c>
      <c r="E566">
        <v>0.3</v>
      </c>
      <c r="F566">
        <v>0.1</v>
      </c>
      <c r="G566">
        <v>0.1</v>
      </c>
    </row>
    <row r="567" spans="1:7" x14ac:dyDescent="0.2">
      <c r="A567">
        <v>6508</v>
      </c>
      <c r="B567" s="106" t="s">
        <v>1347</v>
      </c>
      <c r="C567">
        <v>0.05</v>
      </c>
      <c r="D567" s="106">
        <v>0.05</v>
      </c>
      <c r="E567">
        <v>0.15</v>
      </c>
      <c r="F567" s="106">
        <v>0.05</v>
      </c>
      <c r="G567">
        <v>0.05</v>
      </c>
    </row>
    <row r="568" spans="1:7" x14ac:dyDescent="0.2">
      <c r="A568">
        <v>6535</v>
      </c>
      <c r="B568" s="106" t="s">
        <v>1348</v>
      </c>
      <c r="C568">
        <v>0</v>
      </c>
      <c r="D568">
        <v>0</v>
      </c>
      <c r="E568">
        <v>0</v>
      </c>
      <c r="F568">
        <v>0</v>
      </c>
      <c r="G568">
        <v>0</v>
      </c>
    </row>
    <row r="569" spans="1:7" x14ac:dyDescent="0.2">
      <c r="A569">
        <v>6539</v>
      </c>
      <c r="B569" s="106" t="s">
        <v>2518</v>
      </c>
      <c r="C569">
        <v>0</v>
      </c>
      <c r="D569" s="106" t="s">
        <v>171</v>
      </c>
      <c r="E569" t="s">
        <v>171</v>
      </c>
      <c r="F569" t="s">
        <v>171</v>
      </c>
      <c r="G569" s="106" t="s">
        <v>171</v>
      </c>
    </row>
    <row r="570" spans="1:7" x14ac:dyDescent="0.2">
      <c r="A570">
        <v>6547</v>
      </c>
      <c r="B570" s="106" t="s">
        <v>1349</v>
      </c>
      <c r="C570">
        <v>0.05</v>
      </c>
      <c r="D570">
        <v>0.05</v>
      </c>
      <c r="E570" s="106">
        <v>0.15</v>
      </c>
      <c r="F570" s="106">
        <v>0.05</v>
      </c>
      <c r="G570" s="106">
        <v>0.05</v>
      </c>
    </row>
    <row r="571" spans="1:7" x14ac:dyDescent="0.2">
      <c r="A571">
        <v>6551</v>
      </c>
      <c r="B571" s="106" t="s">
        <v>1350</v>
      </c>
      <c r="C571">
        <v>0.05</v>
      </c>
      <c r="D571">
        <v>0</v>
      </c>
      <c r="E571" s="106">
        <v>0</v>
      </c>
      <c r="F571" s="106">
        <v>0</v>
      </c>
      <c r="G571" s="106">
        <v>0</v>
      </c>
    </row>
    <row r="572" spans="1:7" x14ac:dyDescent="0.2">
      <c r="A572">
        <v>6552</v>
      </c>
      <c r="B572" s="106" t="s">
        <v>1351</v>
      </c>
      <c r="C572">
        <v>0</v>
      </c>
      <c r="D572">
        <v>0</v>
      </c>
      <c r="E572" s="106">
        <v>0</v>
      </c>
      <c r="F572">
        <v>0</v>
      </c>
      <c r="G572">
        <v>0</v>
      </c>
    </row>
    <row r="573" spans="1:7" x14ac:dyDescent="0.2">
      <c r="A573">
        <v>6586</v>
      </c>
      <c r="B573" s="106" t="s">
        <v>1352</v>
      </c>
      <c r="C573">
        <v>0</v>
      </c>
      <c r="D573">
        <v>0</v>
      </c>
      <c r="E573" s="106">
        <v>0</v>
      </c>
      <c r="F573">
        <v>0</v>
      </c>
      <c r="G573">
        <v>0</v>
      </c>
    </row>
    <row r="574" spans="1:7" x14ac:dyDescent="0.2">
      <c r="A574">
        <v>6588</v>
      </c>
      <c r="B574" s="106" t="s">
        <v>712</v>
      </c>
      <c r="C574">
        <v>0.05</v>
      </c>
      <c r="D574">
        <v>0.1</v>
      </c>
      <c r="E574">
        <v>0.3</v>
      </c>
      <c r="F574">
        <v>0.1</v>
      </c>
      <c r="G574">
        <v>0.1</v>
      </c>
    </row>
    <row r="575" spans="1:7" x14ac:dyDescent="0.2">
      <c r="A575">
        <v>6617</v>
      </c>
      <c r="B575" s="106" t="s">
        <v>2519</v>
      </c>
      <c r="C575">
        <v>0.05</v>
      </c>
      <c r="D575" s="106" t="s">
        <v>171</v>
      </c>
      <c r="E575" s="106">
        <v>0.15</v>
      </c>
      <c r="F575" t="s">
        <v>171</v>
      </c>
      <c r="G575">
        <v>0.05</v>
      </c>
    </row>
    <row r="576" spans="1:7" x14ac:dyDescent="0.2">
      <c r="A576">
        <v>6619</v>
      </c>
      <c r="B576" s="106" t="s">
        <v>2286</v>
      </c>
      <c r="C576">
        <v>0</v>
      </c>
      <c r="D576">
        <v>0</v>
      </c>
      <c r="E576" s="106" t="s">
        <v>171</v>
      </c>
      <c r="F576" s="106" t="s">
        <v>171</v>
      </c>
      <c r="G576" s="106" t="s">
        <v>171</v>
      </c>
    </row>
    <row r="577" spans="1:7" x14ac:dyDescent="0.2">
      <c r="A577">
        <v>6622</v>
      </c>
      <c r="B577" s="106" t="s">
        <v>1353</v>
      </c>
      <c r="C577">
        <v>0.1</v>
      </c>
      <c r="D577">
        <v>0.1</v>
      </c>
      <c r="E577" s="106">
        <v>0.3</v>
      </c>
      <c r="F577" s="106">
        <v>0.1</v>
      </c>
      <c r="G577" s="106">
        <v>0.1</v>
      </c>
    </row>
    <row r="578" spans="1:7" x14ac:dyDescent="0.2">
      <c r="A578">
        <v>6638</v>
      </c>
      <c r="B578" s="106" t="s">
        <v>2188</v>
      </c>
      <c r="C578">
        <v>0</v>
      </c>
      <c r="D578">
        <v>0</v>
      </c>
      <c r="E578" s="106">
        <v>0</v>
      </c>
      <c r="F578" t="s">
        <v>171</v>
      </c>
      <c r="G578" s="106">
        <v>0</v>
      </c>
    </row>
    <row r="579" spans="1:7" x14ac:dyDescent="0.2">
      <c r="A579">
        <v>6640</v>
      </c>
      <c r="B579" s="106" t="s">
        <v>1354</v>
      </c>
      <c r="C579">
        <v>0.15</v>
      </c>
      <c r="D579">
        <v>0.1</v>
      </c>
      <c r="E579">
        <v>0.6</v>
      </c>
      <c r="F579" s="106">
        <v>0.1</v>
      </c>
      <c r="G579">
        <v>0.1</v>
      </c>
    </row>
    <row r="580" spans="1:7" x14ac:dyDescent="0.2">
      <c r="A580">
        <v>6641</v>
      </c>
      <c r="B580" s="106" t="s">
        <v>1355</v>
      </c>
      <c r="C580">
        <v>0.05</v>
      </c>
      <c r="D580">
        <v>0.05</v>
      </c>
      <c r="E580">
        <v>0.15</v>
      </c>
      <c r="F580">
        <v>0.05</v>
      </c>
      <c r="G580">
        <v>0.05</v>
      </c>
    </row>
    <row r="581" spans="1:7" x14ac:dyDescent="0.2">
      <c r="A581">
        <v>6645</v>
      </c>
      <c r="B581" s="106" t="s">
        <v>1356</v>
      </c>
      <c r="C581">
        <v>0.15</v>
      </c>
      <c r="D581">
        <v>0.15</v>
      </c>
      <c r="E581">
        <v>0.45</v>
      </c>
      <c r="F581">
        <v>0.15</v>
      </c>
      <c r="G581">
        <v>0.15</v>
      </c>
    </row>
    <row r="582" spans="1:7" x14ac:dyDescent="0.2">
      <c r="A582">
        <v>6652</v>
      </c>
      <c r="B582" s="106" t="s">
        <v>1357</v>
      </c>
      <c r="C582">
        <v>0.05</v>
      </c>
      <c r="D582">
        <v>0.05</v>
      </c>
      <c r="E582">
        <v>0.15</v>
      </c>
      <c r="F582">
        <v>0.05</v>
      </c>
      <c r="G582">
        <v>0.05</v>
      </c>
    </row>
    <row r="583" spans="1:7" x14ac:dyDescent="0.2">
      <c r="A583">
        <v>6653</v>
      </c>
      <c r="B583" s="106" t="s">
        <v>1358</v>
      </c>
      <c r="C583">
        <v>0</v>
      </c>
      <c r="D583">
        <v>0</v>
      </c>
      <c r="E583">
        <v>0</v>
      </c>
      <c r="F583">
        <v>0</v>
      </c>
      <c r="G583">
        <v>0.05</v>
      </c>
    </row>
    <row r="584" spans="1:7" x14ac:dyDescent="0.2">
      <c r="A584">
        <v>6654</v>
      </c>
      <c r="B584" s="106" t="s">
        <v>2520</v>
      </c>
      <c r="C584">
        <v>0</v>
      </c>
      <c r="D584" t="s">
        <v>171</v>
      </c>
      <c r="E584">
        <v>0</v>
      </c>
      <c r="F584" s="106" t="s">
        <v>171</v>
      </c>
      <c r="G584" t="s">
        <v>171</v>
      </c>
    </row>
    <row r="585" spans="1:7" x14ac:dyDescent="0.2">
      <c r="A585">
        <v>6674</v>
      </c>
      <c r="B585" s="106" t="s">
        <v>258</v>
      </c>
      <c r="C585">
        <v>0</v>
      </c>
      <c r="D585">
        <v>0</v>
      </c>
      <c r="E585" s="106">
        <v>0</v>
      </c>
      <c r="F585" s="106">
        <v>0</v>
      </c>
      <c r="G585" s="106">
        <v>0</v>
      </c>
    </row>
    <row r="586" spans="1:7" x14ac:dyDescent="0.2">
      <c r="A586">
        <v>6676</v>
      </c>
      <c r="B586" s="106" t="s">
        <v>1359</v>
      </c>
      <c r="C586">
        <v>0</v>
      </c>
      <c r="D586">
        <v>0</v>
      </c>
      <c r="E586">
        <v>0</v>
      </c>
      <c r="F586">
        <v>0</v>
      </c>
      <c r="G586">
        <v>0</v>
      </c>
    </row>
    <row r="587" spans="1:7" x14ac:dyDescent="0.2">
      <c r="A587">
        <v>6702</v>
      </c>
      <c r="B587" s="106" t="s">
        <v>260</v>
      </c>
      <c r="C587">
        <v>0.2</v>
      </c>
      <c r="D587">
        <v>0.2</v>
      </c>
      <c r="E587">
        <v>0.6</v>
      </c>
      <c r="F587">
        <v>0.2</v>
      </c>
      <c r="G587">
        <v>0.2</v>
      </c>
    </row>
    <row r="588" spans="1:7" x14ac:dyDescent="0.2">
      <c r="A588">
        <v>6704</v>
      </c>
      <c r="B588" s="106" t="s">
        <v>1360</v>
      </c>
      <c r="C588">
        <v>0</v>
      </c>
      <c r="D588">
        <v>0</v>
      </c>
      <c r="E588">
        <v>0.15</v>
      </c>
      <c r="F588">
        <v>0</v>
      </c>
      <c r="G588">
        <v>0.05</v>
      </c>
    </row>
    <row r="589" spans="1:7" x14ac:dyDescent="0.2">
      <c r="A589">
        <v>6706</v>
      </c>
      <c r="B589" s="106" t="s">
        <v>1361</v>
      </c>
      <c r="C589">
        <v>0</v>
      </c>
      <c r="D589">
        <v>0.05</v>
      </c>
      <c r="E589">
        <v>0</v>
      </c>
      <c r="F589">
        <v>0</v>
      </c>
      <c r="G589">
        <v>0</v>
      </c>
    </row>
    <row r="590" spans="1:7" x14ac:dyDescent="0.2">
      <c r="A590">
        <v>6707</v>
      </c>
      <c r="B590" s="106" t="s">
        <v>1362</v>
      </c>
      <c r="C590">
        <v>0</v>
      </c>
      <c r="D590" s="106">
        <v>0</v>
      </c>
      <c r="E590">
        <v>0</v>
      </c>
      <c r="F590">
        <v>0.1</v>
      </c>
      <c r="G590">
        <v>0</v>
      </c>
    </row>
    <row r="591" spans="1:7" x14ac:dyDescent="0.2">
      <c r="A591">
        <v>6715</v>
      </c>
      <c r="B591" s="106" t="s">
        <v>1363</v>
      </c>
      <c r="C591">
        <v>0</v>
      </c>
      <c r="D591" s="106">
        <v>0</v>
      </c>
      <c r="E591">
        <v>0</v>
      </c>
      <c r="F591">
        <v>0</v>
      </c>
      <c r="G591">
        <v>0</v>
      </c>
    </row>
    <row r="592" spans="1:7" x14ac:dyDescent="0.2">
      <c r="A592">
        <v>6723</v>
      </c>
      <c r="B592" s="106" t="s">
        <v>1364</v>
      </c>
      <c r="C592">
        <v>0.05</v>
      </c>
      <c r="D592">
        <v>0.05</v>
      </c>
      <c r="E592">
        <v>0.15</v>
      </c>
      <c r="F592">
        <v>0.05</v>
      </c>
      <c r="G592">
        <v>0.05</v>
      </c>
    </row>
    <row r="593" spans="1:7" x14ac:dyDescent="0.2">
      <c r="A593">
        <v>6724</v>
      </c>
      <c r="B593" s="106" t="s">
        <v>1365</v>
      </c>
      <c r="C593">
        <v>0.05</v>
      </c>
      <c r="D593">
        <v>0.05</v>
      </c>
      <c r="E593">
        <v>0.15</v>
      </c>
      <c r="F593">
        <v>0.05</v>
      </c>
      <c r="G593">
        <v>0.05</v>
      </c>
    </row>
    <row r="594" spans="1:7" x14ac:dyDescent="0.2">
      <c r="A594">
        <v>6727</v>
      </c>
      <c r="B594" s="106" t="s">
        <v>2521</v>
      </c>
      <c r="C594">
        <v>0</v>
      </c>
      <c r="D594" t="s">
        <v>171</v>
      </c>
      <c r="E594" t="s">
        <v>171</v>
      </c>
      <c r="F594" t="s">
        <v>171</v>
      </c>
      <c r="G594">
        <v>0</v>
      </c>
    </row>
    <row r="595" spans="1:7" x14ac:dyDescent="0.2">
      <c r="A595">
        <v>6742</v>
      </c>
      <c r="B595" s="106" t="s">
        <v>1366</v>
      </c>
      <c r="C595">
        <v>0</v>
      </c>
      <c r="D595">
        <v>0</v>
      </c>
      <c r="E595">
        <v>0</v>
      </c>
      <c r="F595" s="106">
        <v>0</v>
      </c>
      <c r="G595">
        <v>0</v>
      </c>
    </row>
    <row r="596" spans="1:7" x14ac:dyDescent="0.2">
      <c r="A596">
        <v>6745</v>
      </c>
      <c r="B596" s="106" t="s">
        <v>2287</v>
      </c>
      <c r="C596">
        <v>0</v>
      </c>
      <c r="D596">
        <v>0</v>
      </c>
      <c r="E596" t="s">
        <v>171</v>
      </c>
      <c r="F596">
        <v>0</v>
      </c>
      <c r="G596">
        <v>0</v>
      </c>
    </row>
    <row r="597" spans="1:7" x14ac:dyDescent="0.2">
      <c r="A597">
        <v>6748</v>
      </c>
      <c r="B597" s="106" t="s">
        <v>1367</v>
      </c>
      <c r="C597">
        <v>0</v>
      </c>
      <c r="D597">
        <v>0</v>
      </c>
      <c r="E597">
        <v>0</v>
      </c>
      <c r="F597">
        <v>0</v>
      </c>
      <c r="G597">
        <v>0</v>
      </c>
    </row>
    <row r="598" spans="1:7" x14ac:dyDescent="0.2">
      <c r="A598">
        <v>6750</v>
      </c>
      <c r="B598" s="106" t="s">
        <v>1368</v>
      </c>
      <c r="C598">
        <v>0</v>
      </c>
      <c r="D598">
        <v>0</v>
      </c>
      <c r="E598" s="106">
        <v>0</v>
      </c>
      <c r="F598" s="106">
        <v>0</v>
      </c>
      <c r="G598" s="106">
        <v>0</v>
      </c>
    </row>
    <row r="599" spans="1:7" x14ac:dyDescent="0.2">
      <c r="A599">
        <v>6754</v>
      </c>
      <c r="B599" s="106" t="s">
        <v>1369</v>
      </c>
      <c r="C599">
        <v>0.05</v>
      </c>
      <c r="D599">
        <v>0</v>
      </c>
      <c r="E599">
        <v>0.15</v>
      </c>
      <c r="F599" s="106">
        <v>0.05</v>
      </c>
      <c r="G599">
        <v>0.05</v>
      </c>
    </row>
    <row r="600" spans="1:7" x14ac:dyDescent="0.2">
      <c r="A600">
        <v>6755</v>
      </c>
      <c r="B600" s="106" t="s">
        <v>903</v>
      </c>
      <c r="C600">
        <v>0.05</v>
      </c>
      <c r="D600">
        <v>0.05</v>
      </c>
      <c r="E600">
        <v>0.15</v>
      </c>
      <c r="F600">
        <v>0.05</v>
      </c>
      <c r="G600">
        <v>0.05</v>
      </c>
    </row>
    <row r="601" spans="1:7" x14ac:dyDescent="0.2">
      <c r="A601">
        <v>6762</v>
      </c>
      <c r="B601" s="106" t="s">
        <v>1370</v>
      </c>
      <c r="C601">
        <v>0.2</v>
      </c>
      <c r="D601">
        <v>0.2</v>
      </c>
      <c r="E601">
        <v>0.6</v>
      </c>
      <c r="F601">
        <v>0.25</v>
      </c>
      <c r="G601">
        <v>0.25</v>
      </c>
    </row>
    <row r="602" spans="1:7" x14ac:dyDescent="0.2">
      <c r="A602">
        <v>6763</v>
      </c>
      <c r="B602" s="106" t="s">
        <v>1371</v>
      </c>
      <c r="C602">
        <v>0.05</v>
      </c>
      <c r="D602" s="106">
        <v>0.05</v>
      </c>
      <c r="E602">
        <v>0.15</v>
      </c>
      <c r="F602" s="106">
        <v>0.05</v>
      </c>
      <c r="G602">
        <v>0.05</v>
      </c>
    </row>
    <row r="603" spans="1:7" x14ac:dyDescent="0.2">
      <c r="A603">
        <v>6768</v>
      </c>
      <c r="B603" s="106" t="s">
        <v>2288</v>
      </c>
      <c r="C603">
        <v>0</v>
      </c>
      <c r="D603" s="106">
        <v>0</v>
      </c>
      <c r="E603" s="106" t="s">
        <v>171</v>
      </c>
      <c r="F603" s="106">
        <v>0</v>
      </c>
      <c r="G603" s="106">
        <v>0</v>
      </c>
    </row>
    <row r="604" spans="1:7" x14ac:dyDescent="0.2">
      <c r="A604">
        <v>6770</v>
      </c>
      <c r="B604" s="106" t="s">
        <v>25</v>
      </c>
      <c r="C604">
        <v>0.05</v>
      </c>
      <c r="D604" s="106">
        <v>0.05</v>
      </c>
      <c r="E604" s="106">
        <v>0.15</v>
      </c>
      <c r="F604" s="106">
        <v>0.05</v>
      </c>
      <c r="G604" s="106">
        <v>0.05</v>
      </c>
    </row>
    <row r="605" spans="1:7" x14ac:dyDescent="0.2">
      <c r="A605">
        <v>6785</v>
      </c>
      <c r="B605" s="106" t="s">
        <v>1372</v>
      </c>
      <c r="C605">
        <v>0.05</v>
      </c>
      <c r="D605">
        <v>0</v>
      </c>
      <c r="E605">
        <v>0.15</v>
      </c>
      <c r="F605">
        <v>0</v>
      </c>
      <c r="G605">
        <v>0.05</v>
      </c>
    </row>
    <row r="606" spans="1:7" x14ac:dyDescent="0.2">
      <c r="A606">
        <v>6789</v>
      </c>
      <c r="B606" s="106" t="s">
        <v>2522</v>
      </c>
      <c r="C606">
        <v>0</v>
      </c>
      <c r="D606" t="s">
        <v>171</v>
      </c>
      <c r="E606" t="s">
        <v>171</v>
      </c>
      <c r="F606" t="s">
        <v>171</v>
      </c>
      <c r="G606" t="s">
        <v>171</v>
      </c>
    </row>
    <row r="607" spans="1:7" x14ac:dyDescent="0.2">
      <c r="A607">
        <v>6794</v>
      </c>
      <c r="B607" s="106" t="s">
        <v>1373</v>
      </c>
      <c r="C607">
        <v>0.05</v>
      </c>
      <c r="D607">
        <v>0.05</v>
      </c>
      <c r="E607" s="106">
        <v>0.15</v>
      </c>
      <c r="F607" s="106">
        <v>0.05</v>
      </c>
      <c r="G607">
        <v>0.05</v>
      </c>
    </row>
    <row r="608" spans="1:7" x14ac:dyDescent="0.2">
      <c r="A608">
        <v>6798</v>
      </c>
      <c r="B608" s="106" t="s">
        <v>1374</v>
      </c>
      <c r="C608">
        <v>0.05</v>
      </c>
      <c r="D608">
        <v>0.05</v>
      </c>
      <c r="E608" s="106">
        <v>0.15</v>
      </c>
      <c r="F608" s="106">
        <v>0.05</v>
      </c>
      <c r="G608" s="106">
        <v>0.05</v>
      </c>
    </row>
    <row r="609" spans="1:7" x14ac:dyDescent="0.2">
      <c r="A609">
        <v>6803</v>
      </c>
      <c r="B609" s="106" t="s">
        <v>2189</v>
      </c>
      <c r="C609">
        <v>0</v>
      </c>
      <c r="D609">
        <v>0.05</v>
      </c>
      <c r="E609">
        <v>0</v>
      </c>
      <c r="F609">
        <v>0.05</v>
      </c>
      <c r="G609" t="s">
        <v>171</v>
      </c>
    </row>
    <row r="610" spans="1:7" x14ac:dyDescent="0.2">
      <c r="A610">
        <v>6804</v>
      </c>
      <c r="B610" s="106" t="s">
        <v>1375</v>
      </c>
      <c r="C610">
        <v>0.05</v>
      </c>
      <c r="D610">
        <v>0.05</v>
      </c>
      <c r="E610">
        <v>0.15</v>
      </c>
      <c r="F610">
        <v>0.05</v>
      </c>
      <c r="G610">
        <v>0.05</v>
      </c>
    </row>
    <row r="611" spans="1:7" x14ac:dyDescent="0.2">
      <c r="A611">
        <v>6806</v>
      </c>
      <c r="B611" s="106" t="s">
        <v>1376</v>
      </c>
      <c r="C611">
        <v>0.25</v>
      </c>
      <c r="D611">
        <v>0.25</v>
      </c>
      <c r="E611">
        <v>0.75</v>
      </c>
      <c r="F611">
        <v>0.25</v>
      </c>
      <c r="G611">
        <v>0.25</v>
      </c>
    </row>
    <row r="612" spans="1:7" x14ac:dyDescent="0.2">
      <c r="A612">
        <v>6807</v>
      </c>
      <c r="B612" s="106" t="s">
        <v>263</v>
      </c>
      <c r="C612">
        <v>0.05</v>
      </c>
      <c r="D612">
        <v>0.05</v>
      </c>
      <c r="E612">
        <v>0.15</v>
      </c>
      <c r="F612">
        <v>0.05</v>
      </c>
      <c r="G612">
        <v>0.05</v>
      </c>
    </row>
    <row r="613" spans="1:7" x14ac:dyDescent="0.2">
      <c r="A613">
        <v>6814</v>
      </c>
      <c r="B613" s="106" t="s">
        <v>1377</v>
      </c>
      <c r="C613">
        <v>0.05</v>
      </c>
      <c r="D613">
        <v>0.05</v>
      </c>
      <c r="E613">
        <v>0.15</v>
      </c>
      <c r="F613" t="s">
        <v>171</v>
      </c>
      <c r="G613">
        <v>0.05</v>
      </c>
    </row>
    <row r="614" spans="1:7" x14ac:dyDescent="0.2">
      <c r="A614">
        <v>6817</v>
      </c>
      <c r="B614" s="106" t="s">
        <v>1378</v>
      </c>
      <c r="C614">
        <v>0</v>
      </c>
      <c r="D614">
        <v>0</v>
      </c>
      <c r="E614">
        <v>0</v>
      </c>
      <c r="F614">
        <v>0</v>
      </c>
      <c r="G614">
        <v>0</v>
      </c>
    </row>
    <row r="615" spans="1:7" x14ac:dyDescent="0.2">
      <c r="A615">
        <v>6823</v>
      </c>
      <c r="B615" s="106" t="s">
        <v>1379</v>
      </c>
      <c r="C615">
        <v>0.05</v>
      </c>
      <c r="D615">
        <v>0.05</v>
      </c>
      <c r="E615">
        <v>0.15</v>
      </c>
      <c r="F615">
        <v>0.05</v>
      </c>
      <c r="G615">
        <v>0</v>
      </c>
    </row>
    <row r="616" spans="1:7" x14ac:dyDescent="0.2">
      <c r="A616">
        <v>6839</v>
      </c>
      <c r="B616" s="106" t="s">
        <v>1380</v>
      </c>
      <c r="C616">
        <v>0.05</v>
      </c>
      <c r="D616">
        <v>0.05</v>
      </c>
      <c r="E616">
        <v>0.15</v>
      </c>
      <c r="F616">
        <v>0.05</v>
      </c>
      <c r="G616">
        <v>0.05</v>
      </c>
    </row>
    <row r="617" spans="1:7" x14ac:dyDescent="0.2">
      <c r="A617">
        <v>6845</v>
      </c>
      <c r="B617" s="106" t="s">
        <v>240</v>
      </c>
      <c r="C617">
        <v>0.1</v>
      </c>
      <c r="D617">
        <v>0.05</v>
      </c>
      <c r="E617">
        <v>0.15</v>
      </c>
      <c r="F617">
        <v>0.05</v>
      </c>
      <c r="G617">
        <v>0.05</v>
      </c>
    </row>
    <row r="618" spans="1:7" x14ac:dyDescent="0.2">
      <c r="A618">
        <v>6848</v>
      </c>
      <c r="B618" s="106" t="s">
        <v>1381</v>
      </c>
      <c r="C618">
        <v>0.05</v>
      </c>
      <c r="D618" s="106">
        <v>0.05</v>
      </c>
      <c r="E618">
        <v>0.15</v>
      </c>
      <c r="F618" s="106">
        <v>0.05</v>
      </c>
      <c r="G618" s="106">
        <v>0.05</v>
      </c>
    </row>
    <row r="619" spans="1:7" x14ac:dyDescent="0.2">
      <c r="A619">
        <v>6850</v>
      </c>
      <c r="B619" s="106" t="s">
        <v>2190</v>
      </c>
      <c r="C619">
        <v>0</v>
      </c>
      <c r="D619">
        <v>0</v>
      </c>
      <c r="E619">
        <v>0</v>
      </c>
      <c r="F619">
        <v>0</v>
      </c>
      <c r="G619" t="s">
        <v>171</v>
      </c>
    </row>
    <row r="620" spans="1:7" x14ac:dyDescent="0.2">
      <c r="A620">
        <v>6853</v>
      </c>
      <c r="B620" s="106" t="s">
        <v>2523</v>
      </c>
      <c r="C620">
        <v>0</v>
      </c>
      <c r="D620" t="s">
        <v>171</v>
      </c>
      <c r="E620">
        <v>0.15</v>
      </c>
      <c r="F620">
        <v>0.05</v>
      </c>
      <c r="G620">
        <v>0.05</v>
      </c>
    </row>
    <row r="621" spans="1:7" x14ac:dyDescent="0.2">
      <c r="A621">
        <v>6856</v>
      </c>
      <c r="B621" s="106" t="s">
        <v>259</v>
      </c>
      <c r="C621">
        <v>0.15</v>
      </c>
      <c r="D621" s="106">
        <v>0.15</v>
      </c>
      <c r="E621">
        <v>0.45</v>
      </c>
      <c r="F621">
        <v>0.15</v>
      </c>
      <c r="G621">
        <v>0.15</v>
      </c>
    </row>
    <row r="622" spans="1:7" x14ac:dyDescent="0.2">
      <c r="A622">
        <v>6857</v>
      </c>
      <c r="B622" s="106" t="s">
        <v>1382</v>
      </c>
      <c r="C622">
        <v>0.1</v>
      </c>
      <c r="D622">
        <v>0.1</v>
      </c>
      <c r="E622">
        <v>0.3</v>
      </c>
      <c r="F622">
        <v>0.1</v>
      </c>
      <c r="G622">
        <v>0.1</v>
      </c>
    </row>
    <row r="623" spans="1:7" x14ac:dyDescent="0.2">
      <c r="A623">
        <v>6861</v>
      </c>
      <c r="B623" s="106" t="s">
        <v>1383</v>
      </c>
      <c r="C623">
        <v>0.65</v>
      </c>
      <c r="D623">
        <v>0.65</v>
      </c>
      <c r="E623">
        <v>1.95</v>
      </c>
      <c r="F623">
        <v>0.7</v>
      </c>
      <c r="G623">
        <v>0.7</v>
      </c>
    </row>
    <row r="624" spans="1:7" x14ac:dyDescent="0.2">
      <c r="A624">
        <v>6871</v>
      </c>
      <c r="B624" s="106" t="s">
        <v>1384</v>
      </c>
      <c r="C624">
        <v>0.05</v>
      </c>
      <c r="D624">
        <v>0.05</v>
      </c>
      <c r="E624">
        <v>0.15</v>
      </c>
      <c r="F624">
        <v>0.05</v>
      </c>
      <c r="G624">
        <v>0.05</v>
      </c>
    </row>
    <row r="625" spans="1:7" x14ac:dyDescent="0.2">
      <c r="A625">
        <v>6875</v>
      </c>
      <c r="B625" s="106" t="s">
        <v>1385</v>
      </c>
      <c r="C625">
        <v>0</v>
      </c>
      <c r="D625">
        <v>0</v>
      </c>
      <c r="E625">
        <v>0</v>
      </c>
      <c r="F625" s="106">
        <v>0</v>
      </c>
      <c r="G625" s="106">
        <v>0</v>
      </c>
    </row>
    <row r="626" spans="1:7" x14ac:dyDescent="0.2">
      <c r="A626">
        <v>6879</v>
      </c>
      <c r="B626" s="106" t="s">
        <v>1386</v>
      </c>
      <c r="C626">
        <v>0</v>
      </c>
      <c r="D626">
        <v>0</v>
      </c>
      <c r="E626">
        <v>0</v>
      </c>
      <c r="F626" s="106">
        <v>0</v>
      </c>
      <c r="G626" s="106">
        <v>0</v>
      </c>
    </row>
    <row r="627" spans="1:7" x14ac:dyDescent="0.2">
      <c r="A627">
        <v>6902</v>
      </c>
      <c r="B627" s="106" t="s">
        <v>1387</v>
      </c>
      <c r="C627">
        <v>0</v>
      </c>
      <c r="D627">
        <v>0</v>
      </c>
      <c r="E627">
        <v>0.3</v>
      </c>
      <c r="F627">
        <v>0.1</v>
      </c>
      <c r="G627">
        <v>0</v>
      </c>
    </row>
    <row r="628" spans="1:7" x14ac:dyDescent="0.2">
      <c r="A628">
        <v>6915</v>
      </c>
      <c r="B628" s="106" t="s">
        <v>1388</v>
      </c>
      <c r="C628">
        <v>0.05</v>
      </c>
      <c r="D628">
        <v>0.05</v>
      </c>
      <c r="E628">
        <v>0</v>
      </c>
      <c r="F628">
        <v>0.05</v>
      </c>
      <c r="G628">
        <v>0</v>
      </c>
    </row>
    <row r="629" spans="1:7" x14ac:dyDescent="0.2">
      <c r="A629">
        <v>6916</v>
      </c>
      <c r="B629" s="106" t="s">
        <v>1389</v>
      </c>
      <c r="C629">
        <v>0</v>
      </c>
      <c r="D629">
        <v>0</v>
      </c>
      <c r="E629">
        <v>0</v>
      </c>
      <c r="F629">
        <v>0</v>
      </c>
      <c r="G629">
        <v>0</v>
      </c>
    </row>
    <row r="630" spans="1:7" x14ac:dyDescent="0.2">
      <c r="A630">
        <v>6920</v>
      </c>
      <c r="B630" s="106" t="s">
        <v>50</v>
      </c>
      <c r="C630">
        <v>0</v>
      </c>
      <c r="D630" s="106">
        <v>0</v>
      </c>
      <c r="E630">
        <v>0</v>
      </c>
      <c r="F630" t="s">
        <v>171</v>
      </c>
      <c r="G630">
        <v>0</v>
      </c>
    </row>
    <row r="631" spans="1:7" x14ac:dyDescent="0.2">
      <c r="A631">
        <v>6923</v>
      </c>
      <c r="B631" s="106" t="s">
        <v>66</v>
      </c>
      <c r="C631">
        <v>0.05</v>
      </c>
      <c r="D631" s="106">
        <v>0.05</v>
      </c>
      <c r="E631" s="106">
        <v>0.15</v>
      </c>
      <c r="F631" s="106">
        <v>0.05</v>
      </c>
      <c r="G631" s="106">
        <v>0.05</v>
      </c>
    </row>
    <row r="632" spans="1:7" x14ac:dyDescent="0.2">
      <c r="A632">
        <v>6926</v>
      </c>
      <c r="B632" s="106" t="s">
        <v>1390</v>
      </c>
      <c r="C632">
        <v>0.05</v>
      </c>
      <c r="D632" s="106">
        <v>0.05</v>
      </c>
      <c r="E632" s="106">
        <v>0.15</v>
      </c>
      <c r="F632" s="106">
        <v>0.05</v>
      </c>
      <c r="G632" s="106">
        <v>0.05</v>
      </c>
    </row>
    <row r="633" spans="1:7" x14ac:dyDescent="0.2">
      <c r="A633">
        <v>6941</v>
      </c>
      <c r="B633" s="106" t="s">
        <v>1391</v>
      </c>
      <c r="C633">
        <v>0.05</v>
      </c>
      <c r="D633">
        <v>0.05</v>
      </c>
      <c r="E633" s="106">
        <v>0.15</v>
      </c>
      <c r="F633">
        <v>0.05</v>
      </c>
      <c r="G633" s="106">
        <v>0.05</v>
      </c>
    </row>
    <row r="634" spans="1:7" x14ac:dyDescent="0.2">
      <c r="A634">
        <v>6947</v>
      </c>
      <c r="B634" s="106" t="s">
        <v>1392</v>
      </c>
      <c r="C634">
        <v>0.05</v>
      </c>
      <c r="D634">
        <v>0.05</v>
      </c>
      <c r="E634">
        <v>0.15</v>
      </c>
      <c r="F634">
        <v>0.05</v>
      </c>
      <c r="G634">
        <v>0.05</v>
      </c>
    </row>
    <row r="635" spans="1:7" x14ac:dyDescent="0.2">
      <c r="A635">
        <v>6951</v>
      </c>
      <c r="B635" s="106" t="s">
        <v>251</v>
      </c>
      <c r="C635">
        <v>0.1</v>
      </c>
      <c r="D635">
        <v>0.1</v>
      </c>
      <c r="E635">
        <v>0.3</v>
      </c>
      <c r="F635">
        <v>0.1</v>
      </c>
      <c r="G635">
        <v>0.1</v>
      </c>
    </row>
    <row r="636" spans="1:7" x14ac:dyDescent="0.2">
      <c r="A636">
        <v>6952</v>
      </c>
      <c r="B636" s="106" t="s">
        <v>714</v>
      </c>
      <c r="C636">
        <v>0.05</v>
      </c>
      <c r="D636" s="106">
        <v>0.05</v>
      </c>
      <c r="E636" s="106">
        <v>0.15</v>
      </c>
      <c r="F636" s="106">
        <v>0.05</v>
      </c>
      <c r="G636" s="106">
        <v>0.05</v>
      </c>
    </row>
    <row r="637" spans="1:7" x14ac:dyDescent="0.2">
      <c r="A637">
        <v>6958</v>
      </c>
      <c r="B637" s="106" t="s">
        <v>1393</v>
      </c>
      <c r="C637">
        <v>0.05</v>
      </c>
      <c r="D637" s="106">
        <v>0.05</v>
      </c>
      <c r="E637" s="106">
        <v>0.15</v>
      </c>
      <c r="F637" s="106">
        <v>0.05</v>
      </c>
      <c r="G637" s="106">
        <v>0.05</v>
      </c>
    </row>
    <row r="638" spans="1:7" x14ac:dyDescent="0.2">
      <c r="A638">
        <v>6961</v>
      </c>
      <c r="B638" s="106" t="s">
        <v>1394</v>
      </c>
      <c r="C638">
        <v>0</v>
      </c>
      <c r="D638">
        <v>0</v>
      </c>
      <c r="E638">
        <v>0</v>
      </c>
      <c r="F638">
        <v>0</v>
      </c>
      <c r="G638">
        <v>0</v>
      </c>
    </row>
    <row r="639" spans="1:7" x14ac:dyDescent="0.2">
      <c r="A639">
        <v>6962</v>
      </c>
      <c r="B639" s="106" t="s">
        <v>1395</v>
      </c>
      <c r="C639">
        <v>0.5</v>
      </c>
      <c r="D639">
        <v>0.5</v>
      </c>
      <c r="E639">
        <v>1.5</v>
      </c>
      <c r="F639">
        <v>0.5</v>
      </c>
      <c r="G639">
        <v>0.5</v>
      </c>
    </row>
    <row r="640" spans="1:7" x14ac:dyDescent="0.2">
      <c r="A640">
        <v>6965</v>
      </c>
      <c r="B640" s="106" t="s">
        <v>717</v>
      </c>
      <c r="C640">
        <v>0</v>
      </c>
      <c r="D640">
        <v>0</v>
      </c>
      <c r="E640">
        <v>0</v>
      </c>
      <c r="F640">
        <v>0</v>
      </c>
      <c r="G640" t="s">
        <v>171</v>
      </c>
    </row>
    <row r="641" spans="1:7" x14ac:dyDescent="0.2">
      <c r="A641">
        <v>6966</v>
      </c>
      <c r="B641" s="106" t="s">
        <v>2524</v>
      </c>
      <c r="C641">
        <v>0</v>
      </c>
      <c r="D641" t="s">
        <v>171</v>
      </c>
      <c r="E641" t="s">
        <v>171</v>
      </c>
      <c r="F641" t="s">
        <v>171</v>
      </c>
      <c r="G641" t="s">
        <v>171</v>
      </c>
    </row>
    <row r="642" spans="1:7" x14ac:dyDescent="0.2">
      <c r="A642">
        <v>6967</v>
      </c>
      <c r="B642" s="106" t="s">
        <v>1396</v>
      </c>
      <c r="C642">
        <v>0.05</v>
      </c>
      <c r="D642">
        <v>0.05</v>
      </c>
      <c r="E642" s="106">
        <v>0.15</v>
      </c>
      <c r="F642" s="106">
        <v>0.05</v>
      </c>
      <c r="G642" s="106">
        <v>0.05</v>
      </c>
    </row>
    <row r="643" spans="1:7" x14ac:dyDescent="0.2">
      <c r="A643">
        <v>6971</v>
      </c>
      <c r="B643" s="106" t="s">
        <v>1397</v>
      </c>
      <c r="C643">
        <v>0.15</v>
      </c>
      <c r="D643">
        <v>0.15</v>
      </c>
      <c r="E643" s="106">
        <v>0.45</v>
      </c>
      <c r="F643" s="106">
        <v>0.15</v>
      </c>
      <c r="G643" s="106">
        <v>0.15</v>
      </c>
    </row>
    <row r="644" spans="1:7" x14ac:dyDescent="0.2">
      <c r="A644">
        <v>6976</v>
      </c>
      <c r="B644" s="106" t="s">
        <v>1398</v>
      </c>
      <c r="C644">
        <v>0.1</v>
      </c>
      <c r="D644">
        <v>0.1</v>
      </c>
      <c r="E644">
        <v>0.3</v>
      </c>
      <c r="F644">
        <v>0.1</v>
      </c>
      <c r="G644">
        <v>0.1</v>
      </c>
    </row>
    <row r="645" spans="1:7" x14ac:dyDescent="0.2">
      <c r="A645">
        <v>6981</v>
      </c>
      <c r="B645" s="106" t="s">
        <v>2191</v>
      </c>
      <c r="C645">
        <v>0</v>
      </c>
      <c r="D645" s="106">
        <v>0</v>
      </c>
      <c r="E645">
        <v>0</v>
      </c>
      <c r="F645">
        <v>0</v>
      </c>
      <c r="G645" t="s">
        <v>171</v>
      </c>
    </row>
    <row r="646" spans="1:7" x14ac:dyDescent="0.2">
      <c r="A646">
        <v>6986</v>
      </c>
      <c r="B646" s="106" t="s">
        <v>1399</v>
      </c>
      <c r="C646">
        <v>0</v>
      </c>
      <c r="D646" s="106">
        <v>0</v>
      </c>
      <c r="E646">
        <v>0</v>
      </c>
      <c r="F646">
        <v>0</v>
      </c>
      <c r="G646">
        <v>0</v>
      </c>
    </row>
    <row r="647" spans="1:7" x14ac:dyDescent="0.2">
      <c r="A647">
        <v>6988</v>
      </c>
      <c r="B647" s="106" t="s">
        <v>78</v>
      </c>
      <c r="C647">
        <v>0.1</v>
      </c>
      <c r="D647">
        <v>0.1</v>
      </c>
      <c r="E647">
        <v>0.3</v>
      </c>
      <c r="F647">
        <v>0.1</v>
      </c>
      <c r="G647">
        <v>0.1</v>
      </c>
    </row>
    <row r="648" spans="1:7" x14ac:dyDescent="0.2">
      <c r="A648">
        <v>6989</v>
      </c>
      <c r="B648" s="106" t="s">
        <v>1400</v>
      </c>
      <c r="C648">
        <v>0</v>
      </c>
      <c r="D648">
        <v>0</v>
      </c>
      <c r="E648">
        <v>0</v>
      </c>
      <c r="F648">
        <v>0</v>
      </c>
      <c r="G648">
        <v>0</v>
      </c>
    </row>
    <row r="649" spans="1:7" x14ac:dyDescent="0.2">
      <c r="A649">
        <v>6995</v>
      </c>
      <c r="B649" s="106" t="s">
        <v>54</v>
      </c>
      <c r="C649">
        <v>0.05</v>
      </c>
      <c r="D649">
        <v>0.05</v>
      </c>
      <c r="E649">
        <v>0.15</v>
      </c>
      <c r="F649">
        <v>0.05</v>
      </c>
      <c r="G649">
        <v>0.05</v>
      </c>
    </row>
    <row r="650" spans="1:7" x14ac:dyDescent="0.2">
      <c r="A650">
        <v>6997</v>
      </c>
      <c r="B650" s="106" t="s">
        <v>2525</v>
      </c>
      <c r="C650">
        <v>0</v>
      </c>
      <c r="D650" t="s">
        <v>171</v>
      </c>
      <c r="E650" t="s">
        <v>171</v>
      </c>
      <c r="F650">
        <v>0</v>
      </c>
      <c r="G650">
        <v>0</v>
      </c>
    </row>
    <row r="651" spans="1:7" x14ac:dyDescent="0.2">
      <c r="A651">
        <v>7003</v>
      </c>
      <c r="B651" s="106" t="s">
        <v>1401</v>
      </c>
      <c r="C651">
        <v>0.05</v>
      </c>
      <c r="D651">
        <v>0.05</v>
      </c>
      <c r="E651">
        <v>0.15</v>
      </c>
      <c r="F651">
        <v>0.05</v>
      </c>
      <c r="G651">
        <v>0.05</v>
      </c>
    </row>
    <row r="652" spans="1:7" x14ac:dyDescent="0.2">
      <c r="A652">
        <v>7012</v>
      </c>
      <c r="B652" s="106" t="s">
        <v>1402</v>
      </c>
      <c r="C652">
        <v>0</v>
      </c>
      <c r="D652">
        <v>0.05</v>
      </c>
      <c r="E652">
        <v>0.15</v>
      </c>
      <c r="F652">
        <v>0.05</v>
      </c>
      <c r="G652">
        <v>0.05</v>
      </c>
    </row>
    <row r="653" spans="1:7" x14ac:dyDescent="0.2">
      <c r="A653">
        <v>7014</v>
      </c>
      <c r="B653" s="106" t="s">
        <v>1403</v>
      </c>
      <c r="C653">
        <v>0</v>
      </c>
      <c r="D653">
        <v>0</v>
      </c>
      <c r="E653">
        <v>0</v>
      </c>
      <c r="F653">
        <v>0</v>
      </c>
      <c r="G653">
        <v>0</v>
      </c>
    </row>
    <row r="654" spans="1:7" x14ac:dyDescent="0.2">
      <c r="A654">
        <v>7030</v>
      </c>
      <c r="B654" s="106" t="s">
        <v>1404</v>
      </c>
      <c r="C654">
        <v>0</v>
      </c>
      <c r="D654">
        <v>0</v>
      </c>
      <c r="E654">
        <v>0</v>
      </c>
      <c r="F654">
        <v>0</v>
      </c>
      <c r="G654" s="106">
        <v>0</v>
      </c>
    </row>
    <row r="655" spans="1:7" x14ac:dyDescent="0.2">
      <c r="A655">
        <v>7102</v>
      </c>
      <c r="B655" s="106" t="s">
        <v>1405</v>
      </c>
      <c r="C655">
        <v>0.1</v>
      </c>
      <c r="D655">
        <v>0.05</v>
      </c>
      <c r="E655" s="106">
        <v>0.15</v>
      </c>
      <c r="F655">
        <v>0.05</v>
      </c>
      <c r="G655">
        <v>0.05</v>
      </c>
    </row>
    <row r="656" spans="1:7" x14ac:dyDescent="0.2">
      <c r="A656">
        <v>7105</v>
      </c>
      <c r="B656" s="106" t="s">
        <v>1406</v>
      </c>
      <c r="C656">
        <v>0.25</v>
      </c>
      <c r="D656">
        <v>0.05</v>
      </c>
      <c r="E656" s="106">
        <v>0.15</v>
      </c>
      <c r="F656">
        <v>0.05</v>
      </c>
      <c r="G656">
        <v>0.05</v>
      </c>
    </row>
    <row r="657" spans="1:7" x14ac:dyDescent="0.2">
      <c r="A657">
        <v>7150</v>
      </c>
      <c r="B657" s="106" t="s">
        <v>1407</v>
      </c>
      <c r="C657">
        <v>0</v>
      </c>
      <c r="D657">
        <v>0</v>
      </c>
      <c r="E657">
        <v>0</v>
      </c>
      <c r="F657">
        <v>0</v>
      </c>
      <c r="G657">
        <v>0</v>
      </c>
    </row>
    <row r="658" spans="1:7" x14ac:dyDescent="0.2">
      <c r="A658">
        <v>7164</v>
      </c>
      <c r="B658" s="106" t="s">
        <v>1408</v>
      </c>
      <c r="C658">
        <v>0</v>
      </c>
      <c r="D658">
        <v>0</v>
      </c>
      <c r="E658">
        <v>0</v>
      </c>
      <c r="F658">
        <v>0</v>
      </c>
      <c r="G658">
        <v>0</v>
      </c>
    </row>
    <row r="659" spans="1:7" x14ac:dyDescent="0.2">
      <c r="A659">
        <v>7173</v>
      </c>
      <c r="B659" s="106" t="s">
        <v>1409</v>
      </c>
      <c r="C659">
        <v>0</v>
      </c>
      <c r="D659">
        <v>0</v>
      </c>
      <c r="E659">
        <v>0</v>
      </c>
      <c r="F659">
        <v>0</v>
      </c>
      <c r="G659">
        <v>0</v>
      </c>
    </row>
    <row r="660" spans="1:7" x14ac:dyDescent="0.2">
      <c r="A660">
        <v>7180</v>
      </c>
      <c r="B660" s="106" t="s">
        <v>2526</v>
      </c>
      <c r="C660">
        <v>0</v>
      </c>
      <c r="D660" s="106" t="s">
        <v>171</v>
      </c>
      <c r="E660">
        <v>0</v>
      </c>
      <c r="F660" s="106">
        <v>0</v>
      </c>
      <c r="G660">
        <v>0</v>
      </c>
    </row>
    <row r="661" spans="1:7" x14ac:dyDescent="0.2">
      <c r="A661">
        <v>7181</v>
      </c>
      <c r="B661" s="106" t="s">
        <v>77</v>
      </c>
      <c r="C661">
        <v>0.05</v>
      </c>
      <c r="D661">
        <v>0.05</v>
      </c>
      <c r="E661">
        <v>0.15</v>
      </c>
      <c r="F661">
        <v>0.05</v>
      </c>
      <c r="G661">
        <v>0.05</v>
      </c>
    </row>
    <row r="662" spans="1:7" x14ac:dyDescent="0.2">
      <c r="A662">
        <v>7184</v>
      </c>
      <c r="B662" s="106" t="s">
        <v>1410</v>
      </c>
      <c r="C662">
        <v>0</v>
      </c>
      <c r="D662">
        <v>0</v>
      </c>
      <c r="E662">
        <v>0</v>
      </c>
      <c r="F662">
        <v>0</v>
      </c>
      <c r="G662">
        <v>0</v>
      </c>
    </row>
    <row r="663" spans="1:7" x14ac:dyDescent="0.2">
      <c r="A663">
        <v>7186</v>
      </c>
      <c r="B663" s="106" t="s">
        <v>928</v>
      </c>
      <c r="C663">
        <v>0.05</v>
      </c>
      <c r="D663">
        <v>0</v>
      </c>
      <c r="E663">
        <v>0.15</v>
      </c>
      <c r="F663">
        <v>0.05</v>
      </c>
      <c r="G663">
        <v>0.05</v>
      </c>
    </row>
    <row r="664" spans="1:7" x14ac:dyDescent="0.2">
      <c r="A664">
        <v>7187</v>
      </c>
      <c r="B664" s="106" t="s">
        <v>2527</v>
      </c>
      <c r="C664">
        <v>0</v>
      </c>
      <c r="D664" t="s">
        <v>171</v>
      </c>
      <c r="E664">
        <v>0</v>
      </c>
      <c r="F664">
        <v>0</v>
      </c>
      <c r="G664">
        <v>0</v>
      </c>
    </row>
    <row r="665" spans="1:7" x14ac:dyDescent="0.2">
      <c r="A665">
        <v>7189</v>
      </c>
      <c r="B665" s="106" t="s">
        <v>47</v>
      </c>
      <c r="C665">
        <v>0.05</v>
      </c>
      <c r="D665" s="106">
        <v>0.05</v>
      </c>
      <c r="E665">
        <v>0.15</v>
      </c>
      <c r="F665" s="106">
        <v>0.05</v>
      </c>
      <c r="G665" s="106">
        <v>0.05</v>
      </c>
    </row>
    <row r="666" spans="1:7" x14ac:dyDescent="0.2">
      <c r="A666">
        <v>7190</v>
      </c>
      <c r="B666" s="106" t="s">
        <v>1411</v>
      </c>
      <c r="C666">
        <v>0</v>
      </c>
      <c r="D666" s="106">
        <v>0</v>
      </c>
      <c r="E666" s="106">
        <v>0</v>
      </c>
      <c r="F666" s="106">
        <v>0</v>
      </c>
      <c r="G666" s="106">
        <v>0</v>
      </c>
    </row>
    <row r="667" spans="1:7" x14ac:dyDescent="0.2">
      <c r="A667">
        <v>7201</v>
      </c>
      <c r="B667" s="106" t="s">
        <v>1412</v>
      </c>
      <c r="C667">
        <v>0</v>
      </c>
      <c r="D667">
        <v>0</v>
      </c>
      <c r="E667" s="106">
        <v>0</v>
      </c>
      <c r="F667">
        <v>0</v>
      </c>
      <c r="G667" s="106">
        <v>0</v>
      </c>
    </row>
    <row r="668" spans="1:7" x14ac:dyDescent="0.2">
      <c r="A668">
        <v>7202</v>
      </c>
      <c r="B668" s="106" t="s">
        <v>1413</v>
      </c>
      <c r="C668">
        <v>0.05</v>
      </c>
      <c r="D668">
        <v>0</v>
      </c>
      <c r="E668">
        <v>0.15</v>
      </c>
      <c r="F668">
        <v>0</v>
      </c>
      <c r="G668">
        <v>0.05</v>
      </c>
    </row>
    <row r="669" spans="1:7" x14ac:dyDescent="0.2">
      <c r="A669">
        <v>7203</v>
      </c>
      <c r="B669" s="106" t="s">
        <v>257</v>
      </c>
      <c r="C669">
        <v>0.15</v>
      </c>
      <c r="D669">
        <v>0.15</v>
      </c>
      <c r="E669">
        <v>0.45</v>
      </c>
      <c r="F669">
        <v>0.15</v>
      </c>
      <c r="G669">
        <v>0.15</v>
      </c>
    </row>
    <row r="670" spans="1:7" x14ac:dyDescent="0.2">
      <c r="A670">
        <v>7205</v>
      </c>
      <c r="B670" s="106" t="s">
        <v>68</v>
      </c>
      <c r="C670">
        <v>0.05</v>
      </c>
      <c r="D670">
        <v>0.05</v>
      </c>
      <c r="E670">
        <v>0.15</v>
      </c>
      <c r="F670">
        <v>0.05</v>
      </c>
      <c r="G670">
        <v>0.05</v>
      </c>
    </row>
    <row r="671" spans="1:7" x14ac:dyDescent="0.2">
      <c r="A671">
        <v>7212</v>
      </c>
      <c r="B671" s="106" t="s">
        <v>2192</v>
      </c>
      <c r="C671">
        <v>0</v>
      </c>
      <c r="D671">
        <v>0</v>
      </c>
      <c r="E671">
        <v>0</v>
      </c>
      <c r="F671" s="106" t="s">
        <v>171</v>
      </c>
      <c r="G671">
        <v>0</v>
      </c>
    </row>
    <row r="672" spans="1:7" x14ac:dyDescent="0.2">
      <c r="A672">
        <v>7220</v>
      </c>
      <c r="B672" s="106" t="s">
        <v>1414</v>
      </c>
      <c r="C672">
        <v>0.05</v>
      </c>
      <c r="D672">
        <v>0.05</v>
      </c>
      <c r="E672">
        <v>0.15</v>
      </c>
      <c r="F672">
        <v>0.05</v>
      </c>
      <c r="G672">
        <v>0.05</v>
      </c>
    </row>
    <row r="673" spans="1:7" x14ac:dyDescent="0.2">
      <c r="A673">
        <v>7222</v>
      </c>
      <c r="B673" s="106" t="s">
        <v>1415</v>
      </c>
      <c r="C673">
        <v>0.05</v>
      </c>
      <c r="D673">
        <v>0.05</v>
      </c>
      <c r="E673">
        <v>0.15</v>
      </c>
      <c r="F673">
        <v>0.05</v>
      </c>
      <c r="G673">
        <v>0.05</v>
      </c>
    </row>
    <row r="674" spans="1:7" x14ac:dyDescent="0.2">
      <c r="A674">
        <v>7224</v>
      </c>
      <c r="B674" s="106" t="s">
        <v>1416</v>
      </c>
      <c r="C674">
        <v>0.05</v>
      </c>
      <c r="D674">
        <v>0.05</v>
      </c>
      <c r="E674">
        <v>0</v>
      </c>
      <c r="F674">
        <v>0.05</v>
      </c>
      <c r="G674">
        <v>0</v>
      </c>
    </row>
    <row r="675" spans="1:7" x14ac:dyDescent="0.2">
      <c r="A675">
        <v>7226</v>
      </c>
      <c r="B675" s="106" t="s">
        <v>1417</v>
      </c>
      <c r="C675">
        <v>0</v>
      </c>
      <c r="D675" s="106">
        <v>0</v>
      </c>
      <c r="E675">
        <v>0</v>
      </c>
      <c r="F675" s="106">
        <v>0</v>
      </c>
      <c r="G675" s="106">
        <v>0</v>
      </c>
    </row>
    <row r="676" spans="1:7" x14ac:dyDescent="0.2">
      <c r="A676">
        <v>7231</v>
      </c>
      <c r="B676" s="106" t="s">
        <v>1418</v>
      </c>
      <c r="C676">
        <v>0</v>
      </c>
      <c r="D676">
        <v>0</v>
      </c>
      <c r="E676">
        <v>0</v>
      </c>
      <c r="F676">
        <v>0</v>
      </c>
      <c r="G676">
        <v>0</v>
      </c>
    </row>
    <row r="677" spans="1:7" x14ac:dyDescent="0.2">
      <c r="A677">
        <v>7236</v>
      </c>
      <c r="B677" s="106" t="s">
        <v>1419</v>
      </c>
      <c r="C677">
        <v>0</v>
      </c>
      <c r="D677">
        <v>0</v>
      </c>
      <c r="E677">
        <v>0</v>
      </c>
      <c r="F677">
        <v>0</v>
      </c>
      <c r="G677" s="106">
        <v>0</v>
      </c>
    </row>
    <row r="678" spans="1:7" x14ac:dyDescent="0.2">
      <c r="A678">
        <v>7239</v>
      </c>
      <c r="B678" s="106" t="s">
        <v>1420</v>
      </c>
      <c r="C678">
        <v>0.05</v>
      </c>
      <c r="D678" s="106">
        <v>0.05</v>
      </c>
      <c r="E678">
        <v>0.15</v>
      </c>
      <c r="F678">
        <v>0.05</v>
      </c>
      <c r="G678" s="106">
        <v>0.05</v>
      </c>
    </row>
    <row r="679" spans="1:7" x14ac:dyDescent="0.2">
      <c r="A679">
        <v>7240</v>
      </c>
      <c r="B679" s="106" t="s">
        <v>1421</v>
      </c>
      <c r="C679">
        <v>0.05</v>
      </c>
      <c r="D679" s="106">
        <v>0.05</v>
      </c>
      <c r="E679">
        <v>0.15</v>
      </c>
      <c r="F679">
        <v>0.05</v>
      </c>
      <c r="G679">
        <v>0.05</v>
      </c>
    </row>
    <row r="680" spans="1:7" x14ac:dyDescent="0.2">
      <c r="A680">
        <v>7244</v>
      </c>
      <c r="B680" s="106" t="s">
        <v>1422</v>
      </c>
      <c r="C680">
        <v>0</v>
      </c>
      <c r="D680">
        <v>0.05</v>
      </c>
      <c r="E680">
        <v>0.15</v>
      </c>
      <c r="F680">
        <v>0.05</v>
      </c>
      <c r="G680">
        <v>0.05</v>
      </c>
    </row>
    <row r="681" spans="1:7" x14ac:dyDescent="0.2">
      <c r="A681">
        <v>7256</v>
      </c>
      <c r="B681" s="106" t="s">
        <v>2528</v>
      </c>
      <c r="C681">
        <v>0</v>
      </c>
      <c r="D681" t="s">
        <v>171</v>
      </c>
      <c r="E681">
        <v>0</v>
      </c>
      <c r="F681" t="s">
        <v>171</v>
      </c>
      <c r="G681">
        <v>0</v>
      </c>
    </row>
    <row r="682" spans="1:7" x14ac:dyDescent="0.2">
      <c r="A682">
        <v>7261</v>
      </c>
      <c r="B682" s="106" t="s">
        <v>943</v>
      </c>
      <c r="C682">
        <v>0</v>
      </c>
      <c r="D682">
        <v>0</v>
      </c>
      <c r="E682">
        <v>0</v>
      </c>
      <c r="F682">
        <v>0</v>
      </c>
      <c r="G682">
        <v>0</v>
      </c>
    </row>
    <row r="683" spans="1:7" x14ac:dyDescent="0.2">
      <c r="A683">
        <v>7267</v>
      </c>
      <c r="B683" s="106" t="s">
        <v>69</v>
      </c>
      <c r="C683">
        <v>0</v>
      </c>
      <c r="D683" t="s">
        <v>171</v>
      </c>
      <c r="E683">
        <v>0.15</v>
      </c>
      <c r="F683">
        <v>0.05</v>
      </c>
      <c r="G683">
        <v>0.1</v>
      </c>
    </row>
    <row r="684" spans="1:7" x14ac:dyDescent="0.2">
      <c r="A684">
        <v>7269</v>
      </c>
      <c r="B684" s="106" t="s">
        <v>2193</v>
      </c>
      <c r="C684">
        <v>0</v>
      </c>
      <c r="D684">
        <v>0.1</v>
      </c>
      <c r="E684" s="106">
        <v>0</v>
      </c>
      <c r="F684">
        <v>0</v>
      </c>
      <c r="G684">
        <v>0</v>
      </c>
    </row>
    <row r="685" spans="1:7" x14ac:dyDescent="0.2">
      <c r="A685">
        <v>7272</v>
      </c>
      <c r="B685" s="106" t="s">
        <v>234</v>
      </c>
      <c r="C685">
        <v>0</v>
      </c>
      <c r="D685">
        <v>0</v>
      </c>
      <c r="E685">
        <v>0</v>
      </c>
      <c r="F685" t="s">
        <v>171</v>
      </c>
      <c r="G685" s="106">
        <v>0.05</v>
      </c>
    </row>
    <row r="686" spans="1:7" x14ac:dyDescent="0.2">
      <c r="A686">
        <v>7277</v>
      </c>
      <c r="B686" s="106" t="s">
        <v>1423</v>
      </c>
      <c r="C686">
        <v>0.05</v>
      </c>
      <c r="D686">
        <v>0.05</v>
      </c>
      <c r="E686">
        <v>0.15</v>
      </c>
      <c r="F686">
        <v>0</v>
      </c>
      <c r="G686">
        <v>0</v>
      </c>
    </row>
    <row r="687" spans="1:7" x14ac:dyDescent="0.2">
      <c r="A687">
        <v>7278</v>
      </c>
      <c r="B687" s="106" t="s">
        <v>48</v>
      </c>
      <c r="C687">
        <v>0</v>
      </c>
      <c r="D687">
        <v>0.05</v>
      </c>
      <c r="E687">
        <v>0.15</v>
      </c>
      <c r="F687">
        <v>0.05</v>
      </c>
      <c r="G687">
        <v>0.05</v>
      </c>
    </row>
    <row r="688" spans="1:7" x14ac:dyDescent="0.2">
      <c r="A688">
        <v>7280</v>
      </c>
      <c r="B688" s="106" t="s">
        <v>1424</v>
      </c>
      <c r="C688">
        <v>0.05</v>
      </c>
      <c r="D688">
        <v>0.05</v>
      </c>
      <c r="E688">
        <v>0.15</v>
      </c>
      <c r="F688">
        <v>0.05</v>
      </c>
      <c r="G688">
        <v>0.05</v>
      </c>
    </row>
    <row r="689" spans="1:7" x14ac:dyDescent="0.2">
      <c r="A689">
        <v>7282</v>
      </c>
      <c r="B689" s="106" t="s">
        <v>710</v>
      </c>
      <c r="C689">
        <v>0.05</v>
      </c>
      <c r="D689">
        <v>0.05</v>
      </c>
      <c r="E689">
        <v>0.15</v>
      </c>
      <c r="F689">
        <v>0.05</v>
      </c>
      <c r="G689" s="106">
        <v>0.05</v>
      </c>
    </row>
    <row r="690" spans="1:7" x14ac:dyDescent="0.2">
      <c r="A690">
        <v>7283</v>
      </c>
      <c r="B690" s="106" t="s">
        <v>1425</v>
      </c>
      <c r="C690">
        <v>0</v>
      </c>
      <c r="D690">
        <v>0</v>
      </c>
      <c r="E690">
        <v>0</v>
      </c>
      <c r="F690" s="106">
        <v>0</v>
      </c>
      <c r="G690" s="106" t="s">
        <v>171</v>
      </c>
    </row>
    <row r="691" spans="1:7" x14ac:dyDescent="0.2">
      <c r="A691">
        <v>7294</v>
      </c>
      <c r="B691" s="106" t="s">
        <v>2194</v>
      </c>
      <c r="C691">
        <v>0.05</v>
      </c>
      <c r="D691">
        <v>0.05</v>
      </c>
      <c r="E691">
        <v>0.15</v>
      </c>
      <c r="F691">
        <v>0.05</v>
      </c>
      <c r="G691">
        <v>0.05</v>
      </c>
    </row>
    <row r="692" spans="1:7" x14ac:dyDescent="0.2">
      <c r="A692">
        <v>7296</v>
      </c>
      <c r="B692" s="106" t="s">
        <v>1426</v>
      </c>
      <c r="C692">
        <v>0</v>
      </c>
      <c r="D692">
        <v>0</v>
      </c>
      <c r="E692">
        <v>0</v>
      </c>
      <c r="F692">
        <v>0</v>
      </c>
      <c r="G692">
        <v>0</v>
      </c>
    </row>
    <row r="693" spans="1:7" x14ac:dyDescent="0.2">
      <c r="A693">
        <v>7309</v>
      </c>
      <c r="B693" s="106" t="s">
        <v>1427</v>
      </c>
      <c r="C693">
        <v>0.3</v>
      </c>
      <c r="D693">
        <v>0.3</v>
      </c>
      <c r="E693">
        <v>0.9</v>
      </c>
      <c r="F693">
        <v>0.3</v>
      </c>
      <c r="G693">
        <v>0.3</v>
      </c>
    </row>
    <row r="694" spans="1:7" x14ac:dyDescent="0.2">
      <c r="A694">
        <v>7313</v>
      </c>
      <c r="B694" s="106" t="s">
        <v>1428</v>
      </c>
      <c r="C694">
        <v>0.1</v>
      </c>
      <c r="D694">
        <v>0.05</v>
      </c>
      <c r="E694">
        <v>0.3</v>
      </c>
      <c r="F694">
        <v>0.05</v>
      </c>
      <c r="G694">
        <v>0.1</v>
      </c>
    </row>
    <row r="695" spans="1:7" x14ac:dyDescent="0.2">
      <c r="A695">
        <v>7321</v>
      </c>
      <c r="B695" s="106" t="s">
        <v>1429</v>
      </c>
      <c r="C695">
        <v>0.05</v>
      </c>
      <c r="D695">
        <v>0.05</v>
      </c>
      <c r="E695">
        <v>0.15</v>
      </c>
      <c r="F695">
        <v>0.05</v>
      </c>
      <c r="G695">
        <v>0.05</v>
      </c>
    </row>
    <row r="696" spans="1:7" x14ac:dyDescent="0.2">
      <c r="A696">
        <v>7322</v>
      </c>
      <c r="B696" s="106" t="s">
        <v>2195</v>
      </c>
      <c r="C696">
        <v>0.05</v>
      </c>
      <c r="D696">
        <v>0.05</v>
      </c>
      <c r="E696">
        <v>0.15</v>
      </c>
      <c r="F696">
        <v>0</v>
      </c>
      <c r="G696" s="106">
        <v>0.05</v>
      </c>
    </row>
    <row r="697" spans="1:7" x14ac:dyDescent="0.2">
      <c r="A697">
        <v>7416</v>
      </c>
      <c r="B697" s="106" t="s">
        <v>1430</v>
      </c>
      <c r="C697">
        <v>0.05</v>
      </c>
      <c r="D697">
        <v>0.05</v>
      </c>
      <c r="E697">
        <v>0.15</v>
      </c>
      <c r="F697">
        <v>0.05</v>
      </c>
      <c r="G697" s="106">
        <v>0.05</v>
      </c>
    </row>
    <row r="698" spans="1:7" x14ac:dyDescent="0.2">
      <c r="A698">
        <v>7420</v>
      </c>
      <c r="B698" s="106" t="s">
        <v>1431</v>
      </c>
      <c r="C698">
        <v>0</v>
      </c>
      <c r="D698">
        <v>0</v>
      </c>
      <c r="E698">
        <v>0</v>
      </c>
      <c r="F698">
        <v>0</v>
      </c>
      <c r="G698">
        <v>0</v>
      </c>
    </row>
    <row r="699" spans="1:7" x14ac:dyDescent="0.2">
      <c r="A699">
        <v>7427</v>
      </c>
      <c r="B699" s="106" t="s">
        <v>1432</v>
      </c>
      <c r="C699">
        <v>0.05</v>
      </c>
      <c r="D699">
        <v>0.05</v>
      </c>
      <c r="E699">
        <v>0.15</v>
      </c>
      <c r="F699">
        <v>0.05</v>
      </c>
      <c r="G699">
        <v>0.05</v>
      </c>
    </row>
    <row r="700" spans="1:7" x14ac:dyDescent="0.2">
      <c r="A700">
        <v>7442</v>
      </c>
      <c r="B700" s="106" t="s">
        <v>1433</v>
      </c>
      <c r="C700">
        <v>0</v>
      </c>
      <c r="D700">
        <v>0</v>
      </c>
      <c r="E700">
        <v>0</v>
      </c>
      <c r="F700">
        <v>0</v>
      </c>
      <c r="G700">
        <v>0</v>
      </c>
    </row>
    <row r="701" spans="1:7" x14ac:dyDescent="0.2">
      <c r="A701">
        <v>7445</v>
      </c>
      <c r="B701" s="106" t="s">
        <v>1434</v>
      </c>
      <c r="C701">
        <v>0.05</v>
      </c>
      <c r="D701" s="106">
        <v>0.05</v>
      </c>
      <c r="E701" s="106">
        <v>0.15</v>
      </c>
      <c r="F701" s="106">
        <v>0.05</v>
      </c>
      <c r="G701" s="106">
        <v>0.05</v>
      </c>
    </row>
    <row r="702" spans="1:7" x14ac:dyDescent="0.2">
      <c r="A702">
        <v>7451</v>
      </c>
      <c r="B702" s="106" t="s">
        <v>1435</v>
      </c>
      <c r="C702">
        <v>0.05</v>
      </c>
      <c r="D702" s="106">
        <v>0.05</v>
      </c>
      <c r="E702" s="106">
        <v>0</v>
      </c>
      <c r="F702" s="106">
        <v>0.05</v>
      </c>
      <c r="G702" s="106">
        <v>0</v>
      </c>
    </row>
    <row r="703" spans="1:7" x14ac:dyDescent="0.2">
      <c r="A703">
        <v>7453</v>
      </c>
      <c r="B703" s="106" t="s">
        <v>60</v>
      </c>
      <c r="C703">
        <v>0</v>
      </c>
      <c r="D703">
        <v>0</v>
      </c>
      <c r="E703">
        <v>0</v>
      </c>
      <c r="F703">
        <v>0</v>
      </c>
      <c r="G703">
        <v>0</v>
      </c>
    </row>
    <row r="704" spans="1:7" x14ac:dyDescent="0.2">
      <c r="A704">
        <v>7455</v>
      </c>
      <c r="B704" s="106" t="s">
        <v>2289</v>
      </c>
      <c r="C704">
        <v>0</v>
      </c>
      <c r="D704">
        <v>0</v>
      </c>
      <c r="E704" t="s">
        <v>171</v>
      </c>
      <c r="F704" t="s">
        <v>171</v>
      </c>
      <c r="G704" t="s">
        <v>171</v>
      </c>
    </row>
    <row r="705" spans="1:7" x14ac:dyDescent="0.2">
      <c r="A705">
        <v>7458</v>
      </c>
      <c r="B705" s="106" t="s">
        <v>1436</v>
      </c>
      <c r="C705">
        <v>0.1</v>
      </c>
      <c r="D705">
        <v>0.1</v>
      </c>
      <c r="E705">
        <v>0.3</v>
      </c>
      <c r="F705">
        <v>0.1</v>
      </c>
      <c r="G705">
        <v>0.05</v>
      </c>
    </row>
    <row r="706" spans="1:7" x14ac:dyDescent="0.2">
      <c r="A706">
        <v>7459</v>
      </c>
      <c r="B706" s="106" t="s">
        <v>1437</v>
      </c>
      <c r="C706">
        <v>0.05</v>
      </c>
      <c r="D706">
        <v>0.05</v>
      </c>
      <c r="E706">
        <v>0.15</v>
      </c>
      <c r="F706">
        <v>0.05</v>
      </c>
      <c r="G706">
        <v>0.05</v>
      </c>
    </row>
    <row r="707" spans="1:7" x14ac:dyDescent="0.2">
      <c r="A707">
        <v>7463</v>
      </c>
      <c r="B707" s="106" t="s">
        <v>1438</v>
      </c>
      <c r="C707">
        <v>0.05</v>
      </c>
      <c r="D707">
        <v>0.05</v>
      </c>
      <c r="E707">
        <v>0.15</v>
      </c>
      <c r="F707">
        <v>0.05</v>
      </c>
      <c r="G707">
        <v>0.05</v>
      </c>
    </row>
    <row r="708" spans="1:7" x14ac:dyDescent="0.2">
      <c r="A708">
        <v>7475</v>
      </c>
      <c r="B708" s="106" t="s">
        <v>1439</v>
      </c>
      <c r="C708">
        <v>0.05</v>
      </c>
      <c r="D708">
        <v>0.05</v>
      </c>
      <c r="E708" s="106">
        <v>0.15</v>
      </c>
      <c r="F708" s="106">
        <v>0.05</v>
      </c>
      <c r="G708" s="106">
        <v>0.05</v>
      </c>
    </row>
    <row r="709" spans="1:7" x14ac:dyDescent="0.2">
      <c r="A709">
        <v>7476</v>
      </c>
      <c r="B709" s="106" t="s">
        <v>1440</v>
      </c>
      <c r="C709">
        <v>0</v>
      </c>
      <c r="D709" s="106">
        <v>0.2</v>
      </c>
      <c r="E709">
        <v>0</v>
      </c>
      <c r="F709" s="106">
        <v>0.2</v>
      </c>
      <c r="G709" s="106">
        <v>0.15</v>
      </c>
    </row>
    <row r="710" spans="1:7" x14ac:dyDescent="0.2">
      <c r="A710">
        <v>7480</v>
      </c>
      <c r="B710" s="106" t="s">
        <v>1441</v>
      </c>
      <c r="C710">
        <v>0.05</v>
      </c>
      <c r="D710">
        <v>0.05</v>
      </c>
      <c r="E710">
        <v>0.15</v>
      </c>
      <c r="F710" s="106">
        <v>0.05</v>
      </c>
      <c r="G710" s="106">
        <v>0.05</v>
      </c>
    </row>
    <row r="711" spans="1:7" x14ac:dyDescent="0.2">
      <c r="A711">
        <v>7482</v>
      </c>
      <c r="B711" s="106" t="s">
        <v>1442</v>
      </c>
      <c r="C711">
        <v>0.05</v>
      </c>
      <c r="D711">
        <v>0.05</v>
      </c>
      <c r="E711">
        <v>0.15</v>
      </c>
      <c r="F711" s="106">
        <v>0.05</v>
      </c>
      <c r="G711">
        <v>0.05</v>
      </c>
    </row>
    <row r="712" spans="1:7" x14ac:dyDescent="0.2">
      <c r="A712">
        <v>7487</v>
      </c>
      <c r="B712" s="106" t="s">
        <v>1443</v>
      </c>
      <c r="C712">
        <v>0.05</v>
      </c>
      <c r="D712">
        <v>0.05</v>
      </c>
      <c r="E712">
        <v>0.15</v>
      </c>
      <c r="F712" s="106">
        <v>0.05</v>
      </c>
      <c r="G712">
        <v>0.05</v>
      </c>
    </row>
    <row r="713" spans="1:7" x14ac:dyDescent="0.2">
      <c r="A713">
        <v>7494</v>
      </c>
      <c r="B713" s="106" t="s">
        <v>1444</v>
      </c>
      <c r="C713">
        <v>0</v>
      </c>
      <c r="D713">
        <v>0</v>
      </c>
      <c r="E713">
        <v>0</v>
      </c>
      <c r="F713">
        <v>0</v>
      </c>
      <c r="G713">
        <v>0</v>
      </c>
    </row>
    <row r="714" spans="1:7" x14ac:dyDescent="0.2">
      <c r="A714">
        <v>7506</v>
      </c>
      <c r="B714" s="106" t="s">
        <v>1445</v>
      </c>
      <c r="C714">
        <v>0</v>
      </c>
      <c r="D714">
        <v>0</v>
      </c>
      <c r="E714">
        <v>0</v>
      </c>
      <c r="F714">
        <v>0</v>
      </c>
      <c r="G714">
        <v>0</v>
      </c>
    </row>
    <row r="715" spans="1:7" x14ac:dyDescent="0.2">
      <c r="A715">
        <v>7508</v>
      </c>
      <c r="B715" s="106" t="s">
        <v>2529</v>
      </c>
      <c r="C715">
        <v>0</v>
      </c>
      <c r="D715" t="s">
        <v>171</v>
      </c>
      <c r="E715">
        <v>0</v>
      </c>
      <c r="F715">
        <v>0</v>
      </c>
      <c r="G715" t="s">
        <v>171</v>
      </c>
    </row>
    <row r="716" spans="1:7" x14ac:dyDescent="0.2">
      <c r="A716">
        <v>7510</v>
      </c>
      <c r="B716" s="106" t="s">
        <v>1446</v>
      </c>
      <c r="C716">
        <v>0</v>
      </c>
      <c r="D716">
        <v>0</v>
      </c>
      <c r="E716">
        <v>0</v>
      </c>
      <c r="F716" t="s">
        <v>171</v>
      </c>
      <c r="G716">
        <v>0</v>
      </c>
    </row>
    <row r="717" spans="1:7" x14ac:dyDescent="0.2">
      <c r="A717">
        <v>7512</v>
      </c>
      <c r="B717" s="106" t="s">
        <v>2196</v>
      </c>
      <c r="C717">
        <v>0</v>
      </c>
      <c r="D717">
        <v>0</v>
      </c>
      <c r="E717">
        <v>0</v>
      </c>
      <c r="F717">
        <v>0</v>
      </c>
      <c r="G717">
        <v>0</v>
      </c>
    </row>
    <row r="718" spans="1:7" x14ac:dyDescent="0.2">
      <c r="A718">
        <v>7522</v>
      </c>
      <c r="B718" s="106" t="s">
        <v>1447</v>
      </c>
      <c r="C718">
        <v>0</v>
      </c>
      <c r="D718">
        <v>0</v>
      </c>
      <c r="E718">
        <v>0</v>
      </c>
      <c r="F718">
        <v>0</v>
      </c>
      <c r="G718">
        <v>0</v>
      </c>
    </row>
    <row r="719" spans="1:7" x14ac:dyDescent="0.2">
      <c r="A719">
        <v>7524</v>
      </c>
      <c r="B719" s="106" t="s">
        <v>1448</v>
      </c>
      <c r="C719">
        <v>0</v>
      </c>
      <c r="D719" s="106">
        <v>0</v>
      </c>
      <c r="E719" s="106">
        <v>0</v>
      </c>
      <c r="F719" s="106">
        <v>0</v>
      </c>
      <c r="G719" s="106">
        <v>0</v>
      </c>
    </row>
    <row r="720" spans="1:7" x14ac:dyDescent="0.2">
      <c r="A720">
        <v>7525</v>
      </c>
      <c r="B720" s="106" t="s">
        <v>2290</v>
      </c>
      <c r="C720">
        <v>0</v>
      </c>
      <c r="D720">
        <v>0</v>
      </c>
      <c r="E720" t="s">
        <v>171</v>
      </c>
      <c r="F720" s="106" t="s">
        <v>171</v>
      </c>
      <c r="G720" s="106" t="s">
        <v>171</v>
      </c>
    </row>
    <row r="721" spans="1:7" x14ac:dyDescent="0.2">
      <c r="A721">
        <v>7532</v>
      </c>
      <c r="B721" s="106" t="s">
        <v>1449</v>
      </c>
      <c r="C721">
        <v>0.05</v>
      </c>
      <c r="D721">
        <v>0.05</v>
      </c>
      <c r="E721">
        <v>0.15</v>
      </c>
      <c r="F721">
        <v>0</v>
      </c>
      <c r="G721">
        <v>0</v>
      </c>
    </row>
    <row r="722" spans="1:7" x14ac:dyDescent="0.2">
      <c r="A722">
        <v>7545</v>
      </c>
      <c r="B722" s="106" t="s">
        <v>1450</v>
      </c>
      <c r="C722">
        <v>0.05</v>
      </c>
      <c r="D722">
        <v>0.05</v>
      </c>
      <c r="E722">
        <v>0.15</v>
      </c>
      <c r="F722">
        <v>0.05</v>
      </c>
      <c r="G722">
        <v>0.05</v>
      </c>
    </row>
    <row r="723" spans="1:7" x14ac:dyDescent="0.2">
      <c r="A723">
        <v>7570</v>
      </c>
      <c r="B723" s="106" t="s">
        <v>1451</v>
      </c>
      <c r="C723">
        <v>0.05</v>
      </c>
      <c r="D723">
        <v>0</v>
      </c>
      <c r="E723">
        <v>0.15</v>
      </c>
      <c r="F723">
        <v>0</v>
      </c>
      <c r="G723">
        <v>0.05</v>
      </c>
    </row>
    <row r="724" spans="1:7" x14ac:dyDescent="0.2">
      <c r="A724">
        <v>7593</v>
      </c>
      <c r="B724" s="106" t="s">
        <v>1452</v>
      </c>
      <c r="C724">
        <v>0</v>
      </c>
      <c r="D724">
        <v>0</v>
      </c>
      <c r="E724">
        <v>0</v>
      </c>
      <c r="F724">
        <v>0</v>
      </c>
      <c r="G724">
        <v>0</v>
      </c>
    </row>
    <row r="725" spans="1:7" x14ac:dyDescent="0.2">
      <c r="A725">
        <v>7599</v>
      </c>
      <c r="B725" s="106" t="s">
        <v>1453</v>
      </c>
      <c r="C725">
        <v>0.05</v>
      </c>
      <c r="D725">
        <v>0</v>
      </c>
      <c r="E725">
        <v>0.15</v>
      </c>
      <c r="F725">
        <v>0.05</v>
      </c>
      <c r="G725">
        <v>0.05</v>
      </c>
    </row>
    <row r="726" spans="1:7" x14ac:dyDescent="0.2">
      <c r="A726">
        <v>7601</v>
      </c>
      <c r="B726" s="106" t="s">
        <v>1454</v>
      </c>
      <c r="C726">
        <v>0.05</v>
      </c>
      <c r="D726">
        <v>0.05</v>
      </c>
      <c r="E726">
        <v>0.15</v>
      </c>
      <c r="F726">
        <v>0.05</v>
      </c>
      <c r="G726">
        <v>0.05</v>
      </c>
    </row>
    <row r="727" spans="1:7" x14ac:dyDescent="0.2">
      <c r="A727">
        <v>7606</v>
      </c>
      <c r="B727" s="106" t="s">
        <v>2530</v>
      </c>
      <c r="C727">
        <v>0</v>
      </c>
      <c r="D727" s="106" t="s">
        <v>171</v>
      </c>
      <c r="E727">
        <v>0</v>
      </c>
      <c r="F727" t="s">
        <v>171</v>
      </c>
      <c r="G727" t="s">
        <v>171</v>
      </c>
    </row>
    <row r="728" spans="1:7" x14ac:dyDescent="0.2">
      <c r="A728">
        <v>7609</v>
      </c>
      <c r="B728" s="106" t="s">
        <v>2531</v>
      </c>
      <c r="C728">
        <v>0</v>
      </c>
      <c r="D728" t="s">
        <v>171</v>
      </c>
      <c r="E728">
        <v>0</v>
      </c>
      <c r="F728">
        <v>0</v>
      </c>
      <c r="G728">
        <v>0</v>
      </c>
    </row>
    <row r="729" spans="1:7" x14ac:dyDescent="0.2">
      <c r="A729">
        <v>7611</v>
      </c>
      <c r="B729" s="106" t="s">
        <v>1455</v>
      </c>
      <c r="C729">
        <v>0.05</v>
      </c>
      <c r="D729">
        <v>0.05</v>
      </c>
      <c r="E729" s="106">
        <v>0.15</v>
      </c>
      <c r="F729" s="106">
        <v>0.05</v>
      </c>
      <c r="G729" s="106">
        <v>0.05</v>
      </c>
    </row>
    <row r="730" spans="1:7" x14ac:dyDescent="0.2">
      <c r="A730">
        <v>7613</v>
      </c>
      <c r="B730" s="106" t="s">
        <v>1456</v>
      </c>
      <c r="C730">
        <v>0.05</v>
      </c>
      <c r="D730">
        <v>0</v>
      </c>
      <c r="E730">
        <v>0</v>
      </c>
      <c r="F730" s="106">
        <v>0</v>
      </c>
      <c r="G730" s="106">
        <v>0</v>
      </c>
    </row>
    <row r="731" spans="1:7" x14ac:dyDescent="0.2">
      <c r="A731">
        <v>7615</v>
      </c>
      <c r="B731" s="106" t="s">
        <v>1457</v>
      </c>
      <c r="C731">
        <v>0</v>
      </c>
      <c r="D731">
        <v>0</v>
      </c>
      <c r="E731">
        <v>0</v>
      </c>
      <c r="F731" s="106">
        <v>0</v>
      </c>
      <c r="G731" s="106">
        <v>0</v>
      </c>
    </row>
    <row r="732" spans="1:7" x14ac:dyDescent="0.2">
      <c r="A732">
        <v>7616</v>
      </c>
      <c r="B732" s="106" t="s">
        <v>1458</v>
      </c>
      <c r="C732">
        <v>0.05</v>
      </c>
      <c r="D732" s="106">
        <v>0.05</v>
      </c>
      <c r="E732" s="106">
        <v>0.15</v>
      </c>
      <c r="F732" s="106">
        <v>0.05</v>
      </c>
      <c r="G732">
        <v>0.05</v>
      </c>
    </row>
    <row r="733" spans="1:7" x14ac:dyDescent="0.2">
      <c r="A733">
        <v>7628</v>
      </c>
      <c r="B733" s="106" t="s">
        <v>1459</v>
      </c>
      <c r="C733">
        <v>0</v>
      </c>
      <c r="D733" s="106">
        <v>0.05</v>
      </c>
      <c r="E733" s="106">
        <v>0</v>
      </c>
      <c r="F733" s="106">
        <v>0</v>
      </c>
      <c r="G733">
        <v>0</v>
      </c>
    </row>
    <row r="734" spans="1:7" x14ac:dyDescent="0.2">
      <c r="A734">
        <v>7630</v>
      </c>
      <c r="B734" s="106" t="s">
        <v>1460</v>
      </c>
      <c r="C734">
        <v>0.1</v>
      </c>
      <c r="D734">
        <v>0.1</v>
      </c>
      <c r="E734">
        <v>0.3</v>
      </c>
      <c r="F734">
        <v>0.1</v>
      </c>
      <c r="G734">
        <v>0.1</v>
      </c>
    </row>
    <row r="735" spans="1:7" x14ac:dyDescent="0.2">
      <c r="A735">
        <v>7637</v>
      </c>
      <c r="B735" s="106" t="s">
        <v>1461</v>
      </c>
      <c r="C735">
        <v>0</v>
      </c>
      <c r="D735">
        <v>0</v>
      </c>
      <c r="E735">
        <v>0</v>
      </c>
      <c r="F735" t="s">
        <v>171</v>
      </c>
      <c r="G735">
        <v>0</v>
      </c>
    </row>
    <row r="736" spans="1:7" x14ac:dyDescent="0.2">
      <c r="A736">
        <v>7640</v>
      </c>
      <c r="B736" s="106" t="s">
        <v>1462</v>
      </c>
      <c r="C736">
        <v>0</v>
      </c>
      <c r="D736" s="106">
        <v>0</v>
      </c>
      <c r="E736">
        <v>0</v>
      </c>
      <c r="F736">
        <v>0</v>
      </c>
      <c r="G736" s="106">
        <v>0</v>
      </c>
    </row>
    <row r="737" spans="1:7" x14ac:dyDescent="0.2">
      <c r="A737">
        <v>7649</v>
      </c>
      <c r="B737" s="106" t="s">
        <v>2197</v>
      </c>
      <c r="C737">
        <v>0</v>
      </c>
      <c r="D737">
        <v>0</v>
      </c>
      <c r="E737">
        <v>0</v>
      </c>
      <c r="F737">
        <v>0</v>
      </c>
      <c r="G737" t="s">
        <v>171</v>
      </c>
    </row>
    <row r="738" spans="1:7" x14ac:dyDescent="0.2">
      <c r="A738">
        <v>7701</v>
      </c>
      <c r="B738" s="106" t="s">
        <v>1463</v>
      </c>
      <c r="C738">
        <v>0.1</v>
      </c>
      <c r="D738">
        <v>0.1</v>
      </c>
      <c r="E738" s="106">
        <v>0.3</v>
      </c>
      <c r="F738" s="106">
        <v>0.1</v>
      </c>
      <c r="G738" s="106">
        <v>0.1</v>
      </c>
    </row>
    <row r="739" spans="1:7" x14ac:dyDescent="0.2">
      <c r="A739">
        <v>7702</v>
      </c>
      <c r="B739" s="106" t="s">
        <v>1464</v>
      </c>
      <c r="C739">
        <v>0.05</v>
      </c>
      <c r="D739">
        <v>0.05</v>
      </c>
      <c r="E739" s="106">
        <v>0.15</v>
      </c>
      <c r="F739">
        <v>0.05</v>
      </c>
      <c r="G739" s="106">
        <v>0.05</v>
      </c>
    </row>
    <row r="740" spans="1:7" x14ac:dyDescent="0.2">
      <c r="A740">
        <v>7723</v>
      </c>
      <c r="B740" s="106" t="s">
        <v>1465</v>
      </c>
      <c r="C740">
        <v>0.05</v>
      </c>
      <c r="D740">
        <v>0.05</v>
      </c>
      <c r="E740" s="106">
        <v>0.15</v>
      </c>
      <c r="F740">
        <v>0.05</v>
      </c>
      <c r="G740" s="106">
        <v>0.05</v>
      </c>
    </row>
    <row r="741" spans="1:7" x14ac:dyDescent="0.2">
      <c r="A741">
        <v>7727</v>
      </c>
      <c r="B741" s="106" t="s">
        <v>2291</v>
      </c>
      <c r="C741">
        <v>0</v>
      </c>
      <c r="D741">
        <v>0</v>
      </c>
      <c r="E741" t="s">
        <v>171</v>
      </c>
      <c r="F741">
        <v>0</v>
      </c>
      <c r="G741">
        <v>0</v>
      </c>
    </row>
    <row r="742" spans="1:7" x14ac:dyDescent="0.2">
      <c r="A742">
        <v>7729</v>
      </c>
      <c r="B742" s="106" t="s">
        <v>930</v>
      </c>
      <c r="C742">
        <v>0.1</v>
      </c>
      <c r="D742">
        <v>0.1</v>
      </c>
      <c r="E742">
        <v>0.3</v>
      </c>
      <c r="F742">
        <v>0.1</v>
      </c>
      <c r="G742">
        <v>0.1</v>
      </c>
    </row>
    <row r="743" spans="1:7" x14ac:dyDescent="0.2">
      <c r="A743">
        <v>7733</v>
      </c>
      <c r="B743" s="106" t="s">
        <v>1466</v>
      </c>
      <c r="C743">
        <v>0.05</v>
      </c>
      <c r="D743">
        <v>0.05</v>
      </c>
      <c r="E743">
        <v>0.15</v>
      </c>
      <c r="F743">
        <v>0.05</v>
      </c>
      <c r="G743">
        <v>0.05</v>
      </c>
    </row>
    <row r="744" spans="1:7" x14ac:dyDescent="0.2">
      <c r="A744">
        <v>7735</v>
      </c>
      <c r="B744" s="106" t="s">
        <v>2532</v>
      </c>
      <c r="C744">
        <v>0.15</v>
      </c>
      <c r="D744" t="s">
        <v>171</v>
      </c>
      <c r="E744">
        <v>0.45</v>
      </c>
      <c r="F744" t="s">
        <v>171</v>
      </c>
      <c r="G744">
        <v>0.15</v>
      </c>
    </row>
    <row r="745" spans="1:7" x14ac:dyDescent="0.2">
      <c r="A745">
        <v>7740</v>
      </c>
      <c r="B745" s="106" t="s">
        <v>1467</v>
      </c>
      <c r="C745">
        <v>0.05</v>
      </c>
      <c r="D745" s="106">
        <v>0.05</v>
      </c>
      <c r="E745">
        <v>0.15</v>
      </c>
      <c r="F745" s="106">
        <v>0.05</v>
      </c>
      <c r="G745" s="106">
        <v>0.05</v>
      </c>
    </row>
    <row r="746" spans="1:7" x14ac:dyDescent="0.2">
      <c r="A746">
        <v>7741</v>
      </c>
      <c r="B746" s="106" t="s">
        <v>2198</v>
      </c>
      <c r="C746">
        <v>0.2</v>
      </c>
      <c r="D746" s="106">
        <v>0.2</v>
      </c>
      <c r="E746">
        <v>0.6</v>
      </c>
      <c r="F746" s="106">
        <v>0.2</v>
      </c>
      <c r="G746" s="106" t="s">
        <v>171</v>
      </c>
    </row>
    <row r="747" spans="1:7" x14ac:dyDescent="0.2">
      <c r="A747">
        <v>7743</v>
      </c>
      <c r="B747" s="106" t="s">
        <v>1468</v>
      </c>
      <c r="C747">
        <v>0</v>
      </c>
      <c r="D747">
        <v>0</v>
      </c>
      <c r="E747">
        <v>0</v>
      </c>
      <c r="F747">
        <v>0</v>
      </c>
      <c r="G747">
        <v>0</v>
      </c>
    </row>
    <row r="748" spans="1:7" x14ac:dyDescent="0.2">
      <c r="A748">
        <v>7747</v>
      </c>
      <c r="B748" s="106" t="s">
        <v>1469</v>
      </c>
      <c r="C748">
        <v>0.05</v>
      </c>
      <c r="D748">
        <v>0.1</v>
      </c>
      <c r="E748">
        <v>0.3</v>
      </c>
      <c r="F748">
        <v>0.05</v>
      </c>
      <c r="G748">
        <v>0.05</v>
      </c>
    </row>
    <row r="749" spans="1:7" x14ac:dyDescent="0.2">
      <c r="A749">
        <v>7752</v>
      </c>
      <c r="B749" s="106" t="s">
        <v>1470</v>
      </c>
      <c r="C749">
        <v>0.05</v>
      </c>
      <c r="D749" s="106">
        <v>0.05</v>
      </c>
      <c r="E749">
        <v>0.15</v>
      </c>
      <c r="F749" s="106">
        <v>0.05</v>
      </c>
      <c r="G749">
        <v>0.05</v>
      </c>
    </row>
    <row r="750" spans="1:7" x14ac:dyDescent="0.2">
      <c r="A750">
        <v>7762</v>
      </c>
      <c r="B750" s="106" t="s">
        <v>62</v>
      </c>
      <c r="C750">
        <v>0.05</v>
      </c>
      <c r="D750" s="106">
        <v>0.05</v>
      </c>
      <c r="E750">
        <v>0.15</v>
      </c>
      <c r="F750" s="106">
        <v>0.05</v>
      </c>
      <c r="G750">
        <v>0.05</v>
      </c>
    </row>
    <row r="751" spans="1:7" x14ac:dyDescent="0.2">
      <c r="A751">
        <v>7769</v>
      </c>
      <c r="B751" s="106" t="s">
        <v>1471</v>
      </c>
      <c r="C751">
        <v>0</v>
      </c>
      <c r="D751" s="106">
        <v>0</v>
      </c>
      <c r="E751">
        <v>0</v>
      </c>
      <c r="F751" s="106">
        <v>0</v>
      </c>
      <c r="G751">
        <v>0</v>
      </c>
    </row>
    <row r="752" spans="1:7" x14ac:dyDescent="0.2">
      <c r="A752">
        <v>7782</v>
      </c>
      <c r="B752" s="106" t="s">
        <v>1472</v>
      </c>
      <c r="C752">
        <v>0</v>
      </c>
      <c r="D752">
        <v>0</v>
      </c>
      <c r="E752">
        <v>0</v>
      </c>
      <c r="F752" s="106">
        <v>0</v>
      </c>
      <c r="G752">
        <v>0</v>
      </c>
    </row>
    <row r="753" spans="1:7" x14ac:dyDescent="0.2">
      <c r="A753">
        <v>7817</v>
      </c>
      <c r="B753" s="106" t="s">
        <v>945</v>
      </c>
      <c r="C753">
        <v>0</v>
      </c>
      <c r="D753" t="s">
        <v>171</v>
      </c>
      <c r="E753">
        <v>0</v>
      </c>
      <c r="F753" s="106">
        <v>0</v>
      </c>
      <c r="G753" s="106">
        <v>0</v>
      </c>
    </row>
    <row r="754" spans="1:7" x14ac:dyDescent="0.2">
      <c r="A754">
        <v>7819</v>
      </c>
      <c r="B754" s="106" t="s">
        <v>1473</v>
      </c>
      <c r="C754">
        <v>0</v>
      </c>
      <c r="D754">
        <v>0</v>
      </c>
      <c r="E754">
        <v>0</v>
      </c>
      <c r="F754" s="106">
        <v>0</v>
      </c>
      <c r="G754" s="106">
        <v>0</v>
      </c>
    </row>
    <row r="755" spans="1:7" x14ac:dyDescent="0.2">
      <c r="A755">
        <v>7822</v>
      </c>
      <c r="B755" s="106" t="s">
        <v>1474</v>
      </c>
      <c r="C755">
        <v>0</v>
      </c>
      <c r="D755">
        <v>0</v>
      </c>
      <c r="E755" s="106">
        <v>0</v>
      </c>
      <c r="F755">
        <v>0</v>
      </c>
      <c r="G755" s="106">
        <v>0</v>
      </c>
    </row>
    <row r="756" spans="1:7" x14ac:dyDescent="0.2">
      <c r="A756">
        <v>7840</v>
      </c>
      <c r="B756" s="106" t="s">
        <v>1475</v>
      </c>
      <c r="C756">
        <v>0.05</v>
      </c>
      <c r="D756">
        <v>0.05</v>
      </c>
      <c r="E756" s="106">
        <v>0.15</v>
      </c>
      <c r="F756">
        <v>0.05</v>
      </c>
      <c r="G756" s="106">
        <v>0.05</v>
      </c>
    </row>
    <row r="757" spans="1:7" x14ac:dyDescent="0.2">
      <c r="A757">
        <v>7844</v>
      </c>
      <c r="B757" s="106" t="s">
        <v>1476</v>
      </c>
      <c r="C757">
        <v>0</v>
      </c>
      <c r="D757">
        <v>0</v>
      </c>
      <c r="E757">
        <v>0</v>
      </c>
      <c r="F757" s="106">
        <v>0</v>
      </c>
      <c r="G757">
        <v>0</v>
      </c>
    </row>
    <row r="758" spans="1:7" x14ac:dyDescent="0.2">
      <c r="A758">
        <v>7846</v>
      </c>
      <c r="B758" s="106" t="s">
        <v>1477</v>
      </c>
      <c r="C758">
        <v>0.1</v>
      </c>
      <c r="D758">
        <v>0.1</v>
      </c>
      <c r="E758">
        <v>0.3</v>
      </c>
      <c r="F758">
        <v>0.1</v>
      </c>
      <c r="G758" s="106">
        <v>0.1</v>
      </c>
    </row>
    <row r="759" spans="1:7" x14ac:dyDescent="0.2">
      <c r="A759">
        <v>7856</v>
      </c>
      <c r="B759" s="106" t="s">
        <v>1478</v>
      </c>
      <c r="C759">
        <v>0</v>
      </c>
      <c r="D759">
        <v>0</v>
      </c>
      <c r="E759">
        <v>0</v>
      </c>
      <c r="F759" t="s">
        <v>171</v>
      </c>
      <c r="G759">
        <v>0</v>
      </c>
    </row>
    <row r="760" spans="1:7" x14ac:dyDescent="0.2">
      <c r="A760">
        <v>7860</v>
      </c>
      <c r="B760" s="106" t="s">
        <v>1479</v>
      </c>
      <c r="C760">
        <v>0</v>
      </c>
      <c r="D760">
        <v>0</v>
      </c>
      <c r="E760">
        <v>0</v>
      </c>
      <c r="F760">
        <v>0.05</v>
      </c>
      <c r="G760">
        <v>0</v>
      </c>
    </row>
    <row r="761" spans="1:7" x14ac:dyDescent="0.2">
      <c r="A761">
        <v>7873</v>
      </c>
      <c r="B761" s="106" t="s">
        <v>2292</v>
      </c>
      <c r="C761">
        <v>0</v>
      </c>
      <c r="D761" s="106">
        <v>0</v>
      </c>
      <c r="E761" s="106" t="s">
        <v>171</v>
      </c>
      <c r="F761" s="106">
        <v>0</v>
      </c>
      <c r="G761">
        <v>0</v>
      </c>
    </row>
    <row r="762" spans="1:7" x14ac:dyDescent="0.2">
      <c r="A762">
        <v>7885</v>
      </c>
      <c r="B762" s="106" t="s">
        <v>1480</v>
      </c>
      <c r="C762">
        <v>0.05</v>
      </c>
      <c r="D762">
        <v>0.05</v>
      </c>
      <c r="E762">
        <v>0.15</v>
      </c>
      <c r="F762" s="106">
        <v>0.05</v>
      </c>
      <c r="G762" s="106">
        <v>0.05</v>
      </c>
    </row>
    <row r="763" spans="1:7" x14ac:dyDescent="0.2">
      <c r="A763">
        <v>7898</v>
      </c>
      <c r="B763" s="106" t="s">
        <v>1481</v>
      </c>
      <c r="C763">
        <v>0.05</v>
      </c>
      <c r="D763">
        <v>0</v>
      </c>
      <c r="E763">
        <v>0.15</v>
      </c>
      <c r="F763" s="106">
        <v>0</v>
      </c>
      <c r="G763" s="106">
        <v>0.05</v>
      </c>
    </row>
    <row r="764" spans="1:7" x14ac:dyDescent="0.2">
      <c r="A764">
        <v>7911</v>
      </c>
      <c r="B764" s="106" t="s">
        <v>1482</v>
      </c>
      <c r="C764">
        <v>0.05</v>
      </c>
      <c r="D764">
        <v>0.05</v>
      </c>
      <c r="E764">
        <v>0.15</v>
      </c>
      <c r="F764">
        <v>0.05</v>
      </c>
      <c r="G764" s="106">
        <v>0.05</v>
      </c>
    </row>
    <row r="765" spans="1:7" x14ac:dyDescent="0.2">
      <c r="A765">
        <v>7912</v>
      </c>
      <c r="B765" s="106" t="s">
        <v>1483</v>
      </c>
      <c r="C765">
        <v>0.05</v>
      </c>
      <c r="D765">
        <v>0</v>
      </c>
      <c r="E765">
        <v>0</v>
      </c>
      <c r="F765">
        <v>0</v>
      </c>
      <c r="G765">
        <v>0</v>
      </c>
    </row>
    <row r="766" spans="1:7" x14ac:dyDescent="0.2">
      <c r="A766">
        <v>7915</v>
      </c>
      <c r="B766" s="106" t="s">
        <v>2199</v>
      </c>
      <c r="C766">
        <v>0</v>
      </c>
      <c r="D766">
        <v>0</v>
      </c>
      <c r="E766">
        <v>0</v>
      </c>
      <c r="F766">
        <v>0</v>
      </c>
      <c r="G766">
        <v>0</v>
      </c>
    </row>
    <row r="767" spans="1:7" x14ac:dyDescent="0.2">
      <c r="A767">
        <v>7916</v>
      </c>
      <c r="B767" s="106" t="s">
        <v>1484</v>
      </c>
      <c r="C767">
        <v>0</v>
      </c>
      <c r="D767">
        <v>0</v>
      </c>
      <c r="E767">
        <v>0</v>
      </c>
      <c r="F767">
        <v>0</v>
      </c>
      <c r="G767">
        <v>0</v>
      </c>
    </row>
    <row r="768" spans="1:7" x14ac:dyDescent="0.2">
      <c r="A768">
        <v>7921</v>
      </c>
      <c r="B768" s="106" t="s">
        <v>2533</v>
      </c>
      <c r="C768">
        <v>0</v>
      </c>
      <c r="D768" t="s">
        <v>171</v>
      </c>
      <c r="E768" t="s">
        <v>171</v>
      </c>
      <c r="F768" s="106" t="s">
        <v>171</v>
      </c>
      <c r="G768" t="s">
        <v>171</v>
      </c>
    </row>
    <row r="769" spans="1:7" x14ac:dyDescent="0.2">
      <c r="A769">
        <v>7931</v>
      </c>
      <c r="B769" s="106" t="s">
        <v>2534</v>
      </c>
      <c r="C769">
        <v>0.05</v>
      </c>
      <c r="D769" t="s">
        <v>171</v>
      </c>
      <c r="E769">
        <v>0.15</v>
      </c>
      <c r="F769" s="106" t="s">
        <v>171</v>
      </c>
      <c r="G769" t="s">
        <v>171</v>
      </c>
    </row>
    <row r="770" spans="1:7" x14ac:dyDescent="0.2">
      <c r="A770">
        <v>7936</v>
      </c>
      <c r="B770" s="106" t="s">
        <v>1485</v>
      </c>
      <c r="C770">
        <v>0.05</v>
      </c>
      <c r="D770">
        <v>0.05</v>
      </c>
      <c r="E770" s="106">
        <v>0.15</v>
      </c>
      <c r="F770" s="106">
        <v>0.05</v>
      </c>
      <c r="G770" s="106">
        <v>0.05</v>
      </c>
    </row>
    <row r="771" spans="1:7" x14ac:dyDescent="0.2">
      <c r="A771">
        <v>7937</v>
      </c>
      <c r="B771" s="106" t="s">
        <v>1486</v>
      </c>
      <c r="C771">
        <v>0.05</v>
      </c>
      <c r="D771">
        <v>0.05</v>
      </c>
      <c r="E771" s="106">
        <v>0.15</v>
      </c>
      <c r="F771" s="106">
        <v>0.05</v>
      </c>
      <c r="G771" s="106">
        <v>0.05</v>
      </c>
    </row>
    <row r="772" spans="1:7" x14ac:dyDescent="0.2">
      <c r="A772">
        <v>7942</v>
      </c>
      <c r="B772" s="106" t="s">
        <v>2200</v>
      </c>
      <c r="C772">
        <v>0</v>
      </c>
      <c r="D772" s="106">
        <v>0</v>
      </c>
      <c r="E772">
        <v>0</v>
      </c>
      <c r="F772" s="106">
        <v>0</v>
      </c>
      <c r="G772">
        <v>0</v>
      </c>
    </row>
    <row r="773" spans="1:7" x14ac:dyDescent="0.2">
      <c r="A773">
        <v>7949</v>
      </c>
      <c r="B773" s="106" t="s">
        <v>1487</v>
      </c>
      <c r="C773">
        <v>0</v>
      </c>
      <c r="D773">
        <v>0</v>
      </c>
      <c r="E773">
        <v>0</v>
      </c>
      <c r="F773">
        <v>0</v>
      </c>
      <c r="G773">
        <v>0</v>
      </c>
    </row>
    <row r="774" spans="1:7" x14ac:dyDescent="0.2">
      <c r="A774">
        <v>7951</v>
      </c>
      <c r="B774" s="106" t="s">
        <v>1488</v>
      </c>
      <c r="C774">
        <v>0.1</v>
      </c>
      <c r="D774">
        <v>0.1</v>
      </c>
      <c r="E774">
        <v>0.45</v>
      </c>
      <c r="F774">
        <v>0.15</v>
      </c>
      <c r="G774">
        <v>0.15</v>
      </c>
    </row>
    <row r="775" spans="1:7" x14ac:dyDescent="0.2">
      <c r="A775">
        <v>7952</v>
      </c>
      <c r="B775" s="106" t="s">
        <v>1489</v>
      </c>
      <c r="C775">
        <v>0.1</v>
      </c>
      <c r="D775">
        <v>0.1</v>
      </c>
      <c r="E775">
        <v>0.3</v>
      </c>
      <c r="F775">
        <v>0.1</v>
      </c>
      <c r="G775">
        <v>0.1</v>
      </c>
    </row>
    <row r="776" spans="1:7" x14ac:dyDescent="0.2">
      <c r="A776">
        <v>7962</v>
      </c>
      <c r="B776" s="106" t="s">
        <v>1490</v>
      </c>
      <c r="C776">
        <v>0.05</v>
      </c>
      <c r="D776">
        <v>0.05</v>
      </c>
      <c r="E776">
        <v>0.15</v>
      </c>
      <c r="F776">
        <v>0.05</v>
      </c>
      <c r="G776" s="106">
        <v>0.05</v>
      </c>
    </row>
    <row r="777" spans="1:7" x14ac:dyDescent="0.2">
      <c r="A777">
        <v>7965</v>
      </c>
      <c r="B777" s="106" t="s">
        <v>1491</v>
      </c>
      <c r="C777">
        <v>0.05</v>
      </c>
      <c r="D777">
        <v>0.5</v>
      </c>
      <c r="E777">
        <v>1.65</v>
      </c>
      <c r="F777">
        <v>0.2</v>
      </c>
      <c r="G777">
        <v>0.15</v>
      </c>
    </row>
    <row r="778" spans="1:7" x14ac:dyDescent="0.2">
      <c r="A778">
        <v>7970</v>
      </c>
      <c r="B778" s="106" t="s">
        <v>1492</v>
      </c>
      <c r="C778">
        <v>0</v>
      </c>
      <c r="D778">
        <v>0</v>
      </c>
      <c r="E778">
        <v>0</v>
      </c>
      <c r="F778">
        <v>0</v>
      </c>
      <c r="G778">
        <v>0</v>
      </c>
    </row>
    <row r="779" spans="1:7" x14ac:dyDescent="0.2">
      <c r="A779">
        <v>7979</v>
      </c>
      <c r="B779" s="106" t="s">
        <v>2535</v>
      </c>
      <c r="C779">
        <v>0</v>
      </c>
      <c r="D779" t="s">
        <v>171</v>
      </c>
      <c r="E779">
        <v>0</v>
      </c>
      <c r="F779" t="s">
        <v>171</v>
      </c>
      <c r="G779">
        <v>0</v>
      </c>
    </row>
    <row r="780" spans="1:7" x14ac:dyDescent="0.2">
      <c r="A780">
        <v>7981</v>
      </c>
      <c r="B780" s="106" t="s">
        <v>1493</v>
      </c>
      <c r="C780">
        <v>0.05</v>
      </c>
      <c r="D780">
        <v>0.05</v>
      </c>
      <c r="E780">
        <v>0.15</v>
      </c>
      <c r="F780">
        <v>0.05</v>
      </c>
      <c r="G780">
        <v>0.05</v>
      </c>
    </row>
    <row r="781" spans="1:7" x14ac:dyDescent="0.2">
      <c r="A781">
        <v>7984</v>
      </c>
      <c r="B781" s="106" t="s">
        <v>1494</v>
      </c>
      <c r="C781">
        <v>0.05</v>
      </c>
      <c r="D781">
        <v>0.05</v>
      </c>
      <c r="E781">
        <v>0.15</v>
      </c>
      <c r="F781">
        <v>0.05</v>
      </c>
      <c r="G781">
        <v>0.05</v>
      </c>
    </row>
    <row r="782" spans="1:7" x14ac:dyDescent="0.2">
      <c r="A782">
        <v>7988</v>
      </c>
      <c r="B782" s="106" t="s">
        <v>1495</v>
      </c>
      <c r="C782">
        <v>0.05</v>
      </c>
      <c r="D782">
        <v>0.05</v>
      </c>
      <c r="E782">
        <v>0.15</v>
      </c>
      <c r="F782" s="106">
        <v>0.05</v>
      </c>
      <c r="G782" s="106">
        <v>0.05</v>
      </c>
    </row>
    <row r="783" spans="1:7" x14ac:dyDescent="0.2">
      <c r="A783">
        <v>7989</v>
      </c>
      <c r="B783" s="106" t="s">
        <v>2201</v>
      </c>
      <c r="C783">
        <v>0.05</v>
      </c>
      <c r="D783">
        <v>0.05</v>
      </c>
      <c r="E783">
        <v>0</v>
      </c>
      <c r="F783">
        <v>0.05</v>
      </c>
      <c r="G783">
        <v>0.05</v>
      </c>
    </row>
    <row r="784" spans="1:7" x14ac:dyDescent="0.2">
      <c r="A784">
        <v>7990</v>
      </c>
      <c r="B784" s="106" t="s">
        <v>2536</v>
      </c>
      <c r="C784">
        <v>0</v>
      </c>
      <c r="D784" t="s">
        <v>171</v>
      </c>
      <c r="E784" t="s">
        <v>171</v>
      </c>
      <c r="F784" t="s">
        <v>171</v>
      </c>
      <c r="G784" t="s">
        <v>171</v>
      </c>
    </row>
    <row r="785" spans="1:7" x14ac:dyDescent="0.2">
      <c r="A785">
        <v>7994</v>
      </c>
      <c r="B785" s="106" t="s">
        <v>1496</v>
      </c>
      <c r="C785">
        <v>0</v>
      </c>
      <c r="D785">
        <v>0</v>
      </c>
      <c r="E785">
        <v>0</v>
      </c>
      <c r="F785">
        <v>0</v>
      </c>
      <c r="G785">
        <v>0</v>
      </c>
    </row>
    <row r="786" spans="1:7" x14ac:dyDescent="0.2">
      <c r="A786">
        <v>7999</v>
      </c>
      <c r="B786" s="106" t="s">
        <v>1497</v>
      </c>
      <c r="C786">
        <v>0.05</v>
      </c>
      <c r="D786">
        <v>0.05</v>
      </c>
      <c r="E786">
        <v>0.15</v>
      </c>
      <c r="F786">
        <v>0.05</v>
      </c>
      <c r="G786">
        <v>0.05</v>
      </c>
    </row>
    <row r="787" spans="1:7" x14ac:dyDescent="0.2">
      <c r="A787">
        <v>8001</v>
      </c>
      <c r="B787" s="106" t="s">
        <v>1498</v>
      </c>
      <c r="C787">
        <v>0.05</v>
      </c>
      <c r="D787">
        <v>0.05</v>
      </c>
      <c r="E787">
        <v>0.15</v>
      </c>
      <c r="F787">
        <v>0.05</v>
      </c>
      <c r="G787">
        <v>0.05</v>
      </c>
    </row>
    <row r="788" spans="1:7" x14ac:dyDescent="0.2">
      <c r="A788">
        <v>8008</v>
      </c>
      <c r="B788" s="106" t="s">
        <v>1499</v>
      </c>
      <c r="C788">
        <v>0.05</v>
      </c>
      <c r="D788">
        <v>0.05</v>
      </c>
      <c r="E788">
        <v>0.15</v>
      </c>
      <c r="F788">
        <v>0.05</v>
      </c>
      <c r="G788">
        <v>0.05</v>
      </c>
    </row>
    <row r="789" spans="1:7" x14ac:dyDescent="0.2">
      <c r="A789">
        <v>8011</v>
      </c>
      <c r="B789" s="106" t="s">
        <v>1500</v>
      </c>
      <c r="C789">
        <v>0.05</v>
      </c>
      <c r="D789">
        <v>0.05</v>
      </c>
      <c r="E789">
        <v>0.15</v>
      </c>
      <c r="F789">
        <v>0.05</v>
      </c>
      <c r="G789">
        <v>0.05</v>
      </c>
    </row>
    <row r="790" spans="1:7" x14ac:dyDescent="0.2">
      <c r="A790">
        <v>8014</v>
      </c>
      <c r="B790" s="106" t="s">
        <v>2537</v>
      </c>
      <c r="C790">
        <v>0</v>
      </c>
      <c r="D790" t="s">
        <v>171</v>
      </c>
      <c r="E790">
        <v>0</v>
      </c>
      <c r="F790">
        <v>0</v>
      </c>
      <c r="G790">
        <v>0</v>
      </c>
    </row>
    <row r="791" spans="1:7" x14ac:dyDescent="0.2">
      <c r="A791">
        <v>8015</v>
      </c>
      <c r="B791" s="106" t="s">
        <v>1501</v>
      </c>
      <c r="C791">
        <v>0</v>
      </c>
      <c r="D791">
        <v>0</v>
      </c>
      <c r="E791">
        <v>0.15</v>
      </c>
      <c r="F791">
        <v>0</v>
      </c>
      <c r="G791">
        <v>0</v>
      </c>
    </row>
    <row r="792" spans="1:7" x14ac:dyDescent="0.2">
      <c r="A792">
        <v>8016</v>
      </c>
      <c r="B792" s="106" t="s">
        <v>1502</v>
      </c>
      <c r="C792">
        <v>0.05</v>
      </c>
      <c r="D792">
        <v>0.05</v>
      </c>
      <c r="E792">
        <v>0.15</v>
      </c>
      <c r="F792">
        <v>0.05</v>
      </c>
      <c r="G792" s="106">
        <v>0.05</v>
      </c>
    </row>
    <row r="793" spans="1:7" x14ac:dyDescent="0.2">
      <c r="A793">
        <v>8020</v>
      </c>
      <c r="B793" s="106" t="s">
        <v>2538</v>
      </c>
      <c r="C793">
        <v>0</v>
      </c>
      <c r="D793" t="s">
        <v>171</v>
      </c>
      <c r="E793" t="s">
        <v>171</v>
      </c>
      <c r="F793" t="s">
        <v>171</v>
      </c>
      <c r="G793" t="s">
        <v>171</v>
      </c>
    </row>
    <row r="794" spans="1:7" x14ac:dyDescent="0.2">
      <c r="A794">
        <v>8028</v>
      </c>
      <c r="B794" s="106" t="s">
        <v>1503</v>
      </c>
      <c r="C794">
        <v>0.05</v>
      </c>
      <c r="D794">
        <v>0.05</v>
      </c>
      <c r="E794">
        <v>0.15</v>
      </c>
      <c r="F794">
        <v>0.05</v>
      </c>
      <c r="G794">
        <v>0.05</v>
      </c>
    </row>
    <row r="795" spans="1:7" x14ac:dyDescent="0.2">
      <c r="A795">
        <v>8031</v>
      </c>
      <c r="B795" s="106" t="s">
        <v>1504</v>
      </c>
      <c r="C795">
        <v>0.05</v>
      </c>
      <c r="D795">
        <v>0.05</v>
      </c>
      <c r="E795">
        <v>0.15</v>
      </c>
      <c r="F795">
        <v>0.05</v>
      </c>
      <c r="G795">
        <v>0.05</v>
      </c>
    </row>
    <row r="796" spans="1:7" x14ac:dyDescent="0.2">
      <c r="A796">
        <v>8032</v>
      </c>
      <c r="B796" s="106" t="s">
        <v>1505</v>
      </c>
      <c r="C796">
        <v>0.1</v>
      </c>
      <c r="D796">
        <v>0.1</v>
      </c>
      <c r="E796" s="106">
        <v>0.3</v>
      </c>
      <c r="F796">
        <v>0.1</v>
      </c>
      <c r="G796">
        <v>0.1</v>
      </c>
    </row>
    <row r="797" spans="1:7" x14ac:dyDescent="0.2">
      <c r="A797">
        <v>8035</v>
      </c>
      <c r="B797" s="106" t="s">
        <v>1506</v>
      </c>
      <c r="C797">
        <v>0.4</v>
      </c>
      <c r="D797">
        <v>0.4</v>
      </c>
      <c r="E797">
        <v>1.35</v>
      </c>
      <c r="F797">
        <v>0.45</v>
      </c>
      <c r="G797">
        <v>0.45</v>
      </c>
    </row>
    <row r="798" spans="1:7" x14ac:dyDescent="0.2">
      <c r="A798">
        <v>8041</v>
      </c>
      <c r="B798" s="106" t="s">
        <v>1507</v>
      </c>
      <c r="C798">
        <v>0.05</v>
      </c>
      <c r="D798">
        <v>0.05</v>
      </c>
      <c r="E798">
        <v>0.15</v>
      </c>
      <c r="F798">
        <v>0.05</v>
      </c>
      <c r="G798">
        <v>0.05</v>
      </c>
    </row>
    <row r="799" spans="1:7" x14ac:dyDescent="0.2">
      <c r="A799">
        <v>8043</v>
      </c>
      <c r="B799" s="106" t="s">
        <v>1508</v>
      </c>
      <c r="C799">
        <v>0</v>
      </c>
      <c r="D799">
        <v>0</v>
      </c>
      <c r="E799">
        <v>0</v>
      </c>
      <c r="F799">
        <v>0</v>
      </c>
      <c r="G799">
        <v>0</v>
      </c>
    </row>
    <row r="800" spans="1:7" x14ac:dyDescent="0.2">
      <c r="A800">
        <v>8050</v>
      </c>
      <c r="B800" s="106" t="s">
        <v>1509</v>
      </c>
      <c r="C800">
        <v>0.05</v>
      </c>
      <c r="D800">
        <v>0.05</v>
      </c>
      <c r="E800">
        <v>0.15</v>
      </c>
      <c r="F800">
        <v>0.05</v>
      </c>
      <c r="G800" s="106">
        <v>0.05</v>
      </c>
    </row>
    <row r="801" spans="1:7" x14ac:dyDescent="0.2">
      <c r="A801">
        <v>8051</v>
      </c>
      <c r="B801" s="106" t="s">
        <v>2202</v>
      </c>
      <c r="C801">
        <v>0.05</v>
      </c>
      <c r="D801">
        <v>0.05</v>
      </c>
      <c r="E801">
        <v>0.15</v>
      </c>
      <c r="F801">
        <v>0.05</v>
      </c>
      <c r="G801" s="106">
        <v>0.05</v>
      </c>
    </row>
    <row r="802" spans="1:7" x14ac:dyDescent="0.2">
      <c r="A802">
        <v>8057</v>
      </c>
      <c r="B802" s="106" t="s">
        <v>1510</v>
      </c>
      <c r="C802">
        <v>0.15</v>
      </c>
      <c r="D802">
        <v>0.15</v>
      </c>
      <c r="E802">
        <v>0.45</v>
      </c>
      <c r="F802">
        <v>0.15</v>
      </c>
      <c r="G802">
        <v>0.15</v>
      </c>
    </row>
    <row r="803" spans="1:7" x14ac:dyDescent="0.2">
      <c r="A803">
        <v>8059</v>
      </c>
      <c r="B803" s="106" t="s">
        <v>1511</v>
      </c>
      <c r="C803">
        <v>0</v>
      </c>
      <c r="D803">
        <v>0</v>
      </c>
      <c r="E803">
        <v>0</v>
      </c>
      <c r="F803">
        <v>0.05</v>
      </c>
      <c r="G803" s="106">
        <v>0.1</v>
      </c>
    </row>
    <row r="804" spans="1:7" x14ac:dyDescent="0.2">
      <c r="A804">
        <v>8060</v>
      </c>
      <c r="B804" s="106" t="s">
        <v>2293</v>
      </c>
      <c r="C804">
        <v>0</v>
      </c>
      <c r="D804">
        <v>0</v>
      </c>
      <c r="E804" t="s">
        <v>171</v>
      </c>
      <c r="F804">
        <v>0</v>
      </c>
      <c r="G804">
        <v>0</v>
      </c>
    </row>
    <row r="805" spans="1:7" x14ac:dyDescent="0.2">
      <c r="A805">
        <v>8068</v>
      </c>
      <c r="B805" s="106" t="s">
        <v>1512</v>
      </c>
      <c r="C805">
        <v>0</v>
      </c>
      <c r="D805">
        <v>0</v>
      </c>
      <c r="E805">
        <v>0</v>
      </c>
      <c r="F805">
        <v>0</v>
      </c>
      <c r="G805">
        <v>0</v>
      </c>
    </row>
    <row r="806" spans="1:7" x14ac:dyDescent="0.2">
      <c r="A806">
        <v>8074</v>
      </c>
      <c r="B806" s="106" t="s">
        <v>1513</v>
      </c>
      <c r="C806">
        <v>0</v>
      </c>
      <c r="D806">
        <v>0.1</v>
      </c>
      <c r="E806">
        <v>0</v>
      </c>
      <c r="F806">
        <v>0</v>
      </c>
      <c r="G806" t="s">
        <v>171</v>
      </c>
    </row>
    <row r="807" spans="1:7" x14ac:dyDescent="0.2">
      <c r="A807">
        <v>8075</v>
      </c>
      <c r="B807" s="106" t="s">
        <v>1514</v>
      </c>
      <c r="C807">
        <v>0</v>
      </c>
      <c r="D807">
        <v>0</v>
      </c>
      <c r="E807">
        <v>0</v>
      </c>
      <c r="F807">
        <v>0</v>
      </c>
      <c r="G807">
        <v>0</v>
      </c>
    </row>
    <row r="808" spans="1:7" x14ac:dyDescent="0.2">
      <c r="A808">
        <v>8077</v>
      </c>
      <c r="B808" s="106" t="s">
        <v>1515</v>
      </c>
      <c r="C808">
        <v>0.05</v>
      </c>
      <c r="D808">
        <v>0</v>
      </c>
      <c r="E808">
        <v>0.15</v>
      </c>
      <c r="F808" s="106">
        <v>0.05</v>
      </c>
      <c r="G808" s="106">
        <v>0.05</v>
      </c>
    </row>
    <row r="809" spans="1:7" x14ac:dyDescent="0.2">
      <c r="A809">
        <v>8079</v>
      </c>
      <c r="B809" s="106" t="s">
        <v>1516</v>
      </c>
      <c r="C809">
        <v>0.1</v>
      </c>
      <c r="D809">
        <v>0.1</v>
      </c>
      <c r="E809">
        <v>0.3</v>
      </c>
      <c r="F809">
        <v>0.1</v>
      </c>
      <c r="G809">
        <v>0.1</v>
      </c>
    </row>
    <row r="810" spans="1:7" x14ac:dyDescent="0.2">
      <c r="A810">
        <v>8086</v>
      </c>
      <c r="B810" s="106" t="s">
        <v>935</v>
      </c>
      <c r="C810">
        <v>0</v>
      </c>
      <c r="D810">
        <v>0.05</v>
      </c>
      <c r="E810">
        <v>0</v>
      </c>
      <c r="F810">
        <v>0</v>
      </c>
      <c r="G810">
        <v>0</v>
      </c>
    </row>
    <row r="811" spans="1:7" x14ac:dyDescent="0.2">
      <c r="A811">
        <v>8087</v>
      </c>
      <c r="B811" s="106" t="s">
        <v>2539</v>
      </c>
      <c r="C811">
        <v>0</v>
      </c>
      <c r="D811" t="s">
        <v>171</v>
      </c>
      <c r="E811" t="s">
        <v>171</v>
      </c>
      <c r="F811" t="s">
        <v>171</v>
      </c>
      <c r="G811" t="s">
        <v>171</v>
      </c>
    </row>
    <row r="812" spans="1:7" x14ac:dyDescent="0.2">
      <c r="A812">
        <v>8089</v>
      </c>
      <c r="B812" s="106" t="s">
        <v>1517</v>
      </c>
      <c r="C812">
        <v>0.05</v>
      </c>
      <c r="D812">
        <v>0.05</v>
      </c>
      <c r="E812">
        <v>0.15</v>
      </c>
      <c r="F812">
        <v>0.05</v>
      </c>
      <c r="G812">
        <v>0.05</v>
      </c>
    </row>
    <row r="813" spans="1:7" x14ac:dyDescent="0.2">
      <c r="A813">
        <v>8093</v>
      </c>
      <c r="B813" s="106" t="s">
        <v>1518</v>
      </c>
      <c r="C813">
        <v>0.05</v>
      </c>
      <c r="D813">
        <v>0.05</v>
      </c>
      <c r="E813">
        <v>0.15</v>
      </c>
      <c r="F813">
        <v>0.05</v>
      </c>
      <c r="G813">
        <v>0.05</v>
      </c>
    </row>
    <row r="814" spans="1:7" x14ac:dyDescent="0.2">
      <c r="A814">
        <v>8096</v>
      </c>
      <c r="B814" s="106" t="s">
        <v>2203</v>
      </c>
      <c r="C814">
        <v>0</v>
      </c>
      <c r="D814">
        <v>0</v>
      </c>
      <c r="E814">
        <v>0</v>
      </c>
      <c r="F814">
        <v>0</v>
      </c>
      <c r="G814">
        <v>0</v>
      </c>
    </row>
    <row r="815" spans="1:7" x14ac:dyDescent="0.2">
      <c r="A815">
        <v>8097</v>
      </c>
      <c r="B815" s="106" t="s">
        <v>1519</v>
      </c>
      <c r="C815">
        <v>0.05</v>
      </c>
      <c r="D815">
        <v>0.05</v>
      </c>
      <c r="E815">
        <v>0.15</v>
      </c>
      <c r="F815">
        <v>0.05</v>
      </c>
      <c r="G815">
        <v>0.05</v>
      </c>
    </row>
    <row r="816" spans="1:7" x14ac:dyDescent="0.2">
      <c r="A816">
        <v>8098</v>
      </c>
      <c r="B816" s="106" t="s">
        <v>1520</v>
      </c>
      <c r="C816">
        <v>0.05</v>
      </c>
      <c r="D816">
        <v>0.05</v>
      </c>
      <c r="E816">
        <v>0.15</v>
      </c>
      <c r="F816">
        <v>0.05</v>
      </c>
      <c r="G816">
        <v>0.05</v>
      </c>
    </row>
    <row r="817" spans="1:7" x14ac:dyDescent="0.2">
      <c r="A817">
        <v>8101</v>
      </c>
      <c r="B817" s="106" t="s">
        <v>1521</v>
      </c>
      <c r="C817">
        <v>0</v>
      </c>
      <c r="D817">
        <v>0</v>
      </c>
      <c r="E817">
        <v>0</v>
      </c>
      <c r="F817">
        <v>0</v>
      </c>
      <c r="G817">
        <v>0</v>
      </c>
    </row>
    <row r="818" spans="1:7" x14ac:dyDescent="0.2">
      <c r="A818">
        <v>8103</v>
      </c>
      <c r="B818" s="106" t="s">
        <v>1522</v>
      </c>
      <c r="C818">
        <v>0.05</v>
      </c>
      <c r="D818">
        <v>0.05</v>
      </c>
      <c r="E818">
        <v>0.15</v>
      </c>
      <c r="F818">
        <v>0.05</v>
      </c>
      <c r="G818">
        <v>0.05</v>
      </c>
    </row>
    <row r="819" spans="1:7" x14ac:dyDescent="0.2">
      <c r="A819">
        <v>8113</v>
      </c>
      <c r="B819" s="106" t="s">
        <v>1523</v>
      </c>
      <c r="C819">
        <v>0.1</v>
      </c>
      <c r="D819">
        <v>0.1</v>
      </c>
      <c r="E819">
        <v>0.3</v>
      </c>
      <c r="F819" s="106">
        <v>0.1</v>
      </c>
      <c r="G819" s="106">
        <v>0</v>
      </c>
    </row>
    <row r="820" spans="1:7" x14ac:dyDescent="0.2">
      <c r="A820">
        <v>8114</v>
      </c>
      <c r="B820" s="106" t="s">
        <v>1524</v>
      </c>
      <c r="C820">
        <v>0.05</v>
      </c>
      <c r="D820">
        <v>0.05</v>
      </c>
      <c r="E820">
        <v>0.15</v>
      </c>
      <c r="F820" s="106">
        <v>0.05</v>
      </c>
      <c r="G820" s="106">
        <v>0.05</v>
      </c>
    </row>
    <row r="821" spans="1:7" x14ac:dyDescent="0.2">
      <c r="A821">
        <v>8130</v>
      </c>
      <c r="B821" s="106" t="s">
        <v>1525</v>
      </c>
      <c r="C821">
        <v>0</v>
      </c>
      <c r="D821">
        <v>0</v>
      </c>
      <c r="E821">
        <v>0</v>
      </c>
      <c r="F821">
        <v>0</v>
      </c>
      <c r="G821">
        <v>0</v>
      </c>
    </row>
    <row r="822" spans="1:7" x14ac:dyDescent="0.2">
      <c r="A822">
        <v>8131</v>
      </c>
      <c r="B822" s="106" t="s">
        <v>1526</v>
      </c>
      <c r="C822">
        <v>0.05</v>
      </c>
      <c r="D822">
        <v>0.05</v>
      </c>
      <c r="E822">
        <v>0.15</v>
      </c>
      <c r="F822">
        <v>0.05</v>
      </c>
      <c r="G822">
        <v>0.05</v>
      </c>
    </row>
    <row r="823" spans="1:7" x14ac:dyDescent="0.2">
      <c r="A823">
        <v>8132</v>
      </c>
      <c r="B823" s="106" t="s">
        <v>1527</v>
      </c>
      <c r="C823">
        <v>0.05</v>
      </c>
      <c r="D823">
        <v>0</v>
      </c>
      <c r="E823">
        <v>0</v>
      </c>
      <c r="F823">
        <v>0</v>
      </c>
      <c r="G823">
        <v>0</v>
      </c>
    </row>
    <row r="824" spans="1:7" x14ac:dyDescent="0.2">
      <c r="A824">
        <v>8137</v>
      </c>
      <c r="B824" s="106" t="s">
        <v>1528</v>
      </c>
      <c r="C824">
        <v>0.05</v>
      </c>
      <c r="D824">
        <v>0.05</v>
      </c>
      <c r="E824">
        <v>0.15</v>
      </c>
      <c r="F824">
        <v>0.05</v>
      </c>
      <c r="G824">
        <v>0.05</v>
      </c>
    </row>
    <row r="825" spans="1:7" x14ac:dyDescent="0.2">
      <c r="A825">
        <v>8140</v>
      </c>
      <c r="B825" s="106" t="s">
        <v>1529</v>
      </c>
      <c r="C825">
        <v>0.05</v>
      </c>
      <c r="D825">
        <v>0.05</v>
      </c>
      <c r="E825">
        <v>0.15</v>
      </c>
      <c r="F825">
        <v>0.05</v>
      </c>
      <c r="G825">
        <v>0.05</v>
      </c>
    </row>
    <row r="826" spans="1:7" x14ac:dyDescent="0.2">
      <c r="A826">
        <v>8141</v>
      </c>
      <c r="B826" s="106" t="s">
        <v>1530</v>
      </c>
      <c r="C826">
        <v>0.05</v>
      </c>
      <c r="D826">
        <v>0.05</v>
      </c>
      <c r="E826">
        <v>0.15</v>
      </c>
      <c r="F826">
        <v>0.05</v>
      </c>
      <c r="G826">
        <v>0.05</v>
      </c>
    </row>
    <row r="827" spans="1:7" x14ac:dyDescent="0.2">
      <c r="A827">
        <v>8142</v>
      </c>
      <c r="B827" s="106" t="s">
        <v>1531</v>
      </c>
      <c r="C827">
        <v>0.05</v>
      </c>
      <c r="D827">
        <v>0.05</v>
      </c>
      <c r="E827">
        <v>0.15</v>
      </c>
      <c r="F827">
        <v>0.05</v>
      </c>
      <c r="G827">
        <v>0.05</v>
      </c>
    </row>
    <row r="828" spans="1:7" x14ac:dyDescent="0.2">
      <c r="A828">
        <v>8150</v>
      </c>
      <c r="B828" s="106" t="s">
        <v>1532</v>
      </c>
      <c r="C828">
        <v>0</v>
      </c>
      <c r="D828">
        <v>0</v>
      </c>
      <c r="E828">
        <v>0</v>
      </c>
      <c r="F828">
        <v>0</v>
      </c>
      <c r="G828">
        <v>0</v>
      </c>
    </row>
    <row r="829" spans="1:7" x14ac:dyDescent="0.2">
      <c r="A829">
        <v>8153</v>
      </c>
      <c r="B829" s="106" t="s">
        <v>1533</v>
      </c>
      <c r="C829">
        <v>0.1</v>
      </c>
      <c r="D829">
        <v>0.05</v>
      </c>
      <c r="E829">
        <v>0.3</v>
      </c>
      <c r="F829">
        <v>0.1</v>
      </c>
      <c r="G829">
        <v>0.1</v>
      </c>
    </row>
    <row r="830" spans="1:7" x14ac:dyDescent="0.2">
      <c r="A830">
        <v>8155</v>
      </c>
      <c r="B830" s="106" t="s">
        <v>2540</v>
      </c>
      <c r="C830">
        <v>0</v>
      </c>
      <c r="D830" t="s">
        <v>171</v>
      </c>
      <c r="E830" t="s">
        <v>171</v>
      </c>
      <c r="F830" t="s">
        <v>171</v>
      </c>
      <c r="G830" t="s">
        <v>171</v>
      </c>
    </row>
    <row r="831" spans="1:7" x14ac:dyDescent="0.2">
      <c r="A831">
        <v>8158</v>
      </c>
      <c r="B831" s="106" t="s">
        <v>1534</v>
      </c>
      <c r="C831">
        <v>0.05</v>
      </c>
      <c r="D831">
        <v>0.05</v>
      </c>
      <c r="E831">
        <v>0.15</v>
      </c>
      <c r="F831">
        <v>0.05</v>
      </c>
      <c r="G831">
        <v>0.05</v>
      </c>
    </row>
    <row r="832" spans="1:7" x14ac:dyDescent="0.2">
      <c r="A832">
        <v>8160</v>
      </c>
      <c r="B832" s="106" t="s">
        <v>1535</v>
      </c>
      <c r="C832">
        <v>0.05</v>
      </c>
      <c r="D832">
        <v>0.05</v>
      </c>
      <c r="E832">
        <v>0.15</v>
      </c>
      <c r="F832">
        <v>0.05</v>
      </c>
      <c r="G832">
        <v>0.05</v>
      </c>
    </row>
    <row r="833" spans="1:7" x14ac:dyDescent="0.2">
      <c r="A833">
        <v>8163</v>
      </c>
      <c r="B833" s="106" t="s">
        <v>1536</v>
      </c>
      <c r="C833">
        <v>0.05</v>
      </c>
      <c r="D833">
        <v>0.05</v>
      </c>
      <c r="E833">
        <v>0.15</v>
      </c>
      <c r="F833">
        <v>0.05</v>
      </c>
      <c r="G833">
        <v>0.05</v>
      </c>
    </row>
    <row r="834" spans="1:7" x14ac:dyDescent="0.2">
      <c r="A834">
        <v>8165</v>
      </c>
      <c r="B834" s="106" t="s">
        <v>1537</v>
      </c>
      <c r="C834">
        <v>0.05</v>
      </c>
      <c r="D834">
        <v>0.05</v>
      </c>
      <c r="E834">
        <v>0.15</v>
      </c>
      <c r="F834">
        <v>0.05</v>
      </c>
      <c r="G834">
        <v>0</v>
      </c>
    </row>
    <row r="835" spans="1:7" x14ac:dyDescent="0.2">
      <c r="A835">
        <v>8173</v>
      </c>
      <c r="B835" s="106" t="s">
        <v>1538</v>
      </c>
      <c r="C835">
        <v>0</v>
      </c>
      <c r="D835">
        <v>0</v>
      </c>
      <c r="E835">
        <v>0</v>
      </c>
      <c r="F835">
        <v>0</v>
      </c>
      <c r="G835">
        <v>0</v>
      </c>
    </row>
    <row r="836" spans="1:7" x14ac:dyDescent="0.2">
      <c r="A836">
        <v>8174</v>
      </c>
      <c r="B836" s="106" t="s">
        <v>1539</v>
      </c>
      <c r="C836">
        <v>0.1</v>
      </c>
      <c r="D836">
        <v>0.1</v>
      </c>
      <c r="E836">
        <v>0.3</v>
      </c>
      <c r="F836">
        <v>0.1</v>
      </c>
      <c r="G836">
        <v>0.1</v>
      </c>
    </row>
    <row r="837" spans="1:7" x14ac:dyDescent="0.2">
      <c r="A837">
        <v>8179</v>
      </c>
      <c r="B837" s="106" t="s">
        <v>1540</v>
      </c>
      <c r="C837">
        <v>0</v>
      </c>
      <c r="D837">
        <v>0</v>
      </c>
      <c r="E837">
        <v>0</v>
      </c>
      <c r="F837">
        <v>0</v>
      </c>
      <c r="G837">
        <v>0</v>
      </c>
    </row>
    <row r="838" spans="1:7" x14ac:dyDescent="0.2">
      <c r="A838">
        <v>8182</v>
      </c>
      <c r="B838" s="106" t="s">
        <v>1541</v>
      </c>
      <c r="C838">
        <v>0.05</v>
      </c>
      <c r="D838">
        <v>0.05</v>
      </c>
      <c r="E838" s="106">
        <v>0.15</v>
      </c>
      <c r="F838">
        <v>0.05</v>
      </c>
      <c r="G838">
        <v>0.05</v>
      </c>
    </row>
    <row r="839" spans="1:7" x14ac:dyDescent="0.2">
      <c r="A839">
        <v>8184</v>
      </c>
      <c r="B839" s="106" t="s">
        <v>1542</v>
      </c>
      <c r="C839">
        <v>0.05</v>
      </c>
      <c r="D839">
        <v>0.05</v>
      </c>
      <c r="E839">
        <v>0.15</v>
      </c>
      <c r="F839">
        <v>0.1</v>
      </c>
      <c r="G839">
        <v>0.05</v>
      </c>
    </row>
    <row r="840" spans="1:7" x14ac:dyDescent="0.2">
      <c r="A840">
        <v>8185</v>
      </c>
      <c r="B840" s="106" t="s">
        <v>1543</v>
      </c>
      <c r="C840">
        <v>0.05</v>
      </c>
      <c r="D840">
        <v>0.05</v>
      </c>
      <c r="E840">
        <v>0.15</v>
      </c>
      <c r="F840">
        <v>0.05</v>
      </c>
      <c r="G840">
        <v>0.05</v>
      </c>
    </row>
    <row r="841" spans="1:7" x14ac:dyDescent="0.2">
      <c r="A841">
        <v>8194</v>
      </c>
      <c r="B841" s="106" t="s">
        <v>1544</v>
      </c>
      <c r="C841">
        <v>0.05</v>
      </c>
      <c r="D841">
        <v>0.05</v>
      </c>
      <c r="E841">
        <v>0.15</v>
      </c>
      <c r="F841">
        <v>0.05</v>
      </c>
      <c r="G841">
        <v>0.05</v>
      </c>
    </row>
    <row r="842" spans="1:7" x14ac:dyDescent="0.2">
      <c r="A842">
        <v>8200</v>
      </c>
      <c r="B842" s="106" t="s">
        <v>1545</v>
      </c>
      <c r="C842">
        <v>0</v>
      </c>
      <c r="D842">
        <v>0</v>
      </c>
      <c r="E842">
        <v>0</v>
      </c>
      <c r="F842">
        <v>0</v>
      </c>
      <c r="G842">
        <v>0.05</v>
      </c>
    </row>
    <row r="843" spans="1:7" x14ac:dyDescent="0.2">
      <c r="A843">
        <v>8203</v>
      </c>
      <c r="B843" s="106" t="s">
        <v>1546</v>
      </c>
      <c r="C843">
        <v>0</v>
      </c>
      <c r="D843">
        <v>0</v>
      </c>
      <c r="E843">
        <v>0</v>
      </c>
      <c r="F843">
        <v>0</v>
      </c>
      <c r="G843">
        <v>0</v>
      </c>
    </row>
    <row r="844" spans="1:7" x14ac:dyDescent="0.2">
      <c r="A844">
        <v>8214</v>
      </c>
      <c r="B844" s="106" t="s">
        <v>1547</v>
      </c>
      <c r="C844">
        <v>0.05</v>
      </c>
      <c r="D844">
        <v>0</v>
      </c>
      <c r="E844">
        <v>0.15</v>
      </c>
      <c r="F844">
        <v>0.05</v>
      </c>
      <c r="G844">
        <v>0.05</v>
      </c>
    </row>
    <row r="845" spans="1:7" x14ac:dyDescent="0.2">
      <c r="A845">
        <v>8217</v>
      </c>
      <c r="B845" s="106" t="s">
        <v>1548</v>
      </c>
      <c r="C845">
        <v>0.1</v>
      </c>
      <c r="D845">
        <v>0.05</v>
      </c>
      <c r="E845">
        <v>0.15</v>
      </c>
      <c r="F845">
        <v>0.1</v>
      </c>
      <c r="G845">
        <v>0.1</v>
      </c>
    </row>
    <row r="846" spans="1:7" x14ac:dyDescent="0.2">
      <c r="A846">
        <v>8219</v>
      </c>
      <c r="B846" s="106" t="s">
        <v>2541</v>
      </c>
      <c r="C846">
        <v>0</v>
      </c>
      <c r="D846" t="s">
        <v>171</v>
      </c>
      <c r="E846" t="s">
        <v>171</v>
      </c>
      <c r="F846" s="106">
        <v>0</v>
      </c>
      <c r="G846" s="106" t="s">
        <v>171</v>
      </c>
    </row>
    <row r="847" spans="1:7" x14ac:dyDescent="0.2">
      <c r="A847">
        <v>8227</v>
      </c>
      <c r="B847" s="106" t="s">
        <v>1549</v>
      </c>
      <c r="C847">
        <v>0.2</v>
      </c>
      <c r="D847">
        <v>0.2</v>
      </c>
      <c r="E847">
        <v>0.6</v>
      </c>
      <c r="F847" s="106">
        <v>0.2</v>
      </c>
      <c r="G847" s="106">
        <v>0.15</v>
      </c>
    </row>
    <row r="848" spans="1:7" x14ac:dyDescent="0.2">
      <c r="A848">
        <v>8230</v>
      </c>
      <c r="B848" s="106" t="s">
        <v>1550</v>
      </c>
      <c r="C848">
        <v>0.05</v>
      </c>
      <c r="D848">
        <v>0.05</v>
      </c>
      <c r="E848">
        <v>0.15</v>
      </c>
      <c r="F848">
        <v>0.05</v>
      </c>
      <c r="G848">
        <v>0.05</v>
      </c>
    </row>
    <row r="849" spans="1:7" x14ac:dyDescent="0.2">
      <c r="A849">
        <v>8237</v>
      </c>
      <c r="B849" s="106" t="s">
        <v>1551</v>
      </c>
      <c r="C849">
        <v>0</v>
      </c>
      <c r="D849">
        <v>0</v>
      </c>
      <c r="E849">
        <v>0</v>
      </c>
      <c r="F849" s="106">
        <v>0</v>
      </c>
      <c r="G849">
        <v>0</v>
      </c>
    </row>
    <row r="850" spans="1:7" x14ac:dyDescent="0.2">
      <c r="A850">
        <v>8242</v>
      </c>
      <c r="B850" s="106" t="s">
        <v>1552</v>
      </c>
      <c r="C850">
        <v>0.05</v>
      </c>
      <c r="D850">
        <v>0.05</v>
      </c>
      <c r="E850">
        <v>0.15</v>
      </c>
      <c r="F850" s="106">
        <v>0.05</v>
      </c>
      <c r="G850">
        <v>0.05</v>
      </c>
    </row>
    <row r="851" spans="1:7" x14ac:dyDescent="0.2">
      <c r="A851">
        <v>8244</v>
      </c>
      <c r="B851" s="106" t="s">
        <v>1553</v>
      </c>
      <c r="C851">
        <v>0.1</v>
      </c>
      <c r="D851">
        <v>0.1</v>
      </c>
      <c r="E851">
        <v>0.3</v>
      </c>
      <c r="F851">
        <v>0.1</v>
      </c>
      <c r="G851">
        <v>0.1</v>
      </c>
    </row>
    <row r="852" spans="1:7" x14ac:dyDescent="0.2">
      <c r="A852">
        <v>8251</v>
      </c>
      <c r="B852" s="106" t="s">
        <v>1554</v>
      </c>
      <c r="C852">
        <v>0.05</v>
      </c>
      <c r="D852">
        <v>0.05</v>
      </c>
      <c r="E852">
        <v>0.15</v>
      </c>
      <c r="F852">
        <v>0.05</v>
      </c>
      <c r="G852">
        <v>0.05</v>
      </c>
    </row>
    <row r="853" spans="1:7" x14ac:dyDescent="0.2">
      <c r="A853">
        <v>8252</v>
      </c>
      <c r="B853" s="106" t="s">
        <v>1555</v>
      </c>
      <c r="C853">
        <v>0.05</v>
      </c>
      <c r="D853">
        <v>0.05</v>
      </c>
      <c r="E853">
        <v>0.15</v>
      </c>
      <c r="F853">
        <v>0.05</v>
      </c>
      <c r="G853">
        <v>0.05</v>
      </c>
    </row>
    <row r="854" spans="1:7" x14ac:dyDescent="0.2">
      <c r="A854">
        <v>8253</v>
      </c>
      <c r="B854" s="106" t="s">
        <v>902</v>
      </c>
      <c r="C854">
        <v>0.05</v>
      </c>
      <c r="D854">
        <v>0.05</v>
      </c>
      <c r="E854">
        <v>0.15</v>
      </c>
      <c r="F854">
        <v>0.05</v>
      </c>
      <c r="G854">
        <v>0.05</v>
      </c>
    </row>
    <row r="855" spans="1:7" x14ac:dyDescent="0.2">
      <c r="A855">
        <v>8267</v>
      </c>
      <c r="B855" s="106" t="s">
        <v>238</v>
      </c>
      <c r="C855">
        <v>0.05</v>
      </c>
      <c r="D855">
        <v>0.05</v>
      </c>
      <c r="E855">
        <v>0.15</v>
      </c>
      <c r="F855">
        <v>0.05</v>
      </c>
      <c r="G855">
        <v>0.05</v>
      </c>
    </row>
    <row r="856" spans="1:7" x14ac:dyDescent="0.2">
      <c r="A856">
        <v>8273</v>
      </c>
      <c r="B856" s="106" t="s">
        <v>2204</v>
      </c>
      <c r="C856">
        <v>0</v>
      </c>
      <c r="D856">
        <v>0</v>
      </c>
      <c r="E856">
        <v>0</v>
      </c>
      <c r="F856">
        <v>0</v>
      </c>
      <c r="G856">
        <v>0</v>
      </c>
    </row>
    <row r="857" spans="1:7" x14ac:dyDescent="0.2">
      <c r="A857">
        <v>8275</v>
      </c>
      <c r="B857" s="106" t="s">
        <v>1556</v>
      </c>
      <c r="C857">
        <v>0</v>
      </c>
      <c r="D857">
        <v>0</v>
      </c>
      <c r="E857">
        <v>0</v>
      </c>
      <c r="F857" s="106">
        <v>0</v>
      </c>
      <c r="G857">
        <v>0</v>
      </c>
    </row>
    <row r="858" spans="1:7" x14ac:dyDescent="0.2">
      <c r="A858">
        <v>8276</v>
      </c>
      <c r="B858" s="106" t="s">
        <v>1557</v>
      </c>
      <c r="C858">
        <v>0.05</v>
      </c>
      <c r="D858">
        <v>0.05</v>
      </c>
      <c r="E858">
        <v>0.15</v>
      </c>
      <c r="F858" s="106">
        <v>0.05</v>
      </c>
      <c r="G858">
        <v>0.05</v>
      </c>
    </row>
    <row r="859" spans="1:7" x14ac:dyDescent="0.2">
      <c r="A859">
        <v>8278</v>
      </c>
      <c r="B859" s="106" t="s">
        <v>1558</v>
      </c>
      <c r="C859">
        <v>0.05</v>
      </c>
      <c r="D859">
        <v>0.05</v>
      </c>
      <c r="E859">
        <v>0.15</v>
      </c>
      <c r="F859">
        <v>0.05</v>
      </c>
      <c r="G859">
        <v>0.05</v>
      </c>
    </row>
    <row r="860" spans="1:7" x14ac:dyDescent="0.2">
      <c r="A860">
        <v>8279</v>
      </c>
      <c r="B860" s="106" t="s">
        <v>1559</v>
      </c>
      <c r="C860">
        <v>0.1</v>
      </c>
      <c r="D860" s="106">
        <v>0.1</v>
      </c>
      <c r="E860">
        <v>0.3</v>
      </c>
      <c r="F860" s="106">
        <v>0.1</v>
      </c>
      <c r="G860">
        <v>0.1</v>
      </c>
    </row>
    <row r="861" spans="1:7" x14ac:dyDescent="0.2">
      <c r="A861">
        <v>8281</v>
      </c>
      <c r="B861" s="106" t="s">
        <v>1560</v>
      </c>
      <c r="C861">
        <v>0</v>
      </c>
      <c r="D861">
        <v>0</v>
      </c>
      <c r="E861">
        <v>0</v>
      </c>
      <c r="F861" s="106">
        <v>0</v>
      </c>
      <c r="G861">
        <v>0</v>
      </c>
    </row>
    <row r="862" spans="1:7" x14ac:dyDescent="0.2">
      <c r="A862">
        <v>8282</v>
      </c>
      <c r="B862" s="106" t="s">
        <v>1561</v>
      </c>
      <c r="C862">
        <v>0.05</v>
      </c>
      <c r="D862">
        <v>0.05</v>
      </c>
      <c r="E862">
        <v>0.15</v>
      </c>
      <c r="F862">
        <v>0.05</v>
      </c>
      <c r="G862">
        <v>0.05</v>
      </c>
    </row>
    <row r="863" spans="1:7" x14ac:dyDescent="0.2">
      <c r="A863">
        <v>8283</v>
      </c>
      <c r="B863" s="106" t="s">
        <v>1562</v>
      </c>
      <c r="C863">
        <v>0.1</v>
      </c>
      <c r="D863">
        <v>0.1</v>
      </c>
      <c r="E863">
        <v>0.3</v>
      </c>
      <c r="F863">
        <v>0</v>
      </c>
      <c r="G863">
        <v>0</v>
      </c>
    </row>
    <row r="864" spans="1:7" x14ac:dyDescent="0.2">
      <c r="A864">
        <v>8289</v>
      </c>
      <c r="B864" s="106" t="s">
        <v>1563</v>
      </c>
      <c r="C864">
        <v>0.05</v>
      </c>
      <c r="D864">
        <v>0</v>
      </c>
      <c r="E864">
        <v>0</v>
      </c>
      <c r="F864">
        <v>0</v>
      </c>
      <c r="G864">
        <v>0</v>
      </c>
    </row>
    <row r="865" spans="1:7" x14ac:dyDescent="0.2">
      <c r="A865">
        <v>8303</v>
      </c>
      <c r="B865" s="106" t="s">
        <v>1564</v>
      </c>
      <c r="C865">
        <v>0.05</v>
      </c>
      <c r="D865">
        <v>0.05</v>
      </c>
      <c r="E865">
        <v>0</v>
      </c>
      <c r="F865">
        <v>0.05</v>
      </c>
      <c r="G865">
        <v>0.05</v>
      </c>
    </row>
    <row r="866" spans="1:7" x14ac:dyDescent="0.2">
      <c r="A866">
        <v>8308</v>
      </c>
      <c r="B866" s="106" t="s">
        <v>58</v>
      </c>
      <c r="C866">
        <v>0</v>
      </c>
      <c r="D866">
        <v>0</v>
      </c>
      <c r="E866">
        <v>0</v>
      </c>
      <c r="F866">
        <v>0</v>
      </c>
      <c r="G866">
        <v>0</v>
      </c>
    </row>
    <row r="867" spans="1:7" x14ac:dyDescent="0.2">
      <c r="A867">
        <v>8309</v>
      </c>
      <c r="B867" s="106" t="s">
        <v>1565</v>
      </c>
      <c r="C867">
        <v>0.1</v>
      </c>
      <c r="D867">
        <v>0.1</v>
      </c>
      <c r="E867">
        <v>0.3</v>
      </c>
      <c r="F867">
        <v>0.1</v>
      </c>
      <c r="G867">
        <v>0.1</v>
      </c>
    </row>
    <row r="868" spans="1:7" x14ac:dyDescent="0.2">
      <c r="A868">
        <v>8316</v>
      </c>
      <c r="B868" s="106" t="s">
        <v>904</v>
      </c>
      <c r="C868">
        <v>0</v>
      </c>
      <c r="D868" s="106">
        <v>0</v>
      </c>
      <c r="E868">
        <v>0</v>
      </c>
      <c r="F868" s="106">
        <v>0</v>
      </c>
      <c r="G868">
        <v>0</v>
      </c>
    </row>
    <row r="869" spans="1:7" x14ac:dyDescent="0.2">
      <c r="A869">
        <v>8331</v>
      </c>
      <c r="B869" s="106" t="s">
        <v>1566</v>
      </c>
      <c r="C869">
        <v>0.05</v>
      </c>
      <c r="D869" s="106">
        <v>0.05</v>
      </c>
      <c r="E869">
        <v>0.15</v>
      </c>
      <c r="F869" s="106">
        <v>0.05</v>
      </c>
      <c r="G869">
        <v>0.05</v>
      </c>
    </row>
    <row r="870" spans="1:7" x14ac:dyDescent="0.2">
      <c r="A870">
        <v>8337</v>
      </c>
      <c r="B870" s="106" t="s">
        <v>1567</v>
      </c>
      <c r="C870">
        <v>0</v>
      </c>
      <c r="D870" s="106">
        <v>0</v>
      </c>
      <c r="E870">
        <v>0</v>
      </c>
      <c r="F870" s="106">
        <v>0</v>
      </c>
      <c r="G870" s="106">
        <v>0</v>
      </c>
    </row>
    <row r="871" spans="1:7" x14ac:dyDescent="0.2">
      <c r="A871">
        <v>8338</v>
      </c>
      <c r="B871" s="106" t="s">
        <v>1568</v>
      </c>
      <c r="C871">
        <v>0.05</v>
      </c>
      <c r="D871">
        <v>0</v>
      </c>
      <c r="E871">
        <v>0</v>
      </c>
      <c r="F871">
        <v>0</v>
      </c>
      <c r="G871">
        <v>0</v>
      </c>
    </row>
    <row r="872" spans="1:7" x14ac:dyDescent="0.2">
      <c r="A872">
        <v>8341</v>
      </c>
      <c r="B872" s="106" t="s">
        <v>1569</v>
      </c>
      <c r="C872">
        <v>0.05</v>
      </c>
      <c r="D872">
        <v>0.05</v>
      </c>
      <c r="E872">
        <v>0.15</v>
      </c>
      <c r="F872">
        <v>0.05</v>
      </c>
      <c r="G872">
        <v>0.05</v>
      </c>
    </row>
    <row r="873" spans="1:7" x14ac:dyDescent="0.2">
      <c r="A873">
        <v>8342</v>
      </c>
      <c r="B873" s="106" t="s">
        <v>1570</v>
      </c>
      <c r="C873">
        <v>0.05</v>
      </c>
      <c r="D873">
        <v>0.05</v>
      </c>
      <c r="E873">
        <v>0.15</v>
      </c>
      <c r="F873">
        <v>0.05</v>
      </c>
      <c r="G873">
        <v>0.05</v>
      </c>
    </row>
    <row r="874" spans="1:7" x14ac:dyDescent="0.2">
      <c r="A874">
        <v>8343</v>
      </c>
      <c r="B874" s="106" t="s">
        <v>1571</v>
      </c>
      <c r="C874">
        <v>0.05</v>
      </c>
      <c r="D874">
        <v>0.05</v>
      </c>
      <c r="E874">
        <v>0.15</v>
      </c>
      <c r="F874" s="106">
        <v>0.05</v>
      </c>
      <c r="G874">
        <v>0.05</v>
      </c>
    </row>
    <row r="875" spans="1:7" x14ac:dyDescent="0.2">
      <c r="A875">
        <v>8344</v>
      </c>
      <c r="B875" s="106" t="s">
        <v>1572</v>
      </c>
      <c r="C875">
        <v>0.05</v>
      </c>
      <c r="D875">
        <v>0.05</v>
      </c>
      <c r="E875">
        <v>0.15</v>
      </c>
      <c r="F875" s="106">
        <v>0.05</v>
      </c>
      <c r="G875">
        <v>0.05</v>
      </c>
    </row>
    <row r="876" spans="1:7" x14ac:dyDescent="0.2">
      <c r="A876">
        <v>8345</v>
      </c>
      <c r="B876" s="106" t="s">
        <v>1573</v>
      </c>
      <c r="C876">
        <v>0.05</v>
      </c>
      <c r="D876">
        <v>0.05</v>
      </c>
      <c r="E876">
        <v>0.15</v>
      </c>
      <c r="F876">
        <v>0.05</v>
      </c>
      <c r="G876">
        <v>0.05</v>
      </c>
    </row>
    <row r="877" spans="1:7" x14ac:dyDescent="0.2">
      <c r="A877">
        <v>8346</v>
      </c>
      <c r="B877" s="106" t="s">
        <v>1574</v>
      </c>
      <c r="C877">
        <v>0</v>
      </c>
      <c r="D877">
        <v>0.05</v>
      </c>
      <c r="E877">
        <v>0</v>
      </c>
      <c r="F877">
        <v>0.05</v>
      </c>
      <c r="G877">
        <v>0</v>
      </c>
    </row>
    <row r="878" spans="1:7" x14ac:dyDescent="0.2">
      <c r="A878">
        <v>8350</v>
      </c>
      <c r="B878" s="106" t="s">
        <v>1575</v>
      </c>
      <c r="C878">
        <v>0</v>
      </c>
      <c r="D878">
        <v>0</v>
      </c>
      <c r="E878">
        <v>0</v>
      </c>
      <c r="F878">
        <v>0</v>
      </c>
      <c r="G878">
        <v>0</v>
      </c>
    </row>
    <row r="879" spans="1:7" x14ac:dyDescent="0.2">
      <c r="A879">
        <v>8354</v>
      </c>
      <c r="B879" s="106" t="s">
        <v>2205</v>
      </c>
      <c r="C879">
        <v>0.05</v>
      </c>
      <c r="D879">
        <v>0.05</v>
      </c>
      <c r="E879">
        <v>0.15</v>
      </c>
      <c r="F879">
        <v>0.05</v>
      </c>
      <c r="G879">
        <v>0.05</v>
      </c>
    </row>
    <row r="880" spans="1:7" x14ac:dyDescent="0.2">
      <c r="A880">
        <v>8355</v>
      </c>
      <c r="B880" s="106" t="s">
        <v>1576</v>
      </c>
      <c r="C880">
        <v>0.05</v>
      </c>
      <c r="D880">
        <v>0</v>
      </c>
      <c r="E880">
        <v>0.15</v>
      </c>
      <c r="F880" s="106">
        <v>0.05</v>
      </c>
      <c r="G880" s="106">
        <v>0.05</v>
      </c>
    </row>
    <row r="881" spans="1:7" x14ac:dyDescent="0.2">
      <c r="A881">
        <v>8356</v>
      </c>
      <c r="B881" s="106" t="s">
        <v>1577</v>
      </c>
      <c r="C881">
        <v>0.05</v>
      </c>
      <c r="D881">
        <v>0.05</v>
      </c>
      <c r="E881" s="106">
        <v>0.15</v>
      </c>
      <c r="F881" s="106">
        <v>0.05</v>
      </c>
      <c r="G881" s="106">
        <v>0.05</v>
      </c>
    </row>
    <row r="882" spans="1:7" x14ac:dyDescent="0.2">
      <c r="A882">
        <v>8358</v>
      </c>
      <c r="B882" s="106" t="s">
        <v>1578</v>
      </c>
      <c r="C882">
        <v>0</v>
      </c>
      <c r="D882">
        <v>0</v>
      </c>
      <c r="E882" s="106">
        <v>0</v>
      </c>
      <c r="F882" s="106">
        <v>0.05</v>
      </c>
      <c r="G882" s="106">
        <v>0</v>
      </c>
    </row>
    <row r="883" spans="1:7" x14ac:dyDescent="0.2">
      <c r="A883">
        <v>8359</v>
      </c>
      <c r="B883" s="106" t="s">
        <v>948</v>
      </c>
      <c r="C883">
        <v>0.05</v>
      </c>
      <c r="D883">
        <v>0.05</v>
      </c>
      <c r="E883">
        <v>0.15</v>
      </c>
      <c r="F883">
        <v>0.05</v>
      </c>
      <c r="G883" s="106">
        <v>0.05</v>
      </c>
    </row>
    <row r="884" spans="1:7" x14ac:dyDescent="0.2">
      <c r="A884">
        <v>8361</v>
      </c>
      <c r="B884" s="106" t="s">
        <v>1579</v>
      </c>
      <c r="C884">
        <v>0</v>
      </c>
      <c r="D884">
        <v>0</v>
      </c>
      <c r="E884">
        <v>0</v>
      </c>
      <c r="F884">
        <v>0</v>
      </c>
      <c r="G884" s="106">
        <v>0</v>
      </c>
    </row>
    <row r="885" spans="1:7" x14ac:dyDescent="0.2">
      <c r="A885">
        <v>8362</v>
      </c>
      <c r="B885" s="106" t="s">
        <v>1580</v>
      </c>
      <c r="C885">
        <v>0.05</v>
      </c>
      <c r="D885">
        <v>0.05</v>
      </c>
      <c r="E885">
        <v>0.15</v>
      </c>
      <c r="F885">
        <v>0.05</v>
      </c>
      <c r="G885" s="106">
        <v>0.05</v>
      </c>
    </row>
    <row r="886" spans="1:7" x14ac:dyDescent="0.2">
      <c r="A886">
        <v>8363</v>
      </c>
      <c r="B886" s="106" t="s">
        <v>1581</v>
      </c>
      <c r="C886">
        <v>0.1</v>
      </c>
      <c r="D886">
        <v>0.1</v>
      </c>
      <c r="E886">
        <v>0.3</v>
      </c>
      <c r="F886">
        <v>0.1</v>
      </c>
      <c r="G886">
        <v>0.1</v>
      </c>
    </row>
    <row r="887" spans="1:7" x14ac:dyDescent="0.2">
      <c r="A887">
        <v>8364</v>
      </c>
      <c r="B887" s="106" t="s">
        <v>1582</v>
      </c>
      <c r="C887">
        <v>0.05</v>
      </c>
      <c r="D887" s="106">
        <v>0.05</v>
      </c>
      <c r="E887">
        <v>0.15</v>
      </c>
      <c r="F887" s="106">
        <v>0.05</v>
      </c>
      <c r="G887" s="106">
        <v>0.05</v>
      </c>
    </row>
    <row r="888" spans="1:7" x14ac:dyDescent="0.2">
      <c r="A888">
        <v>8365</v>
      </c>
      <c r="B888" s="106" t="s">
        <v>1583</v>
      </c>
      <c r="C888">
        <v>0.05</v>
      </c>
      <c r="D888" s="106">
        <v>0.05</v>
      </c>
      <c r="E888">
        <v>0.15</v>
      </c>
      <c r="F888" s="106">
        <v>0.05</v>
      </c>
      <c r="G888" s="106">
        <v>0.05</v>
      </c>
    </row>
    <row r="889" spans="1:7" x14ac:dyDescent="0.2">
      <c r="A889">
        <v>8366</v>
      </c>
      <c r="B889" s="106" t="s">
        <v>1584</v>
      </c>
      <c r="C889">
        <v>0.05</v>
      </c>
      <c r="D889">
        <v>0.05</v>
      </c>
      <c r="E889">
        <v>0.15</v>
      </c>
      <c r="F889">
        <v>0.05</v>
      </c>
      <c r="G889">
        <v>0.05</v>
      </c>
    </row>
    <row r="890" spans="1:7" x14ac:dyDescent="0.2">
      <c r="A890">
        <v>8367</v>
      </c>
      <c r="B890" s="106" t="s">
        <v>1585</v>
      </c>
      <c r="C890">
        <v>0.05</v>
      </c>
      <c r="D890">
        <v>0.05</v>
      </c>
      <c r="E890">
        <v>0.15</v>
      </c>
      <c r="F890">
        <v>0.05</v>
      </c>
      <c r="G890">
        <v>0.05</v>
      </c>
    </row>
    <row r="891" spans="1:7" x14ac:dyDescent="0.2">
      <c r="A891">
        <v>8368</v>
      </c>
      <c r="B891" s="106" t="s">
        <v>2206</v>
      </c>
      <c r="C891">
        <v>0.05</v>
      </c>
      <c r="D891">
        <v>0.05</v>
      </c>
      <c r="E891">
        <v>0.15</v>
      </c>
      <c r="F891">
        <v>0.05</v>
      </c>
      <c r="G891">
        <v>0</v>
      </c>
    </row>
    <row r="892" spans="1:7" x14ac:dyDescent="0.2">
      <c r="A892">
        <v>8369</v>
      </c>
      <c r="B892" s="106" t="s">
        <v>1586</v>
      </c>
      <c r="C892">
        <v>0.1</v>
      </c>
      <c r="D892">
        <v>0.1</v>
      </c>
      <c r="E892">
        <v>0.3</v>
      </c>
      <c r="F892">
        <v>0.1</v>
      </c>
      <c r="G892">
        <v>0.1</v>
      </c>
    </row>
    <row r="893" spans="1:7" x14ac:dyDescent="0.2">
      <c r="A893">
        <v>8370</v>
      </c>
      <c r="B893" s="106" t="s">
        <v>1587</v>
      </c>
      <c r="C893">
        <v>0.05</v>
      </c>
      <c r="D893">
        <v>0.05</v>
      </c>
      <c r="E893">
        <v>0.15</v>
      </c>
      <c r="F893">
        <v>0.05</v>
      </c>
      <c r="G893">
        <v>0.05</v>
      </c>
    </row>
    <row r="894" spans="1:7" x14ac:dyDescent="0.2">
      <c r="A894">
        <v>8377</v>
      </c>
      <c r="B894" s="106" t="s">
        <v>55</v>
      </c>
      <c r="C894">
        <v>0</v>
      </c>
      <c r="D894" t="s">
        <v>171</v>
      </c>
      <c r="E894">
        <v>0</v>
      </c>
      <c r="F894">
        <v>0</v>
      </c>
      <c r="G894">
        <v>0</v>
      </c>
    </row>
    <row r="895" spans="1:7" x14ac:dyDescent="0.2">
      <c r="A895">
        <v>8379</v>
      </c>
      <c r="B895" s="106" t="s">
        <v>1588</v>
      </c>
      <c r="C895">
        <v>0</v>
      </c>
      <c r="D895">
        <v>0</v>
      </c>
      <c r="E895">
        <v>0</v>
      </c>
      <c r="F895">
        <v>0</v>
      </c>
      <c r="G895">
        <v>0</v>
      </c>
    </row>
    <row r="896" spans="1:7" x14ac:dyDescent="0.2">
      <c r="A896">
        <v>8382</v>
      </c>
      <c r="B896" s="106" t="s">
        <v>1589</v>
      </c>
      <c r="C896">
        <v>0.05</v>
      </c>
      <c r="D896">
        <v>0.05</v>
      </c>
      <c r="E896">
        <v>0.15</v>
      </c>
      <c r="F896">
        <v>0.05</v>
      </c>
      <c r="G896">
        <v>0.05</v>
      </c>
    </row>
    <row r="897" spans="1:7" x14ac:dyDescent="0.2">
      <c r="A897">
        <v>8383</v>
      </c>
      <c r="B897" s="106" t="s">
        <v>1590</v>
      </c>
      <c r="C897">
        <v>0</v>
      </c>
      <c r="D897">
        <v>0</v>
      </c>
      <c r="E897">
        <v>0</v>
      </c>
      <c r="F897" t="s">
        <v>171</v>
      </c>
      <c r="G897">
        <v>0</v>
      </c>
    </row>
    <row r="898" spans="1:7" x14ac:dyDescent="0.2">
      <c r="A898">
        <v>8385</v>
      </c>
      <c r="B898" s="106" t="s">
        <v>1591</v>
      </c>
      <c r="C898">
        <v>0</v>
      </c>
      <c r="D898">
        <v>0</v>
      </c>
      <c r="E898" s="106">
        <v>0</v>
      </c>
      <c r="F898">
        <v>0</v>
      </c>
      <c r="G898" s="106">
        <v>0</v>
      </c>
    </row>
    <row r="899" spans="1:7" x14ac:dyDescent="0.2">
      <c r="A899">
        <v>8387</v>
      </c>
      <c r="B899" s="106" t="s">
        <v>1592</v>
      </c>
      <c r="C899">
        <v>0.05</v>
      </c>
      <c r="D899" s="106">
        <v>0.05</v>
      </c>
      <c r="E899">
        <v>0.15</v>
      </c>
      <c r="F899">
        <v>0.05</v>
      </c>
      <c r="G899">
        <v>0.05</v>
      </c>
    </row>
    <row r="900" spans="1:7" x14ac:dyDescent="0.2">
      <c r="A900">
        <v>8388</v>
      </c>
      <c r="B900" s="106" t="s">
        <v>1593</v>
      </c>
      <c r="C900">
        <v>0.05</v>
      </c>
      <c r="D900" s="106">
        <v>0.05</v>
      </c>
      <c r="E900">
        <v>0.15</v>
      </c>
      <c r="F900" s="106">
        <v>0.05</v>
      </c>
      <c r="G900">
        <v>0.05</v>
      </c>
    </row>
    <row r="901" spans="1:7" x14ac:dyDescent="0.2">
      <c r="A901">
        <v>8392</v>
      </c>
      <c r="B901" s="106" t="s">
        <v>2542</v>
      </c>
      <c r="C901">
        <v>0</v>
      </c>
      <c r="D901" t="s">
        <v>171</v>
      </c>
      <c r="E901" t="s">
        <v>171</v>
      </c>
      <c r="F901">
        <v>0</v>
      </c>
      <c r="G901">
        <v>0</v>
      </c>
    </row>
    <row r="902" spans="1:7" x14ac:dyDescent="0.2">
      <c r="A902">
        <v>8393</v>
      </c>
      <c r="B902" s="106" t="s">
        <v>1594</v>
      </c>
      <c r="C902">
        <v>0.05</v>
      </c>
      <c r="D902">
        <v>0.05</v>
      </c>
      <c r="E902" s="106">
        <v>0.15</v>
      </c>
      <c r="F902">
        <v>0.05</v>
      </c>
      <c r="G902">
        <v>0.05</v>
      </c>
    </row>
    <row r="903" spans="1:7" x14ac:dyDescent="0.2">
      <c r="A903">
        <v>8395</v>
      </c>
      <c r="B903" s="106" t="s">
        <v>1595</v>
      </c>
      <c r="C903">
        <v>0.05</v>
      </c>
      <c r="D903">
        <v>0</v>
      </c>
      <c r="E903">
        <v>0.15</v>
      </c>
      <c r="F903">
        <v>0</v>
      </c>
      <c r="G903">
        <v>0.05</v>
      </c>
    </row>
    <row r="904" spans="1:7" x14ac:dyDescent="0.2">
      <c r="A904">
        <v>8397</v>
      </c>
      <c r="B904" s="106" t="s">
        <v>1596</v>
      </c>
      <c r="C904">
        <v>0.1</v>
      </c>
      <c r="D904">
        <v>0.1</v>
      </c>
      <c r="E904">
        <v>0.3</v>
      </c>
      <c r="F904">
        <v>0.1</v>
      </c>
      <c r="G904" s="106">
        <v>0.1</v>
      </c>
    </row>
    <row r="905" spans="1:7" x14ac:dyDescent="0.2">
      <c r="A905">
        <v>8399</v>
      </c>
      <c r="B905" s="106" t="s">
        <v>1597</v>
      </c>
      <c r="C905">
        <v>0.05</v>
      </c>
      <c r="D905">
        <v>0.05</v>
      </c>
      <c r="E905">
        <v>0.15</v>
      </c>
      <c r="F905">
        <v>0.05</v>
      </c>
      <c r="G905" s="106">
        <v>0.05</v>
      </c>
    </row>
    <row r="906" spans="1:7" x14ac:dyDescent="0.2">
      <c r="A906">
        <v>8416</v>
      </c>
      <c r="B906" s="106" t="s">
        <v>1598</v>
      </c>
      <c r="C906">
        <v>0</v>
      </c>
      <c r="D906">
        <v>0</v>
      </c>
      <c r="E906">
        <v>0</v>
      </c>
      <c r="F906" s="106">
        <v>0.05</v>
      </c>
      <c r="G906" s="106">
        <v>0</v>
      </c>
    </row>
    <row r="907" spans="1:7" x14ac:dyDescent="0.2">
      <c r="A907">
        <v>8424</v>
      </c>
      <c r="B907" s="106" t="s">
        <v>1599</v>
      </c>
      <c r="C907">
        <v>0</v>
      </c>
      <c r="D907">
        <v>0</v>
      </c>
      <c r="E907">
        <v>0</v>
      </c>
      <c r="F907" s="106" t="s">
        <v>171</v>
      </c>
      <c r="G907" s="106">
        <v>0</v>
      </c>
    </row>
    <row r="908" spans="1:7" x14ac:dyDescent="0.2">
      <c r="A908">
        <v>8425</v>
      </c>
      <c r="B908" s="106" t="s">
        <v>2543</v>
      </c>
      <c r="C908">
        <v>0.1</v>
      </c>
      <c r="D908" t="s">
        <v>171</v>
      </c>
      <c r="E908">
        <v>0.3</v>
      </c>
      <c r="F908" t="s">
        <v>171</v>
      </c>
      <c r="G908">
        <v>0.1</v>
      </c>
    </row>
    <row r="909" spans="1:7" x14ac:dyDescent="0.2">
      <c r="A909">
        <v>8439</v>
      </c>
      <c r="B909" s="106" t="s">
        <v>1600</v>
      </c>
      <c r="C909">
        <v>0.1</v>
      </c>
      <c r="D909" s="106">
        <v>0.1</v>
      </c>
      <c r="E909">
        <v>0.3</v>
      </c>
      <c r="F909" s="106">
        <v>0.1</v>
      </c>
      <c r="G909" s="106">
        <v>0.1</v>
      </c>
    </row>
    <row r="910" spans="1:7" x14ac:dyDescent="0.2">
      <c r="A910">
        <v>8521</v>
      </c>
      <c r="B910" s="106" t="s">
        <v>1601</v>
      </c>
      <c r="C910">
        <v>0.05</v>
      </c>
      <c r="D910" s="106">
        <v>0.05</v>
      </c>
      <c r="E910">
        <v>0.15</v>
      </c>
      <c r="F910" s="106">
        <v>0.05</v>
      </c>
      <c r="G910" s="106" t="s">
        <v>171</v>
      </c>
    </row>
    <row r="911" spans="1:7" x14ac:dyDescent="0.2">
      <c r="A911">
        <v>8522</v>
      </c>
      <c r="B911" s="106" t="s">
        <v>1602</v>
      </c>
      <c r="C911">
        <v>0.1</v>
      </c>
      <c r="D911" s="106">
        <v>0.05</v>
      </c>
      <c r="E911">
        <v>0.3</v>
      </c>
      <c r="F911">
        <v>0.1</v>
      </c>
      <c r="G911">
        <v>0.1</v>
      </c>
    </row>
    <row r="912" spans="1:7" x14ac:dyDescent="0.2">
      <c r="A912">
        <v>8530</v>
      </c>
      <c r="B912" s="106" t="s">
        <v>1603</v>
      </c>
      <c r="C912">
        <v>0.05</v>
      </c>
      <c r="D912">
        <v>0.05</v>
      </c>
      <c r="E912">
        <v>0.15</v>
      </c>
      <c r="F912">
        <v>0.05</v>
      </c>
      <c r="G912">
        <v>0.05</v>
      </c>
    </row>
    <row r="913" spans="1:7" x14ac:dyDescent="0.2">
      <c r="A913">
        <v>8537</v>
      </c>
      <c r="B913" s="106" t="s">
        <v>1604</v>
      </c>
      <c r="C913">
        <v>0.05</v>
      </c>
      <c r="D913">
        <v>0.05</v>
      </c>
      <c r="E913">
        <v>0.15</v>
      </c>
      <c r="F913">
        <v>0.05</v>
      </c>
      <c r="G913">
        <v>0.05</v>
      </c>
    </row>
    <row r="914" spans="1:7" x14ac:dyDescent="0.2">
      <c r="A914">
        <v>8541</v>
      </c>
      <c r="B914" s="106" t="s">
        <v>1605</v>
      </c>
      <c r="C914">
        <v>0.05</v>
      </c>
      <c r="D914">
        <v>0.05</v>
      </c>
      <c r="E914">
        <v>0.15</v>
      </c>
      <c r="F914">
        <v>0.05</v>
      </c>
      <c r="G914">
        <v>0.05</v>
      </c>
    </row>
    <row r="915" spans="1:7" x14ac:dyDescent="0.2">
      <c r="A915">
        <v>8542</v>
      </c>
      <c r="B915" s="106" t="s">
        <v>1606</v>
      </c>
      <c r="C915">
        <v>0.05</v>
      </c>
      <c r="D915">
        <v>0.05</v>
      </c>
      <c r="E915">
        <v>0.15</v>
      </c>
      <c r="F915">
        <v>0.05</v>
      </c>
      <c r="G915">
        <v>0.05</v>
      </c>
    </row>
    <row r="916" spans="1:7" x14ac:dyDescent="0.2">
      <c r="A916">
        <v>8544</v>
      </c>
      <c r="B916" s="106" t="s">
        <v>1607</v>
      </c>
      <c r="C916">
        <v>0.05</v>
      </c>
      <c r="D916">
        <v>0.05</v>
      </c>
      <c r="E916">
        <v>0</v>
      </c>
      <c r="F916">
        <v>0.05</v>
      </c>
      <c r="G916">
        <v>0</v>
      </c>
    </row>
    <row r="917" spans="1:7" x14ac:dyDescent="0.2">
      <c r="A917">
        <v>8551</v>
      </c>
      <c r="B917" s="106" t="s">
        <v>1608</v>
      </c>
      <c r="C917">
        <v>0.05</v>
      </c>
      <c r="D917">
        <v>0.05</v>
      </c>
      <c r="E917">
        <v>0.15</v>
      </c>
      <c r="F917">
        <v>0.05</v>
      </c>
      <c r="G917">
        <v>0.05</v>
      </c>
    </row>
    <row r="918" spans="1:7" x14ac:dyDescent="0.2">
      <c r="A918">
        <v>8558</v>
      </c>
      <c r="B918" s="106" t="s">
        <v>1609</v>
      </c>
      <c r="C918">
        <v>0.05</v>
      </c>
      <c r="D918">
        <v>0.05</v>
      </c>
      <c r="E918">
        <v>0.15</v>
      </c>
      <c r="F918">
        <v>0.05</v>
      </c>
      <c r="G918" s="106">
        <v>0.05</v>
      </c>
    </row>
    <row r="919" spans="1:7" x14ac:dyDescent="0.2">
      <c r="A919">
        <v>8563</v>
      </c>
      <c r="B919" s="106" t="s">
        <v>1610</v>
      </c>
      <c r="C919">
        <v>0</v>
      </c>
      <c r="D919">
        <v>0</v>
      </c>
      <c r="E919" s="106">
        <v>0.15</v>
      </c>
      <c r="F919" s="106">
        <v>0.05</v>
      </c>
      <c r="G919" s="106">
        <v>0.05</v>
      </c>
    </row>
    <row r="920" spans="1:7" x14ac:dyDescent="0.2">
      <c r="A920">
        <v>8566</v>
      </c>
      <c r="B920" s="106" t="s">
        <v>1611</v>
      </c>
      <c r="C920">
        <v>0.1</v>
      </c>
      <c r="D920">
        <v>0.1</v>
      </c>
      <c r="E920" s="106">
        <v>0.3</v>
      </c>
      <c r="F920" s="106">
        <v>0.1</v>
      </c>
      <c r="G920" s="106">
        <v>0.1</v>
      </c>
    </row>
    <row r="921" spans="1:7" x14ac:dyDescent="0.2">
      <c r="A921">
        <v>8572</v>
      </c>
      <c r="B921" s="106" t="s">
        <v>2294</v>
      </c>
      <c r="C921">
        <v>0</v>
      </c>
      <c r="D921" s="106">
        <v>0</v>
      </c>
      <c r="E921" t="s">
        <v>171</v>
      </c>
      <c r="F921" t="s">
        <v>171</v>
      </c>
      <c r="G921" s="106">
        <v>0</v>
      </c>
    </row>
    <row r="922" spans="1:7" x14ac:dyDescent="0.2">
      <c r="A922">
        <v>8584</v>
      </c>
      <c r="B922" s="106" t="s">
        <v>2295</v>
      </c>
      <c r="C922">
        <v>0</v>
      </c>
      <c r="D922" s="106">
        <v>0</v>
      </c>
      <c r="E922" t="s">
        <v>171</v>
      </c>
      <c r="F922">
        <v>0</v>
      </c>
      <c r="G922" s="106">
        <v>0</v>
      </c>
    </row>
    <row r="923" spans="1:7" x14ac:dyDescent="0.2">
      <c r="A923">
        <v>8589</v>
      </c>
      <c r="B923" s="106" t="s">
        <v>1612</v>
      </c>
      <c r="C923">
        <v>0</v>
      </c>
      <c r="D923">
        <v>0</v>
      </c>
      <c r="E923">
        <v>0</v>
      </c>
      <c r="F923">
        <v>0</v>
      </c>
      <c r="G923">
        <v>0</v>
      </c>
    </row>
    <row r="924" spans="1:7" x14ac:dyDescent="0.2">
      <c r="A924">
        <v>8593</v>
      </c>
      <c r="B924" s="106" t="s">
        <v>244</v>
      </c>
      <c r="C924">
        <v>0</v>
      </c>
      <c r="D924">
        <v>0</v>
      </c>
      <c r="E924">
        <v>0</v>
      </c>
      <c r="F924">
        <v>0</v>
      </c>
      <c r="G924">
        <v>0.05</v>
      </c>
    </row>
    <row r="925" spans="1:7" x14ac:dyDescent="0.2">
      <c r="A925">
        <v>8595</v>
      </c>
      <c r="B925" s="106" t="s">
        <v>1613</v>
      </c>
      <c r="C925">
        <v>0</v>
      </c>
      <c r="D925">
        <v>0</v>
      </c>
      <c r="E925">
        <v>0</v>
      </c>
      <c r="F925">
        <v>0</v>
      </c>
      <c r="G925">
        <v>0</v>
      </c>
    </row>
    <row r="926" spans="1:7" x14ac:dyDescent="0.2">
      <c r="A926">
        <v>8601</v>
      </c>
      <c r="B926" s="106" t="s">
        <v>26</v>
      </c>
      <c r="C926">
        <v>0.05</v>
      </c>
      <c r="D926" s="106">
        <v>0</v>
      </c>
      <c r="E926">
        <v>0.15</v>
      </c>
      <c r="F926">
        <v>0</v>
      </c>
      <c r="G926">
        <v>0.05</v>
      </c>
    </row>
    <row r="927" spans="1:7" x14ac:dyDescent="0.2">
      <c r="A927">
        <v>8604</v>
      </c>
      <c r="B927" s="106" t="s">
        <v>715</v>
      </c>
      <c r="C927">
        <v>0</v>
      </c>
      <c r="D927">
        <v>0</v>
      </c>
      <c r="E927">
        <v>0</v>
      </c>
      <c r="F927">
        <v>0</v>
      </c>
      <c r="G927">
        <v>0</v>
      </c>
    </row>
    <row r="928" spans="1:7" x14ac:dyDescent="0.2">
      <c r="A928">
        <v>8613</v>
      </c>
      <c r="B928" s="106" t="s">
        <v>1614</v>
      </c>
      <c r="C928">
        <v>0</v>
      </c>
      <c r="D928">
        <v>0</v>
      </c>
      <c r="E928">
        <v>0</v>
      </c>
      <c r="F928">
        <v>0</v>
      </c>
      <c r="G928">
        <v>0</v>
      </c>
    </row>
    <row r="929" spans="1:7" x14ac:dyDescent="0.2">
      <c r="A929">
        <v>8617</v>
      </c>
      <c r="B929" s="106" t="s">
        <v>2544</v>
      </c>
      <c r="C929">
        <v>0.05</v>
      </c>
      <c r="D929" t="s">
        <v>171</v>
      </c>
      <c r="E929" t="s">
        <v>171</v>
      </c>
      <c r="F929" t="s">
        <v>171</v>
      </c>
      <c r="G929">
        <v>0</v>
      </c>
    </row>
    <row r="930" spans="1:7" x14ac:dyDescent="0.2">
      <c r="A930">
        <v>8622</v>
      </c>
      <c r="B930" s="106" t="s">
        <v>1615</v>
      </c>
      <c r="C930">
        <v>0.05</v>
      </c>
      <c r="D930">
        <v>0.05</v>
      </c>
      <c r="E930">
        <v>0</v>
      </c>
      <c r="F930" s="106">
        <v>0</v>
      </c>
      <c r="G930">
        <v>0</v>
      </c>
    </row>
    <row r="931" spans="1:7" x14ac:dyDescent="0.2">
      <c r="A931">
        <v>8624</v>
      </c>
      <c r="B931" s="106" t="s">
        <v>1616</v>
      </c>
      <c r="C931">
        <v>0</v>
      </c>
      <c r="D931">
        <v>0</v>
      </c>
      <c r="E931">
        <v>0</v>
      </c>
      <c r="F931" s="106">
        <v>0</v>
      </c>
      <c r="G931">
        <v>0</v>
      </c>
    </row>
    <row r="932" spans="1:7" x14ac:dyDescent="0.2">
      <c r="A932">
        <v>8628</v>
      </c>
      <c r="B932" s="106" t="s">
        <v>1617</v>
      </c>
      <c r="C932">
        <v>0</v>
      </c>
      <c r="D932">
        <v>0</v>
      </c>
      <c r="E932">
        <v>0</v>
      </c>
      <c r="F932">
        <v>0</v>
      </c>
      <c r="G932">
        <v>0</v>
      </c>
    </row>
    <row r="933" spans="1:7" x14ac:dyDescent="0.2">
      <c r="A933">
        <v>8630</v>
      </c>
      <c r="B933" s="106" t="s">
        <v>1618</v>
      </c>
      <c r="C933">
        <v>0.1</v>
      </c>
      <c r="D933">
        <v>0.1</v>
      </c>
      <c r="E933">
        <v>0.3</v>
      </c>
      <c r="F933">
        <v>0.1</v>
      </c>
      <c r="G933">
        <v>0.05</v>
      </c>
    </row>
    <row r="934" spans="1:7" x14ac:dyDescent="0.2">
      <c r="A934">
        <v>8692</v>
      </c>
      <c r="B934" s="106" t="s">
        <v>1619</v>
      </c>
      <c r="C934">
        <v>0</v>
      </c>
      <c r="D934">
        <v>0</v>
      </c>
      <c r="E934" s="106">
        <v>0</v>
      </c>
      <c r="F934" s="106" t="s">
        <v>171</v>
      </c>
      <c r="G934" s="106">
        <v>0</v>
      </c>
    </row>
    <row r="935" spans="1:7" x14ac:dyDescent="0.2">
      <c r="A935">
        <v>8697</v>
      </c>
      <c r="B935" s="106" t="s">
        <v>1620</v>
      </c>
      <c r="C935">
        <v>0.05</v>
      </c>
      <c r="D935">
        <v>0.05</v>
      </c>
      <c r="E935">
        <v>0.15</v>
      </c>
      <c r="F935">
        <v>0.05</v>
      </c>
      <c r="G935">
        <v>0.05</v>
      </c>
    </row>
    <row r="936" spans="1:7" x14ac:dyDescent="0.2">
      <c r="A936">
        <v>8698</v>
      </c>
      <c r="B936" s="106" t="s">
        <v>1621</v>
      </c>
      <c r="C936">
        <v>0</v>
      </c>
      <c r="D936">
        <v>0</v>
      </c>
      <c r="E936">
        <v>0</v>
      </c>
      <c r="F936">
        <v>0</v>
      </c>
      <c r="G936">
        <v>0</v>
      </c>
    </row>
    <row r="937" spans="1:7" x14ac:dyDescent="0.2">
      <c r="A937">
        <v>8708</v>
      </c>
      <c r="B937" s="106" t="s">
        <v>1622</v>
      </c>
      <c r="C937">
        <v>0.05</v>
      </c>
      <c r="D937">
        <v>0.05</v>
      </c>
      <c r="E937">
        <v>0.15</v>
      </c>
      <c r="F937">
        <v>0.05</v>
      </c>
      <c r="G937">
        <v>0.05</v>
      </c>
    </row>
    <row r="938" spans="1:7" x14ac:dyDescent="0.2">
      <c r="A938">
        <v>8714</v>
      </c>
      <c r="B938" s="106" t="s">
        <v>1623</v>
      </c>
      <c r="C938">
        <v>0</v>
      </c>
      <c r="D938">
        <v>0</v>
      </c>
      <c r="E938">
        <v>0</v>
      </c>
      <c r="F938">
        <v>0</v>
      </c>
      <c r="G938">
        <v>0</v>
      </c>
    </row>
    <row r="939" spans="1:7" x14ac:dyDescent="0.2">
      <c r="A939">
        <v>8715</v>
      </c>
      <c r="B939" s="106" t="s">
        <v>1624</v>
      </c>
      <c r="C939">
        <v>0</v>
      </c>
      <c r="D939">
        <v>0</v>
      </c>
      <c r="E939">
        <v>0</v>
      </c>
      <c r="F939">
        <v>0</v>
      </c>
      <c r="G939">
        <v>0</v>
      </c>
    </row>
    <row r="940" spans="1:7" x14ac:dyDescent="0.2">
      <c r="A940">
        <v>8725</v>
      </c>
      <c r="B940" s="106" t="s">
        <v>1625</v>
      </c>
      <c r="C940">
        <v>0.1</v>
      </c>
      <c r="D940">
        <v>0.05</v>
      </c>
      <c r="E940">
        <v>0</v>
      </c>
      <c r="F940">
        <v>0.05</v>
      </c>
      <c r="G940">
        <v>0.1</v>
      </c>
    </row>
    <row r="941" spans="1:7" x14ac:dyDescent="0.2">
      <c r="A941">
        <v>8729</v>
      </c>
      <c r="B941" s="106" t="s">
        <v>1626</v>
      </c>
      <c r="C941">
        <v>0.05</v>
      </c>
      <c r="D941">
        <v>0.05</v>
      </c>
      <c r="E941">
        <v>0.15</v>
      </c>
      <c r="F941">
        <v>0.05</v>
      </c>
      <c r="G941" s="106">
        <v>0.05</v>
      </c>
    </row>
    <row r="942" spans="1:7" x14ac:dyDescent="0.2">
      <c r="A942">
        <v>8750</v>
      </c>
      <c r="B942" s="106" t="s">
        <v>31</v>
      </c>
      <c r="C942">
        <v>0.05</v>
      </c>
      <c r="D942" s="106">
        <v>0.05</v>
      </c>
      <c r="E942">
        <v>0</v>
      </c>
      <c r="F942" s="106">
        <v>0.05</v>
      </c>
      <c r="G942" t="s">
        <v>171</v>
      </c>
    </row>
    <row r="943" spans="1:7" x14ac:dyDescent="0.2">
      <c r="A943">
        <v>8766</v>
      </c>
      <c r="B943" s="106" t="s">
        <v>1627</v>
      </c>
      <c r="C943">
        <v>0.1</v>
      </c>
      <c r="D943">
        <v>0.1</v>
      </c>
      <c r="E943">
        <v>0.3</v>
      </c>
      <c r="F943">
        <v>0.1</v>
      </c>
      <c r="G943">
        <v>0.1</v>
      </c>
    </row>
    <row r="944" spans="1:7" x14ac:dyDescent="0.2">
      <c r="A944">
        <v>8795</v>
      </c>
      <c r="B944" s="106" t="s">
        <v>76</v>
      </c>
      <c r="C944">
        <v>0.05</v>
      </c>
      <c r="D944" s="106">
        <v>0.05</v>
      </c>
      <c r="E944" s="106">
        <v>0.15</v>
      </c>
      <c r="F944" s="106">
        <v>0.05</v>
      </c>
      <c r="G944" s="106">
        <v>0.05</v>
      </c>
    </row>
    <row r="945" spans="1:7" x14ac:dyDescent="0.2">
      <c r="A945">
        <v>8798</v>
      </c>
      <c r="B945" s="106" t="s">
        <v>1628</v>
      </c>
      <c r="C945">
        <v>0</v>
      </c>
      <c r="D945">
        <v>0</v>
      </c>
      <c r="E945">
        <v>0</v>
      </c>
      <c r="F945">
        <v>0</v>
      </c>
      <c r="G945">
        <v>0</v>
      </c>
    </row>
    <row r="946" spans="1:7" x14ac:dyDescent="0.2">
      <c r="A946">
        <v>8801</v>
      </c>
      <c r="B946" s="106" t="s">
        <v>2296</v>
      </c>
      <c r="C946">
        <v>0.05</v>
      </c>
      <c r="D946">
        <v>0.05</v>
      </c>
      <c r="E946" t="s">
        <v>171</v>
      </c>
      <c r="F946">
        <v>0.05</v>
      </c>
      <c r="G946">
        <v>0.05</v>
      </c>
    </row>
    <row r="947" spans="1:7" x14ac:dyDescent="0.2">
      <c r="A947">
        <v>8803</v>
      </c>
      <c r="B947" s="106" t="s">
        <v>1629</v>
      </c>
      <c r="C947">
        <v>0.05</v>
      </c>
      <c r="D947">
        <v>0.05</v>
      </c>
      <c r="E947">
        <v>0.15</v>
      </c>
      <c r="F947">
        <v>0.05</v>
      </c>
      <c r="G947">
        <v>0.05</v>
      </c>
    </row>
    <row r="948" spans="1:7" x14ac:dyDescent="0.2">
      <c r="A948">
        <v>8804</v>
      </c>
      <c r="B948" s="106" t="s">
        <v>1630</v>
      </c>
      <c r="C948">
        <v>0.05</v>
      </c>
      <c r="D948">
        <v>0.05</v>
      </c>
      <c r="E948" s="106">
        <v>0.15</v>
      </c>
      <c r="F948">
        <v>0.05</v>
      </c>
      <c r="G948">
        <v>0.05</v>
      </c>
    </row>
    <row r="949" spans="1:7" x14ac:dyDescent="0.2">
      <c r="A949">
        <v>8850</v>
      </c>
      <c r="B949" s="106" t="s">
        <v>2207</v>
      </c>
      <c r="C949">
        <v>0</v>
      </c>
      <c r="D949">
        <v>0</v>
      </c>
      <c r="E949" s="106">
        <v>0</v>
      </c>
      <c r="F949" s="106">
        <v>0</v>
      </c>
      <c r="G949" s="106">
        <v>0</v>
      </c>
    </row>
    <row r="950" spans="1:7" x14ac:dyDescent="0.2">
      <c r="A950">
        <v>8871</v>
      </c>
      <c r="B950" s="106" t="s">
        <v>1631</v>
      </c>
      <c r="C950">
        <v>0.05</v>
      </c>
      <c r="D950">
        <v>0</v>
      </c>
      <c r="E950">
        <v>0.15</v>
      </c>
      <c r="F950" t="s">
        <v>171</v>
      </c>
      <c r="G950">
        <v>0.05</v>
      </c>
    </row>
    <row r="951" spans="1:7" x14ac:dyDescent="0.2">
      <c r="A951">
        <v>8876</v>
      </c>
      <c r="B951" s="106" t="s">
        <v>1632</v>
      </c>
      <c r="C951">
        <v>0</v>
      </c>
      <c r="D951">
        <v>0.05</v>
      </c>
      <c r="E951">
        <v>0.15</v>
      </c>
      <c r="F951">
        <v>0.05</v>
      </c>
      <c r="G951">
        <v>0.05</v>
      </c>
    </row>
    <row r="952" spans="1:7" x14ac:dyDescent="0.2">
      <c r="A952">
        <v>8877</v>
      </c>
      <c r="B952" s="106" t="s">
        <v>2545</v>
      </c>
      <c r="C952">
        <v>0</v>
      </c>
      <c r="D952" t="s">
        <v>171</v>
      </c>
      <c r="E952" s="106">
        <v>0</v>
      </c>
      <c r="F952" s="106" t="s">
        <v>171</v>
      </c>
      <c r="G952" s="106" t="s">
        <v>171</v>
      </c>
    </row>
    <row r="953" spans="1:7" x14ac:dyDescent="0.2">
      <c r="A953">
        <v>8892</v>
      </c>
      <c r="B953" s="106" t="s">
        <v>1633</v>
      </c>
      <c r="C953">
        <v>0.05</v>
      </c>
      <c r="D953">
        <v>0</v>
      </c>
      <c r="E953">
        <v>0.15</v>
      </c>
      <c r="F953">
        <v>0</v>
      </c>
      <c r="G953">
        <v>0.05</v>
      </c>
    </row>
    <row r="954" spans="1:7" x14ac:dyDescent="0.2">
      <c r="A954">
        <v>8897</v>
      </c>
      <c r="B954" s="106" t="s">
        <v>1634</v>
      </c>
      <c r="C954">
        <v>0</v>
      </c>
      <c r="D954">
        <v>0</v>
      </c>
      <c r="E954">
        <v>0</v>
      </c>
      <c r="F954">
        <v>0</v>
      </c>
      <c r="G954">
        <v>0</v>
      </c>
    </row>
    <row r="955" spans="1:7" x14ac:dyDescent="0.2">
      <c r="A955">
        <v>8904</v>
      </c>
      <c r="B955" s="106" t="s">
        <v>1635</v>
      </c>
      <c r="C955">
        <v>0.05</v>
      </c>
      <c r="D955">
        <v>0.05</v>
      </c>
      <c r="E955">
        <v>0.15</v>
      </c>
      <c r="F955">
        <v>0.05</v>
      </c>
      <c r="G955">
        <v>0</v>
      </c>
    </row>
    <row r="956" spans="1:7" x14ac:dyDescent="0.2">
      <c r="A956">
        <v>8917</v>
      </c>
      <c r="B956" s="106" t="s">
        <v>1636</v>
      </c>
      <c r="C956">
        <v>0.05</v>
      </c>
      <c r="D956" s="106">
        <v>0</v>
      </c>
      <c r="E956">
        <v>0.15</v>
      </c>
      <c r="F956" s="106">
        <v>0</v>
      </c>
      <c r="G956" t="s">
        <v>171</v>
      </c>
    </row>
    <row r="957" spans="1:7" x14ac:dyDescent="0.2">
      <c r="A957">
        <v>8920</v>
      </c>
      <c r="B957" s="106" t="s">
        <v>2208</v>
      </c>
      <c r="C957">
        <v>0</v>
      </c>
      <c r="D957">
        <v>0</v>
      </c>
      <c r="E957">
        <v>0</v>
      </c>
      <c r="F957">
        <v>0</v>
      </c>
      <c r="G957" t="s">
        <v>171</v>
      </c>
    </row>
    <row r="958" spans="1:7" x14ac:dyDescent="0.2">
      <c r="A958">
        <v>8923</v>
      </c>
      <c r="B958" s="106" t="s">
        <v>1637</v>
      </c>
      <c r="C958">
        <v>0.05</v>
      </c>
      <c r="D958">
        <v>0.05</v>
      </c>
      <c r="E958">
        <v>0.15</v>
      </c>
      <c r="F958">
        <v>0.05</v>
      </c>
      <c r="G958">
        <v>0.05</v>
      </c>
    </row>
    <row r="959" spans="1:7" x14ac:dyDescent="0.2">
      <c r="A959">
        <v>8928</v>
      </c>
      <c r="B959" s="106" t="s">
        <v>1638</v>
      </c>
      <c r="C959">
        <v>0.1</v>
      </c>
      <c r="D959">
        <v>0.1</v>
      </c>
      <c r="E959">
        <v>0.3</v>
      </c>
      <c r="F959" s="106">
        <v>0.05</v>
      </c>
      <c r="G959">
        <v>0.1</v>
      </c>
    </row>
    <row r="960" spans="1:7" x14ac:dyDescent="0.2">
      <c r="A960">
        <v>8935</v>
      </c>
      <c r="B960" s="106" t="s">
        <v>2546</v>
      </c>
      <c r="C960">
        <v>0</v>
      </c>
      <c r="D960" t="s">
        <v>171</v>
      </c>
      <c r="E960">
        <v>0</v>
      </c>
      <c r="F960" s="106">
        <v>0</v>
      </c>
      <c r="G960" t="s">
        <v>171</v>
      </c>
    </row>
    <row r="961" spans="1:7" x14ac:dyDescent="0.2">
      <c r="A961">
        <v>8940</v>
      </c>
      <c r="B961" s="106" t="s">
        <v>1639</v>
      </c>
      <c r="C961">
        <v>0.05</v>
      </c>
      <c r="D961">
        <v>0.05</v>
      </c>
      <c r="E961">
        <v>0.15</v>
      </c>
      <c r="F961">
        <v>0.05</v>
      </c>
      <c r="G961">
        <v>0.05</v>
      </c>
    </row>
    <row r="962" spans="1:7" x14ac:dyDescent="0.2">
      <c r="A962">
        <v>8999</v>
      </c>
      <c r="B962" s="106" t="s">
        <v>1640</v>
      </c>
      <c r="C962">
        <v>0</v>
      </c>
      <c r="D962">
        <v>0</v>
      </c>
      <c r="E962">
        <v>0</v>
      </c>
      <c r="F962">
        <v>0</v>
      </c>
      <c r="G962">
        <v>0</v>
      </c>
    </row>
    <row r="963" spans="1:7" x14ac:dyDescent="0.2">
      <c r="A963">
        <v>9001</v>
      </c>
      <c r="B963" s="106" t="s">
        <v>1641</v>
      </c>
      <c r="C963">
        <v>0.1</v>
      </c>
      <c r="D963">
        <v>0.1</v>
      </c>
      <c r="E963">
        <v>0.3</v>
      </c>
      <c r="F963" s="106">
        <v>0.1</v>
      </c>
      <c r="G963">
        <v>0.1</v>
      </c>
    </row>
    <row r="964" spans="1:7" x14ac:dyDescent="0.2">
      <c r="A964">
        <v>9003</v>
      </c>
      <c r="B964" s="106" t="s">
        <v>2547</v>
      </c>
      <c r="C964">
        <v>0</v>
      </c>
      <c r="D964" t="s">
        <v>171</v>
      </c>
      <c r="E964" s="106">
        <v>0</v>
      </c>
      <c r="F964" s="106" t="s">
        <v>171</v>
      </c>
      <c r="G964" s="106">
        <v>0</v>
      </c>
    </row>
    <row r="965" spans="1:7" x14ac:dyDescent="0.2">
      <c r="A965">
        <v>9005</v>
      </c>
      <c r="B965" s="106" t="s">
        <v>1642</v>
      </c>
      <c r="C965">
        <v>0.05</v>
      </c>
      <c r="D965">
        <v>0.05</v>
      </c>
      <c r="E965" s="106">
        <v>0.15</v>
      </c>
      <c r="F965">
        <v>0.05</v>
      </c>
      <c r="G965" s="106">
        <v>0.05</v>
      </c>
    </row>
    <row r="966" spans="1:7" x14ac:dyDescent="0.2">
      <c r="A966">
        <v>9006</v>
      </c>
      <c r="B966" s="106" t="s">
        <v>1643</v>
      </c>
      <c r="C966">
        <v>0.05</v>
      </c>
      <c r="D966" s="106">
        <v>0.05</v>
      </c>
      <c r="E966">
        <v>0.15</v>
      </c>
      <c r="F966">
        <v>0.05</v>
      </c>
      <c r="G966">
        <v>0.05</v>
      </c>
    </row>
    <row r="967" spans="1:7" x14ac:dyDescent="0.2">
      <c r="A967">
        <v>9007</v>
      </c>
      <c r="B967" s="106" t="s">
        <v>1644</v>
      </c>
      <c r="C967">
        <v>0.05</v>
      </c>
      <c r="D967" s="106">
        <v>0.05</v>
      </c>
      <c r="E967">
        <v>0.15</v>
      </c>
      <c r="F967">
        <v>0.05</v>
      </c>
      <c r="G967">
        <v>0.05</v>
      </c>
    </row>
    <row r="968" spans="1:7" x14ac:dyDescent="0.2">
      <c r="A968">
        <v>9008</v>
      </c>
      <c r="B968" s="106" t="s">
        <v>1645</v>
      </c>
      <c r="C968">
        <v>0</v>
      </c>
      <c r="D968">
        <v>0</v>
      </c>
      <c r="E968">
        <v>0</v>
      </c>
      <c r="F968">
        <v>0</v>
      </c>
      <c r="G968">
        <v>0</v>
      </c>
    </row>
    <row r="969" spans="1:7" x14ac:dyDescent="0.2">
      <c r="A969">
        <v>9009</v>
      </c>
      <c r="B969" s="106" t="s">
        <v>1646</v>
      </c>
      <c r="C969">
        <v>0.1</v>
      </c>
      <c r="D969">
        <v>0.1</v>
      </c>
      <c r="E969">
        <v>0.3</v>
      </c>
      <c r="F969">
        <v>0.1</v>
      </c>
      <c r="G969">
        <v>0.1</v>
      </c>
    </row>
    <row r="970" spans="1:7" x14ac:dyDescent="0.2">
      <c r="A970">
        <v>9010</v>
      </c>
      <c r="B970" s="106" t="s">
        <v>1647</v>
      </c>
      <c r="C970">
        <v>0.1</v>
      </c>
      <c r="D970">
        <v>0.1</v>
      </c>
      <c r="E970">
        <v>0.3</v>
      </c>
      <c r="F970">
        <v>0.1</v>
      </c>
      <c r="G970">
        <v>0.1</v>
      </c>
    </row>
    <row r="971" spans="1:7" x14ac:dyDescent="0.2">
      <c r="A971">
        <v>9014</v>
      </c>
      <c r="B971" s="106" t="s">
        <v>1648</v>
      </c>
      <c r="C971">
        <v>0.05</v>
      </c>
      <c r="D971">
        <v>0.05</v>
      </c>
      <c r="E971">
        <v>0.15</v>
      </c>
      <c r="F971">
        <v>0.05</v>
      </c>
      <c r="G971">
        <v>0.05</v>
      </c>
    </row>
    <row r="972" spans="1:7" x14ac:dyDescent="0.2">
      <c r="A972">
        <v>9021</v>
      </c>
      <c r="B972" s="106" t="s">
        <v>1649</v>
      </c>
      <c r="C972">
        <v>0.15</v>
      </c>
      <c r="D972">
        <v>0.2</v>
      </c>
      <c r="E972">
        <v>0.6</v>
      </c>
      <c r="F972">
        <v>0.2</v>
      </c>
      <c r="G972">
        <v>0.2</v>
      </c>
    </row>
    <row r="973" spans="1:7" x14ac:dyDescent="0.2">
      <c r="A973">
        <v>9031</v>
      </c>
      <c r="B973" s="106" t="s">
        <v>1650</v>
      </c>
      <c r="C973">
        <v>0.05</v>
      </c>
      <c r="D973">
        <v>0.05</v>
      </c>
      <c r="E973">
        <v>0.15</v>
      </c>
      <c r="F973">
        <v>0.05</v>
      </c>
      <c r="G973">
        <v>0.05</v>
      </c>
    </row>
    <row r="974" spans="1:7" x14ac:dyDescent="0.2">
      <c r="A974">
        <v>9039</v>
      </c>
      <c r="B974" s="106" t="s">
        <v>1651</v>
      </c>
      <c r="C974">
        <v>0.15</v>
      </c>
      <c r="D974">
        <v>0.15</v>
      </c>
      <c r="E974">
        <v>0.45</v>
      </c>
      <c r="F974">
        <v>0.15</v>
      </c>
      <c r="G974">
        <v>0.15</v>
      </c>
    </row>
    <row r="975" spans="1:7" x14ac:dyDescent="0.2">
      <c r="A975">
        <v>9041</v>
      </c>
      <c r="B975" s="106" t="s">
        <v>1652</v>
      </c>
      <c r="C975">
        <v>0.1</v>
      </c>
      <c r="D975">
        <v>0.1</v>
      </c>
      <c r="E975">
        <v>0.3</v>
      </c>
      <c r="F975">
        <v>0.1</v>
      </c>
      <c r="G975">
        <v>0.1</v>
      </c>
    </row>
    <row r="976" spans="1:7" x14ac:dyDescent="0.2">
      <c r="A976">
        <v>9042</v>
      </c>
      <c r="B976" s="106" t="s">
        <v>1653</v>
      </c>
      <c r="C976">
        <v>0.1</v>
      </c>
      <c r="D976" s="106">
        <v>0.1</v>
      </c>
      <c r="E976">
        <v>0.3</v>
      </c>
      <c r="F976" s="106">
        <v>0.1</v>
      </c>
      <c r="G976">
        <v>0.1</v>
      </c>
    </row>
    <row r="977" spans="1:7" x14ac:dyDescent="0.2">
      <c r="A977">
        <v>9044</v>
      </c>
      <c r="B977" s="106" t="s">
        <v>1654</v>
      </c>
      <c r="C977">
        <v>0</v>
      </c>
      <c r="D977" s="106">
        <v>0</v>
      </c>
      <c r="E977">
        <v>0</v>
      </c>
      <c r="F977" s="106">
        <v>0</v>
      </c>
      <c r="G977">
        <v>0</v>
      </c>
    </row>
    <row r="978" spans="1:7" x14ac:dyDescent="0.2">
      <c r="A978">
        <v>9045</v>
      </c>
      <c r="B978" s="106" t="s">
        <v>1655</v>
      </c>
      <c r="C978">
        <v>0.1</v>
      </c>
      <c r="D978">
        <v>0.1</v>
      </c>
      <c r="E978" s="106">
        <v>0.3</v>
      </c>
      <c r="F978" s="106">
        <v>0.1</v>
      </c>
      <c r="G978" s="106">
        <v>0.1</v>
      </c>
    </row>
    <row r="979" spans="1:7" x14ac:dyDescent="0.2">
      <c r="A979">
        <v>9046</v>
      </c>
      <c r="B979" s="106" t="s">
        <v>1656</v>
      </c>
      <c r="C979">
        <v>0.1</v>
      </c>
      <c r="D979" s="106">
        <v>0.1</v>
      </c>
      <c r="E979">
        <v>0.3</v>
      </c>
      <c r="F979">
        <v>0.1</v>
      </c>
      <c r="G979">
        <v>0.1</v>
      </c>
    </row>
    <row r="980" spans="1:7" x14ac:dyDescent="0.2">
      <c r="A980">
        <v>9048</v>
      </c>
      <c r="B980" s="106" t="s">
        <v>1657</v>
      </c>
      <c r="C980">
        <v>0.1</v>
      </c>
      <c r="D980">
        <v>0.1</v>
      </c>
      <c r="E980">
        <v>0.3</v>
      </c>
      <c r="F980">
        <v>0.1</v>
      </c>
      <c r="G980">
        <v>0.05</v>
      </c>
    </row>
    <row r="981" spans="1:7" x14ac:dyDescent="0.2">
      <c r="A981">
        <v>9052</v>
      </c>
      <c r="B981" s="106" t="s">
        <v>1658</v>
      </c>
      <c r="C981">
        <v>0.05</v>
      </c>
      <c r="D981">
        <v>0.05</v>
      </c>
      <c r="E981">
        <v>0.15</v>
      </c>
      <c r="F981">
        <v>0.05</v>
      </c>
      <c r="G981">
        <v>0.05</v>
      </c>
    </row>
    <row r="982" spans="1:7" x14ac:dyDescent="0.2">
      <c r="A982">
        <v>9058</v>
      </c>
      <c r="B982" s="106" t="s">
        <v>1659</v>
      </c>
      <c r="C982">
        <v>0</v>
      </c>
      <c r="D982">
        <v>0</v>
      </c>
      <c r="E982">
        <v>0</v>
      </c>
      <c r="F982">
        <v>0</v>
      </c>
      <c r="G982">
        <v>0</v>
      </c>
    </row>
    <row r="983" spans="1:7" x14ac:dyDescent="0.2">
      <c r="A983">
        <v>9062</v>
      </c>
      <c r="B983" s="106" t="s">
        <v>713</v>
      </c>
      <c r="C983">
        <v>0.15</v>
      </c>
      <c r="D983">
        <v>0.15</v>
      </c>
      <c r="E983">
        <v>0.45</v>
      </c>
      <c r="F983">
        <v>0.15</v>
      </c>
      <c r="G983" s="106">
        <v>0.15</v>
      </c>
    </row>
    <row r="984" spans="1:7" x14ac:dyDescent="0.2">
      <c r="A984">
        <v>9065</v>
      </c>
      <c r="B984" s="106" t="s">
        <v>1660</v>
      </c>
      <c r="C984">
        <v>0</v>
      </c>
      <c r="D984">
        <v>0</v>
      </c>
      <c r="E984">
        <v>0</v>
      </c>
      <c r="F984" s="106">
        <v>0</v>
      </c>
      <c r="G984" s="106">
        <v>0</v>
      </c>
    </row>
    <row r="985" spans="1:7" x14ac:dyDescent="0.2">
      <c r="A985">
        <v>9066</v>
      </c>
      <c r="B985" s="106" t="s">
        <v>1661</v>
      </c>
      <c r="C985">
        <v>0</v>
      </c>
      <c r="D985">
        <v>0</v>
      </c>
      <c r="E985">
        <v>0</v>
      </c>
      <c r="F985" s="106">
        <v>0</v>
      </c>
      <c r="G985" s="106">
        <v>0</v>
      </c>
    </row>
    <row r="986" spans="1:7" x14ac:dyDescent="0.2">
      <c r="A986">
        <v>9068</v>
      </c>
      <c r="B986" s="106" t="s">
        <v>2548</v>
      </c>
      <c r="C986">
        <v>0</v>
      </c>
      <c r="D986" t="s">
        <v>171</v>
      </c>
      <c r="E986">
        <v>0</v>
      </c>
      <c r="F986">
        <v>0</v>
      </c>
      <c r="G986" t="s">
        <v>171</v>
      </c>
    </row>
    <row r="987" spans="1:7" x14ac:dyDescent="0.2">
      <c r="A987">
        <v>9069</v>
      </c>
      <c r="B987" s="106" t="s">
        <v>1662</v>
      </c>
      <c r="C987">
        <v>0.05</v>
      </c>
      <c r="D987">
        <v>0</v>
      </c>
      <c r="E987">
        <v>0</v>
      </c>
      <c r="F987" t="s">
        <v>171</v>
      </c>
      <c r="G987">
        <v>0</v>
      </c>
    </row>
    <row r="988" spans="1:7" x14ac:dyDescent="0.2">
      <c r="A988">
        <v>9070</v>
      </c>
      <c r="B988" s="106" t="s">
        <v>1663</v>
      </c>
      <c r="C988">
        <v>0.1</v>
      </c>
      <c r="D988" s="106">
        <v>0.1</v>
      </c>
      <c r="E988">
        <v>0.3</v>
      </c>
      <c r="F988">
        <v>0.1</v>
      </c>
      <c r="G988">
        <v>0.1</v>
      </c>
    </row>
    <row r="989" spans="1:7" x14ac:dyDescent="0.2">
      <c r="A989">
        <v>9075</v>
      </c>
      <c r="B989" s="106" t="s">
        <v>1664</v>
      </c>
      <c r="C989">
        <v>0.1</v>
      </c>
      <c r="D989" s="106">
        <v>0.1</v>
      </c>
      <c r="E989">
        <v>0.15</v>
      </c>
      <c r="F989" s="106">
        <v>0.1</v>
      </c>
      <c r="G989">
        <v>0.1</v>
      </c>
    </row>
    <row r="990" spans="1:7" x14ac:dyDescent="0.2">
      <c r="A990">
        <v>9076</v>
      </c>
      <c r="B990" s="106" t="s">
        <v>1665</v>
      </c>
      <c r="C990">
        <v>0</v>
      </c>
      <c r="D990">
        <v>0</v>
      </c>
      <c r="E990">
        <v>0</v>
      </c>
      <c r="F990" s="106">
        <v>0</v>
      </c>
      <c r="G990">
        <v>0</v>
      </c>
    </row>
    <row r="991" spans="1:7" x14ac:dyDescent="0.2">
      <c r="A991">
        <v>9081</v>
      </c>
      <c r="B991" s="106" t="s">
        <v>2549</v>
      </c>
      <c r="C991">
        <v>0</v>
      </c>
      <c r="D991" t="s">
        <v>171</v>
      </c>
      <c r="E991" s="106">
        <v>0</v>
      </c>
      <c r="F991">
        <v>0</v>
      </c>
      <c r="G991">
        <v>0</v>
      </c>
    </row>
    <row r="992" spans="1:7" x14ac:dyDescent="0.2">
      <c r="A992">
        <v>9090</v>
      </c>
      <c r="B992" s="106" t="s">
        <v>1666</v>
      </c>
      <c r="C992">
        <v>0.05</v>
      </c>
      <c r="D992">
        <v>0.05</v>
      </c>
      <c r="E992" s="106">
        <v>0.15</v>
      </c>
      <c r="F992">
        <v>0.05</v>
      </c>
      <c r="G992">
        <v>0.05</v>
      </c>
    </row>
    <row r="993" spans="1:7" x14ac:dyDescent="0.2">
      <c r="A993">
        <v>9099</v>
      </c>
      <c r="B993" s="106" t="s">
        <v>1667</v>
      </c>
      <c r="C993">
        <v>0</v>
      </c>
      <c r="D993">
        <v>0</v>
      </c>
      <c r="E993">
        <v>0</v>
      </c>
      <c r="F993">
        <v>0</v>
      </c>
      <c r="G993">
        <v>0</v>
      </c>
    </row>
    <row r="994" spans="1:7" x14ac:dyDescent="0.2">
      <c r="A994">
        <v>9101</v>
      </c>
      <c r="B994" s="106" t="s">
        <v>1668</v>
      </c>
      <c r="C994">
        <v>0.05</v>
      </c>
      <c r="D994">
        <v>0.05</v>
      </c>
      <c r="E994">
        <v>0.15</v>
      </c>
      <c r="F994">
        <v>0.05</v>
      </c>
      <c r="G994">
        <v>0.05</v>
      </c>
    </row>
    <row r="995" spans="1:7" x14ac:dyDescent="0.2">
      <c r="A995">
        <v>9104</v>
      </c>
      <c r="B995" s="106" t="s">
        <v>1669</v>
      </c>
      <c r="C995">
        <v>0.05</v>
      </c>
      <c r="D995">
        <v>0.05</v>
      </c>
      <c r="E995">
        <v>0.15</v>
      </c>
      <c r="F995">
        <v>0.1</v>
      </c>
      <c r="G995">
        <v>0.05</v>
      </c>
    </row>
    <row r="996" spans="1:7" x14ac:dyDescent="0.2">
      <c r="A996">
        <v>9107</v>
      </c>
      <c r="B996" s="106" t="s">
        <v>1670</v>
      </c>
      <c r="C996">
        <v>0.05</v>
      </c>
      <c r="D996">
        <v>0</v>
      </c>
      <c r="E996">
        <v>0</v>
      </c>
      <c r="F996">
        <v>0.05</v>
      </c>
      <c r="G996">
        <v>0</v>
      </c>
    </row>
    <row r="997" spans="1:7" x14ac:dyDescent="0.2">
      <c r="A997">
        <v>9130</v>
      </c>
      <c r="B997" s="106" t="s">
        <v>1671</v>
      </c>
      <c r="C997">
        <v>0.05</v>
      </c>
      <c r="D997">
        <v>0.05</v>
      </c>
      <c r="E997">
        <v>0.15</v>
      </c>
      <c r="F997" s="106">
        <v>0.05</v>
      </c>
      <c r="G997">
        <v>0.05</v>
      </c>
    </row>
    <row r="998" spans="1:7" x14ac:dyDescent="0.2">
      <c r="A998">
        <v>9142</v>
      </c>
      <c r="B998" s="106" t="s">
        <v>1672</v>
      </c>
      <c r="C998">
        <v>0.1</v>
      </c>
      <c r="D998">
        <v>0.1</v>
      </c>
      <c r="E998">
        <v>0.3</v>
      </c>
      <c r="F998" s="106">
        <v>0.1</v>
      </c>
      <c r="G998">
        <v>0.1</v>
      </c>
    </row>
    <row r="999" spans="1:7" x14ac:dyDescent="0.2">
      <c r="A999">
        <v>9232</v>
      </c>
      <c r="B999" s="106" t="s">
        <v>1673</v>
      </c>
      <c r="C999">
        <v>0.05</v>
      </c>
      <c r="D999">
        <v>0.05</v>
      </c>
      <c r="E999">
        <v>0.15</v>
      </c>
      <c r="F999">
        <v>0.05</v>
      </c>
      <c r="G999">
        <v>0.05</v>
      </c>
    </row>
    <row r="1000" spans="1:7" x14ac:dyDescent="0.2">
      <c r="A1000">
        <v>9260</v>
      </c>
      <c r="B1000" s="106" t="s">
        <v>1674</v>
      </c>
      <c r="C1000">
        <v>0.05</v>
      </c>
      <c r="D1000" s="106">
        <v>0.1</v>
      </c>
      <c r="E1000">
        <v>0.3</v>
      </c>
      <c r="F1000" s="106">
        <v>0.1</v>
      </c>
      <c r="G1000">
        <v>0.1</v>
      </c>
    </row>
    <row r="1001" spans="1:7" x14ac:dyDescent="0.2">
      <c r="A1001">
        <v>9267</v>
      </c>
      <c r="B1001" s="106" t="s">
        <v>1675</v>
      </c>
      <c r="C1001">
        <v>0.05</v>
      </c>
      <c r="D1001" s="106">
        <v>0.05</v>
      </c>
      <c r="E1001" s="106">
        <v>3.6</v>
      </c>
      <c r="F1001" s="106">
        <v>0.1</v>
      </c>
      <c r="G1001" s="106">
        <v>0.05</v>
      </c>
    </row>
    <row r="1002" spans="1:7" x14ac:dyDescent="0.2">
      <c r="A1002">
        <v>9277</v>
      </c>
      <c r="B1002" s="106" t="s">
        <v>1676</v>
      </c>
      <c r="C1002">
        <v>0.05</v>
      </c>
      <c r="D1002" s="106">
        <v>0</v>
      </c>
      <c r="E1002" s="106">
        <v>0.15</v>
      </c>
      <c r="F1002" s="106">
        <v>0</v>
      </c>
      <c r="G1002" s="106">
        <v>0</v>
      </c>
    </row>
    <row r="1003" spans="1:7" x14ac:dyDescent="0.2">
      <c r="A1003">
        <v>9301</v>
      </c>
      <c r="B1003" s="106" t="s">
        <v>2550</v>
      </c>
      <c r="C1003">
        <v>0</v>
      </c>
      <c r="D1003" t="s">
        <v>171</v>
      </c>
      <c r="E1003" t="s">
        <v>171</v>
      </c>
      <c r="F1003">
        <v>0.05</v>
      </c>
      <c r="G1003">
        <v>0</v>
      </c>
    </row>
    <row r="1004" spans="1:7" x14ac:dyDescent="0.2">
      <c r="A1004">
        <v>9303</v>
      </c>
      <c r="B1004" s="106" t="s">
        <v>1677</v>
      </c>
      <c r="C1004">
        <v>0</v>
      </c>
      <c r="D1004" s="106">
        <v>0</v>
      </c>
      <c r="E1004">
        <v>0</v>
      </c>
      <c r="F1004">
        <v>0</v>
      </c>
      <c r="G1004" s="106">
        <v>0</v>
      </c>
    </row>
    <row r="1005" spans="1:7" x14ac:dyDescent="0.2">
      <c r="A1005">
        <v>9306</v>
      </c>
      <c r="B1005" s="106" t="s">
        <v>1678</v>
      </c>
      <c r="C1005">
        <v>0</v>
      </c>
      <c r="D1005" s="106">
        <v>0</v>
      </c>
      <c r="E1005">
        <v>0</v>
      </c>
      <c r="F1005">
        <v>0</v>
      </c>
      <c r="G1005">
        <v>0</v>
      </c>
    </row>
    <row r="1006" spans="1:7" x14ac:dyDescent="0.2">
      <c r="A1006">
        <v>9308</v>
      </c>
      <c r="B1006" s="106" t="s">
        <v>1679</v>
      </c>
      <c r="C1006">
        <v>0.05</v>
      </c>
      <c r="D1006">
        <v>0.05</v>
      </c>
      <c r="E1006">
        <v>0.15</v>
      </c>
      <c r="F1006">
        <v>0.05</v>
      </c>
      <c r="G1006">
        <v>0.05</v>
      </c>
    </row>
    <row r="1007" spans="1:7" x14ac:dyDescent="0.2">
      <c r="A1007">
        <v>9310</v>
      </c>
      <c r="B1007" s="106" t="s">
        <v>1680</v>
      </c>
      <c r="C1007">
        <v>0.05</v>
      </c>
      <c r="D1007" s="106">
        <v>0</v>
      </c>
      <c r="E1007" s="106">
        <v>0</v>
      </c>
      <c r="F1007" s="106">
        <v>0</v>
      </c>
      <c r="G1007" s="106">
        <v>0</v>
      </c>
    </row>
    <row r="1008" spans="1:7" x14ac:dyDescent="0.2">
      <c r="A1008">
        <v>9351</v>
      </c>
      <c r="B1008" s="106" t="s">
        <v>1681</v>
      </c>
      <c r="C1008">
        <v>0</v>
      </c>
      <c r="D1008" s="106">
        <v>0</v>
      </c>
      <c r="E1008" s="106">
        <v>0</v>
      </c>
      <c r="F1008" s="106">
        <v>0</v>
      </c>
      <c r="G1008" s="106">
        <v>0</v>
      </c>
    </row>
    <row r="1009" spans="1:7" x14ac:dyDescent="0.2">
      <c r="A1009">
        <v>9364</v>
      </c>
      <c r="B1009" s="106" t="s">
        <v>2551</v>
      </c>
      <c r="C1009">
        <v>0</v>
      </c>
      <c r="D1009" t="s">
        <v>171</v>
      </c>
      <c r="E1009" t="s">
        <v>171</v>
      </c>
      <c r="F1009" t="s">
        <v>171</v>
      </c>
      <c r="G1009" t="s">
        <v>171</v>
      </c>
    </row>
    <row r="1010" spans="1:7" x14ac:dyDescent="0.2">
      <c r="A1010">
        <v>9375</v>
      </c>
      <c r="B1010" s="106" t="s">
        <v>1682</v>
      </c>
      <c r="C1010">
        <v>0.05</v>
      </c>
      <c r="D1010">
        <v>0.05</v>
      </c>
      <c r="E1010">
        <v>0.15</v>
      </c>
      <c r="F1010">
        <v>0.05</v>
      </c>
      <c r="G1010">
        <v>0.05</v>
      </c>
    </row>
    <row r="1011" spans="1:7" x14ac:dyDescent="0.2">
      <c r="A1011">
        <v>9384</v>
      </c>
      <c r="B1011" s="106" t="s">
        <v>1683</v>
      </c>
      <c r="C1011">
        <v>0.05</v>
      </c>
      <c r="D1011" s="106">
        <v>0.05</v>
      </c>
      <c r="E1011" s="106">
        <v>0.15</v>
      </c>
      <c r="F1011" s="106">
        <v>0.05</v>
      </c>
      <c r="G1011" s="106">
        <v>0</v>
      </c>
    </row>
    <row r="1012" spans="1:7" x14ac:dyDescent="0.2">
      <c r="A1012">
        <v>9401</v>
      </c>
      <c r="B1012" s="106" t="s">
        <v>1684</v>
      </c>
      <c r="C1012">
        <v>0</v>
      </c>
      <c r="D1012" s="106">
        <v>0</v>
      </c>
      <c r="E1012" s="106">
        <v>0</v>
      </c>
      <c r="F1012" s="106">
        <v>0</v>
      </c>
      <c r="G1012" s="106">
        <v>0</v>
      </c>
    </row>
    <row r="1013" spans="1:7" x14ac:dyDescent="0.2">
      <c r="A1013">
        <v>9405</v>
      </c>
      <c r="B1013" s="106" t="s">
        <v>2209</v>
      </c>
      <c r="C1013">
        <v>0</v>
      </c>
      <c r="D1013" s="106">
        <v>0</v>
      </c>
      <c r="E1013" s="106">
        <v>0</v>
      </c>
      <c r="F1013" s="106">
        <v>0</v>
      </c>
      <c r="G1013" s="106">
        <v>0</v>
      </c>
    </row>
    <row r="1014" spans="1:7" x14ac:dyDescent="0.2">
      <c r="A1014">
        <v>9409</v>
      </c>
      <c r="B1014" s="106" t="s">
        <v>1685</v>
      </c>
      <c r="C1014">
        <v>0.05</v>
      </c>
      <c r="D1014">
        <v>0.05</v>
      </c>
      <c r="E1014" s="106">
        <v>0.15</v>
      </c>
      <c r="F1014" s="106">
        <v>0.05</v>
      </c>
      <c r="G1014" s="106">
        <v>0.05</v>
      </c>
    </row>
    <row r="1015" spans="1:7" x14ac:dyDescent="0.2">
      <c r="A1015">
        <v>9412</v>
      </c>
      <c r="B1015" s="106" t="s">
        <v>944</v>
      </c>
      <c r="C1015">
        <v>0.05</v>
      </c>
      <c r="D1015">
        <v>0.05</v>
      </c>
      <c r="E1015" s="106">
        <v>0.15</v>
      </c>
      <c r="F1015" s="106">
        <v>0.05</v>
      </c>
      <c r="G1015" s="106">
        <v>0.05</v>
      </c>
    </row>
    <row r="1016" spans="1:7" x14ac:dyDescent="0.2">
      <c r="A1016">
        <v>9413</v>
      </c>
      <c r="B1016" s="106" t="s">
        <v>1686</v>
      </c>
      <c r="C1016">
        <v>0.05</v>
      </c>
      <c r="D1016">
        <v>0.05</v>
      </c>
      <c r="E1016">
        <v>0.15</v>
      </c>
      <c r="F1016">
        <v>0.05</v>
      </c>
      <c r="G1016">
        <v>0.05</v>
      </c>
    </row>
    <row r="1017" spans="1:7" x14ac:dyDescent="0.2">
      <c r="A1017">
        <v>9416</v>
      </c>
      <c r="B1017" s="106" t="s">
        <v>1687</v>
      </c>
      <c r="C1017">
        <v>0</v>
      </c>
      <c r="D1017">
        <v>0</v>
      </c>
      <c r="E1017">
        <v>0</v>
      </c>
      <c r="F1017" s="106">
        <v>0</v>
      </c>
      <c r="G1017">
        <v>0</v>
      </c>
    </row>
    <row r="1018" spans="1:7" x14ac:dyDescent="0.2">
      <c r="A1018">
        <v>9417</v>
      </c>
      <c r="B1018" s="106" t="s">
        <v>1688</v>
      </c>
      <c r="C1018">
        <v>0</v>
      </c>
      <c r="D1018">
        <v>0</v>
      </c>
      <c r="E1018">
        <v>0</v>
      </c>
      <c r="F1018" s="106">
        <v>0</v>
      </c>
      <c r="G1018">
        <v>0</v>
      </c>
    </row>
    <row r="1019" spans="1:7" x14ac:dyDescent="0.2">
      <c r="A1019">
        <v>9419</v>
      </c>
      <c r="B1019" s="106" t="s">
        <v>2210</v>
      </c>
      <c r="C1019">
        <v>0</v>
      </c>
      <c r="D1019">
        <v>0</v>
      </c>
      <c r="E1019">
        <v>0</v>
      </c>
      <c r="F1019">
        <v>0</v>
      </c>
      <c r="G1019">
        <v>0</v>
      </c>
    </row>
    <row r="1020" spans="1:7" x14ac:dyDescent="0.2">
      <c r="A1020">
        <v>9422</v>
      </c>
      <c r="B1020" s="106" t="s">
        <v>1689</v>
      </c>
      <c r="C1020">
        <v>0</v>
      </c>
      <c r="D1020">
        <v>0</v>
      </c>
      <c r="E1020">
        <v>0</v>
      </c>
      <c r="F1020">
        <v>0</v>
      </c>
      <c r="G1020">
        <v>0</v>
      </c>
    </row>
    <row r="1021" spans="1:7" x14ac:dyDescent="0.2">
      <c r="A1021">
        <v>9432</v>
      </c>
      <c r="B1021" s="106" t="s">
        <v>1690</v>
      </c>
      <c r="C1021">
        <v>0</v>
      </c>
      <c r="D1021" s="106">
        <v>0.1</v>
      </c>
      <c r="E1021">
        <v>0.3</v>
      </c>
      <c r="F1021" s="106">
        <v>0.05</v>
      </c>
      <c r="G1021">
        <v>0.1</v>
      </c>
    </row>
    <row r="1022" spans="1:7" x14ac:dyDescent="0.2">
      <c r="A1022">
        <v>9433</v>
      </c>
      <c r="B1022" s="106" t="s">
        <v>934</v>
      </c>
      <c r="C1022">
        <v>0.05</v>
      </c>
      <c r="D1022" s="106">
        <v>0.05</v>
      </c>
      <c r="E1022">
        <v>0.15</v>
      </c>
      <c r="F1022" s="106">
        <v>0.1</v>
      </c>
      <c r="G1022">
        <v>0.1</v>
      </c>
    </row>
    <row r="1023" spans="1:7" x14ac:dyDescent="0.2">
      <c r="A1023">
        <v>9435</v>
      </c>
      <c r="B1023" s="106" t="s">
        <v>2297</v>
      </c>
      <c r="C1023">
        <v>0</v>
      </c>
      <c r="D1023" s="106">
        <v>0</v>
      </c>
      <c r="E1023" t="s">
        <v>171</v>
      </c>
      <c r="F1023" s="106" t="s">
        <v>171</v>
      </c>
      <c r="G1023" s="106">
        <v>0</v>
      </c>
    </row>
    <row r="1024" spans="1:7" x14ac:dyDescent="0.2">
      <c r="A1024">
        <v>9437</v>
      </c>
      <c r="B1024" s="106" t="s">
        <v>767</v>
      </c>
      <c r="C1024">
        <v>0.05</v>
      </c>
      <c r="D1024">
        <v>0.05</v>
      </c>
      <c r="E1024">
        <v>0.15</v>
      </c>
      <c r="F1024">
        <v>0.05</v>
      </c>
      <c r="G1024">
        <v>0</v>
      </c>
    </row>
    <row r="1025" spans="1:7" x14ac:dyDescent="0.2">
      <c r="A1025">
        <v>9438</v>
      </c>
      <c r="B1025" s="106" t="s">
        <v>1691</v>
      </c>
      <c r="C1025">
        <v>0</v>
      </c>
      <c r="D1025">
        <v>0</v>
      </c>
      <c r="E1025">
        <v>0</v>
      </c>
      <c r="F1025">
        <v>0</v>
      </c>
      <c r="G1025">
        <v>0</v>
      </c>
    </row>
    <row r="1026" spans="1:7" x14ac:dyDescent="0.2">
      <c r="A1026">
        <v>9449</v>
      </c>
      <c r="B1026" s="106" t="s">
        <v>1692</v>
      </c>
      <c r="C1026">
        <v>0.05</v>
      </c>
      <c r="D1026" s="106">
        <v>0.05</v>
      </c>
      <c r="E1026" s="106">
        <v>0.15</v>
      </c>
      <c r="F1026" s="106">
        <v>0.05</v>
      </c>
      <c r="G1026" s="106">
        <v>0.05</v>
      </c>
    </row>
    <row r="1027" spans="1:7" x14ac:dyDescent="0.2">
      <c r="A1027">
        <v>9450</v>
      </c>
      <c r="B1027" s="106" t="s">
        <v>1693</v>
      </c>
      <c r="C1027">
        <v>0</v>
      </c>
      <c r="D1027">
        <v>0</v>
      </c>
      <c r="E1027">
        <v>0</v>
      </c>
      <c r="F1027">
        <v>0</v>
      </c>
      <c r="G1027">
        <v>0</v>
      </c>
    </row>
    <row r="1028" spans="1:7" x14ac:dyDescent="0.2">
      <c r="A1028">
        <v>9468</v>
      </c>
      <c r="B1028" s="106" t="s">
        <v>1694</v>
      </c>
      <c r="C1028">
        <v>0.05</v>
      </c>
      <c r="D1028">
        <v>0</v>
      </c>
      <c r="E1028">
        <v>0</v>
      </c>
      <c r="F1028">
        <v>0</v>
      </c>
      <c r="G1028">
        <v>0</v>
      </c>
    </row>
    <row r="1029" spans="1:7" x14ac:dyDescent="0.2">
      <c r="A1029">
        <v>9470</v>
      </c>
      <c r="B1029" s="106" t="s">
        <v>1695</v>
      </c>
      <c r="C1029">
        <v>0.15</v>
      </c>
      <c r="D1029">
        <v>0.2</v>
      </c>
      <c r="E1029">
        <v>0.45</v>
      </c>
      <c r="F1029">
        <v>0.15</v>
      </c>
      <c r="G1029">
        <v>0.15</v>
      </c>
    </row>
    <row r="1030" spans="1:7" x14ac:dyDescent="0.2">
      <c r="A1030">
        <v>9475</v>
      </c>
      <c r="B1030" s="106" t="s">
        <v>1696</v>
      </c>
      <c r="C1030">
        <v>0.05</v>
      </c>
      <c r="D1030" s="106">
        <v>0.05</v>
      </c>
      <c r="E1030" s="106">
        <v>0.15</v>
      </c>
      <c r="F1030" s="106">
        <v>0.05</v>
      </c>
      <c r="G1030" s="106">
        <v>0.05</v>
      </c>
    </row>
    <row r="1031" spans="1:7" x14ac:dyDescent="0.2">
      <c r="A1031">
        <v>9479</v>
      </c>
      <c r="B1031" s="106" t="s">
        <v>2552</v>
      </c>
      <c r="C1031">
        <v>0</v>
      </c>
      <c r="D1031" t="s">
        <v>171</v>
      </c>
      <c r="E1031">
        <v>0</v>
      </c>
      <c r="F1031" t="s">
        <v>171</v>
      </c>
      <c r="G1031">
        <v>0</v>
      </c>
    </row>
    <row r="1032" spans="1:7" x14ac:dyDescent="0.2">
      <c r="A1032">
        <v>9504</v>
      </c>
      <c r="B1032" s="106" t="s">
        <v>1697</v>
      </c>
      <c r="C1032">
        <v>0.05</v>
      </c>
      <c r="D1032">
        <v>0.05</v>
      </c>
      <c r="E1032">
        <v>0.15</v>
      </c>
      <c r="F1032">
        <v>0.05</v>
      </c>
      <c r="G1032">
        <v>0.05</v>
      </c>
    </row>
    <row r="1033" spans="1:7" x14ac:dyDescent="0.2">
      <c r="A1033">
        <v>9506</v>
      </c>
      <c r="B1033" s="106" t="s">
        <v>1698</v>
      </c>
      <c r="C1033">
        <v>0</v>
      </c>
      <c r="D1033">
        <v>0</v>
      </c>
      <c r="E1033">
        <v>0</v>
      </c>
      <c r="F1033">
        <v>0</v>
      </c>
      <c r="G1033">
        <v>0</v>
      </c>
    </row>
    <row r="1034" spans="1:7" x14ac:dyDescent="0.2">
      <c r="A1034">
        <v>9507</v>
      </c>
      <c r="B1034" s="106" t="s">
        <v>2553</v>
      </c>
      <c r="C1034">
        <v>0</v>
      </c>
      <c r="D1034" t="s">
        <v>171</v>
      </c>
      <c r="E1034">
        <v>0</v>
      </c>
      <c r="F1034" t="s">
        <v>171</v>
      </c>
      <c r="G1034" t="s">
        <v>171</v>
      </c>
    </row>
    <row r="1035" spans="1:7" x14ac:dyDescent="0.2">
      <c r="A1035">
        <v>9511</v>
      </c>
      <c r="B1035" s="106" t="s">
        <v>2298</v>
      </c>
      <c r="C1035">
        <v>0.05</v>
      </c>
      <c r="D1035">
        <v>0</v>
      </c>
      <c r="E1035" t="s">
        <v>171</v>
      </c>
      <c r="F1035">
        <v>0</v>
      </c>
      <c r="G1035">
        <v>0</v>
      </c>
    </row>
    <row r="1036" spans="1:7" x14ac:dyDescent="0.2">
      <c r="A1036">
        <v>9513</v>
      </c>
      <c r="B1036" s="106" t="s">
        <v>1699</v>
      </c>
      <c r="C1036">
        <v>0</v>
      </c>
      <c r="D1036">
        <v>0</v>
      </c>
      <c r="E1036">
        <v>0</v>
      </c>
      <c r="F1036">
        <v>0</v>
      </c>
      <c r="G1036">
        <v>0</v>
      </c>
    </row>
    <row r="1037" spans="1:7" x14ac:dyDescent="0.2">
      <c r="A1037">
        <v>9517</v>
      </c>
      <c r="B1037" s="106" t="s">
        <v>1700</v>
      </c>
      <c r="C1037">
        <v>0.05</v>
      </c>
      <c r="D1037">
        <v>0.05</v>
      </c>
      <c r="E1037">
        <v>0</v>
      </c>
      <c r="F1037">
        <v>0.05</v>
      </c>
      <c r="G1037">
        <v>0</v>
      </c>
    </row>
    <row r="1038" spans="1:7" x14ac:dyDescent="0.2">
      <c r="A1038">
        <v>9519</v>
      </c>
      <c r="B1038" s="106" t="s">
        <v>1701</v>
      </c>
      <c r="C1038">
        <v>0</v>
      </c>
      <c r="D1038" s="106">
        <v>0</v>
      </c>
      <c r="E1038" s="106">
        <v>0</v>
      </c>
      <c r="F1038" s="106">
        <v>0</v>
      </c>
      <c r="G1038" s="106">
        <v>0</v>
      </c>
    </row>
    <row r="1039" spans="1:7" x14ac:dyDescent="0.2">
      <c r="A1039">
        <v>9532</v>
      </c>
      <c r="B1039" s="106" t="s">
        <v>1702</v>
      </c>
      <c r="C1039">
        <v>0.05</v>
      </c>
      <c r="D1039">
        <v>0.05</v>
      </c>
      <c r="E1039">
        <v>0.15</v>
      </c>
      <c r="F1039">
        <v>0.05</v>
      </c>
      <c r="G1039">
        <v>0.05</v>
      </c>
    </row>
    <row r="1040" spans="1:7" x14ac:dyDescent="0.2">
      <c r="A1040">
        <v>9533</v>
      </c>
      <c r="B1040" s="106" t="s">
        <v>1703</v>
      </c>
      <c r="C1040">
        <v>0.1</v>
      </c>
      <c r="D1040" s="106">
        <v>0.1</v>
      </c>
      <c r="E1040" s="106">
        <v>0.3</v>
      </c>
      <c r="F1040" s="106">
        <v>0.1</v>
      </c>
      <c r="G1040">
        <v>0.1</v>
      </c>
    </row>
    <row r="1041" spans="1:7" x14ac:dyDescent="0.2">
      <c r="A1041">
        <v>9535</v>
      </c>
      <c r="B1041" s="106" t="s">
        <v>2554</v>
      </c>
      <c r="C1041">
        <v>0</v>
      </c>
      <c r="D1041" s="106" t="s">
        <v>171</v>
      </c>
      <c r="E1041" s="106">
        <v>0.15</v>
      </c>
      <c r="F1041">
        <v>0</v>
      </c>
      <c r="G1041">
        <v>0.05</v>
      </c>
    </row>
    <row r="1042" spans="1:7" x14ac:dyDescent="0.2">
      <c r="A1042">
        <v>9536</v>
      </c>
      <c r="B1042" s="106" t="s">
        <v>1704</v>
      </c>
      <c r="C1042">
        <v>0.05</v>
      </c>
      <c r="D1042">
        <v>0.05</v>
      </c>
      <c r="E1042">
        <v>0.15</v>
      </c>
      <c r="F1042">
        <v>0.05</v>
      </c>
      <c r="G1042">
        <v>0.05</v>
      </c>
    </row>
    <row r="1043" spans="1:7" x14ac:dyDescent="0.2">
      <c r="A1043">
        <v>9543</v>
      </c>
      <c r="B1043" s="106" t="s">
        <v>1705</v>
      </c>
      <c r="C1043">
        <v>0.05</v>
      </c>
      <c r="D1043">
        <v>0.05</v>
      </c>
      <c r="E1043">
        <v>0.15</v>
      </c>
      <c r="F1043">
        <v>0.05</v>
      </c>
      <c r="G1043">
        <v>0.05</v>
      </c>
    </row>
    <row r="1044" spans="1:7" x14ac:dyDescent="0.2">
      <c r="A1044">
        <v>9551</v>
      </c>
      <c r="B1044" s="106" t="s">
        <v>1706</v>
      </c>
      <c r="C1044">
        <v>0</v>
      </c>
      <c r="D1044">
        <v>0</v>
      </c>
      <c r="E1044">
        <v>0</v>
      </c>
      <c r="F1044">
        <v>0</v>
      </c>
      <c r="G1044">
        <v>0</v>
      </c>
    </row>
    <row r="1045" spans="1:7" x14ac:dyDescent="0.2">
      <c r="A1045">
        <v>9601</v>
      </c>
      <c r="B1045" s="106" t="s">
        <v>1707</v>
      </c>
      <c r="C1045">
        <v>0.3</v>
      </c>
      <c r="D1045">
        <v>0.3</v>
      </c>
      <c r="E1045">
        <v>0.9</v>
      </c>
      <c r="F1045">
        <v>0.3</v>
      </c>
      <c r="G1045">
        <v>0.3</v>
      </c>
    </row>
    <row r="1046" spans="1:7" x14ac:dyDescent="0.2">
      <c r="A1046">
        <v>9602</v>
      </c>
      <c r="B1046" s="106" t="s">
        <v>2555</v>
      </c>
      <c r="C1046">
        <v>0</v>
      </c>
      <c r="D1046" t="s">
        <v>171</v>
      </c>
      <c r="E1046">
        <v>0</v>
      </c>
      <c r="F1046" t="s">
        <v>171</v>
      </c>
      <c r="G1046" t="s">
        <v>171</v>
      </c>
    </row>
    <row r="1047" spans="1:7" x14ac:dyDescent="0.2">
      <c r="A1047">
        <v>9603</v>
      </c>
      <c r="B1047" s="106" t="s">
        <v>946</v>
      </c>
      <c r="C1047">
        <v>0</v>
      </c>
      <c r="D1047" t="s">
        <v>171</v>
      </c>
      <c r="E1047" t="s">
        <v>171</v>
      </c>
      <c r="F1047" t="s">
        <v>171</v>
      </c>
      <c r="G1047" t="s">
        <v>171</v>
      </c>
    </row>
    <row r="1048" spans="1:7" x14ac:dyDescent="0.2">
      <c r="A1048">
        <v>9605</v>
      </c>
      <c r="B1048" s="106" t="s">
        <v>1708</v>
      </c>
      <c r="C1048">
        <v>0.3</v>
      </c>
      <c r="D1048">
        <v>0.3</v>
      </c>
      <c r="E1048">
        <v>0.9</v>
      </c>
      <c r="F1048">
        <v>0.3</v>
      </c>
      <c r="G1048">
        <v>0.3</v>
      </c>
    </row>
    <row r="1049" spans="1:7" x14ac:dyDescent="0.2">
      <c r="A1049">
        <v>9613</v>
      </c>
      <c r="B1049" s="106" t="s">
        <v>2556</v>
      </c>
      <c r="C1049">
        <v>0</v>
      </c>
      <c r="D1049" s="106" t="s">
        <v>171</v>
      </c>
      <c r="E1049">
        <v>0</v>
      </c>
      <c r="F1049" s="106" t="s">
        <v>171</v>
      </c>
      <c r="G1049" t="s">
        <v>171</v>
      </c>
    </row>
    <row r="1050" spans="1:7" x14ac:dyDescent="0.2">
      <c r="A1050">
        <v>9619</v>
      </c>
      <c r="B1050" s="106" t="s">
        <v>1709</v>
      </c>
      <c r="C1050">
        <v>0</v>
      </c>
      <c r="D1050">
        <v>0</v>
      </c>
      <c r="E1050">
        <v>0</v>
      </c>
      <c r="F1050">
        <v>0</v>
      </c>
      <c r="G1050">
        <v>0</v>
      </c>
    </row>
    <row r="1051" spans="1:7" x14ac:dyDescent="0.2">
      <c r="A1051">
        <v>9622</v>
      </c>
      <c r="B1051" s="106" t="s">
        <v>1710</v>
      </c>
      <c r="C1051">
        <v>0</v>
      </c>
      <c r="D1051">
        <v>0</v>
      </c>
      <c r="E1051">
        <v>0</v>
      </c>
      <c r="F1051">
        <v>0</v>
      </c>
      <c r="G1051">
        <v>0</v>
      </c>
    </row>
    <row r="1052" spans="1:7" x14ac:dyDescent="0.2">
      <c r="A1052">
        <v>9627</v>
      </c>
      <c r="B1052" s="106" t="s">
        <v>1711</v>
      </c>
      <c r="C1052">
        <v>0</v>
      </c>
      <c r="D1052">
        <v>0</v>
      </c>
      <c r="E1052">
        <v>0</v>
      </c>
      <c r="F1052">
        <v>0</v>
      </c>
      <c r="G1052">
        <v>0</v>
      </c>
    </row>
    <row r="1053" spans="1:7" x14ac:dyDescent="0.2">
      <c r="A1053">
        <v>9628</v>
      </c>
      <c r="B1053" s="106" t="s">
        <v>2557</v>
      </c>
      <c r="C1053">
        <v>0</v>
      </c>
      <c r="D1053" t="s">
        <v>171</v>
      </c>
      <c r="E1053" t="s">
        <v>171</v>
      </c>
      <c r="F1053" t="s">
        <v>171</v>
      </c>
      <c r="G1053" s="106">
        <v>0</v>
      </c>
    </row>
    <row r="1054" spans="1:7" x14ac:dyDescent="0.2">
      <c r="A1054">
        <v>9663</v>
      </c>
      <c r="B1054" s="106" t="s">
        <v>1712</v>
      </c>
      <c r="C1054">
        <v>0.15</v>
      </c>
      <c r="D1054">
        <v>0.15</v>
      </c>
      <c r="E1054">
        <v>0.45</v>
      </c>
      <c r="F1054">
        <v>0.15</v>
      </c>
      <c r="G1054">
        <v>0.15</v>
      </c>
    </row>
    <row r="1055" spans="1:7" x14ac:dyDescent="0.2">
      <c r="A1055">
        <v>9672</v>
      </c>
      <c r="B1055" s="106" t="s">
        <v>2558</v>
      </c>
      <c r="C1055">
        <v>0</v>
      </c>
      <c r="D1055" s="106" t="s">
        <v>171</v>
      </c>
      <c r="E1055" t="s">
        <v>171</v>
      </c>
      <c r="F1055" s="106" t="s">
        <v>171</v>
      </c>
      <c r="G1055" t="s">
        <v>171</v>
      </c>
    </row>
    <row r="1056" spans="1:7" x14ac:dyDescent="0.2">
      <c r="A1056">
        <v>9675</v>
      </c>
      <c r="B1056" s="106" t="s">
        <v>1713</v>
      </c>
      <c r="C1056">
        <v>0.05</v>
      </c>
      <c r="D1056">
        <v>0.05</v>
      </c>
      <c r="E1056">
        <v>0.15</v>
      </c>
      <c r="F1056">
        <v>0.05</v>
      </c>
      <c r="G1056">
        <v>0.05</v>
      </c>
    </row>
    <row r="1057" spans="1:7" x14ac:dyDescent="0.2">
      <c r="A1057">
        <v>9681</v>
      </c>
      <c r="B1057" s="106" t="s">
        <v>1714</v>
      </c>
      <c r="C1057">
        <v>0</v>
      </c>
      <c r="D1057">
        <v>0</v>
      </c>
      <c r="E1057">
        <v>0</v>
      </c>
      <c r="F1057">
        <v>0</v>
      </c>
      <c r="G1057">
        <v>0</v>
      </c>
    </row>
    <row r="1058" spans="1:7" x14ac:dyDescent="0.2">
      <c r="A1058">
        <v>9684</v>
      </c>
      <c r="B1058" s="106" t="s">
        <v>2559</v>
      </c>
      <c r="C1058">
        <v>0</v>
      </c>
      <c r="D1058" t="s">
        <v>171</v>
      </c>
      <c r="E1058" t="s">
        <v>171</v>
      </c>
      <c r="F1058">
        <v>0</v>
      </c>
      <c r="G1058" t="s">
        <v>171</v>
      </c>
    </row>
    <row r="1059" spans="1:7" x14ac:dyDescent="0.2">
      <c r="A1059">
        <v>9697</v>
      </c>
      <c r="B1059" s="106" t="s">
        <v>1715</v>
      </c>
      <c r="C1059">
        <v>0.05</v>
      </c>
      <c r="D1059">
        <v>0.1</v>
      </c>
      <c r="E1059">
        <v>0.15</v>
      </c>
      <c r="F1059">
        <v>0.05</v>
      </c>
      <c r="G1059">
        <v>0</v>
      </c>
    </row>
    <row r="1060" spans="1:7" x14ac:dyDescent="0.2">
      <c r="A1060">
        <v>9706</v>
      </c>
      <c r="B1060" s="106" t="s">
        <v>264</v>
      </c>
      <c r="C1060">
        <v>0.15</v>
      </c>
      <c r="D1060">
        <v>0.15</v>
      </c>
      <c r="E1060" s="106">
        <v>0.3</v>
      </c>
      <c r="F1060" s="106">
        <v>0.15</v>
      </c>
      <c r="G1060" s="106">
        <v>0.1</v>
      </c>
    </row>
    <row r="1061" spans="1:7" x14ac:dyDescent="0.2">
      <c r="A1061">
        <v>9715</v>
      </c>
      <c r="B1061" s="106" t="s">
        <v>1716</v>
      </c>
      <c r="C1061">
        <v>0</v>
      </c>
      <c r="D1061">
        <v>0</v>
      </c>
      <c r="E1061">
        <v>0</v>
      </c>
      <c r="F1061" t="s">
        <v>171</v>
      </c>
      <c r="G1061">
        <v>0</v>
      </c>
    </row>
    <row r="1062" spans="1:7" x14ac:dyDescent="0.2">
      <c r="A1062">
        <v>9717</v>
      </c>
      <c r="B1062" s="106" t="s">
        <v>1717</v>
      </c>
      <c r="C1062">
        <v>0</v>
      </c>
      <c r="D1062">
        <v>0.05</v>
      </c>
      <c r="E1062">
        <v>0</v>
      </c>
      <c r="F1062">
        <v>0.05</v>
      </c>
      <c r="G1062">
        <v>0</v>
      </c>
    </row>
    <row r="1063" spans="1:7" x14ac:dyDescent="0.2">
      <c r="A1063">
        <v>9719</v>
      </c>
      <c r="B1063" s="106" t="s">
        <v>2299</v>
      </c>
      <c r="C1063">
        <v>0</v>
      </c>
      <c r="D1063">
        <v>0</v>
      </c>
      <c r="E1063" t="s">
        <v>171</v>
      </c>
      <c r="F1063">
        <v>0</v>
      </c>
      <c r="G1063">
        <v>0</v>
      </c>
    </row>
    <row r="1064" spans="1:7" x14ac:dyDescent="0.2">
      <c r="A1064">
        <v>9722</v>
      </c>
      <c r="B1064" s="106" t="s">
        <v>2560</v>
      </c>
      <c r="C1064">
        <v>0</v>
      </c>
      <c r="D1064" t="s">
        <v>171</v>
      </c>
      <c r="E1064" t="s">
        <v>171</v>
      </c>
      <c r="F1064" t="s">
        <v>171</v>
      </c>
      <c r="G1064">
        <v>0</v>
      </c>
    </row>
    <row r="1065" spans="1:7" x14ac:dyDescent="0.2">
      <c r="A1065">
        <v>9726</v>
      </c>
      <c r="B1065" s="106" t="s">
        <v>1718</v>
      </c>
      <c r="C1065">
        <v>0</v>
      </c>
      <c r="D1065">
        <v>0</v>
      </c>
      <c r="E1065">
        <v>0</v>
      </c>
      <c r="F1065">
        <v>0</v>
      </c>
      <c r="G1065">
        <v>0</v>
      </c>
    </row>
    <row r="1066" spans="1:7" x14ac:dyDescent="0.2">
      <c r="A1066">
        <v>9729</v>
      </c>
      <c r="B1066" s="106" t="s">
        <v>1719</v>
      </c>
      <c r="C1066">
        <v>0.05</v>
      </c>
      <c r="D1066">
        <v>0.05</v>
      </c>
      <c r="E1066" s="106">
        <v>0.15</v>
      </c>
      <c r="F1066">
        <v>0.05</v>
      </c>
      <c r="G1066">
        <v>0.05</v>
      </c>
    </row>
    <row r="1067" spans="1:7" x14ac:dyDescent="0.2">
      <c r="A1067">
        <v>9735</v>
      </c>
      <c r="B1067" s="106" t="s">
        <v>2211</v>
      </c>
      <c r="C1067">
        <v>0</v>
      </c>
      <c r="D1067">
        <v>0</v>
      </c>
      <c r="E1067">
        <v>0</v>
      </c>
      <c r="F1067">
        <v>0</v>
      </c>
      <c r="G1067">
        <v>0</v>
      </c>
    </row>
    <row r="1068" spans="1:7" x14ac:dyDescent="0.2">
      <c r="A1068">
        <v>9740</v>
      </c>
      <c r="B1068" s="106" t="s">
        <v>1720</v>
      </c>
      <c r="C1068">
        <v>0.15</v>
      </c>
      <c r="D1068">
        <v>0.15</v>
      </c>
      <c r="E1068">
        <v>0.45</v>
      </c>
      <c r="F1068">
        <v>0.15</v>
      </c>
      <c r="G1068">
        <v>0.15</v>
      </c>
    </row>
    <row r="1069" spans="1:7" x14ac:dyDescent="0.2">
      <c r="A1069">
        <v>9743</v>
      </c>
      <c r="B1069" s="106" t="s">
        <v>2561</v>
      </c>
      <c r="C1069">
        <v>0</v>
      </c>
      <c r="D1069" t="s">
        <v>171</v>
      </c>
      <c r="E1069">
        <v>0.15</v>
      </c>
      <c r="F1069" t="s">
        <v>171</v>
      </c>
      <c r="G1069">
        <v>0.05</v>
      </c>
    </row>
    <row r="1070" spans="1:7" x14ac:dyDescent="0.2">
      <c r="A1070">
        <v>9744</v>
      </c>
      <c r="B1070" s="106" t="s">
        <v>1721</v>
      </c>
      <c r="C1070">
        <v>0.1</v>
      </c>
      <c r="D1070">
        <v>0.1</v>
      </c>
      <c r="E1070">
        <v>0.3</v>
      </c>
      <c r="F1070">
        <v>0.1</v>
      </c>
      <c r="G1070">
        <v>0.1</v>
      </c>
    </row>
    <row r="1071" spans="1:7" x14ac:dyDescent="0.2">
      <c r="A1071">
        <v>9746</v>
      </c>
      <c r="B1071" s="106" t="s">
        <v>924</v>
      </c>
      <c r="C1071">
        <v>0.1</v>
      </c>
      <c r="D1071" t="s">
        <v>171</v>
      </c>
      <c r="E1071">
        <v>0.3</v>
      </c>
      <c r="F1071">
        <v>0.1</v>
      </c>
      <c r="G1071">
        <v>0.1</v>
      </c>
    </row>
    <row r="1072" spans="1:7" x14ac:dyDescent="0.2">
      <c r="A1072">
        <v>9759</v>
      </c>
      <c r="B1072" s="106" t="s">
        <v>765</v>
      </c>
      <c r="C1072">
        <v>0.1</v>
      </c>
      <c r="D1072">
        <v>0.1</v>
      </c>
      <c r="E1072">
        <v>0.3</v>
      </c>
      <c r="F1072">
        <v>0.05</v>
      </c>
      <c r="G1072">
        <v>0.05</v>
      </c>
    </row>
    <row r="1073" spans="1:7" x14ac:dyDescent="0.2">
      <c r="A1073">
        <v>9765</v>
      </c>
      <c r="B1073" s="106" t="s">
        <v>1722</v>
      </c>
      <c r="C1073">
        <v>0</v>
      </c>
      <c r="D1073">
        <v>0</v>
      </c>
      <c r="E1073">
        <v>0</v>
      </c>
      <c r="F1073">
        <v>0</v>
      </c>
      <c r="G1073">
        <v>0</v>
      </c>
    </row>
    <row r="1074" spans="1:7" x14ac:dyDescent="0.2">
      <c r="A1074">
        <v>9783</v>
      </c>
      <c r="B1074" s="106" t="s">
        <v>2212</v>
      </c>
      <c r="C1074">
        <v>0</v>
      </c>
      <c r="D1074">
        <v>0</v>
      </c>
      <c r="E1074">
        <v>0</v>
      </c>
      <c r="F1074">
        <v>0</v>
      </c>
      <c r="G1074" t="s">
        <v>171</v>
      </c>
    </row>
    <row r="1075" spans="1:7" x14ac:dyDescent="0.2">
      <c r="A1075">
        <v>9787</v>
      </c>
      <c r="B1075" s="106" t="s">
        <v>1723</v>
      </c>
      <c r="C1075">
        <v>0.1</v>
      </c>
      <c r="D1075">
        <v>0</v>
      </c>
      <c r="E1075">
        <v>0</v>
      </c>
      <c r="F1075">
        <v>0</v>
      </c>
      <c r="G1075">
        <v>0</v>
      </c>
    </row>
    <row r="1076" spans="1:7" x14ac:dyDescent="0.2">
      <c r="A1076">
        <v>9788</v>
      </c>
      <c r="B1076" s="106" t="s">
        <v>1724</v>
      </c>
      <c r="C1076">
        <v>0</v>
      </c>
      <c r="D1076">
        <v>0</v>
      </c>
      <c r="E1076">
        <v>0</v>
      </c>
      <c r="F1076">
        <v>0</v>
      </c>
      <c r="G1076">
        <v>0</v>
      </c>
    </row>
    <row r="1077" spans="1:7" x14ac:dyDescent="0.2">
      <c r="A1077">
        <v>9795</v>
      </c>
      <c r="B1077" s="106" t="s">
        <v>2562</v>
      </c>
      <c r="C1077">
        <v>0</v>
      </c>
      <c r="D1077" t="s">
        <v>171</v>
      </c>
      <c r="E1077" t="s">
        <v>171</v>
      </c>
      <c r="F1077" t="s">
        <v>171</v>
      </c>
      <c r="G1077" t="s">
        <v>171</v>
      </c>
    </row>
    <row r="1078" spans="1:7" x14ac:dyDescent="0.2">
      <c r="A1078">
        <v>9810</v>
      </c>
      <c r="B1078" s="106" t="s">
        <v>72</v>
      </c>
      <c r="C1078">
        <v>0</v>
      </c>
      <c r="D1078" t="s">
        <v>171</v>
      </c>
      <c r="E1078" t="s">
        <v>171</v>
      </c>
      <c r="F1078">
        <v>0.05</v>
      </c>
      <c r="G1078" t="s">
        <v>171</v>
      </c>
    </row>
    <row r="1079" spans="1:7" x14ac:dyDescent="0.2">
      <c r="A1079">
        <v>9824</v>
      </c>
      <c r="B1079" s="106" t="s">
        <v>1725</v>
      </c>
      <c r="C1079">
        <v>0.1</v>
      </c>
      <c r="D1079">
        <v>0.1</v>
      </c>
      <c r="E1079">
        <v>0.15</v>
      </c>
      <c r="F1079">
        <v>0.1</v>
      </c>
      <c r="G1079">
        <v>0.1</v>
      </c>
    </row>
    <row r="1080" spans="1:7" x14ac:dyDescent="0.2">
      <c r="A1080">
        <v>9830</v>
      </c>
      <c r="B1080" s="106" t="s">
        <v>1726</v>
      </c>
      <c r="C1080">
        <v>0</v>
      </c>
      <c r="D1080">
        <v>0</v>
      </c>
      <c r="E1080">
        <v>0</v>
      </c>
      <c r="F1080">
        <v>0</v>
      </c>
      <c r="G1080">
        <v>0</v>
      </c>
    </row>
    <row r="1081" spans="1:7" x14ac:dyDescent="0.2">
      <c r="A1081">
        <v>9831</v>
      </c>
      <c r="B1081" s="106" t="s">
        <v>1727</v>
      </c>
      <c r="C1081">
        <v>0.05</v>
      </c>
      <c r="D1081">
        <v>0.05</v>
      </c>
      <c r="E1081">
        <v>0.15</v>
      </c>
      <c r="F1081">
        <v>0</v>
      </c>
      <c r="G1081" t="s">
        <v>171</v>
      </c>
    </row>
    <row r="1082" spans="1:7" x14ac:dyDescent="0.2">
      <c r="A1082">
        <v>9837</v>
      </c>
      <c r="B1082" s="106" t="s">
        <v>1728</v>
      </c>
      <c r="C1082">
        <v>0</v>
      </c>
      <c r="D1082">
        <v>0</v>
      </c>
      <c r="E1082">
        <v>0</v>
      </c>
      <c r="F1082">
        <v>0</v>
      </c>
      <c r="G1082">
        <v>0</v>
      </c>
    </row>
    <row r="1083" spans="1:7" x14ac:dyDescent="0.2">
      <c r="A1083">
        <v>9843</v>
      </c>
      <c r="B1083" s="106" t="s">
        <v>1729</v>
      </c>
      <c r="C1083">
        <v>0</v>
      </c>
      <c r="D1083">
        <v>0</v>
      </c>
      <c r="E1083">
        <v>0.9</v>
      </c>
      <c r="F1083">
        <v>0.3</v>
      </c>
      <c r="G1083">
        <v>0.3</v>
      </c>
    </row>
    <row r="1084" spans="1:7" x14ac:dyDescent="0.2">
      <c r="A1084">
        <v>9850</v>
      </c>
      <c r="B1084" s="106" t="s">
        <v>1730</v>
      </c>
      <c r="C1084">
        <v>0</v>
      </c>
      <c r="D1084">
        <v>0</v>
      </c>
      <c r="E1084">
        <v>0</v>
      </c>
      <c r="F1084">
        <v>0</v>
      </c>
      <c r="G1084">
        <v>0</v>
      </c>
    </row>
    <row r="1085" spans="1:7" x14ac:dyDescent="0.2">
      <c r="A1085">
        <v>9854</v>
      </c>
      <c r="B1085" s="106" t="s">
        <v>1731</v>
      </c>
      <c r="C1085">
        <v>0</v>
      </c>
      <c r="D1085">
        <v>0</v>
      </c>
      <c r="E1085">
        <v>0</v>
      </c>
      <c r="F1085">
        <v>0</v>
      </c>
      <c r="G1085" s="106">
        <v>0</v>
      </c>
    </row>
    <row r="1086" spans="1:7" x14ac:dyDescent="0.2">
      <c r="A1086">
        <v>9856</v>
      </c>
      <c r="B1086" s="106" t="s">
        <v>1732</v>
      </c>
      <c r="C1086">
        <v>0</v>
      </c>
      <c r="D1086">
        <v>0</v>
      </c>
      <c r="E1086">
        <v>0.15</v>
      </c>
      <c r="F1086">
        <v>0.05</v>
      </c>
      <c r="G1086">
        <v>0.05</v>
      </c>
    </row>
    <row r="1087" spans="1:7" x14ac:dyDescent="0.2">
      <c r="A1087">
        <v>9861</v>
      </c>
      <c r="B1087" s="106" t="s">
        <v>1733</v>
      </c>
      <c r="C1087">
        <v>0.05</v>
      </c>
      <c r="D1087">
        <v>0.05</v>
      </c>
      <c r="E1087">
        <v>0.15</v>
      </c>
      <c r="F1087">
        <v>0.05</v>
      </c>
      <c r="G1087">
        <v>0.05</v>
      </c>
    </row>
    <row r="1088" spans="1:7" x14ac:dyDescent="0.2">
      <c r="A1088">
        <v>9869</v>
      </c>
      <c r="B1088" s="106" t="s">
        <v>1734</v>
      </c>
      <c r="C1088">
        <v>0</v>
      </c>
      <c r="D1088">
        <v>0</v>
      </c>
      <c r="E1088">
        <v>0</v>
      </c>
      <c r="F1088">
        <v>0.1</v>
      </c>
      <c r="G1088">
        <v>0</v>
      </c>
    </row>
    <row r="1089" spans="1:7" x14ac:dyDescent="0.2">
      <c r="A1089">
        <v>9872</v>
      </c>
      <c r="B1089" s="106" t="s">
        <v>1735</v>
      </c>
      <c r="C1089">
        <v>0.05</v>
      </c>
      <c r="D1089">
        <v>0.05</v>
      </c>
      <c r="E1089">
        <v>0.15</v>
      </c>
      <c r="F1089">
        <v>0.05</v>
      </c>
      <c r="G1089">
        <v>0.05</v>
      </c>
    </row>
    <row r="1090" spans="1:7" x14ac:dyDescent="0.2">
      <c r="A1090">
        <v>9882</v>
      </c>
      <c r="B1090" s="106" t="s">
        <v>1736</v>
      </c>
      <c r="C1090">
        <v>0</v>
      </c>
      <c r="D1090">
        <v>0</v>
      </c>
      <c r="E1090">
        <v>0</v>
      </c>
      <c r="F1090">
        <v>0</v>
      </c>
      <c r="G1090" s="106">
        <v>0</v>
      </c>
    </row>
    <row r="1091" spans="1:7" x14ac:dyDescent="0.2">
      <c r="A1091">
        <v>9896</v>
      </c>
      <c r="B1091" s="106" t="s">
        <v>1737</v>
      </c>
      <c r="C1091">
        <v>0</v>
      </c>
      <c r="D1091">
        <v>0</v>
      </c>
      <c r="E1091">
        <v>0</v>
      </c>
      <c r="F1091">
        <v>0</v>
      </c>
      <c r="G1091">
        <v>0.05</v>
      </c>
    </row>
    <row r="1092" spans="1:7" x14ac:dyDescent="0.2">
      <c r="A1092">
        <v>9900</v>
      </c>
      <c r="B1092" t="s">
        <v>1738</v>
      </c>
      <c r="C1092">
        <v>0.05</v>
      </c>
      <c r="D1092">
        <v>0.05</v>
      </c>
      <c r="E1092">
        <v>0.15</v>
      </c>
      <c r="F1092">
        <v>0.05</v>
      </c>
      <c r="G1092">
        <v>0.05</v>
      </c>
    </row>
    <row r="1093" spans="1:7" x14ac:dyDescent="0.2">
      <c r="A1093">
        <v>9902</v>
      </c>
      <c r="B1093" t="s">
        <v>1739</v>
      </c>
      <c r="C1093">
        <v>0.05</v>
      </c>
      <c r="D1093">
        <v>0.05</v>
      </c>
      <c r="E1093">
        <v>0.15</v>
      </c>
      <c r="F1093">
        <v>0.05</v>
      </c>
      <c r="G1093">
        <v>0.05</v>
      </c>
    </row>
    <row r="1094" spans="1:7" x14ac:dyDescent="0.2">
      <c r="A1094">
        <v>9919</v>
      </c>
      <c r="B1094" t="s">
        <v>1740</v>
      </c>
      <c r="C1094">
        <v>0</v>
      </c>
      <c r="D1094">
        <v>0</v>
      </c>
      <c r="E1094">
        <v>0</v>
      </c>
      <c r="F1094">
        <v>0</v>
      </c>
      <c r="G1094">
        <v>0</v>
      </c>
    </row>
    <row r="1095" spans="1:7" x14ac:dyDescent="0.2">
      <c r="A1095">
        <v>9928</v>
      </c>
      <c r="B1095" t="s">
        <v>2300</v>
      </c>
      <c r="C1095">
        <v>0</v>
      </c>
      <c r="D1095">
        <v>0.05</v>
      </c>
      <c r="E1095" t="s">
        <v>171</v>
      </c>
      <c r="F1095">
        <v>0.1</v>
      </c>
      <c r="G1095">
        <v>0</v>
      </c>
    </row>
    <row r="1096" spans="1:7" x14ac:dyDescent="0.2">
      <c r="A1096">
        <v>9930</v>
      </c>
      <c r="B1096" t="s">
        <v>1741</v>
      </c>
      <c r="C1096">
        <v>0</v>
      </c>
      <c r="D1096">
        <v>0</v>
      </c>
      <c r="E1096">
        <v>0.15</v>
      </c>
      <c r="F1096">
        <v>0</v>
      </c>
      <c r="G1096">
        <v>0</v>
      </c>
    </row>
    <row r="1097" spans="1:7" x14ac:dyDescent="0.2">
      <c r="A1097">
        <v>9945</v>
      </c>
      <c r="B1097" t="s">
        <v>1742</v>
      </c>
      <c r="C1097">
        <v>0.05</v>
      </c>
      <c r="D1097">
        <v>0.05</v>
      </c>
      <c r="E1097">
        <v>0.15</v>
      </c>
      <c r="F1097">
        <v>0.05</v>
      </c>
      <c r="G1097">
        <v>0.05</v>
      </c>
    </row>
    <row r="1098" spans="1:7" x14ac:dyDescent="0.2">
      <c r="A1098">
        <v>9946</v>
      </c>
      <c r="B1098" t="s">
        <v>1743</v>
      </c>
      <c r="C1098">
        <v>0.05</v>
      </c>
      <c r="D1098">
        <v>0.05</v>
      </c>
      <c r="E1098">
        <v>0.15</v>
      </c>
      <c r="F1098">
        <v>0.05</v>
      </c>
      <c r="G1098">
        <v>0.05</v>
      </c>
    </row>
    <row r="1099" spans="1:7" x14ac:dyDescent="0.2">
      <c r="A1099">
        <v>9948</v>
      </c>
      <c r="B1099" t="s">
        <v>1744</v>
      </c>
      <c r="C1099">
        <v>0</v>
      </c>
      <c r="D1099">
        <v>0</v>
      </c>
      <c r="E1099">
        <v>0.15</v>
      </c>
      <c r="F1099">
        <v>0</v>
      </c>
      <c r="G1099">
        <v>0</v>
      </c>
    </row>
    <row r="1100" spans="1:7" x14ac:dyDescent="0.2">
      <c r="A1100">
        <v>9962</v>
      </c>
      <c r="B1100" t="s">
        <v>1745</v>
      </c>
      <c r="C1100">
        <v>0.05</v>
      </c>
      <c r="D1100">
        <v>0.05</v>
      </c>
      <c r="E1100">
        <v>0</v>
      </c>
      <c r="F1100">
        <v>0</v>
      </c>
      <c r="G1100">
        <v>0</v>
      </c>
    </row>
    <row r="1101" spans="1:7" x14ac:dyDescent="0.2">
      <c r="A1101">
        <v>9974</v>
      </c>
      <c r="B1101" t="s">
        <v>2563</v>
      </c>
      <c r="C1101">
        <v>0</v>
      </c>
      <c r="D1101" t="s">
        <v>171</v>
      </c>
      <c r="E1101">
        <v>0.3</v>
      </c>
      <c r="F1101">
        <v>0</v>
      </c>
      <c r="G1101">
        <v>0</v>
      </c>
    </row>
    <row r="1102" spans="1:7" x14ac:dyDescent="0.2">
      <c r="A1102">
        <v>9979</v>
      </c>
      <c r="B1102" t="s">
        <v>1746</v>
      </c>
      <c r="C1102">
        <v>0.05</v>
      </c>
      <c r="D1102">
        <v>0.05</v>
      </c>
      <c r="E1102">
        <v>0.15</v>
      </c>
      <c r="F1102">
        <v>0.05</v>
      </c>
      <c r="G1102">
        <v>0.05</v>
      </c>
    </row>
    <row r="1103" spans="1:7" x14ac:dyDescent="0.2">
      <c r="A1103">
        <v>9982</v>
      </c>
      <c r="B1103" t="s">
        <v>1747</v>
      </c>
      <c r="C1103">
        <v>0.05</v>
      </c>
      <c r="D1103">
        <v>0.05</v>
      </c>
      <c r="E1103">
        <v>0.15</v>
      </c>
      <c r="F1103">
        <v>0.05</v>
      </c>
      <c r="G1103">
        <v>0.05</v>
      </c>
    </row>
    <row r="1104" spans="1:7" x14ac:dyDescent="0.2">
      <c r="A1104">
        <v>9983</v>
      </c>
      <c r="B1104" t="s">
        <v>1748</v>
      </c>
      <c r="C1104">
        <v>1.1000000000000001</v>
      </c>
      <c r="D1104">
        <v>1.2</v>
      </c>
      <c r="E1104">
        <v>14.55</v>
      </c>
      <c r="F1104">
        <v>135.4</v>
      </c>
      <c r="G1104">
        <v>1.25</v>
      </c>
    </row>
    <row r="1105" spans="1:7" x14ac:dyDescent="0.2">
      <c r="A1105">
        <v>9989</v>
      </c>
      <c r="B1105" t="s">
        <v>939</v>
      </c>
      <c r="C1105">
        <v>0</v>
      </c>
      <c r="D1105">
        <v>0</v>
      </c>
      <c r="E1105">
        <v>0</v>
      </c>
      <c r="F1105">
        <v>0</v>
      </c>
      <c r="G1105">
        <v>0</v>
      </c>
    </row>
    <row r="1106" spans="1:7" x14ac:dyDescent="0.2">
      <c r="A1106">
        <v>9994</v>
      </c>
      <c r="B1106" t="s">
        <v>1749</v>
      </c>
      <c r="C1106">
        <v>0</v>
      </c>
      <c r="D1106">
        <v>0</v>
      </c>
      <c r="E1106">
        <v>0</v>
      </c>
      <c r="F1106">
        <v>0</v>
      </c>
      <c r="G1106">
        <v>0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H71"/>
  <sheetViews>
    <sheetView workbookViewId="0">
      <selection activeCell="F34" sqref="F34"/>
    </sheetView>
  </sheetViews>
  <sheetFormatPr defaultRowHeight="14.25" x14ac:dyDescent="0.2"/>
  <cols>
    <col min="1" max="1" width="27.125" customWidth="1"/>
    <col min="2" max="2" width="34.625" customWidth="1"/>
  </cols>
  <sheetData>
    <row r="1" spans="1:4" s="106" customFormat="1" x14ac:dyDescent="0.2">
      <c r="C1" s="1" t="s">
        <v>755</v>
      </c>
      <c r="D1" s="139">
        <v>0.1</v>
      </c>
    </row>
    <row r="2" spans="1:4" s="106" customFormat="1" x14ac:dyDescent="0.2">
      <c r="A2" s="13" t="s">
        <v>753</v>
      </c>
      <c r="B2" s="1" t="s">
        <v>762</v>
      </c>
      <c r="C2" s="1" t="s">
        <v>754</v>
      </c>
    </row>
    <row r="3" spans="1:4" s="106" customFormat="1" x14ac:dyDescent="0.2">
      <c r="A3" s="106">
        <v>500000</v>
      </c>
      <c r="B3" s="106">
        <v>250</v>
      </c>
      <c r="C3" s="106">
        <f>B3*(1+$D$1)</f>
        <v>275</v>
      </c>
    </row>
    <row r="4" spans="1:4" s="106" customFormat="1" x14ac:dyDescent="0.2">
      <c r="A4" s="106">
        <v>1000000</v>
      </c>
      <c r="B4" s="106">
        <v>487</v>
      </c>
      <c r="C4" s="106">
        <f>B4*(1+$D$1)</f>
        <v>535.70000000000005</v>
      </c>
    </row>
    <row r="5" spans="1:4" s="106" customFormat="1" x14ac:dyDescent="0.2">
      <c r="A5" s="106">
        <v>1500000</v>
      </c>
      <c r="B5" s="106">
        <v>582</v>
      </c>
      <c r="C5" s="106">
        <f>B5*(1+$D$1)</f>
        <v>640.20000000000005</v>
      </c>
    </row>
    <row r="6" spans="1:4" s="106" customFormat="1" x14ac:dyDescent="0.2">
      <c r="A6" s="106">
        <v>30000000</v>
      </c>
      <c r="B6" s="106">
        <v>921</v>
      </c>
      <c r="C6" s="106">
        <f>B6*(1+$D$1)</f>
        <v>1013.1000000000001</v>
      </c>
    </row>
    <row r="7" spans="1:4" s="106" customFormat="1" x14ac:dyDescent="0.2"/>
    <row r="8" spans="1:4" s="106" customFormat="1" x14ac:dyDescent="0.2">
      <c r="A8" s="13" t="s">
        <v>756</v>
      </c>
      <c r="B8" s="1" t="s">
        <v>763</v>
      </c>
    </row>
    <row r="9" spans="1:4" s="106" customFormat="1" x14ac:dyDescent="0.2">
      <c r="A9" s="140" t="s">
        <v>757</v>
      </c>
      <c r="B9" s="142">
        <v>198</v>
      </c>
    </row>
    <row r="10" spans="1:4" s="106" customFormat="1" x14ac:dyDescent="0.2">
      <c r="A10" s="140" t="s">
        <v>758</v>
      </c>
      <c r="B10" s="142">
        <v>385</v>
      </c>
    </row>
    <row r="11" spans="1:4" s="106" customFormat="1" x14ac:dyDescent="0.2">
      <c r="A11" s="1" t="s">
        <v>759</v>
      </c>
      <c r="B11" s="143">
        <v>2.8000000000000001E-2</v>
      </c>
    </row>
    <row r="12" spans="1:4" s="106" customFormat="1" x14ac:dyDescent="0.2">
      <c r="A12" s="1" t="s">
        <v>177</v>
      </c>
      <c r="B12" s="143">
        <v>1.0999999999999999E-2</v>
      </c>
    </row>
    <row r="15" spans="1:4" ht="15" x14ac:dyDescent="0.2">
      <c r="A15" s="78" t="s">
        <v>109</v>
      </c>
    </row>
    <row r="16" spans="1:4" x14ac:dyDescent="0.2">
      <c r="B16" s="1"/>
    </row>
    <row r="17" spans="1:2" ht="15.75" thickBot="1" x14ac:dyDescent="0.3">
      <c r="A17" s="69" t="s">
        <v>110</v>
      </c>
    </row>
    <row r="18" spans="1:2" ht="15.75" thickBot="1" x14ac:dyDescent="0.25">
      <c r="A18" s="71" t="s">
        <v>111</v>
      </c>
      <c r="B18" s="72" t="s">
        <v>112</v>
      </c>
    </row>
    <row r="19" spans="1:2" ht="15.75" thickBot="1" x14ac:dyDescent="0.3">
      <c r="A19" s="73" t="s">
        <v>113</v>
      </c>
      <c r="B19" s="70" t="s">
        <v>114</v>
      </c>
    </row>
    <row r="20" spans="1:2" ht="15.75" thickBot="1" x14ac:dyDescent="0.3">
      <c r="A20" s="73" t="s">
        <v>115</v>
      </c>
      <c r="B20" s="70" t="s">
        <v>116</v>
      </c>
    </row>
    <row r="21" spans="1:2" ht="15.75" thickBot="1" x14ac:dyDescent="0.3">
      <c r="A21" s="73" t="s">
        <v>117</v>
      </c>
      <c r="B21" s="70" t="s">
        <v>118</v>
      </c>
    </row>
    <row r="22" spans="1:2" ht="15.75" thickBot="1" x14ac:dyDescent="0.3">
      <c r="A22" s="73" t="s">
        <v>119</v>
      </c>
      <c r="B22" s="70" t="s">
        <v>120</v>
      </c>
    </row>
    <row r="23" spans="1:2" ht="15.75" thickBot="1" x14ac:dyDescent="0.3">
      <c r="A23" s="74" t="s">
        <v>121</v>
      </c>
      <c r="B23" s="75" t="s">
        <v>122</v>
      </c>
    </row>
    <row r="24" spans="1:2" ht="15.75" thickBot="1" x14ac:dyDescent="0.3">
      <c r="A24" s="76" t="s">
        <v>123</v>
      </c>
      <c r="B24" s="77" t="s">
        <v>124</v>
      </c>
    </row>
    <row r="25" spans="1:2" ht="15.75" thickBot="1" x14ac:dyDescent="0.3">
      <c r="A25" s="73" t="s">
        <v>125</v>
      </c>
      <c r="B25" s="70" t="s">
        <v>126</v>
      </c>
    </row>
    <row r="26" spans="1:2" ht="15.75" thickBot="1" x14ac:dyDescent="0.3">
      <c r="A26" s="73" t="s">
        <v>127</v>
      </c>
      <c r="B26" s="70" t="s">
        <v>128</v>
      </c>
    </row>
    <row r="27" spans="1:2" ht="15.75" thickBot="1" x14ac:dyDescent="0.3">
      <c r="A27" s="69" t="s">
        <v>129</v>
      </c>
    </row>
    <row r="28" spans="1:2" ht="15.75" thickBot="1" x14ac:dyDescent="0.25">
      <c r="A28" s="71" t="s">
        <v>111</v>
      </c>
      <c r="B28" s="72" t="s">
        <v>112</v>
      </c>
    </row>
    <row r="29" spans="1:2" ht="15.75" thickBot="1" x14ac:dyDescent="0.3">
      <c r="A29" s="73" t="s">
        <v>115</v>
      </c>
      <c r="B29" s="70" t="s">
        <v>116</v>
      </c>
    </row>
    <row r="30" spans="1:2" ht="15.75" thickBot="1" x14ac:dyDescent="0.3">
      <c r="A30" s="73" t="s">
        <v>117</v>
      </c>
      <c r="B30" s="70" t="s">
        <v>130</v>
      </c>
    </row>
    <row r="31" spans="1:2" ht="15.75" thickBot="1" x14ac:dyDescent="0.3">
      <c r="A31" s="73" t="s">
        <v>119</v>
      </c>
      <c r="B31" s="70" t="s">
        <v>131</v>
      </c>
    </row>
    <row r="32" spans="1:2" ht="15.75" thickBot="1" x14ac:dyDescent="0.3">
      <c r="A32" s="74" t="s">
        <v>132</v>
      </c>
      <c r="B32" s="75" t="s">
        <v>133</v>
      </c>
    </row>
    <row r="35" spans="1:8" ht="15" x14ac:dyDescent="0.2">
      <c r="A35" s="78" t="s">
        <v>134</v>
      </c>
    </row>
    <row r="36" spans="1:8" ht="15" thickBot="1" x14ac:dyDescent="0.25"/>
    <row r="37" spans="1:8" ht="15.75" thickBot="1" x14ac:dyDescent="0.25">
      <c r="A37" s="71" t="s">
        <v>135</v>
      </c>
      <c r="B37" s="72" t="s">
        <v>101</v>
      </c>
    </row>
    <row r="38" spans="1:8" ht="15.75" thickBot="1" x14ac:dyDescent="0.3">
      <c r="A38" s="73" t="s">
        <v>115</v>
      </c>
      <c r="B38" s="70" t="s">
        <v>136</v>
      </c>
    </row>
    <row r="39" spans="1:8" ht="15.75" thickBot="1" x14ac:dyDescent="0.3">
      <c r="A39" s="73" t="s">
        <v>117</v>
      </c>
      <c r="B39" s="70" t="s">
        <v>137</v>
      </c>
    </row>
    <row r="40" spans="1:8" ht="15.75" thickBot="1" x14ac:dyDescent="0.3">
      <c r="A40" s="73" t="s">
        <v>138</v>
      </c>
      <c r="B40" s="70" t="s">
        <v>139</v>
      </c>
    </row>
    <row r="41" spans="1:8" ht="15.75" thickBot="1" x14ac:dyDescent="0.3">
      <c r="A41" s="73" t="s">
        <v>119</v>
      </c>
      <c r="B41" s="70" t="s">
        <v>140</v>
      </c>
    </row>
    <row r="42" spans="1:8" ht="15.75" thickBot="1" x14ac:dyDescent="0.3">
      <c r="A42" s="73" t="s">
        <v>121</v>
      </c>
      <c r="B42" s="70" t="s">
        <v>141</v>
      </c>
    </row>
    <row r="43" spans="1:8" ht="15.75" thickBot="1" x14ac:dyDescent="0.3">
      <c r="A43" s="73" t="s">
        <v>142</v>
      </c>
      <c r="B43" s="70" t="s">
        <v>143</v>
      </c>
    </row>
    <row r="44" spans="1:8" ht="15" x14ac:dyDescent="0.25">
      <c r="A44" s="80" t="s">
        <v>144</v>
      </c>
      <c r="B44" s="356" t="s">
        <v>146</v>
      </c>
    </row>
    <row r="45" spans="1:8" ht="30.75" thickBot="1" x14ac:dyDescent="0.3">
      <c r="A45" s="73" t="s">
        <v>145</v>
      </c>
      <c r="B45" s="357"/>
    </row>
    <row r="47" spans="1:8" ht="15" thickBot="1" x14ac:dyDescent="0.25"/>
    <row r="48" spans="1:8" ht="15" thickBot="1" x14ac:dyDescent="0.25">
      <c r="A48" s="370" t="s">
        <v>95</v>
      </c>
      <c r="B48" s="371"/>
      <c r="C48" s="374" t="s">
        <v>147</v>
      </c>
      <c r="D48" s="375"/>
      <c r="E48" s="375"/>
      <c r="F48" s="375"/>
      <c r="G48" s="376"/>
      <c r="H48" s="86"/>
    </row>
    <row r="49" spans="1:8" ht="15" thickBot="1" x14ac:dyDescent="0.25">
      <c r="A49" s="372"/>
      <c r="B49" s="373"/>
      <c r="C49" s="377" t="s">
        <v>148</v>
      </c>
      <c r="D49" s="378"/>
      <c r="E49" s="81" t="s">
        <v>149</v>
      </c>
      <c r="F49" s="379" t="s">
        <v>150</v>
      </c>
      <c r="G49" s="380"/>
    </row>
    <row r="50" spans="1:8" ht="15" thickBot="1" x14ac:dyDescent="0.25">
      <c r="A50" s="87" t="s">
        <v>151</v>
      </c>
      <c r="B50" s="82" t="s">
        <v>152</v>
      </c>
      <c r="C50" s="82" t="s">
        <v>153</v>
      </c>
      <c r="D50" s="83" t="s">
        <v>152</v>
      </c>
      <c r="E50" s="83" t="s">
        <v>153</v>
      </c>
      <c r="F50" s="81" t="s">
        <v>153</v>
      </c>
      <c r="G50" s="84" t="s">
        <v>152</v>
      </c>
      <c r="H50" s="84" t="s">
        <v>153</v>
      </c>
    </row>
    <row r="51" spans="1:8" ht="28.5" customHeight="1" thickBot="1" x14ac:dyDescent="0.25">
      <c r="A51" s="88" t="s">
        <v>154</v>
      </c>
      <c r="B51" s="360" t="s">
        <v>155</v>
      </c>
      <c r="C51" s="362"/>
      <c r="D51" s="360" t="s">
        <v>156</v>
      </c>
      <c r="E51" s="361"/>
      <c r="F51" s="361"/>
      <c r="G51" s="361"/>
      <c r="H51" s="362"/>
    </row>
    <row r="52" spans="1:8" ht="43.5" thickBot="1" x14ac:dyDescent="0.25">
      <c r="A52" s="88" t="s">
        <v>157</v>
      </c>
      <c r="B52" s="360" t="s">
        <v>158</v>
      </c>
      <c r="C52" s="362"/>
      <c r="D52" s="85" t="s">
        <v>159</v>
      </c>
      <c r="E52" s="85" t="s">
        <v>160</v>
      </c>
      <c r="F52" s="85" t="s">
        <v>160</v>
      </c>
      <c r="G52" s="85" t="s">
        <v>159</v>
      </c>
      <c r="H52" s="85" t="s">
        <v>160</v>
      </c>
    </row>
    <row r="53" spans="1:8" ht="15" thickBot="1" x14ac:dyDescent="0.25">
      <c r="A53" s="88" t="s">
        <v>161</v>
      </c>
      <c r="B53" s="360" t="s">
        <v>162</v>
      </c>
      <c r="C53" s="362"/>
      <c r="D53" s="360" t="s">
        <v>148</v>
      </c>
      <c r="E53" s="362"/>
      <c r="F53" s="85" t="s">
        <v>163</v>
      </c>
      <c r="G53" s="360" t="s">
        <v>164</v>
      </c>
      <c r="H53" s="362"/>
    </row>
    <row r="54" spans="1:8" ht="15" thickBot="1" x14ac:dyDescent="0.25">
      <c r="A54" s="88" t="s">
        <v>101</v>
      </c>
      <c r="B54" s="360" t="s">
        <v>165</v>
      </c>
      <c r="C54" s="361"/>
      <c r="D54" s="361"/>
      <c r="E54" s="361"/>
      <c r="F54" s="362"/>
      <c r="G54" s="360" t="s">
        <v>166</v>
      </c>
      <c r="H54" s="362"/>
    </row>
    <row r="55" spans="1:8" ht="42.75" x14ac:dyDescent="0.2">
      <c r="A55" s="141" t="s">
        <v>759</v>
      </c>
      <c r="B55" s="79" t="s">
        <v>168</v>
      </c>
      <c r="C55" s="356" t="s">
        <v>171</v>
      </c>
      <c r="D55" s="79" t="s">
        <v>168</v>
      </c>
      <c r="E55" s="356" t="s">
        <v>171</v>
      </c>
      <c r="F55" s="356" t="s">
        <v>171</v>
      </c>
      <c r="G55" s="79" t="s">
        <v>174</v>
      </c>
      <c r="H55" s="356" t="s">
        <v>171</v>
      </c>
    </row>
    <row r="56" spans="1:8" ht="42.75" x14ac:dyDescent="0.2">
      <c r="A56" s="89" t="s">
        <v>167</v>
      </c>
      <c r="B56" s="90" t="s">
        <v>761</v>
      </c>
      <c r="C56" s="363"/>
      <c r="D56" s="79" t="s">
        <v>172</v>
      </c>
      <c r="E56" s="363"/>
      <c r="F56" s="363"/>
      <c r="G56" s="79" t="s">
        <v>175</v>
      </c>
      <c r="H56" s="363"/>
    </row>
    <row r="57" spans="1:8" ht="42.75" x14ac:dyDescent="0.2">
      <c r="A57" s="89"/>
      <c r="B57" s="79" t="s">
        <v>169</v>
      </c>
      <c r="C57" s="363"/>
      <c r="D57" s="79" t="s">
        <v>169</v>
      </c>
      <c r="E57" s="363"/>
      <c r="F57" s="363"/>
      <c r="G57" s="79" t="s">
        <v>176</v>
      </c>
      <c r="H57" s="363"/>
    </row>
    <row r="58" spans="1:8" ht="15" thickBot="1" x14ac:dyDescent="0.25">
      <c r="A58" s="88"/>
      <c r="B58" s="85" t="s">
        <v>170</v>
      </c>
      <c r="C58" s="357"/>
      <c r="D58" s="85" t="s">
        <v>173</v>
      </c>
      <c r="E58" s="357"/>
      <c r="F58" s="357"/>
      <c r="G58" s="85"/>
      <c r="H58" s="357"/>
    </row>
    <row r="59" spans="1:8" ht="42.75" x14ac:dyDescent="0.2">
      <c r="A59" s="141" t="s">
        <v>760</v>
      </c>
      <c r="B59" s="356" t="s">
        <v>171</v>
      </c>
      <c r="C59" s="364">
        <v>1.0999999999999999E-2</v>
      </c>
      <c r="D59" s="356" t="s">
        <v>171</v>
      </c>
      <c r="E59" s="367">
        <v>1.0999999999999999E-2</v>
      </c>
      <c r="F59" s="367">
        <v>3.9E-2</v>
      </c>
      <c r="G59" s="356" t="s">
        <v>171</v>
      </c>
      <c r="H59" s="79" t="s">
        <v>174</v>
      </c>
    </row>
    <row r="60" spans="1:8" ht="42.75" x14ac:dyDescent="0.2">
      <c r="A60" s="89" t="s">
        <v>167</v>
      </c>
      <c r="B60" s="363"/>
      <c r="C60" s="365"/>
      <c r="D60" s="363"/>
      <c r="E60" s="368"/>
      <c r="F60" s="368"/>
      <c r="G60" s="363"/>
      <c r="H60" s="79" t="s">
        <v>175</v>
      </c>
    </row>
    <row r="61" spans="1:8" ht="43.5" thickBot="1" x14ac:dyDescent="0.25">
      <c r="A61" s="88"/>
      <c r="B61" s="357"/>
      <c r="C61" s="366"/>
      <c r="D61" s="357"/>
      <c r="E61" s="369"/>
      <c r="F61" s="369"/>
      <c r="G61" s="357"/>
      <c r="H61" s="85" t="s">
        <v>176</v>
      </c>
    </row>
    <row r="62" spans="1:8" ht="127.5" customHeight="1" x14ac:dyDescent="0.2">
      <c r="A62" s="89" t="s">
        <v>178</v>
      </c>
      <c r="B62" s="356" t="s">
        <v>171</v>
      </c>
      <c r="C62" s="358" t="s">
        <v>180</v>
      </c>
      <c r="D62" s="356" t="s">
        <v>171</v>
      </c>
      <c r="E62" s="356" t="s">
        <v>171</v>
      </c>
      <c r="F62" s="356" t="s">
        <v>171</v>
      </c>
      <c r="G62" s="356" t="s">
        <v>171</v>
      </c>
      <c r="H62" s="356" t="s">
        <v>181</v>
      </c>
    </row>
    <row r="63" spans="1:8" ht="15" thickBot="1" x14ac:dyDescent="0.25">
      <c r="A63" s="88" t="s">
        <v>179</v>
      </c>
      <c r="B63" s="357"/>
      <c r="C63" s="359"/>
      <c r="D63" s="357"/>
      <c r="E63" s="357"/>
      <c r="F63" s="357"/>
      <c r="G63" s="357"/>
      <c r="H63" s="357"/>
    </row>
    <row r="64" spans="1:8" ht="15" thickBot="1" x14ac:dyDescent="0.25">
      <c r="A64" s="88" t="s">
        <v>182</v>
      </c>
      <c r="B64" s="360" t="s">
        <v>183</v>
      </c>
      <c r="C64" s="361"/>
      <c r="D64" s="361"/>
      <c r="E64" s="361"/>
      <c r="F64" s="361"/>
      <c r="G64" s="361"/>
      <c r="H64" s="362"/>
    </row>
    <row r="65" spans="1:8" ht="14.25" customHeight="1" x14ac:dyDescent="0.2">
      <c r="A65" s="344" t="s">
        <v>184</v>
      </c>
      <c r="B65" s="347" t="s">
        <v>185</v>
      </c>
      <c r="C65" s="348"/>
      <c r="D65" s="348"/>
      <c r="E65" s="348"/>
      <c r="F65" s="348"/>
      <c r="G65" s="348"/>
      <c r="H65" s="349"/>
    </row>
    <row r="66" spans="1:8" ht="15" thickBot="1" x14ac:dyDescent="0.25">
      <c r="A66" s="346"/>
      <c r="B66" s="353" t="s">
        <v>186</v>
      </c>
      <c r="C66" s="354"/>
      <c r="D66" s="354"/>
      <c r="E66" s="354"/>
      <c r="F66" s="354"/>
      <c r="G66" s="354"/>
      <c r="H66" s="355"/>
    </row>
    <row r="67" spans="1:8" ht="14.25" customHeight="1" x14ac:dyDescent="0.2">
      <c r="A67" s="344" t="s">
        <v>187</v>
      </c>
      <c r="B67" s="347" t="s">
        <v>188</v>
      </c>
      <c r="C67" s="348"/>
      <c r="D67" s="348"/>
      <c r="E67" s="348"/>
      <c r="F67" s="348"/>
      <c r="G67" s="348"/>
      <c r="H67" s="349"/>
    </row>
    <row r="68" spans="1:8" ht="15" thickBot="1" x14ac:dyDescent="0.25">
      <c r="A68" s="346"/>
      <c r="B68" s="353" t="s">
        <v>189</v>
      </c>
      <c r="C68" s="354"/>
      <c r="D68" s="354"/>
      <c r="E68" s="354"/>
      <c r="F68" s="354"/>
      <c r="G68" s="354"/>
      <c r="H68" s="355"/>
    </row>
    <row r="69" spans="1:8" ht="28.5" customHeight="1" x14ac:dyDescent="0.2">
      <c r="A69" s="344" t="s">
        <v>190</v>
      </c>
      <c r="B69" s="347" t="s">
        <v>191</v>
      </c>
      <c r="C69" s="348"/>
      <c r="D69" s="349"/>
      <c r="E69" s="347" t="s">
        <v>192</v>
      </c>
      <c r="F69" s="348"/>
      <c r="G69" s="348"/>
      <c r="H69" s="349"/>
    </row>
    <row r="70" spans="1:8" ht="28.5" customHeight="1" x14ac:dyDescent="0.2">
      <c r="A70" s="345"/>
      <c r="B70" s="350"/>
      <c r="C70" s="351"/>
      <c r="D70" s="352"/>
      <c r="E70" s="350" t="s">
        <v>193</v>
      </c>
      <c r="F70" s="351"/>
      <c r="G70" s="351"/>
      <c r="H70" s="352"/>
    </row>
    <row r="71" spans="1:8" ht="28.5" customHeight="1" thickBot="1" x14ac:dyDescent="0.25">
      <c r="A71" s="346"/>
      <c r="B71" s="353"/>
      <c r="C71" s="354"/>
      <c r="D71" s="355"/>
      <c r="E71" s="353" t="s">
        <v>194</v>
      </c>
      <c r="F71" s="354"/>
      <c r="G71" s="354"/>
      <c r="H71" s="355"/>
    </row>
  </sheetData>
  <mergeCells count="42">
    <mergeCell ref="B51:C51"/>
    <mergeCell ref="D51:H51"/>
    <mergeCell ref="B44:B45"/>
    <mergeCell ref="A48:B49"/>
    <mergeCell ref="C48:G48"/>
    <mergeCell ref="C49:D49"/>
    <mergeCell ref="F49:G49"/>
    <mergeCell ref="B52:C52"/>
    <mergeCell ref="B53:C53"/>
    <mergeCell ref="D53:E53"/>
    <mergeCell ref="G53:H53"/>
    <mergeCell ref="B54:F54"/>
    <mergeCell ref="G54:H54"/>
    <mergeCell ref="C55:C58"/>
    <mergeCell ref="E55:E58"/>
    <mergeCell ref="F55:F58"/>
    <mergeCell ref="H55:H58"/>
    <mergeCell ref="B59:B61"/>
    <mergeCell ref="C59:C61"/>
    <mergeCell ref="D59:D61"/>
    <mergeCell ref="E59:E61"/>
    <mergeCell ref="F59:F61"/>
    <mergeCell ref="G59:G61"/>
    <mergeCell ref="A67:A68"/>
    <mergeCell ref="B67:H67"/>
    <mergeCell ref="B68:H68"/>
    <mergeCell ref="B62:B63"/>
    <mergeCell ref="C62:C63"/>
    <mergeCell ref="D62:D63"/>
    <mergeCell ref="E62:E63"/>
    <mergeCell ref="F62:F63"/>
    <mergeCell ref="G62:G63"/>
    <mergeCell ref="H62:H63"/>
    <mergeCell ref="B64:H64"/>
    <mergeCell ref="A65:A66"/>
    <mergeCell ref="B65:H65"/>
    <mergeCell ref="B66:H66"/>
    <mergeCell ref="A69:A71"/>
    <mergeCell ref="B69:D71"/>
    <mergeCell ref="E69:H69"/>
    <mergeCell ref="E70:H70"/>
    <mergeCell ref="E71:H71"/>
  </mergeCells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>
      <selection activeCell="O17" sqref="O17"/>
    </sheetView>
  </sheetViews>
  <sheetFormatPr defaultRowHeight="14.25" x14ac:dyDescent="0.2"/>
  <sheetData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18</vt:i4>
      </vt:variant>
    </vt:vector>
  </HeadingPairs>
  <TitlesOfParts>
    <vt:vector size="18" baseType="lpstr">
      <vt:lpstr>Cover</vt:lpstr>
      <vt:lpstr>Open Position</vt:lpstr>
      <vt:lpstr>Trade History</vt:lpstr>
      <vt:lpstr>Asset </vt:lpstr>
      <vt:lpstr>Profit Analysis</vt:lpstr>
      <vt:lpstr>BACK_TEST</vt:lpstr>
      <vt:lpstr>Search</vt:lpstr>
      <vt:lpstr>Search Result</vt:lpstr>
      <vt:lpstr>Graph</vt:lpstr>
      <vt:lpstr>Detail</vt:lpstr>
      <vt:lpstr>NiKKe Saya</vt:lpstr>
      <vt:lpstr>refer⇒</vt:lpstr>
      <vt:lpstr>Monitoring</vt:lpstr>
      <vt:lpstr>Source Data</vt:lpstr>
      <vt:lpstr>Fiscal_date</vt:lpstr>
      <vt:lpstr>gyakunipo_data</vt:lpstr>
      <vt:lpstr>Fee_Refer</vt:lpstr>
      <vt:lpstr>Faiue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2008-09-11T17:22:52Z</dcterms:created>
  <dcterms:modified xsi:type="dcterms:W3CDTF">2019-12-23T12:36:37Z</dcterms:modified>
</cp:coreProperties>
</file>