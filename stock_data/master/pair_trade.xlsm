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  <sheet name="Faiue" sheetId="18" r:id="rId15"/>
    <sheet name="Fiscal_date" sheetId="19" r:id="rId16"/>
  </sheets>
  <functionGroups/>
  <definedNames>
    <definedName name="_xlnm._FilterDatabase" localSheetId="2" hidden="1">取引履歴!$B$3:$AC$23</definedName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N9" i="2"/>
  <c r="P9" s="1"/>
  <c r="C4" i="17"/>
  <c r="C5"/>
  <c r="C6"/>
  <c r="C3"/>
  <c r="J11" i="2"/>
  <c r="J10"/>
  <c r="C10"/>
  <c r="C26" i="13"/>
  <c r="J26"/>
  <c r="M26"/>
  <c r="P26" s="1"/>
  <c r="J27"/>
  <c r="M27"/>
  <c r="P27" s="1"/>
  <c r="C24"/>
  <c r="J24"/>
  <c r="M24"/>
  <c r="P24" s="1"/>
  <c r="J25"/>
  <c r="M25"/>
  <c r="P25" s="1"/>
  <c r="J8" i="2"/>
  <c r="J9"/>
  <c r="C8"/>
  <c r="AB22" i="13"/>
  <c r="AA22"/>
  <c r="J7" i="2"/>
  <c r="N7" s="1"/>
  <c r="J6"/>
  <c r="C6"/>
  <c r="C22" i="13"/>
  <c r="J22"/>
  <c r="M22"/>
  <c r="P22" s="1"/>
  <c r="J23"/>
  <c r="M23"/>
  <c r="P23" s="1"/>
  <c r="J5" i="2"/>
  <c r="J4"/>
  <c r="C4"/>
  <c r="C20" i="13"/>
  <c r="J20"/>
  <c r="M20"/>
  <c r="P20" s="1"/>
  <c r="J21"/>
  <c r="M21"/>
  <c r="P21" s="1"/>
  <c r="AB18"/>
  <c r="AA18"/>
  <c r="M19"/>
  <c r="P19" s="1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M11"/>
  <c r="P11" s="1"/>
  <c r="J11"/>
  <c r="M10"/>
  <c r="P10" s="1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U24" i="13" s="1"/>
  <c r="V24" s="1"/>
  <c r="Q27" l="1"/>
  <c r="Q24"/>
  <c r="Q25"/>
  <c r="P7" i="2"/>
  <c r="Q7" s="1"/>
  <c r="R26" i="13"/>
  <c r="U10" i="2"/>
  <c r="V10" s="1"/>
  <c r="Q26" i="13"/>
  <c r="U26"/>
  <c r="AB24"/>
  <c r="AA24"/>
  <c r="R24"/>
  <c r="Q9" i="2"/>
  <c r="U8"/>
  <c r="V8" s="1"/>
  <c r="N8" s="1"/>
  <c r="P8" s="1"/>
  <c r="Q19" i="13"/>
  <c r="Q23"/>
  <c r="Q15"/>
  <c r="Q20"/>
  <c r="Q21"/>
  <c r="U6" i="2"/>
  <c r="V6" s="1"/>
  <c r="N6" s="1"/>
  <c r="P6" s="1"/>
  <c r="R22" i="13"/>
  <c r="Q22"/>
  <c r="Q18"/>
  <c r="V22"/>
  <c r="U4" i="2"/>
  <c r="V4" s="1"/>
  <c r="R16" i="13"/>
  <c r="Q16"/>
  <c r="Q11"/>
  <c r="Q13"/>
  <c r="R20"/>
  <c r="Q9"/>
  <c r="R18"/>
  <c r="Q14"/>
  <c r="R14"/>
  <c r="R12"/>
  <c r="Q12"/>
  <c r="Q10"/>
  <c r="R8"/>
  <c r="S8" s="1"/>
  <c r="R10"/>
  <c r="J2" i="2"/>
  <c r="R6" i="13"/>
  <c r="R4"/>
  <c r="S26" l="1"/>
  <c r="AC26"/>
  <c r="N4" i="2"/>
  <c r="P4" s="1"/>
  <c r="Q4" s="1"/>
  <c r="N5"/>
  <c r="N10"/>
  <c r="P10" s="1"/>
  <c r="Q10" s="1"/>
  <c r="N11"/>
  <c r="P11" s="1"/>
  <c r="Q11" s="1"/>
  <c r="Q6"/>
  <c r="R6"/>
  <c r="S6" s="1"/>
  <c r="Q8"/>
  <c r="R8"/>
  <c r="S8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P5" i="2" l="1"/>
  <c r="R4" s="1"/>
  <c r="S4" s="1"/>
  <c r="R10"/>
  <c r="S10" s="1"/>
  <c r="Q5" l="1"/>
  <c r="S2"/>
  <c r="R2"/>
</calcChain>
</file>

<file path=xl/sharedStrings.xml><?xml version="1.0" encoding="utf-8"?>
<sst xmlns="http://schemas.openxmlformats.org/spreadsheetml/2006/main" count="5407" uniqueCount="1218">
  <si>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</si>
  <si>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</si>
  <si>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</si>
  <si>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</si>
  <si>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</si>
  <si>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</si>
  <si>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</si>
  <si>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</si>
  <si>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</si>
  <si>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</si>
  <si>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</si>
  <si>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</si>
  <si>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</si>
  <si>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</si>
  <si>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</si>
  <si>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</si>
  <si>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</si>
  <si>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</si>
  <si>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</si>
  <si>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</si>
  <si>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</si>
  <si>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</si>
  <si>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</si>
  <si>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</si>
  <si>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</si>
  <si>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</si>
  <si>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</si>
  <si>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</si>
  <si>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</si>
  <si>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</si>
  <si>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</si>
  <si>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</si>
  <si>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</si>
  <si>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</si>
  <si>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</si>
  <si>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</si>
  <si>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</si>
  <si>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</si>
  <si>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</si>
  <si>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</si>
  <si>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</si>
  <si>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</si>
  <si>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</si>
  <si>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</si>
  <si>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</si>
  <si>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</si>
  <si>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</si>
  <si>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</si>
  <si>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</si>
  <si>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</si>
  <si>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</si>
  <si>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</si>
  <si>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</si>
  <si>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</si>
  <si>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</si>
  <si>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</si>
  <si>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</si>
  <si>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</si>
  <si>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</si>
  <si>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</si>
  <si>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</si>
  <si>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</si>
  <si>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</si>
  <si>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</si>
  <si>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</si>
  <si>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</si>
  <si>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</si>
  <si>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</si>
  <si>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</si>
  <si>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</si>
  <si>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</si>
  <si>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</si>
  <si>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</si>
  <si>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</si>
  <si>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</si>
  <si>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</si>
  <si>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</si>
  <si>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</si>
  <si>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</si>
  <si>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</si>
  <si>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</si>
  <si>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</si>
  <si>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</si>
  <si>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</si>
  <si>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</si>
  <si>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</si>
  <si>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</si>
  <si>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</si>
  <si>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</si>
  <si>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</si>
  <si>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</si>
  <si>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</si>
  <si>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</si>
  <si>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</si>
  <si>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</si>
  <si>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</si>
  <si>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</si>
  <si>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</si>
  <si>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</si>
  <si>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</si>
  <si>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</si>
  <si>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</si>
  <si>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</si>
  <si>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</si>
  <si>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</si>
  <si>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</si>
  <si>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</si>
  <si>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</si>
  <si>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</si>
  <si>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</si>
  <si>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</si>
  <si>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</si>
  <si>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</si>
  <si>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</si>
  <si>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</si>
  <si>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</si>
  <si>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</si>
  <si>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</si>
  <si>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</si>
  <si>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</si>
  <si>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</si>
  <si>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</si>
  <si>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</si>
  <si>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</si>
  <si>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</si>
  <si>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</si>
  <si>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</si>
  <si>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</si>
  <si>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</si>
  <si>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</si>
  <si>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</si>
  <si>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</si>
  <si>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</si>
  <si>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</si>
  <si>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</si>
  <si>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</si>
  <si>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</si>
  <si>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</si>
  <si>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</si>
  <si>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</si>
  <si>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</si>
  <si>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</si>
  <si>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</si>
  <si>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</si>
  <si>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</si>
  <si>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</si>
  <si>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</si>
  <si>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</si>
  <si>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</si>
  <si>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</si>
  <si>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</si>
  <si>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</si>
  <si>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パイロットコーポレーション</t>
  </si>
  <si>
    <t>北陸電力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</si>
  <si>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</si>
  <si>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</si>
  <si>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</si>
  <si>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</si>
  <si>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</si>
  <si>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</si>
  <si>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</si>
  <si>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</si>
  <si>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</si>
  <si>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</si>
  <si>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</si>
  <si>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</si>
  <si>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</si>
  <si>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</si>
  <si>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</si>
  <si>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</si>
  <si>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</si>
  <si>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</si>
  <si>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</si>
  <si>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</si>
  <si>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</si>
  <si>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</si>
  <si>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</si>
  <si>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</si>
  <si>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</si>
  <si>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</si>
  <si>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</si>
  <si>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</si>
  <si>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</si>
  <si>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</si>
  <si>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</si>
  <si>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</si>
  <si>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</si>
  <si>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</si>
  <si>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</si>
  <si>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</si>
  <si>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</si>
  <si>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</si>
  <si>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</si>
  <si>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</si>
  <si>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</si>
  <si>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</si>
  <si>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</si>
  <si>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</si>
  <si>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</si>
  <si>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</si>
  <si>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</si>
  <si>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</si>
  <si>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</si>
  <si>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</si>
  <si>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</si>
  <si>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</si>
  <si>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</si>
  <si>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</si>
  <si>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</si>
  <si>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</si>
  <si>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</si>
  <si>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</si>
  <si>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</si>
  <si>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</si>
  <si>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</si>
  <si>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</si>
  <si>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</si>
  <si>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</si>
  <si>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</si>
  <si>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</si>
  <si>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</si>
  <si>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</si>
  <si>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</si>
  <si>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</si>
  <si>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</si>
  <si>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</si>
  <si>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</si>
  <si>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</si>
  <si>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</si>
  <si>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</si>
  <si>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</si>
  <si>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</si>
  <si>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</si>
  <si>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</si>
  <si>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</si>
  <si>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</si>
  <si>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</si>
  <si>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</si>
  <si>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</si>
  <si>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</si>
  <si>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</si>
  <si>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</si>
  <si>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</si>
  <si>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</si>
  <si>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</si>
  <si>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</si>
  <si>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</si>
  <si>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</si>
  <si>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</si>
  <si>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</si>
  <si>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</si>
  <si>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</si>
  <si>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</si>
  <si>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</si>
  <si>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</si>
  <si>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</si>
  <si>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</si>
  <si>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</si>
  <si>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</si>
  <si>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</si>
  <si>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</si>
  <si>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</si>
  <si>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</si>
  <si>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</si>
  <si>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</si>
  <si>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</si>
  <si>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</si>
  <si>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</si>
  <si>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</si>
  <si>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</si>
  <si>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</si>
  <si>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</si>
  <si>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</si>
  <si>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</si>
  <si>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</si>
  <si>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</si>
  <si>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</si>
  <si>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</si>
  <si>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</si>
  <si>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</si>
  <si>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</si>
  <si>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</si>
  <si>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</si>
  <si>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</si>
  <si>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</si>
  <si>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</si>
  <si>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</si>
  <si>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</si>
  <si>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</si>
  <si>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</si>
  <si>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</si>
  <si>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</si>
  <si>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</si>
  <si>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</si>
  <si>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</si>
  <si>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</si>
  <si>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</si>
  <si>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</si>
  <si>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</si>
  <si>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</si>
  <si>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</si>
  <si>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</si>
  <si>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</si>
  <si>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</si>
  <si>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</si>
  <si>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</si>
  <si>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</si>
  <si>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</si>
  <si>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RAW DATA</t>
    <phoneticPr fontId="1" type="noConversion"/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</si>
  <si>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</si>
  <si>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</si>
  <si>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</si>
  <si>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</si>
  <si>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</si>
  <si>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</si>
  <si>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</si>
  <si>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</si>
  <si>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</si>
  <si>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</si>
  <si>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</si>
  <si>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</si>
  <si>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</si>
  <si>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</si>
  <si>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</si>
  <si>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</si>
  <si>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</si>
  <si>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</si>
  <si>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</si>
  <si>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</si>
  <si>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</si>
  <si>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</si>
  <si>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</si>
  <si>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</si>
  <si>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</si>
  <si>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</si>
  <si>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</si>
  <si>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</si>
  <si>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</si>
  <si>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</si>
  <si>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</si>
  <si>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</si>
  <si>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</si>
  <si>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</si>
  <si>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</si>
  <si>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クリエイトＳＤホールディングス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</si>
  <si>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</si>
  <si>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</si>
  <si>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</si>
  <si>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</si>
  <si>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</si>
  <si>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</si>
  <si>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</si>
  <si>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</si>
  <si>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</si>
  <si>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</si>
  <si>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</si>
  <si>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</si>
  <si>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</si>
  <si>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</si>
  <si>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</si>
  <si>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</si>
  <si>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</si>
  <si>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</si>
  <si>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</si>
  <si>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</si>
  <si>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</si>
  <si>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ヤオコー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</si>
  <si>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</si>
  <si>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</si>
  <si>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</si>
  <si>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</si>
  <si>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</si>
  <si>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</si>
  <si>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</si>
  <si>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日本電子</t>
  </si>
  <si>
    <t>相鉄ホールディングス</t>
  </si>
  <si>
    <t>積水化学工業</t>
  </si>
  <si>
    <t>リンナイ</t>
  </si>
  <si>
    <t>イビデン</t>
  </si>
  <si>
    <t>現物</t>
    <phoneticPr fontId="1" type="noConversion"/>
  </si>
  <si>
    <t>現物</t>
    <phoneticPr fontId="1" type="noConversion"/>
  </si>
  <si>
    <t>エス・エム・エス</t>
  </si>
  <si>
    <t>クミアイ化学工業</t>
  </si>
  <si>
    <t>マルハニチロ</t>
  </si>
  <si>
    <t>水産・農林業</t>
  </si>
  <si>
    <t>トヨタ自動車</t>
  </si>
  <si>
    <t>東ソー</t>
  </si>
  <si>
    <t>ジーエス・ユアサ　コーポレーション</t>
  </si>
  <si>
    <t>堀場製作所</t>
  </si>
  <si>
    <t>富士通ゼネラル</t>
  </si>
  <si>
    <t>富士通</t>
  </si>
  <si>
    <t>3/5/5</t>
  </si>
  <si>
    <t>ニチアス</t>
  </si>
  <si>
    <t>スギホールディングス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</si>
  <si>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</si>
  <si>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</si>
  <si>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</si>
  <si>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</si>
  <si>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</si>
  <si>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</si>
  <si>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Max</t>
    <phoneticPr fontId="1" type="noConversion"/>
  </si>
  <si>
    <t>Min</t>
    <phoneticPr fontId="1" type="noConversion"/>
  </si>
  <si>
    <t>決算日</t>
    <phoneticPr fontId="1" type="noConversion"/>
  </si>
  <si>
    <t>決算日</t>
    <phoneticPr fontId="1" type="noConversion"/>
  </si>
  <si>
    <t>G:\Stock\pairs_trade\pair_trade\stock_data\master\fiscal_data.csv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</si>
  <si>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</si>
  <si>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</si>
  <si>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</si>
  <si>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</si>
  <si>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</si>
  <si>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</si>
  <si>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</si>
  <si>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</si>
  <si>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</si>
  <si>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</si>
  <si>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</si>
  <si>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</si>
  <si>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</si>
  <si>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</si>
  <si>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</si>
  <si>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11/27</t>
  </si>
  <si>
    <t xml:space="preserve"> 1Q</t>
  </si>
  <si>
    <t xml:space="preserve"> 単</t>
  </si>
  <si>
    <t xml:space="preserve"> プラネット</t>
  </si>
  <si>
    <t xml:space="preserve"> JQ</t>
  </si>
  <si>
    <t xml:space="preserve"> サービス業</t>
  </si>
  <si>
    <t xml:space="preserve"> タカショー</t>
  </si>
  <si>
    <t xml:space="preserve"> 卸売業</t>
  </si>
  <si>
    <t xml:space="preserve"> 11/28</t>
  </si>
  <si>
    <t xml:space="preserve"> 本</t>
  </si>
  <si>
    <t xml:space="preserve"> ギグワークス</t>
  </si>
  <si>
    <t xml:space="preserve"> 東2</t>
  </si>
  <si>
    <t xml:space="preserve"> 菱洋エレク</t>
  </si>
  <si>
    <t xml:space="preserve"> 11/29</t>
  </si>
  <si>
    <t xml:space="preserve"> 2Q</t>
  </si>
  <si>
    <t xml:space="preserve"> 東和フード</t>
  </si>
  <si>
    <t xml:space="preserve"> 小売業</t>
  </si>
  <si>
    <t xml:space="preserve"> 大和コン</t>
  </si>
  <si>
    <t xml:space="preserve"> 情報・通信業</t>
  </si>
  <si>
    <t xml:space="preserve"> はてな</t>
  </si>
  <si>
    <t xml:space="preserve"> マザ</t>
  </si>
  <si>
    <t xml:space="preserve"> トリケミカル</t>
  </si>
  <si>
    <t xml:space="preserve"> 化学</t>
  </si>
  <si>
    <t xml:space="preserve"> ウチダエスコ</t>
  </si>
  <si>
    <t xml:space="preserve"> キタック</t>
  </si>
  <si>
    <t xml:space="preserve"> ダイサン</t>
  </si>
  <si>
    <t xml:space="preserve"> ACCESS</t>
  </si>
  <si>
    <t xml:space="preserve"> 共和工業</t>
  </si>
  <si>
    <t xml:space="preserve"> 金属製品</t>
  </si>
  <si>
    <t xml:space="preserve"> 内田洋</t>
  </si>
  <si>
    <t xml:space="preserve"> 12/2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</si>
  <si>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</si>
  <si>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</si>
  <si>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</si>
  <si>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</si>
  <si>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</si>
  <si>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</si>
  <si>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ピープル</t>
  </si>
  <si>
    <t xml:space="preserve"> その他製品</t>
  </si>
  <si>
    <t xml:space="preserve"> 12/3</t>
  </si>
  <si>
    <t xml:space="preserve"> アインHD</t>
  </si>
  <si>
    <t>" 2</t>
  </si>
  <si>
    <t xml:space="preserve"> 12/4</t>
  </si>
  <si>
    <t xml:space="preserve"> 15:30</t>
  </si>
  <si>
    <t xml:space="preserve"> オリバー</t>
  </si>
  <si>
    <t xml:space="preserve"> モロゾフ</t>
  </si>
  <si>
    <t xml:space="preserve"> ティーライフ</t>
  </si>
  <si>
    <t xml:space="preserve"> Link-U</t>
  </si>
  <si>
    <t xml:space="preserve"> 不二電機</t>
  </si>
  <si>
    <t xml:space="preserve"> 電気機器</t>
  </si>
  <si>
    <t xml:space="preserve"> 楽天地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</si>
  <si>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</si>
  <si>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</si>
  <si>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</si>
  <si>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</si>
  <si>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</si>
  <si>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</si>
  <si>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</si>
  <si>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</si>
  <si>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</si>
  <si>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</si>
  <si>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>487"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</si>
  <si>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</si>
  <si>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</si>
  <si>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</si>
  <si>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</si>
  <si>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</si>
  <si>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</si>
  <si>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</si>
  <si>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</si>
  <si>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</si>
  <si>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</si>
  <si>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</si>
  <si>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</si>
  <si>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</si>
  <si>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</si>
  <si>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</si>
  <si>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</si>
  <si>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</si>
  <si>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</si>
  <si>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</si>
  <si>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</si>
  <si>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</si>
  <si>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</si>
  <si>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</si>
  <si>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</si>
  <si>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</si>
  <si>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</si>
  <si>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</si>
  <si>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</si>
  <si>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</si>
  <si>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</si>
  <si>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</si>
  <si>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</si>
  <si>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</si>
  <si>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</si>
  <si>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</si>
  <si>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</si>
  <si>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</si>
  <si>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</si>
  <si>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</si>
  <si>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</si>
  <si>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</si>
  <si>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</si>
  <si>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</si>
  <si>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</si>
  <si>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</si>
  <si>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</si>
  <si>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</si>
  <si>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</si>
  <si>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</si>
  <si>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</si>
  <si>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</si>
  <si>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</si>
  <si>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</si>
  <si>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</si>
  <si>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</si>
  <si>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</si>
  <si>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</si>
  <si>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</si>
  <si>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</si>
  <si>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</si>
  <si>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</si>
  <si>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</si>
  <si>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</si>
  <si>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</si>
  <si>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</si>
  <si>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</si>
  <si>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</si>
  <si>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</si>
  <si>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</si>
  <si>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</si>
  <si>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</si>
  <si>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</si>
  <si>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</si>
  <si>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</si>
  <si>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</si>
  <si>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</si>
  <si>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</si>
  <si>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</si>
  <si>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</si>
  <si>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</si>
  <si>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</si>
  <si>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</si>
  <si>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</si>
  <si>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</si>
  <si>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</si>
  <si>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</si>
  <si>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</si>
  <si>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</si>
  <si>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</si>
  <si>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</si>
  <si>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</si>
  <si>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</si>
  <si>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</si>
  <si>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</si>
  <si>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</si>
  <si>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</si>
  <si>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</si>
  <si>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</si>
  <si>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</si>
  <si>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</si>
  <si>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>034"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</si>
  <si>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</si>
  <si>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</si>
  <si>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</si>
  <si>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</si>
  <si>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</si>
  <si>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</si>
  <si>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</si>
  <si>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</si>
  <si>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</si>
  <si>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</si>
  <si>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</si>
  <si>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</si>
  <si>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</si>
  <si>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</si>
  <si>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</si>
  <si>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</si>
  <si>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</si>
  <si>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</si>
  <si>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</si>
  <si>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</si>
  <si>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</si>
  <si>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</si>
  <si>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</si>
  <si>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</si>
  <si>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</si>
  <si>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</si>
  <si>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</si>
  <si>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</si>
  <si>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</si>
  <si>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</si>
  <si>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</si>
  <si>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</si>
  <si>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</si>
  <si>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</si>
  <si>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</si>
  <si>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</si>
  <si>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</si>
  <si>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</si>
  <si>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</si>
  <si>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</si>
  <si>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</si>
  <si>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</si>
  <si>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</si>
  <si>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</si>
  <si>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</si>
  <si>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</si>
  <si>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</si>
  <si>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</si>
  <si>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</si>
  <si>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</si>
  <si>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</si>
  <si>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</si>
  <si>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</si>
  <si>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</si>
  <si>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</si>
  <si>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</si>
  <si>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</si>
  <si>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</si>
  <si>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</si>
  <si>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</si>
  <si>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</si>
  <si>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</si>
  <si>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</si>
  <si>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</si>
  <si>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</si>
  <si>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</si>
  <si>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</si>
  <si>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</si>
  <si>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</si>
  <si>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</si>
  <si>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>039"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</si>
  <si>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</si>
  <si>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</si>
  <si>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</si>
  <si>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</si>
  <si>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</si>
  <si>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</si>
  <si>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</si>
  <si>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</si>
  <si>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</si>
  <si>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</si>
  <si>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</si>
  <si>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</si>
  <si>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</si>
  <si>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</si>
  <si>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</si>
  <si>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</si>
  <si>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</si>
  <si>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</si>
  <si>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</si>
  <si>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宝印刷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</si>
  <si>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</si>
  <si>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</si>
  <si>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</si>
  <si>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</si>
  <si>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</si>
  <si>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</si>
  <si>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</si>
  <si>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</si>
  <si>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</si>
  <si>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</si>
  <si>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</si>
  <si>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</si>
  <si>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</si>
  <si>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</si>
  <si>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</si>
  <si>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</si>
  <si>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</si>
  <si>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</si>
  <si>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</si>
  <si>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</si>
  <si>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>" 70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</si>
  <si>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</si>
  <si>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</si>
  <si>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</si>
  <si>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</si>
  <si>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</si>
  <si>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</si>
  <si>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</si>
  <si>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</si>
  <si>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</si>
  <si>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</si>
  <si>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</si>
  <si>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</si>
  <si>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</si>
  <si>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</si>
  <si>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</si>
  <si>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</si>
  <si>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</si>
  <si>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</si>
  <si>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</si>
  <si>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</si>
  <si>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</si>
  <si>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</si>
  <si>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</si>
  <si>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</si>
  <si>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</si>
  <si>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</si>
  <si>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</si>
  <si>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</si>
  <si>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</si>
  <si>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</si>
  <si>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</si>
  <si>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</si>
  <si>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</si>
  <si>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</si>
  <si>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</si>
  <si>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</si>
  <si>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</si>
  <si>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</si>
  <si>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</si>
  <si>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</si>
  <si>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</si>
  <si>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</si>
  <si>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</si>
  <si>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</si>
  <si>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</si>
  <si>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</si>
  <si>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</si>
  <si>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</si>
  <si>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</si>
  <si>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</si>
  <si>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</si>
  <si>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</si>
  <si>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</si>
  <si>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</si>
  <si>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</si>
  <si>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</si>
  <si>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</si>
  <si>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</si>
  <si>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</si>
  <si>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</si>
  <si>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</si>
  <si>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</si>
  <si>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</si>
  <si>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</si>
  <si>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</si>
  <si>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</si>
  <si>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</si>
  <si>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</si>
  <si>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</si>
  <si>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</si>
  <si>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</si>
  <si>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</si>
  <si>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</si>
  <si>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</si>
  <si>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</si>
  <si>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</si>
  <si>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</si>
  <si>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</si>
  <si>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</si>
  <si>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</si>
  <si>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</si>
  <si>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</si>
  <si>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</si>
  <si>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</si>
  <si>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</si>
  <si>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</si>
  <si>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</si>
  <si>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</si>
  <si>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</si>
  <si>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</si>
  <si>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</si>
  <si>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</si>
  <si>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</si>
  <si>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</si>
  <si>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</si>
  <si>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</si>
  <si>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</si>
  <si>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</si>
  <si>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</si>
  <si>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</si>
  <si>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</si>
  <si>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</si>
  <si>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>522"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</si>
  <si>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</si>
  <si>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</si>
  <si>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</si>
  <si>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</si>
  <si>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</si>
  <si>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</si>
  <si>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</si>
  <si>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</si>
  <si>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</si>
  <si>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</si>
  <si>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</si>
  <si>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</si>
  <si>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</si>
  <si>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</si>
  <si>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</si>
  <si>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</si>
  <si>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</si>
  <si>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</si>
  <si>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>078"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</si>
  <si>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</si>
  <si>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</si>
  <si>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</si>
  <si>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</si>
  <si>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</si>
  <si>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</si>
  <si>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</si>
  <si>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</si>
  <si>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</si>
  <si>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</si>
  <si>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</si>
  <si>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</si>
  <si>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</si>
  <si>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</si>
  <si>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</si>
  <si>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</si>
  <si>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</si>
  <si>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</si>
  <si>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</si>
  <si>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</si>
  <si>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</si>
  <si>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</si>
  <si>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</si>
  <si>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</si>
  <si>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</si>
  <si>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</si>
  <si>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</si>
  <si>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</si>
  <si>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</si>
  <si>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</si>
  <si>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</si>
  <si>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</si>
  <si>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</si>
  <si>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</si>
  <si>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</si>
  <si>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</si>
  <si>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</si>
  <si>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</si>
  <si>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</si>
  <si>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</si>
  <si>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</si>
  <si>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</si>
  <si>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</si>
  <si>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</si>
  <si>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</si>
  <si>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</si>
  <si>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</si>
  <si>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>" 25</t>
  </si>
  <si>
    <t>375"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</si>
  <si>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</si>
  <si>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</si>
  <si>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</si>
  <si>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</si>
  <si>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</si>
  <si>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</si>
  <si>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</si>
  <si>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</si>
  <si>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</si>
  <si>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</si>
  <si>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</si>
  <si>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</si>
  <si>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>051"</t>
  </si>
  <si>
    <t xml:space="preserve"> ゼンリン</t>
  </si>
  <si>
    <t xml:space="preserve"> 中部電</t>
  </si>
  <si>
    <t xml:space="preserve"> 電気・ガス業</t>
  </si>
  <si>
    <t>" 11</t>
  </si>
  <si>
    <t>601"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</si>
  <si>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</si>
  <si>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</si>
  <si>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</si>
  <si>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</si>
  <si>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</si>
  <si>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</si>
  <si>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</si>
  <si>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</si>
  <si>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</si>
  <si>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</si>
  <si>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</si>
  <si>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</si>
  <si>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</si>
  <si>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</si>
  <si>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</si>
  <si>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</si>
  <si>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</si>
  <si>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</si>
  <si>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</si>
  <si>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</si>
  <si>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</si>
  <si>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</si>
  <si>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</si>
  <si>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</si>
  <si>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</si>
  <si>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</si>
  <si>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</si>
  <si>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</si>
  <si>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</si>
  <si>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</si>
  <si>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</si>
  <si>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</si>
  <si>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</si>
  <si>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</si>
  <si>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</si>
  <si>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</si>
  <si>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</si>
  <si>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</si>
  <si>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</si>
  <si>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</si>
  <si>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</si>
  <si>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</si>
  <si>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</si>
  <si>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</si>
  <si>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</si>
  <si>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</si>
  <si>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</si>
  <si>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</si>
  <si>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</si>
  <si>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</si>
  <si>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</si>
  <si>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</si>
  <si>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</si>
  <si>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</si>
  <si>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</si>
  <si>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</si>
  <si>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</si>
  <si>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</si>
  <si>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</si>
  <si>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</si>
  <si>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</si>
  <si>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</si>
  <si>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</si>
  <si>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</si>
  <si>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</si>
  <si>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</si>
  <si>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</si>
  <si>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</si>
  <si>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</si>
  <si>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</si>
  <si>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</si>
  <si>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</si>
  <si>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</si>
  <si>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</si>
  <si>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</si>
  <si>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</si>
  <si>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</si>
  <si>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</si>
  <si>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</si>
  <si>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</si>
  <si>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</si>
  <si>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</si>
  <si>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</si>
  <si>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</si>
  <si>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</si>
  <si>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</si>
  <si>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</si>
  <si>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</si>
  <si>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</si>
  <si>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</si>
  <si>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</si>
  <si>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</si>
  <si>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</si>
  <si>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</si>
  <si>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</si>
  <si>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</si>
  <si>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</si>
  <si>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</si>
  <si>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</si>
  <si>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</si>
  <si>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</si>
  <si>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</si>
  <si>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</si>
  <si>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</si>
  <si>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</si>
  <si>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</si>
  <si>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</si>
  <si>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</si>
  <si>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</si>
  <si>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</si>
  <si>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</si>
  <si>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</si>
  <si>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</si>
  <si>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</si>
  <si>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</si>
  <si>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</si>
  <si>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</si>
  <si>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</si>
  <si>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</si>
  <si>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</si>
  <si>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</si>
  <si>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</si>
  <si>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</si>
  <si>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</si>
  <si>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</si>
  <si>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</si>
  <si>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</si>
  <si>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</si>
  <si>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</si>
  <si>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</si>
  <si>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</si>
  <si>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</si>
  <si>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</si>
  <si>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</si>
  <si>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</si>
  <si>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</si>
  <si>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</si>
  <si>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</si>
  <si>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</si>
  <si>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</si>
  <si>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</si>
  <si>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</si>
  <si>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</si>
  <si>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</si>
  <si>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</si>
  <si>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</si>
  <si>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</si>
  <si>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</si>
  <si>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</si>
  <si>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</si>
  <si>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</si>
  <si>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</si>
  <si>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</si>
  <si>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</si>
  <si>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</si>
  <si>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>215"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</si>
  <si>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</si>
  <si>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</si>
  <si>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</si>
  <si>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</si>
  <si>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</si>
  <si>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</si>
  <si>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</si>
  <si>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</si>
  <si>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</si>
  <si>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</si>
  <si>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</si>
  <si>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</si>
  <si>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</si>
  <si>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</si>
  <si>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</si>
  <si>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</si>
  <si>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</si>
  <si>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</si>
  <si>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</si>
  <si>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</si>
  <si>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</si>
  <si>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</si>
  <si>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</si>
  <si>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</si>
  <si>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小糸製作所</t>
  </si>
  <si>
    <t>ブラザー工業</t>
  </si>
  <si>
    <t>浜松ホトニクス</t>
  </si>
  <si>
    <t>江崎グリコ</t>
  </si>
  <si>
    <t>野村不動産ホールディングス</t>
  </si>
  <si>
    <t>898"</t>
  </si>
  <si>
    <t>409"</t>
  </si>
  <si>
    <t>673"</t>
  </si>
  <si>
    <t>001"</t>
  </si>
  <si>
    <t>709"</t>
  </si>
  <si>
    <t>026"</t>
  </si>
  <si>
    <t>631"</t>
  </si>
  <si>
    <t>147"</t>
  </si>
  <si>
    <t>247"</t>
  </si>
  <si>
    <t>397"</t>
  </si>
  <si>
    <t>728"</t>
  </si>
  <si>
    <t>287"</t>
  </si>
  <si>
    <t>858"</t>
  </si>
  <si>
    <t>663"</t>
  </si>
  <si>
    <t>433"</t>
  </si>
  <si>
    <t>148"</t>
  </si>
  <si>
    <t xml:space="preserve"> 象　印</t>
  </si>
  <si>
    <t>294"</t>
  </si>
  <si>
    <t>246"</t>
  </si>
  <si>
    <t xml:space="preserve"> ヒマラヤ</t>
  </si>
  <si>
    <t>385"</t>
  </si>
  <si>
    <t>710"</t>
  </si>
  <si>
    <t>889"</t>
  </si>
  <si>
    <t>058"</t>
  </si>
  <si>
    <t>847"</t>
  </si>
  <si>
    <t>505"</t>
  </si>
  <si>
    <t>442"</t>
  </si>
  <si>
    <t>362"</t>
  </si>
  <si>
    <t>548"</t>
  </si>
  <si>
    <t>479"</t>
  </si>
  <si>
    <t>123"</t>
  </si>
  <si>
    <t xml:space="preserve"> Ｍ＆Ａ</t>
  </si>
  <si>
    <t>936"</t>
  </si>
  <si>
    <t xml:space="preserve"> ベネ・ワン</t>
  </si>
  <si>
    <t>874"</t>
  </si>
  <si>
    <t xml:space="preserve"> ＳＭＳ</t>
  </si>
  <si>
    <t xml:space="preserve"> 亀田菓</t>
  </si>
  <si>
    <t>127"</t>
  </si>
  <si>
    <t xml:space="preserve"> ALSOK</t>
  </si>
  <si>
    <t>867"</t>
  </si>
  <si>
    <t>090"</t>
  </si>
  <si>
    <t xml:space="preserve"> テクノプロHD</t>
  </si>
  <si>
    <t>672"</t>
  </si>
  <si>
    <t>198"</t>
  </si>
  <si>
    <t>371"</t>
  </si>
  <si>
    <t xml:space="preserve"> レーザーテク</t>
  </si>
  <si>
    <t>318"</t>
  </si>
  <si>
    <t xml:space="preserve"> 日新製糖</t>
  </si>
  <si>
    <t>150"</t>
  </si>
  <si>
    <t xml:space="preserve"> 社宅Ｓ</t>
  </si>
  <si>
    <t xml:space="preserve"> パンパシHD</t>
  </si>
  <si>
    <t>329"</t>
  </si>
  <si>
    <t xml:space="preserve"> Ｊ　Ｔ</t>
  </si>
  <si>
    <t>" 49</t>
  </si>
  <si>
    <t>520"</t>
  </si>
  <si>
    <t>237"</t>
  </si>
  <si>
    <t>521"</t>
  </si>
  <si>
    <t>175"</t>
  </si>
  <si>
    <t>512"</t>
  </si>
  <si>
    <t>602"</t>
  </si>
  <si>
    <t>498"</t>
  </si>
  <si>
    <t>783"</t>
  </si>
  <si>
    <t>279"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</si>
  <si>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</si>
  <si>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</si>
  <si>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</si>
  <si>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</si>
  <si>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</si>
  <si>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</si>
  <si>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</si>
  <si>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</si>
  <si>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</si>
  <si>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>485"</t>
  </si>
  <si>
    <t xml:space="preserve"> 岡本工</t>
  </si>
  <si>
    <t>616"</t>
  </si>
  <si>
    <t xml:space="preserve"> パーソルHD</t>
  </si>
  <si>
    <t xml:space="preserve"> イオレ</t>
  </si>
  <si>
    <t>174"</t>
  </si>
  <si>
    <t>998"</t>
  </si>
  <si>
    <t>541"</t>
  </si>
  <si>
    <t xml:space="preserve"> ＩＴＭ</t>
  </si>
  <si>
    <t xml:space="preserve"> デジアーツ</t>
  </si>
  <si>
    <t>062"</t>
  </si>
  <si>
    <t>470"</t>
  </si>
  <si>
    <t>190"</t>
  </si>
  <si>
    <t>360"</t>
  </si>
  <si>
    <t>907"</t>
  </si>
  <si>
    <t>207"</t>
  </si>
  <si>
    <t>273"</t>
  </si>
  <si>
    <t>940"</t>
  </si>
  <si>
    <t>567"</t>
  </si>
  <si>
    <t>574"</t>
  </si>
  <si>
    <t>990"</t>
  </si>
  <si>
    <t>894"</t>
  </si>
  <si>
    <t>429"</t>
  </si>
  <si>
    <t>750"</t>
  </si>
  <si>
    <t>719"</t>
  </si>
  <si>
    <t>681"</t>
  </si>
  <si>
    <t>915"</t>
  </si>
  <si>
    <t>162"</t>
  </si>
  <si>
    <t xml:space="preserve"> 博　展</t>
  </si>
  <si>
    <t xml:space="preserve"> エヌアイデイ</t>
  </si>
  <si>
    <t xml:space="preserve"> ユビテック</t>
  </si>
  <si>
    <t>996"</t>
  </si>
  <si>
    <t>229"</t>
  </si>
  <si>
    <t>641"</t>
  </si>
  <si>
    <t xml:space="preserve"> カナディアン</t>
  </si>
  <si>
    <t>354"</t>
  </si>
  <si>
    <t>108"</t>
  </si>
  <si>
    <t>281"</t>
  </si>
  <si>
    <t>828"</t>
  </si>
  <si>
    <t xml:space="preserve"> アイリック</t>
  </si>
  <si>
    <t xml:space="preserve"> 保険業</t>
  </si>
  <si>
    <t xml:space="preserve"> 穴吹興産</t>
  </si>
  <si>
    <t>217"</t>
  </si>
  <si>
    <t>463"</t>
  </si>
  <si>
    <t>254"</t>
  </si>
  <si>
    <t>651"</t>
  </si>
  <si>
    <t>444"</t>
  </si>
  <si>
    <t>3/5/11</t>
  </si>
  <si>
    <t>`</t>
    <phoneticPr fontId="1" type="noConversion"/>
  </si>
  <si>
    <t>単に運がよかった</t>
    <phoneticPr fontId="1" type="noConversion"/>
  </si>
  <si>
    <t>売</t>
    <phoneticPr fontId="1" type="noConversion"/>
  </si>
  <si>
    <t>Total</t>
    <phoneticPr fontId="1" type="noConversion"/>
  </si>
  <si>
    <t>Current</t>
    <phoneticPr fontId="1" type="noConversion"/>
  </si>
  <si>
    <t>SPAN</t>
    <phoneticPr fontId="1" type="noConversion"/>
  </si>
  <si>
    <t>買</t>
    <phoneticPr fontId="1" type="noConversion"/>
  </si>
  <si>
    <t>インフォマート</t>
  </si>
  <si>
    <t>ＴＫＣ</t>
  </si>
  <si>
    <t>1/1/12</t>
  </si>
  <si>
    <t>Setup</t>
  </si>
  <si>
    <t>1Y</t>
    <phoneticPr fontId="1" type="noConversion"/>
  </si>
  <si>
    <t>日清紡ホールディングス</t>
    <phoneticPr fontId="1" type="noConversion"/>
  </si>
  <si>
    <t>トヨタ紡織</t>
    <phoneticPr fontId="1" type="noConversion"/>
  </si>
  <si>
    <t>イオンディライト</t>
  </si>
  <si>
    <t>1/6/8</t>
  </si>
  <si>
    <t>5/6/7</t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</si>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</sst>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39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16" fillId="10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9" fontId="0" fillId="15" borderId="0" xfId="0" applyNumberFormat="1" applyFill="1"/>
    <xf numFmtId="0" fontId="0" fillId="0" borderId="0" xfId="0" applyAlignment="1">
      <alignment horizontal="right"/>
    </xf>
    <xf numFmtId="0" fontId="38" fillId="23" borderId="26" xfId="0" applyFont="1" applyFill="1" applyBorder="1" applyAlignment="1">
      <alignment horizontal="left" vertical="center" wrapText="1"/>
    </xf>
    <xf numFmtId="0" fontId="0" fillId="15" borderId="0" xfId="0" applyFill="1"/>
    <xf numFmtId="10" fontId="0" fillId="15" borderId="0" xfId="0" applyNumberFormat="1" applyFill="1"/>
    <xf numFmtId="181" fontId="16" fillId="4" borderId="1" xfId="0" applyNumberFormat="1" applyFont="1" applyFill="1" applyBorder="1" applyAlignment="1">
      <alignment horizontal="center"/>
    </xf>
    <xf numFmtId="0" fontId="17" fillId="10" borderId="6" xfId="0" applyFont="1" applyFill="1" applyBorder="1" applyAlignment="1">
      <alignment horizontal="center" shrinkToFit="1"/>
    </xf>
    <xf numFmtId="181" fontId="10" fillId="10" borderId="1" xfId="0" applyNumberFormat="1" applyFont="1" applyFill="1" applyBorder="1" applyAlignment="1">
      <alignment horizontal="center" vertical="center"/>
    </xf>
    <xf numFmtId="183" fontId="16" fillId="4" borderId="1" xfId="0" applyNumberFormat="1" applyFont="1" applyFill="1" applyBorder="1" applyAlignment="1">
      <alignment horizontal="center"/>
    </xf>
    <xf numFmtId="183" fontId="16" fillId="10" borderId="1" xfId="0" applyNumberFormat="1" applyFon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54"/>
          <c:y val="0.32811630502905398"/>
          <c:w val="0.65364151343755539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18982656"/>
        <c:axId val="218988544"/>
      </c:lineChart>
      <c:catAx>
        <c:axId val="218982656"/>
        <c:scaling>
          <c:orientation val="minMax"/>
        </c:scaling>
        <c:axPos val="b"/>
        <c:numFmt formatCode="General" sourceLinked="1"/>
        <c:tickLblPos val="nextTo"/>
        <c:crossAx val="218988544"/>
        <c:crosses val="autoZero"/>
        <c:auto val="1"/>
        <c:lblAlgn val="ctr"/>
        <c:lblOffset val="100"/>
      </c:catAx>
      <c:valAx>
        <c:axId val="218988544"/>
        <c:scaling>
          <c:orientation val="minMax"/>
        </c:scaling>
        <c:axPos val="l"/>
        <c:majorGridlines/>
        <c:numFmt formatCode="General" sourceLinked="1"/>
        <c:tickLblPos val="nextTo"/>
        <c:crossAx val="218982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519E-2"/>
          <c:y val="8.1284574217614369E-2"/>
          <c:w val="0.9055861662376089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</c:numCache>
            </c:numRef>
          </c:val>
        </c:ser>
        <c:marker val="1"/>
        <c:axId val="219900928"/>
        <c:axId val="219910912"/>
      </c:lineChart>
      <c:catAx>
        <c:axId val="219900928"/>
        <c:scaling>
          <c:orientation val="minMax"/>
        </c:scaling>
        <c:axPos val="b"/>
        <c:numFmt formatCode="yyyy/mm/dd" sourceLinked="1"/>
        <c:tickLblPos val="nextTo"/>
        <c:crossAx val="219910912"/>
        <c:crosses val="autoZero"/>
        <c:auto val="1"/>
        <c:lblAlgn val="ctr"/>
        <c:lblOffset val="100"/>
      </c:catAx>
      <c:valAx>
        <c:axId val="219910912"/>
        <c:scaling>
          <c:orientation val="minMax"/>
          <c:min val="11.9"/>
        </c:scaling>
        <c:axPos val="l"/>
        <c:majorGridlines/>
        <c:numFmt formatCode="General" sourceLinked="1"/>
        <c:majorTickMark val="none"/>
        <c:tickLblPos val="nextTo"/>
        <c:crossAx val="219900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48E-2"/>
          <c:w val="0.11146820076747002"/>
          <c:h val="0.1504558576043829"/>
        </c:manualLayout>
      </c:layout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1"/>
  <sheetViews>
    <sheetView showGridLines="0" tabSelected="1" zoomScale="85" zoomScaleNormal="85" workbookViewId="0">
      <selection activeCell="G41" sqref="G41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2.2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63" t="s">
        <v>196</v>
      </c>
      <c r="D1" s="18"/>
      <c r="H1" s="1"/>
      <c r="I1" s="18" t="s">
        <v>48</v>
      </c>
      <c r="J1" s="62"/>
      <c r="K1" s="161">
        <v>43803</v>
      </c>
      <c r="L1" s="162"/>
      <c r="M1" s="28"/>
      <c r="N1" s="18" t="s">
        <v>298</v>
      </c>
      <c r="P1" s="161">
        <f ca="1">TODAY()</f>
        <v>43803</v>
      </c>
      <c r="Q1" s="163"/>
      <c r="U1" s="63" t="s">
        <v>47</v>
      </c>
      <c r="V1" s="63"/>
    </row>
    <row r="2" spans="2:23" ht="16.5" customHeight="1" thickBot="1">
      <c r="J2" s="100">
        <f>SUM(J4:J76)</f>
        <v>8238510</v>
      </c>
      <c r="R2" s="135">
        <f ca="1">SUM(R4:R76)</f>
        <v>13113.881095890321</v>
      </c>
      <c r="S2" s="97">
        <f ca="1">SUM(S4:S76)</f>
        <v>7.0828376055538031E-3</v>
      </c>
    </row>
    <row r="3" spans="2:23" ht="24.75" thickBot="1">
      <c r="C3" s="64" t="s">
        <v>178</v>
      </c>
      <c r="D3" s="74" t="s">
        <v>203</v>
      </c>
      <c r="E3" s="66"/>
      <c r="F3" s="65" t="s">
        <v>95</v>
      </c>
      <c r="G3" s="67" t="s">
        <v>96</v>
      </c>
      <c r="H3" s="68" t="s">
        <v>179</v>
      </c>
      <c r="I3" s="68" t="s">
        <v>180</v>
      </c>
      <c r="J3" s="66" t="s">
        <v>46</v>
      </c>
      <c r="K3" s="66" t="s">
        <v>181</v>
      </c>
      <c r="L3" s="68" t="s">
        <v>182</v>
      </c>
      <c r="M3" s="69" t="s">
        <v>204</v>
      </c>
      <c r="N3" s="66" t="s">
        <v>183</v>
      </c>
      <c r="O3" s="69" t="s">
        <v>198</v>
      </c>
      <c r="P3" s="66" t="s">
        <v>291</v>
      </c>
      <c r="Q3" s="66" t="s">
        <v>184</v>
      </c>
      <c r="R3" s="69" t="s">
        <v>200</v>
      </c>
      <c r="S3" s="72" t="s">
        <v>201</v>
      </c>
      <c r="T3" s="71"/>
      <c r="U3" s="73" t="s">
        <v>297</v>
      </c>
      <c r="V3" s="73" t="s">
        <v>202</v>
      </c>
      <c r="W3" s="70" t="s">
        <v>199</v>
      </c>
    </row>
    <row r="4" spans="2:23" s="114" customFormat="1">
      <c r="B4" s="132" t="s">
        <v>307</v>
      </c>
      <c r="C4" s="153">
        <f>ROW()/2-1</f>
        <v>1</v>
      </c>
      <c r="D4" s="155">
        <v>43789</v>
      </c>
      <c r="E4" s="39" t="s">
        <v>186</v>
      </c>
      <c r="F4" s="39">
        <v>4182</v>
      </c>
      <c r="G4" s="61" t="s">
        <v>115</v>
      </c>
      <c r="H4" s="55">
        <v>1627</v>
      </c>
      <c r="I4" s="39">
        <v>600</v>
      </c>
      <c r="J4" s="56">
        <f t="shared" ref="J4:J5" si="0">H4*I4</f>
        <v>976200</v>
      </c>
      <c r="K4" s="58" t="s">
        <v>192</v>
      </c>
      <c r="L4" s="55">
        <v>1667</v>
      </c>
      <c r="M4" s="39">
        <v>770</v>
      </c>
      <c r="N4" s="242">
        <f ca="1">IF(OR(K4="現物",J4=0),0,IF(E4="売",J4*Fee_Refer!$B$12/365*V4, J4*Fee_Refer!$B$11/365*V3))</f>
        <v>411.87616438356162</v>
      </c>
      <c r="O4" s="58">
        <v>92</v>
      </c>
      <c r="P4" s="245">
        <f ca="1">(H4-L4)*I4-M4-N4-O4</f>
        <v>-25273.876164383561</v>
      </c>
      <c r="Q4" s="57">
        <f t="shared" ref="Q4:Q5" ca="1" si="1">P4/J4</f>
        <v>-2.5890059582445769E-2</v>
      </c>
      <c r="R4" s="157">
        <f ca="1">P4+P5</f>
        <v>21503.148493150686</v>
      </c>
      <c r="S4" s="158">
        <f t="shared" ref="S4" ca="1" si="2">R4/(J4+J5)</f>
        <v>1.1031781496588696E-2</v>
      </c>
      <c r="U4" s="160">
        <f ca="1">$P$1</f>
        <v>43803</v>
      </c>
      <c r="V4" s="152">
        <f ca="1">IF(U4&gt;D4,DATEDIF(D4,U4,"d"),0)</f>
        <v>14</v>
      </c>
      <c r="W4" s="152"/>
    </row>
    <row r="5" spans="2:23" s="114" customFormat="1">
      <c r="B5" s="132" t="s">
        <v>1217</v>
      </c>
      <c r="C5" s="154"/>
      <c r="D5" s="156">
        <v>43748</v>
      </c>
      <c r="E5" s="35" t="s">
        <v>187</v>
      </c>
      <c r="F5" s="35">
        <v>1824</v>
      </c>
      <c r="G5" s="60" t="s">
        <v>360</v>
      </c>
      <c r="H5" s="52">
        <v>973</v>
      </c>
      <c r="I5" s="52">
        <v>1000</v>
      </c>
      <c r="J5" s="53">
        <f t="shared" si="0"/>
        <v>973000</v>
      </c>
      <c r="K5" s="243" t="s">
        <v>192</v>
      </c>
      <c r="L5" s="47">
        <v>1022</v>
      </c>
      <c r="M5" s="37">
        <v>770</v>
      </c>
      <c r="N5" s="37">
        <f ca="1">IF(OR(K5="現物",J5=0),0,IF(E5="売",J5*Fee_Refer!$B$12/365*V5, J5*Fee_Refer!$B$11/365*V4))</f>
        <v>1044.9753424657533</v>
      </c>
      <c r="O5" s="142">
        <v>408</v>
      </c>
      <c r="P5" s="246">
        <f ca="1">(L5-H5)*I5-M5-N5-O5</f>
        <v>46777.024657534246</v>
      </c>
      <c r="Q5" s="54">
        <f t="shared" ca="1" si="1"/>
        <v>4.8075051035492547E-2</v>
      </c>
      <c r="R5" s="157"/>
      <c r="S5" s="159"/>
      <c r="U5" s="152"/>
      <c r="V5" s="152"/>
      <c r="W5" s="152"/>
    </row>
    <row r="6" spans="2:23" s="114" customFormat="1">
      <c r="B6" s="132" t="s">
        <v>307</v>
      </c>
      <c r="C6" s="153">
        <f>ROW()/2-1</f>
        <v>2</v>
      </c>
      <c r="D6" s="155">
        <v>43790</v>
      </c>
      <c r="E6" s="39" t="s">
        <v>186</v>
      </c>
      <c r="F6" s="39">
        <v>6995</v>
      </c>
      <c r="G6" s="61" t="s">
        <v>119</v>
      </c>
      <c r="H6" s="55">
        <v>2050</v>
      </c>
      <c r="I6" s="39">
        <v>500</v>
      </c>
      <c r="J6" s="56">
        <f t="shared" ref="J6:J7" si="3">H6*I6</f>
        <v>1025000</v>
      </c>
      <c r="K6" s="58" t="s">
        <v>192</v>
      </c>
      <c r="L6" s="55">
        <v>2127</v>
      </c>
      <c r="M6" s="39">
        <v>770</v>
      </c>
      <c r="N6" s="242">
        <f ca="1">IF(OR(K6="現物",J6=0),0,IF(E6="売",J6*Fee_Refer!$B$12/365*V6, J6*Fee_Refer!$B$11/365*V5))</f>
        <v>401.57534246575341</v>
      </c>
      <c r="O6" s="58">
        <v>92</v>
      </c>
      <c r="P6" s="245">
        <f ca="1">(H6-L6)*I6-M6-N6-O6</f>
        <v>-39763.575342465752</v>
      </c>
      <c r="Q6" s="57">
        <f t="shared" ref="Q6:Q7" ca="1" si="4">P6/J6</f>
        <v>-3.8793732041430003E-2</v>
      </c>
      <c r="R6" s="157">
        <f ca="1">P6+P7</f>
        <v>-6251.5753424657523</v>
      </c>
      <c r="S6" s="158">
        <f t="shared" ref="S6" ca="1" si="5">R6/(J6+J7)</f>
        <v>-3.0415370937363784E-3</v>
      </c>
      <c r="U6" s="160">
        <f ca="1">$P$1</f>
        <v>43803</v>
      </c>
      <c r="V6" s="152">
        <f t="shared" ref="V6" ca="1" si="6">IF(U6&gt;D6,DATEDIF(D6,U6,"d"),0)</f>
        <v>13</v>
      </c>
      <c r="W6" s="152"/>
    </row>
    <row r="7" spans="2:23" s="114" customFormat="1">
      <c r="B7" s="132" t="s">
        <v>1217</v>
      </c>
      <c r="C7" s="154"/>
      <c r="D7" s="156">
        <v>43748</v>
      </c>
      <c r="E7" s="35" t="s">
        <v>187</v>
      </c>
      <c r="F7" s="35">
        <v>6472</v>
      </c>
      <c r="G7" s="60" t="s">
        <v>164</v>
      </c>
      <c r="H7" s="52">
        <v>322</v>
      </c>
      <c r="I7" s="52">
        <v>3200</v>
      </c>
      <c r="J7" s="53">
        <f t="shared" si="3"/>
        <v>1030400</v>
      </c>
      <c r="K7" s="243" t="s">
        <v>177</v>
      </c>
      <c r="L7" s="47">
        <v>333</v>
      </c>
      <c r="M7" s="37">
        <v>1280</v>
      </c>
      <c r="N7" s="37">
        <f>IF(OR(K7="現物",J7=0),0,IF(E7="売",J7*Fee_Refer!$B$12/365*V7, J7*Fee_Refer!$B$11/365*V6))</f>
        <v>0</v>
      </c>
      <c r="O7" s="142">
        <v>408</v>
      </c>
      <c r="P7" s="246">
        <f>(L7-H7)*I7-M7-N7-O7</f>
        <v>33512</v>
      </c>
      <c r="Q7" s="54">
        <f t="shared" si="4"/>
        <v>3.2523291925465839E-2</v>
      </c>
      <c r="R7" s="157"/>
      <c r="S7" s="159"/>
      <c r="U7" s="152"/>
      <c r="V7" s="152"/>
      <c r="W7" s="152"/>
    </row>
    <row r="8" spans="2:23" s="114" customFormat="1">
      <c r="B8" s="132" t="s">
        <v>307</v>
      </c>
      <c r="C8" s="153">
        <f>ROW()/2-1</f>
        <v>3</v>
      </c>
      <c r="D8" s="155">
        <v>43791</v>
      </c>
      <c r="E8" s="39" t="s">
        <v>186</v>
      </c>
      <c r="F8" s="39">
        <v>8601</v>
      </c>
      <c r="G8" s="61" t="s">
        <v>51</v>
      </c>
      <c r="H8" s="55">
        <v>533.79999999999995</v>
      </c>
      <c r="I8" s="39">
        <v>2000</v>
      </c>
      <c r="J8" s="56">
        <f t="shared" ref="J8:J9" si="7">H8*I8</f>
        <v>1067600</v>
      </c>
      <c r="K8" s="58" t="s">
        <v>192</v>
      </c>
      <c r="L8" s="55">
        <v>535.5</v>
      </c>
      <c r="M8" s="39">
        <v>770</v>
      </c>
      <c r="N8" s="242">
        <f ca="1">IF(OR(K8="現物",J8=0),0,IF(E8="売",J8*Fee_Refer!$B$12/365*V8, J8*Fee_Refer!$B$11/365*V7))</f>
        <v>386.09095890410947</v>
      </c>
      <c r="O8" s="58">
        <v>92</v>
      </c>
      <c r="P8" s="245">
        <f ca="1">(H8-L8)*I8-M8-N8-O8</f>
        <v>-4648.0909589042003</v>
      </c>
      <c r="Q8" s="57">
        <f t="shared" ref="Q8:Q9" ca="1" si="8">P8/J8</f>
        <v>-4.3537757202174975E-3</v>
      </c>
      <c r="R8" s="157">
        <f ca="1">P8+P9</f>
        <v>-9786.0909589042003</v>
      </c>
      <c r="S8" s="158">
        <f t="shared" ref="S8" ca="1" si="9">R8/(J8+J9)</f>
        <v>-4.5658775253715981E-3</v>
      </c>
      <c r="U8" s="160">
        <f ca="1">$P$1</f>
        <v>43803</v>
      </c>
      <c r="V8" s="152">
        <f t="shared" ref="V8" ca="1" si="10">IF(U8&gt;D8,DATEDIF(D8,U8,"d"),0)</f>
        <v>12</v>
      </c>
      <c r="W8" s="152"/>
    </row>
    <row r="9" spans="2:23" s="114" customFormat="1">
      <c r="B9" s="132" t="s">
        <v>1217</v>
      </c>
      <c r="C9" s="154"/>
      <c r="D9" s="156">
        <v>43748</v>
      </c>
      <c r="E9" s="35" t="s">
        <v>187</v>
      </c>
      <c r="F9" s="35">
        <v>8308</v>
      </c>
      <c r="G9" s="60" t="s">
        <v>130</v>
      </c>
      <c r="H9" s="52">
        <v>467.7</v>
      </c>
      <c r="I9" s="52">
        <v>2300</v>
      </c>
      <c r="J9" s="53">
        <f t="shared" si="7"/>
        <v>1075710</v>
      </c>
      <c r="K9" s="243" t="s">
        <v>177</v>
      </c>
      <c r="L9" s="47">
        <v>466.2</v>
      </c>
      <c r="M9" s="37">
        <v>1280</v>
      </c>
      <c r="N9" s="37">
        <f>IF(OR(K9="現物",J9=0),0,IF(E9="売",J9*Fee_Refer!$B$12/365*V9, J9*Fee_Refer!$B$11/365*V8))</f>
        <v>0</v>
      </c>
      <c r="O9" s="143">
        <v>408</v>
      </c>
      <c r="P9" s="246">
        <f>(L9-H9)*I9-M9-N9-O9</f>
        <v>-5138</v>
      </c>
      <c r="Q9" s="54">
        <f t="shared" si="8"/>
        <v>-4.7763802511829392E-3</v>
      </c>
      <c r="R9" s="157"/>
      <c r="S9" s="159"/>
      <c r="U9" s="152"/>
      <c r="V9" s="152"/>
      <c r="W9" s="152"/>
    </row>
    <row r="10" spans="2:23" s="114" customFormat="1">
      <c r="B10" s="132" t="s">
        <v>307</v>
      </c>
      <c r="C10" s="153">
        <f>ROW()/2-1</f>
        <v>4</v>
      </c>
      <c r="D10" s="155">
        <v>43802</v>
      </c>
      <c r="E10" s="39" t="s">
        <v>186</v>
      </c>
      <c r="F10" s="39">
        <v>3861</v>
      </c>
      <c r="G10" s="61" t="s">
        <v>89</v>
      </c>
      <c r="H10" s="55">
        <v>616</v>
      </c>
      <c r="I10" s="55">
        <v>1700</v>
      </c>
      <c r="J10" s="56">
        <f t="shared" ref="J10:J11" si="11">H10*I10</f>
        <v>1047200</v>
      </c>
      <c r="K10" s="58" t="s">
        <v>192</v>
      </c>
      <c r="L10" s="55">
        <v>613</v>
      </c>
      <c r="M10" s="39">
        <v>770</v>
      </c>
      <c r="N10" s="242">
        <f ca="1">IF(OR(K10="現物",J10=0),0,IF(E10="売",J10*Fee_Refer!$B$12/365*V10, J10*Fee_Refer!$B$11/365*V9))</f>
        <v>31.559452054794516</v>
      </c>
      <c r="O10" s="58">
        <v>92</v>
      </c>
      <c r="P10" s="245">
        <f ca="1">(H10-L10)*I10-M10-N10-O10</f>
        <v>4206.4405479452053</v>
      </c>
      <c r="Q10" s="57">
        <f t="shared" ref="Q10:Q11" ca="1" si="12">P10/J10</f>
        <v>4.0168454430340008E-3</v>
      </c>
      <c r="R10" s="157">
        <f ca="1">P10+P11</f>
        <v>7648.3989041095883</v>
      </c>
      <c r="S10" s="158">
        <f t="shared" ref="S10" ca="1" si="13">R10/(J10+J11)</f>
        <v>3.6584707280730836E-3</v>
      </c>
      <c r="U10" s="160">
        <f ca="1">$P$1</f>
        <v>43803</v>
      </c>
      <c r="V10" s="152">
        <f t="shared" ref="V10" ca="1" si="14">IF(U10&gt;D10,DATEDIF(D10,U10,"d"),0)</f>
        <v>1</v>
      </c>
      <c r="W10" s="152"/>
    </row>
    <row r="11" spans="2:23" s="114" customFormat="1">
      <c r="B11" s="132" t="s">
        <v>1217</v>
      </c>
      <c r="C11" s="154"/>
      <c r="D11" s="156">
        <v>43748</v>
      </c>
      <c r="E11" s="35" t="s">
        <v>187</v>
      </c>
      <c r="F11" s="35">
        <v>5703</v>
      </c>
      <c r="G11" s="60" t="s">
        <v>353</v>
      </c>
      <c r="H11" s="52">
        <v>222</v>
      </c>
      <c r="I11" s="52">
        <v>4700</v>
      </c>
      <c r="J11" s="53">
        <f t="shared" si="11"/>
        <v>1043400</v>
      </c>
      <c r="K11" s="243" t="s">
        <v>193</v>
      </c>
      <c r="L11" s="47">
        <v>223</v>
      </c>
      <c r="M11" s="37">
        <v>770</v>
      </c>
      <c r="N11" s="244">
        <f ca="1">IF(OR(K11="現物",J11=0),0,IF(E11="売",J11*Fee_Refer!$B$12/365*V11, J11*Fee_Refer!$B$11/365*V10))</f>
        <v>80.041643835616441</v>
      </c>
      <c r="O11" s="146">
        <v>408</v>
      </c>
      <c r="P11" s="246">
        <f ca="1">(L11-H11)*I11-M11-N11-O11</f>
        <v>3441.9583561643835</v>
      </c>
      <c r="Q11" s="54">
        <f t="shared" ca="1" si="12"/>
        <v>3.298790833970082E-3</v>
      </c>
      <c r="R11" s="157"/>
      <c r="S11" s="159"/>
      <c r="U11" s="152"/>
      <c r="V11" s="152"/>
      <c r="W11" s="152"/>
    </row>
  </sheetData>
  <mergeCells count="30">
    <mergeCell ref="K1:L1"/>
    <mergeCell ref="P1:Q1"/>
    <mergeCell ref="V8:V9"/>
    <mergeCell ref="W8:W9"/>
    <mergeCell ref="C8:C9"/>
    <mergeCell ref="D8:D9"/>
    <mergeCell ref="R8:R9"/>
    <mergeCell ref="S8:S9"/>
    <mergeCell ref="U8:U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10:V11"/>
    <mergeCell ref="W10:W11"/>
    <mergeCell ref="C10:C11"/>
    <mergeCell ref="D10:D11"/>
    <mergeCell ref="R10:R11"/>
    <mergeCell ref="S10:S11"/>
    <mergeCell ref="U10:U11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7"/>
  <sheetViews>
    <sheetView showGridLines="0" zoomScaleNormal="100" workbookViewId="0">
      <selection activeCell="O36" sqref="O36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292</v>
      </c>
      <c r="R2" s="101">
        <f>SUM(R4:R1010)</f>
        <v>441984.99999999988</v>
      </c>
      <c r="U2" s="63" t="s">
        <v>176</v>
      </c>
    </row>
    <row r="3" spans="2:29" ht="30" customHeight="1" thickBot="1">
      <c r="C3" s="64" t="s">
        <v>178</v>
      </c>
      <c r="D3" s="98" t="s">
        <v>203</v>
      </c>
      <c r="E3" s="66"/>
      <c r="F3" s="67" t="s">
        <v>95</v>
      </c>
      <c r="G3" s="67" t="s">
        <v>96</v>
      </c>
      <c r="H3" s="69" t="s">
        <v>306</v>
      </c>
      <c r="I3" s="69" t="s">
        <v>303</v>
      </c>
      <c r="J3" s="66" t="s">
        <v>46</v>
      </c>
      <c r="K3" s="66" t="s">
        <v>181</v>
      </c>
      <c r="L3" s="69" t="s">
        <v>304</v>
      </c>
      <c r="M3" s="69" t="s">
        <v>204</v>
      </c>
      <c r="N3" s="66" t="s">
        <v>183</v>
      </c>
      <c r="O3" s="69" t="s">
        <v>198</v>
      </c>
      <c r="P3" s="68" t="s">
        <v>305</v>
      </c>
      <c r="Q3" s="68" t="s">
        <v>185</v>
      </c>
      <c r="R3" s="69" t="s">
        <v>200</v>
      </c>
      <c r="S3" s="72" t="s">
        <v>201</v>
      </c>
      <c r="T3" s="71"/>
      <c r="U3" s="73" t="s">
        <v>293</v>
      </c>
      <c r="V3" s="73" t="s">
        <v>202</v>
      </c>
      <c r="W3" s="73" t="s">
        <v>199</v>
      </c>
      <c r="AA3" s="73" t="s">
        <v>300</v>
      </c>
      <c r="AB3" s="73" t="s">
        <v>301</v>
      </c>
      <c r="AC3" s="73" t="s">
        <v>302</v>
      </c>
    </row>
    <row r="4" spans="2:29">
      <c r="C4" s="180">
        <v>1</v>
      </c>
      <c r="D4" s="183">
        <v>43726</v>
      </c>
      <c r="E4" s="31" t="s">
        <v>294</v>
      </c>
      <c r="F4" s="31">
        <v>6472</v>
      </c>
      <c r="G4" s="59" t="s">
        <v>295</v>
      </c>
      <c r="H4" s="49">
        <v>320</v>
      </c>
      <c r="I4" s="32">
        <v>1200</v>
      </c>
      <c r="J4" s="50">
        <v>384000</v>
      </c>
      <c r="K4" s="43" t="s">
        <v>193</v>
      </c>
      <c r="L4" s="46">
        <v>313</v>
      </c>
      <c r="M4" s="33">
        <v>360</v>
      </c>
      <c r="N4" s="34">
        <v>162</v>
      </c>
      <c r="O4" s="34">
        <v>92</v>
      </c>
      <c r="P4" s="31">
        <v>7786</v>
      </c>
      <c r="Q4" s="51">
        <v>2.0276041666666668E-2</v>
      </c>
      <c r="R4" s="164">
        <f>P4+P5</f>
        <v>32</v>
      </c>
      <c r="S4" s="176">
        <f t="shared" ref="S4" si="0">R4/(J4+J5)</f>
        <v>4.308255694975497E-5</v>
      </c>
      <c r="U4" s="186">
        <v>43742</v>
      </c>
      <c r="V4" s="178">
        <f>DATEDIF(D4,U4,"d")</f>
        <v>16</v>
      </c>
      <c r="W4" s="172" t="s">
        <v>299</v>
      </c>
      <c r="AA4" s="164">
        <f>YEAR(U4)</f>
        <v>2019</v>
      </c>
      <c r="AB4" s="164">
        <f>MONTH(U4)</f>
        <v>10</v>
      </c>
      <c r="AC4" s="164" t="str">
        <f>IF(R4&gt;0,"○","☓")</f>
        <v>○</v>
      </c>
    </row>
    <row r="5" spans="2:29">
      <c r="C5" s="154"/>
      <c r="D5" s="184"/>
      <c r="E5" s="35" t="s">
        <v>296</v>
      </c>
      <c r="F5" s="35">
        <v>6752</v>
      </c>
      <c r="G5" s="60" t="s">
        <v>133</v>
      </c>
      <c r="H5" s="52">
        <v>896.9</v>
      </c>
      <c r="I5" s="36">
        <v>400</v>
      </c>
      <c r="J5" s="53">
        <v>358760</v>
      </c>
      <c r="K5" s="44" t="s">
        <v>194</v>
      </c>
      <c r="L5" s="47">
        <v>880.4</v>
      </c>
      <c r="M5" s="37">
        <v>360</v>
      </c>
      <c r="N5" s="38">
        <v>386</v>
      </c>
      <c r="O5" s="38">
        <v>408</v>
      </c>
      <c r="P5" s="35">
        <v>-7754</v>
      </c>
      <c r="Q5" s="54">
        <v>-2.1613334819935333E-2</v>
      </c>
      <c r="R5" s="159"/>
      <c r="S5" s="185"/>
      <c r="U5" s="187"/>
      <c r="V5" s="179"/>
      <c r="W5" s="173"/>
      <c r="AA5" s="159"/>
      <c r="AB5" s="159"/>
      <c r="AC5" s="159"/>
    </row>
    <row r="6" spans="2:29">
      <c r="C6" s="180">
        <v>2</v>
      </c>
      <c r="D6" s="174">
        <v>43732</v>
      </c>
      <c r="E6" s="31" t="s">
        <v>186</v>
      </c>
      <c r="F6" s="31">
        <v>6305</v>
      </c>
      <c r="G6" s="59" t="s">
        <v>57</v>
      </c>
      <c r="H6" s="49">
        <v>2638</v>
      </c>
      <c r="I6" s="32">
        <v>300</v>
      </c>
      <c r="J6" s="50">
        <v>791400</v>
      </c>
      <c r="K6" s="43" t="s">
        <v>193</v>
      </c>
      <c r="L6" s="46">
        <v>2464</v>
      </c>
      <c r="M6" s="33">
        <v>720</v>
      </c>
      <c r="N6" s="34">
        <v>162</v>
      </c>
      <c r="O6" s="34">
        <v>92</v>
      </c>
      <c r="P6" s="31">
        <v>51226</v>
      </c>
      <c r="Q6" s="51">
        <v>6.4728329542582771E-2</v>
      </c>
      <c r="R6" s="164">
        <f>P6+P7</f>
        <v>39212</v>
      </c>
      <c r="S6" s="158">
        <f t="shared" ref="S6" si="1">R6/(J6+J7)</f>
        <v>2.4835011717018178E-2</v>
      </c>
      <c r="T6" s="3"/>
      <c r="U6" s="181">
        <v>43748</v>
      </c>
      <c r="V6" s="182">
        <f>DATEDIF(D6,U6,"d")</f>
        <v>16</v>
      </c>
      <c r="W6" s="165" t="s">
        <v>299</v>
      </c>
      <c r="AA6" s="164">
        <f t="shared" ref="AA6" si="2">YEAR(U6)</f>
        <v>2019</v>
      </c>
      <c r="AB6" s="164">
        <f t="shared" ref="AB6" si="3">MONTH(U6)</f>
        <v>10</v>
      </c>
      <c r="AC6" s="164" t="str">
        <f>IF(R6&gt;0,"○","☓")</f>
        <v>○</v>
      </c>
    </row>
    <row r="7" spans="2:29">
      <c r="C7" s="154"/>
      <c r="D7" s="175"/>
      <c r="E7" s="35" t="s">
        <v>187</v>
      </c>
      <c r="F7" s="35">
        <v>3861</v>
      </c>
      <c r="G7" s="60" t="s">
        <v>89</v>
      </c>
      <c r="H7" s="52">
        <v>525</v>
      </c>
      <c r="I7" s="36">
        <v>1500</v>
      </c>
      <c r="J7" s="53">
        <v>787500</v>
      </c>
      <c r="K7" s="44" t="s">
        <v>194</v>
      </c>
      <c r="L7" s="47">
        <v>518</v>
      </c>
      <c r="M7" s="37">
        <v>720</v>
      </c>
      <c r="N7" s="38">
        <v>386</v>
      </c>
      <c r="O7" s="38">
        <v>408</v>
      </c>
      <c r="P7" s="35">
        <v>-12014</v>
      </c>
      <c r="Q7" s="54">
        <v>-1.5255873015873016E-2</v>
      </c>
      <c r="R7" s="159"/>
      <c r="S7" s="159"/>
      <c r="T7" s="3"/>
      <c r="U7" s="181"/>
      <c r="V7" s="182"/>
      <c r="W7" s="165"/>
      <c r="AA7" s="159"/>
      <c r="AB7" s="159"/>
      <c r="AC7" s="159"/>
    </row>
    <row r="8" spans="2:29">
      <c r="B8" s="30"/>
      <c r="C8" s="153">
        <f>ROW()/2-1</f>
        <v>3</v>
      </c>
      <c r="D8" s="174">
        <v>43747</v>
      </c>
      <c r="E8" s="39" t="s">
        <v>195</v>
      </c>
      <c r="F8" s="39">
        <v>3099</v>
      </c>
      <c r="G8" s="61" t="s">
        <v>88</v>
      </c>
      <c r="H8" s="55">
        <v>872</v>
      </c>
      <c r="I8" s="39">
        <v>1200</v>
      </c>
      <c r="J8" s="39">
        <f t="shared" ref="J8:J11" si="4">H8*I8</f>
        <v>1046400</v>
      </c>
      <c r="K8" s="58" t="s">
        <v>192</v>
      </c>
      <c r="L8" s="55">
        <v>876</v>
      </c>
      <c r="M8" s="39">
        <f t="shared" ref="M8:M11" si="5">360*2</f>
        <v>720</v>
      </c>
      <c r="N8" s="39">
        <v>162</v>
      </c>
      <c r="O8" s="58">
        <v>92</v>
      </c>
      <c r="P8" s="55">
        <f>(H8-L8)*I8-M8-N8-O8</f>
        <v>-5774</v>
      </c>
      <c r="Q8" s="57">
        <f t="shared" ref="Q8:Q11" si="6">P8/J8</f>
        <v>-5.5179663608562694E-3</v>
      </c>
      <c r="R8" s="157">
        <f>P8+P9</f>
        <v>63112</v>
      </c>
      <c r="S8" s="176">
        <f>R8/(J8+J9)</f>
        <v>3.0858595736358303E-2</v>
      </c>
      <c r="U8" s="177">
        <v>43753</v>
      </c>
      <c r="V8" s="154">
        <f t="shared" ref="V8" si="7">DATEDIF(D8,U8,"d")</f>
        <v>6</v>
      </c>
      <c r="W8" s="170" t="s">
        <v>342</v>
      </c>
      <c r="AA8" s="164">
        <f t="shared" ref="AA8:AA10" si="8">YEAR(U8)</f>
        <v>2019</v>
      </c>
      <c r="AB8" s="164">
        <f t="shared" ref="AB8" si="9">MONTH(U8)</f>
        <v>10</v>
      </c>
      <c r="AC8" s="164" t="str">
        <f t="shared" ref="AC8:AC10" si="10">IF(R8&gt;0,"○","☓")</f>
        <v>○</v>
      </c>
    </row>
    <row r="9" spans="2:29">
      <c r="B9" s="30"/>
      <c r="C9" s="154"/>
      <c r="D9" s="175">
        <v>43747</v>
      </c>
      <c r="E9" s="35" t="s">
        <v>187</v>
      </c>
      <c r="F9" s="35">
        <v>7211</v>
      </c>
      <c r="G9" s="60" t="s">
        <v>54</v>
      </c>
      <c r="H9" s="52">
        <v>454</v>
      </c>
      <c r="I9" s="52">
        <v>2200</v>
      </c>
      <c r="J9" s="53">
        <f t="shared" si="4"/>
        <v>998800</v>
      </c>
      <c r="K9" s="44" t="s">
        <v>192</v>
      </c>
      <c r="L9" s="47">
        <v>486</v>
      </c>
      <c r="M9" s="37">
        <f t="shared" si="5"/>
        <v>720</v>
      </c>
      <c r="N9" s="38">
        <v>386</v>
      </c>
      <c r="O9" s="38">
        <v>408</v>
      </c>
      <c r="P9" s="35">
        <f>(L9-H9)*I9-M9-N9-O9</f>
        <v>68886</v>
      </c>
      <c r="Q9" s="54">
        <f t="shared" si="6"/>
        <v>6.8968762515018017E-2</v>
      </c>
      <c r="R9" s="157"/>
      <c r="S9" s="159"/>
      <c r="U9" s="160"/>
      <c r="V9" s="152"/>
      <c r="W9" s="171"/>
      <c r="AA9" s="159"/>
      <c r="AB9" s="159"/>
      <c r="AC9" s="159"/>
    </row>
    <row r="10" spans="2:29">
      <c r="C10" s="153">
        <f>ROW()/2-1</f>
        <v>4</v>
      </c>
      <c r="D10" s="174">
        <v>43753</v>
      </c>
      <c r="E10" s="136" t="s">
        <v>186</v>
      </c>
      <c r="F10" s="39">
        <v>7453</v>
      </c>
      <c r="G10" s="61" t="s">
        <v>132</v>
      </c>
      <c r="H10" s="55">
        <v>2127</v>
      </c>
      <c r="I10" s="39">
        <v>500</v>
      </c>
      <c r="J10" s="39">
        <f t="shared" si="4"/>
        <v>1063500</v>
      </c>
      <c r="K10" s="58" t="s">
        <v>192</v>
      </c>
      <c r="L10" s="55">
        <v>2298</v>
      </c>
      <c r="M10" s="39">
        <f t="shared" si="5"/>
        <v>720</v>
      </c>
      <c r="N10" s="39">
        <v>162</v>
      </c>
      <c r="O10" s="58">
        <v>92</v>
      </c>
      <c r="P10" s="55">
        <f>(H10-L10)*I10-M10-N10-O10</f>
        <v>-86474</v>
      </c>
      <c r="Q10" s="57">
        <f t="shared" si="6"/>
        <v>-8.1310766337564649E-2</v>
      </c>
      <c r="R10" s="157">
        <f>P10+P11</f>
        <v>-93278.000000000029</v>
      </c>
      <c r="S10" s="158">
        <f t="shared" ref="S10" si="11">R10/(J10+J11)</f>
        <v>-4.3858585003691025E-2</v>
      </c>
      <c r="U10" s="189">
        <v>43759</v>
      </c>
      <c r="V10" s="152">
        <f>DATEDIF(D10,U10,"d")</f>
        <v>6</v>
      </c>
      <c r="W10" s="166" t="s">
        <v>313</v>
      </c>
      <c r="X10" s="1" t="s">
        <v>340</v>
      </c>
      <c r="AA10" s="164">
        <f t="shared" si="8"/>
        <v>2019</v>
      </c>
      <c r="AB10" s="164">
        <f t="shared" ref="AB10" si="12">MONTH(U10)</f>
        <v>10</v>
      </c>
      <c r="AC10" s="168" t="str">
        <f t="shared" si="10"/>
        <v>☓</v>
      </c>
    </row>
    <row r="11" spans="2:29">
      <c r="C11" s="154"/>
      <c r="D11" s="175">
        <v>43748</v>
      </c>
      <c r="E11" s="137" t="s">
        <v>187</v>
      </c>
      <c r="F11" s="35">
        <v>8308</v>
      </c>
      <c r="G11" s="60" t="s">
        <v>130</v>
      </c>
      <c r="H11" s="52">
        <v>462.3</v>
      </c>
      <c r="I11" s="52">
        <v>2300</v>
      </c>
      <c r="J11" s="53">
        <f t="shared" si="4"/>
        <v>1063290</v>
      </c>
      <c r="K11" s="44" t="s">
        <v>192</v>
      </c>
      <c r="L11" s="47">
        <v>460</v>
      </c>
      <c r="M11" s="37">
        <f t="shared" si="5"/>
        <v>720</v>
      </c>
      <c r="N11" s="113">
        <v>386</v>
      </c>
      <c r="O11" s="113">
        <v>408</v>
      </c>
      <c r="P11" s="35">
        <f>(L11-H11)*I11-M11-N11-O11</f>
        <v>-6804.0000000000264</v>
      </c>
      <c r="Q11" s="54">
        <f t="shared" si="6"/>
        <v>-6.3990068560787995E-3</v>
      </c>
      <c r="R11" s="157"/>
      <c r="S11" s="159"/>
      <c r="U11" s="177"/>
      <c r="V11" s="152"/>
      <c r="W11" s="167"/>
      <c r="X11" s="1" t="s">
        <v>341</v>
      </c>
      <c r="AA11" s="159"/>
      <c r="AB11" s="159"/>
      <c r="AC11" s="169"/>
    </row>
    <row r="12" spans="2:29">
      <c r="B12" s="30"/>
      <c r="C12" s="180">
        <f>ROW()/2-1</f>
        <v>5</v>
      </c>
      <c r="D12" s="184">
        <v>43742</v>
      </c>
      <c r="E12" s="31" t="s">
        <v>186</v>
      </c>
      <c r="F12" s="31">
        <v>8750</v>
      </c>
      <c r="G12" s="59" t="s">
        <v>56</v>
      </c>
      <c r="H12" s="49">
        <v>1635</v>
      </c>
      <c r="I12" s="32">
        <v>600</v>
      </c>
      <c r="J12" s="50">
        <f>H12*I12</f>
        <v>981000</v>
      </c>
      <c r="K12" s="43" t="s">
        <v>193</v>
      </c>
      <c r="L12" s="46">
        <v>1741.5</v>
      </c>
      <c r="M12" s="33">
        <f>360*2</f>
        <v>720</v>
      </c>
      <c r="N12" s="34">
        <v>162</v>
      </c>
      <c r="O12" s="34">
        <v>92</v>
      </c>
      <c r="P12" s="31">
        <f>(H12-L12)*I12-M12-N12-O12</f>
        <v>-64874</v>
      </c>
      <c r="Q12" s="51">
        <f>P12/J12</f>
        <v>-6.6130479102956163E-2</v>
      </c>
      <c r="R12" s="188">
        <f>P12+P13</f>
        <v>-11199.999999999898</v>
      </c>
      <c r="S12" s="176">
        <f>R12/(J12+J13)</f>
        <v>-5.7306824833502686E-3</v>
      </c>
      <c r="U12" s="189">
        <v>43759</v>
      </c>
      <c r="V12" s="152">
        <f>DATEDIF(D12,U12,"d")</f>
        <v>17</v>
      </c>
      <c r="W12" s="165" t="s">
        <v>299</v>
      </c>
      <c r="AA12" s="164">
        <f t="shared" ref="AA12" si="13">YEAR(U12)</f>
        <v>2019</v>
      </c>
      <c r="AB12" s="164">
        <f t="shared" ref="AB12" si="14">MONTH(U12)</f>
        <v>10</v>
      </c>
      <c r="AC12" s="168" t="str">
        <f t="shared" ref="AC12" si="15">IF(R12&gt;0,"○","☓")</f>
        <v>☓</v>
      </c>
    </row>
    <row r="13" spans="2:29">
      <c r="B13" s="30"/>
      <c r="C13" s="154"/>
      <c r="D13" s="175"/>
      <c r="E13" s="35" t="s">
        <v>187</v>
      </c>
      <c r="F13" s="35">
        <v>8002</v>
      </c>
      <c r="G13" s="60" t="s">
        <v>55</v>
      </c>
      <c r="H13" s="52">
        <v>695.28</v>
      </c>
      <c r="I13" s="36">
        <v>1400</v>
      </c>
      <c r="J13" s="53">
        <f>H13*I13</f>
        <v>973392</v>
      </c>
      <c r="K13" s="99" t="s">
        <v>190</v>
      </c>
      <c r="L13" s="47">
        <v>734.7</v>
      </c>
      <c r="M13" s="37">
        <f>360*2</f>
        <v>720</v>
      </c>
      <c r="N13" s="38">
        <v>386</v>
      </c>
      <c r="O13" s="38">
        <v>408</v>
      </c>
      <c r="P13" s="35">
        <f>(L13-H13)*I13-M13-N13-O13</f>
        <v>53674.000000000102</v>
      </c>
      <c r="Q13" s="54">
        <f>P13/J13</f>
        <v>5.5141196968949924E-2</v>
      </c>
      <c r="R13" s="157"/>
      <c r="S13" s="159"/>
      <c r="U13" s="177"/>
      <c r="V13" s="152"/>
      <c r="W13" s="165"/>
      <c r="AA13" s="159"/>
      <c r="AB13" s="159"/>
      <c r="AC13" s="169"/>
    </row>
    <row r="14" spans="2:29" s="114" customFormat="1">
      <c r="B14" s="30"/>
      <c r="C14" s="153">
        <f>ROW()/2-1</f>
        <v>6</v>
      </c>
      <c r="D14" s="155">
        <v>43745</v>
      </c>
      <c r="E14" s="39" t="s">
        <v>186</v>
      </c>
      <c r="F14" s="39">
        <v>6770</v>
      </c>
      <c r="G14" s="61" t="s">
        <v>50</v>
      </c>
      <c r="H14" s="55">
        <v>2105</v>
      </c>
      <c r="I14" s="40">
        <v>400</v>
      </c>
      <c r="J14" s="56">
        <f t="shared" ref="J14:J19" si="16">H14*I14</f>
        <v>842000</v>
      </c>
      <c r="K14" s="45" t="s">
        <v>193</v>
      </c>
      <c r="L14" s="48">
        <v>2145</v>
      </c>
      <c r="M14" s="41">
        <f t="shared" ref="M14:M19" si="17">360*2</f>
        <v>720</v>
      </c>
      <c r="N14" s="42">
        <v>162</v>
      </c>
      <c r="O14" s="42">
        <v>92</v>
      </c>
      <c r="P14" s="39">
        <f>(H14-L14)*I14-M14-N14-O14</f>
        <v>-16974</v>
      </c>
      <c r="Q14" s="57">
        <f t="shared" ref="Q14:Q19" si="18">P14/J14</f>
        <v>-2.0159144893111641E-2</v>
      </c>
      <c r="R14" s="157">
        <f>P14+P15</f>
        <v>-1335.0000000000437</v>
      </c>
      <c r="S14" s="158">
        <f t="shared" ref="S14" si="19">R14/(J14+J15)</f>
        <v>-7.9789761449534544E-4</v>
      </c>
      <c r="U14" s="160">
        <v>43761</v>
      </c>
      <c r="V14" s="152">
        <f t="shared" ref="V14" si="20">DATEDIF(D14,U14,"d")</f>
        <v>16</v>
      </c>
      <c r="W14" s="165" t="s">
        <v>299</v>
      </c>
      <c r="AA14" s="164">
        <f t="shared" ref="AA14" si="21">YEAR(U14)</f>
        <v>2019</v>
      </c>
      <c r="AB14" s="164">
        <f t="shared" ref="AB14" si="22">MONTH(U14)</f>
        <v>10</v>
      </c>
      <c r="AC14" s="168" t="str">
        <f t="shared" ref="AC14" si="23">IF(R14&gt;0,"○","☓")</f>
        <v>☓</v>
      </c>
    </row>
    <row r="15" spans="2:29" s="114" customFormat="1">
      <c r="B15" s="30"/>
      <c r="C15" s="154"/>
      <c r="D15" s="156">
        <v>43745</v>
      </c>
      <c r="E15" s="35" t="s">
        <v>187</v>
      </c>
      <c r="F15" s="35">
        <v>8601</v>
      </c>
      <c r="G15" s="60" t="s">
        <v>51</v>
      </c>
      <c r="H15" s="52">
        <v>488.91</v>
      </c>
      <c r="I15" s="36">
        <v>1700</v>
      </c>
      <c r="J15" s="53">
        <f t="shared" si="16"/>
        <v>831147</v>
      </c>
      <c r="K15" s="99" t="s">
        <v>379</v>
      </c>
      <c r="L15" s="47">
        <v>499</v>
      </c>
      <c r="M15" s="37">
        <f t="shared" si="17"/>
        <v>720</v>
      </c>
      <c r="N15" s="138">
        <v>386</v>
      </c>
      <c r="O15" s="138">
        <v>408</v>
      </c>
      <c r="P15" s="35">
        <f>(L15-H15)*I15-M15-N15-O15</f>
        <v>15638.999999999956</v>
      </c>
      <c r="Q15" s="54">
        <f t="shared" si="18"/>
        <v>1.8816166093362494E-2</v>
      </c>
      <c r="R15" s="157"/>
      <c r="S15" s="159"/>
      <c r="U15" s="152"/>
      <c r="V15" s="152"/>
      <c r="W15" s="165"/>
      <c r="AA15" s="159"/>
      <c r="AB15" s="159"/>
      <c r="AC15" s="169"/>
    </row>
    <row r="16" spans="2:29" s="114" customFormat="1">
      <c r="B16" s="30"/>
      <c r="C16" s="153">
        <f>ROW()/2-1</f>
        <v>7</v>
      </c>
      <c r="D16" s="155">
        <v>43745</v>
      </c>
      <c r="E16" s="39" t="s">
        <v>186</v>
      </c>
      <c r="F16" s="39">
        <v>5803</v>
      </c>
      <c r="G16" s="61" t="s">
        <v>52</v>
      </c>
      <c r="H16" s="55">
        <v>413</v>
      </c>
      <c r="I16" s="40">
        <v>1700</v>
      </c>
      <c r="J16" s="56">
        <f t="shared" si="16"/>
        <v>702100</v>
      </c>
      <c r="K16" s="45" t="s">
        <v>193</v>
      </c>
      <c r="L16" s="48">
        <v>459</v>
      </c>
      <c r="M16" s="41">
        <f t="shared" si="17"/>
        <v>720</v>
      </c>
      <c r="N16" s="42">
        <v>162</v>
      </c>
      <c r="O16" s="42">
        <v>92</v>
      </c>
      <c r="P16" s="39">
        <f>(H16-L16)*I16-M16-N16-O16</f>
        <v>-79174</v>
      </c>
      <c r="Q16" s="57">
        <f t="shared" si="18"/>
        <v>-0.11276741204956559</v>
      </c>
      <c r="R16" s="157">
        <f>P16+P17</f>
        <v>-16688</v>
      </c>
      <c r="S16" s="158">
        <f>R16/(J16+J17)</f>
        <v>-1.2074379567325086E-2</v>
      </c>
      <c r="U16" s="160">
        <v>43761</v>
      </c>
      <c r="V16" s="152">
        <f t="shared" ref="V16" si="24">DATEDIF(D16,U16,"d")</f>
        <v>16</v>
      </c>
      <c r="W16" s="165" t="s">
        <v>299</v>
      </c>
      <c r="AA16" s="164">
        <f t="shared" ref="AA16" si="25">YEAR(U16)</f>
        <v>2019</v>
      </c>
      <c r="AB16" s="164">
        <f t="shared" ref="AB16" si="26">MONTH(U16)</f>
        <v>10</v>
      </c>
      <c r="AC16" s="168" t="str">
        <f t="shared" ref="AC16" si="27">IF(R16&gt;0,"○","☓")</f>
        <v>☓</v>
      </c>
    </row>
    <row r="17" spans="2:29" s="114" customFormat="1">
      <c r="B17" s="30"/>
      <c r="C17" s="154"/>
      <c r="D17" s="156">
        <v>43745</v>
      </c>
      <c r="E17" s="35" t="s">
        <v>187</v>
      </c>
      <c r="F17" s="35">
        <v>7259</v>
      </c>
      <c r="G17" s="60" t="s">
        <v>53</v>
      </c>
      <c r="H17" s="52">
        <v>3400</v>
      </c>
      <c r="I17" s="52">
        <v>200</v>
      </c>
      <c r="J17" s="53">
        <f t="shared" si="16"/>
        <v>680000</v>
      </c>
      <c r="K17" s="99" t="s">
        <v>177</v>
      </c>
      <c r="L17" s="47">
        <v>3720</v>
      </c>
      <c r="M17" s="37">
        <f t="shared" si="17"/>
        <v>720</v>
      </c>
      <c r="N17" s="138">
        <v>386</v>
      </c>
      <c r="O17" s="138">
        <v>408</v>
      </c>
      <c r="P17" s="35">
        <f>(L17-H17)*I17-M17-N17-O17</f>
        <v>62486</v>
      </c>
      <c r="Q17" s="54">
        <f t="shared" si="18"/>
        <v>9.189117647058824E-2</v>
      </c>
      <c r="R17" s="157"/>
      <c r="S17" s="159"/>
      <c r="U17" s="152"/>
      <c r="V17" s="152"/>
      <c r="W17" s="165"/>
      <c r="AA17" s="159"/>
      <c r="AB17" s="159"/>
      <c r="AC17" s="169"/>
    </row>
    <row r="18" spans="2:29" s="114" customFormat="1">
      <c r="B18" s="30"/>
      <c r="C18" s="153">
        <f>ROW()/2-1</f>
        <v>8</v>
      </c>
      <c r="D18" s="155">
        <v>43748</v>
      </c>
      <c r="E18" s="39" t="s">
        <v>186</v>
      </c>
      <c r="F18" s="39">
        <v>7186</v>
      </c>
      <c r="G18" s="61" t="s">
        <v>188</v>
      </c>
      <c r="H18" s="55">
        <v>410</v>
      </c>
      <c r="I18" s="39">
        <v>1800</v>
      </c>
      <c r="J18" s="39">
        <f t="shared" si="16"/>
        <v>738000</v>
      </c>
      <c r="K18" s="58" t="s">
        <v>192</v>
      </c>
      <c r="L18" s="55">
        <v>444</v>
      </c>
      <c r="M18" s="39">
        <f t="shared" si="17"/>
        <v>720</v>
      </c>
      <c r="N18" s="39">
        <v>162</v>
      </c>
      <c r="O18" s="58">
        <v>92</v>
      </c>
      <c r="P18" s="55">
        <f>(H18-L18)*I18-M18-N18-O18</f>
        <v>-62174</v>
      </c>
      <c r="Q18" s="57">
        <f t="shared" si="18"/>
        <v>-8.4246612466124665E-2</v>
      </c>
      <c r="R18" s="157">
        <f>P18+P19</f>
        <v>-3088</v>
      </c>
      <c r="S18" s="158">
        <f t="shared" ref="S18" si="28">R18/(J18+J19)</f>
        <v>-2.0839519503306789E-3</v>
      </c>
      <c r="U18" s="160">
        <v>43767</v>
      </c>
      <c r="V18" s="152">
        <f t="shared" ref="V18" si="29">DATEDIF(D18,U18,"d")</f>
        <v>19</v>
      </c>
      <c r="W18" s="165" t="s">
        <v>299</v>
      </c>
      <c r="AA18" s="164">
        <f t="shared" ref="AA18" si="30">YEAR(U18)</f>
        <v>2019</v>
      </c>
      <c r="AB18" s="164">
        <f t="shared" ref="AB18" si="31">MONTH(U18)</f>
        <v>10</v>
      </c>
      <c r="AC18" s="168" t="str">
        <f t="shared" ref="AC18" si="32">IF(R18&gt;0,"○","☓")</f>
        <v>☓</v>
      </c>
    </row>
    <row r="19" spans="2:29" s="114" customFormat="1">
      <c r="B19" s="30"/>
      <c r="C19" s="154"/>
      <c r="D19" s="156">
        <v>43748</v>
      </c>
      <c r="E19" s="35" t="s">
        <v>187</v>
      </c>
      <c r="F19" s="35">
        <v>8309</v>
      </c>
      <c r="G19" s="60" t="s">
        <v>189</v>
      </c>
      <c r="H19" s="52">
        <v>3719</v>
      </c>
      <c r="I19" s="52">
        <v>200</v>
      </c>
      <c r="J19" s="53">
        <f t="shared" si="16"/>
        <v>743800</v>
      </c>
      <c r="K19" s="44" t="s">
        <v>192</v>
      </c>
      <c r="L19" s="47">
        <v>4022</v>
      </c>
      <c r="M19" s="37">
        <f t="shared" si="17"/>
        <v>720</v>
      </c>
      <c r="N19" s="139">
        <v>386</v>
      </c>
      <c r="O19" s="139">
        <v>408</v>
      </c>
      <c r="P19" s="35">
        <f>(L19-H19)*I19-M19-N19-O19</f>
        <v>59086</v>
      </c>
      <c r="Q19" s="54">
        <f t="shared" si="18"/>
        <v>7.9438020973379944E-2</v>
      </c>
      <c r="R19" s="157"/>
      <c r="S19" s="159"/>
      <c r="U19" s="152"/>
      <c r="V19" s="152"/>
      <c r="W19" s="165"/>
      <c r="AA19" s="159"/>
      <c r="AB19" s="159"/>
      <c r="AC19" s="169"/>
    </row>
    <row r="20" spans="2:29">
      <c r="B20" s="30"/>
      <c r="C20" s="153">
        <f>ROW()/2-1</f>
        <v>9</v>
      </c>
      <c r="D20" s="155">
        <v>43782</v>
      </c>
      <c r="E20" s="39" t="s">
        <v>186</v>
      </c>
      <c r="F20" s="39">
        <v>1820</v>
      </c>
      <c r="G20" s="61" t="s">
        <v>150</v>
      </c>
      <c r="H20" s="55">
        <v>2431</v>
      </c>
      <c r="I20" s="39">
        <v>400</v>
      </c>
      <c r="J20" s="56">
        <f t="shared" ref="J20:J27" si="33">H20*I20</f>
        <v>972400</v>
      </c>
      <c r="K20" s="58" t="s">
        <v>192</v>
      </c>
      <c r="L20" s="55">
        <v>2375</v>
      </c>
      <c r="M20" s="39">
        <f t="shared" ref="M20:M27" si="34">360*2</f>
        <v>720</v>
      </c>
      <c r="N20" s="39">
        <v>162</v>
      </c>
      <c r="O20" s="58">
        <v>92</v>
      </c>
      <c r="P20" s="55">
        <f>(H20-L20)*I20-M20-N20-O20</f>
        <v>21426</v>
      </c>
      <c r="Q20" s="57">
        <f t="shared" ref="Q20:Q27" si="35">P20/J20</f>
        <v>2.2034142328259974E-2</v>
      </c>
      <c r="R20" s="157">
        <f>P20+P21</f>
        <v>485966</v>
      </c>
      <c r="S20" s="158">
        <f>R20/(J20+J21)</f>
        <v>0.2544948186257156</v>
      </c>
      <c r="U20" s="160">
        <v>43789</v>
      </c>
      <c r="V20" s="152">
        <f>DATEDIF(D20,U20,"d")</f>
        <v>7</v>
      </c>
      <c r="W20" s="170" t="s">
        <v>342</v>
      </c>
      <c r="X20" s="1" t="s">
        <v>1190</v>
      </c>
      <c r="AA20" s="164">
        <f t="shared" ref="AA20" si="36">YEAR(U20)</f>
        <v>2019</v>
      </c>
      <c r="AB20" s="164">
        <f t="shared" ref="AB20" si="37">MONTH(U20)</f>
        <v>11</v>
      </c>
      <c r="AC20" s="164" t="str">
        <f t="shared" ref="AC20" si="38">IF(R20&gt;0,"○","☓")</f>
        <v>○</v>
      </c>
    </row>
    <row r="21" spans="2:29">
      <c r="B21" s="30"/>
      <c r="C21" s="154"/>
      <c r="D21" s="156">
        <v>43748</v>
      </c>
      <c r="E21" s="35" t="s">
        <v>187</v>
      </c>
      <c r="F21" s="35">
        <v>4508</v>
      </c>
      <c r="G21" s="60" t="s">
        <v>357</v>
      </c>
      <c r="H21" s="52">
        <v>1338.76</v>
      </c>
      <c r="I21" s="52">
        <v>700</v>
      </c>
      <c r="J21" s="53">
        <f t="shared" si="33"/>
        <v>937132</v>
      </c>
      <c r="K21" s="44" t="s">
        <v>380</v>
      </c>
      <c r="L21" s="47">
        <v>2004</v>
      </c>
      <c r="M21" s="37">
        <f t="shared" si="34"/>
        <v>720</v>
      </c>
      <c r="N21" s="38">
        <v>0</v>
      </c>
      <c r="O21" s="38">
        <v>408</v>
      </c>
      <c r="P21" s="35">
        <f>(L21-H21)*I21-M21-N21-O21</f>
        <v>464540</v>
      </c>
      <c r="Q21" s="54">
        <f t="shared" si="35"/>
        <v>0.49570391364290195</v>
      </c>
      <c r="R21" s="157"/>
      <c r="S21" s="159"/>
      <c r="U21" s="152"/>
      <c r="V21" s="152"/>
      <c r="W21" s="171"/>
      <c r="X21" s="114" t="s">
        <v>1189</v>
      </c>
      <c r="AA21" s="159"/>
      <c r="AB21" s="159"/>
      <c r="AC21" s="159"/>
    </row>
    <row r="22" spans="2:29" s="114" customFormat="1">
      <c r="B22" s="30"/>
      <c r="C22" s="153">
        <f>ROW()/2-1</f>
        <v>10</v>
      </c>
      <c r="D22" s="155">
        <v>43782</v>
      </c>
      <c r="E22" s="39" t="s">
        <v>186</v>
      </c>
      <c r="F22" s="39">
        <v>8002</v>
      </c>
      <c r="G22" s="61" t="s">
        <v>55</v>
      </c>
      <c r="H22" s="55">
        <v>814</v>
      </c>
      <c r="I22" s="39">
        <v>1300</v>
      </c>
      <c r="J22" s="56">
        <f t="shared" si="33"/>
        <v>1058200</v>
      </c>
      <c r="K22" s="58" t="s">
        <v>192</v>
      </c>
      <c r="L22" s="55">
        <v>794.1</v>
      </c>
      <c r="M22" s="39">
        <f t="shared" si="34"/>
        <v>720</v>
      </c>
      <c r="N22" s="39">
        <v>162</v>
      </c>
      <c r="O22" s="58">
        <v>92</v>
      </c>
      <c r="P22" s="55">
        <f>(H22-L22)*I22-M22-N22-O22</f>
        <v>24895.999999999971</v>
      </c>
      <c r="Q22" s="57">
        <f t="shared" si="35"/>
        <v>2.3526743526743499E-2</v>
      </c>
      <c r="R22" s="157">
        <f>P22+P23</f>
        <v>60327.999999999913</v>
      </c>
      <c r="S22" s="158">
        <f>R22/(J22+J23)</f>
        <v>2.888939968585982E-2</v>
      </c>
      <c r="U22" s="160">
        <v>43790</v>
      </c>
      <c r="V22" s="152">
        <f>DATEDIF(D22,U22,"d")</f>
        <v>8</v>
      </c>
      <c r="W22" s="170" t="s">
        <v>342</v>
      </c>
      <c r="AA22" s="164">
        <f t="shared" ref="AA22" si="39">YEAR(U22)</f>
        <v>2019</v>
      </c>
      <c r="AB22" s="164">
        <f t="shared" ref="AB22" si="40">MONTH(U22)</f>
        <v>11</v>
      </c>
      <c r="AC22" s="164" t="str">
        <f t="shared" ref="AC22" si="41">IF(R22&gt;0,"○","☓")</f>
        <v>○</v>
      </c>
    </row>
    <row r="23" spans="2:29" s="114" customFormat="1">
      <c r="B23" s="30"/>
      <c r="C23" s="154"/>
      <c r="D23" s="156">
        <v>43748</v>
      </c>
      <c r="E23" s="35" t="s">
        <v>187</v>
      </c>
      <c r="F23" s="35">
        <v>8601</v>
      </c>
      <c r="G23" s="60" t="s">
        <v>51</v>
      </c>
      <c r="H23" s="52">
        <v>515.02</v>
      </c>
      <c r="I23" s="52">
        <v>2000</v>
      </c>
      <c r="J23" s="53">
        <f t="shared" si="33"/>
        <v>1030040</v>
      </c>
      <c r="K23" s="44" t="s">
        <v>380</v>
      </c>
      <c r="L23" s="47">
        <v>533.29999999999995</v>
      </c>
      <c r="M23" s="37">
        <f t="shared" si="34"/>
        <v>720</v>
      </c>
      <c r="N23" s="139">
        <v>0</v>
      </c>
      <c r="O23" s="139">
        <v>408</v>
      </c>
      <c r="P23" s="35">
        <f>(L23-H23)*I23-M23-N23-O23</f>
        <v>35431.999999999942</v>
      </c>
      <c r="Q23" s="54">
        <f t="shared" si="35"/>
        <v>3.4398664129548312E-2</v>
      </c>
      <c r="R23" s="157"/>
      <c r="S23" s="159"/>
      <c r="U23" s="152"/>
      <c r="V23" s="152"/>
      <c r="W23" s="171"/>
      <c r="AA23" s="159"/>
      <c r="AB23" s="159"/>
      <c r="AC23" s="159"/>
    </row>
    <row r="24" spans="2:29" s="114" customFormat="1">
      <c r="B24" s="30"/>
      <c r="C24" s="153">
        <f>ROW()/2-1</f>
        <v>11</v>
      </c>
      <c r="D24" s="155">
        <v>43783</v>
      </c>
      <c r="E24" s="39" t="s">
        <v>186</v>
      </c>
      <c r="F24" s="39">
        <v>3105</v>
      </c>
      <c r="G24" s="61" t="s">
        <v>118</v>
      </c>
      <c r="H24" s="55">
        <v>970</v>
      </c>
      <c r="I24" s="39">
        <v>1100</v>
      </c>
      <c r="J24" s="56">
        <f t="shared" si="33"/>
        <v>1067000</v>
      </c>
      <c r="K24" s="58" t="s">
        <v>192</v>
      </c>
      <c r="L24" s="55">
        <v>999</v>
      </c>
      <c r="M24" s="39">
        <f t="shared" si="34"/>
        <v>720</v>
      </c>
      <c r="N24" s="39">
        <v>162</v>
      </c>
      <c r="O24" s="58">
        <v>92</v>
      </c>
      <c r="P24" s="55">
        <f>(H24-L24)*I24-M24-N24-O24</f>
        <v>-32874</v>
      </c>
      <c r="Q24" s="57">
        <f t="shared" si="35"/>
        <v>-3.0809746954076851E-2</v>
      </c>
      <c r="R24" s="157">
        <f>P24+P25</f>
        <v>-58188</v>
      </c>
      <c r="S24" s="158">
        <f>R24/(J24+J25)</f>
        <v>-2.741096664782363E-2</v>
      </c>
      <c r="U24" s="160">
        <f ca="1">建玉管理!$P$1</f>
        <v>43803</v>
      </c>
      <c r="V24" s="152">
        <f ca="1">DATEDIF(D24,U24,"d")</f>
        <v>20</v>
      </c>
      <c r="W24" s="166" t="s">
        <v>313</v>
      </c>
      <c r="AA24" s="164">
        <f t="shared" ref="AA24" ca="1" si="42">YEAR(U24)</f>
        <v>2019</v>
      </c>
      <c r="AB24" s="164">
        <f t="shared" ref="AB24" ca="1" si="43">MONTH(U24)</f>
        <v>12</v>
      </c>
      <c r="AC24" s="164" t="str">
        <f t="shared" ref="AC24" si="44">IF(R24&gt;0,"○","☓")</f>
        <v>☓</v>
      </c>
    </row>
    <row r="25" spans="2:29" s="114" customFormat="1">
      <c r="B25" s="30"/>
      <c r="C25" s="154"/>
      <c r="D25" s="156">
        <v>43748</v>
      </c>
      <c r="E25" s="35" t="s">
        <v>187</v>
      </c>
      <c r="F25" s="35">
        <v>6301</v>
      </c>
      <c r="G25" s="60" t="s">
        <v>137</v>
      </c>
      <c r="H25" s="52">
        <v>2639.5</v>
      </c>
      <c r="I25" s="52">
        <v>400</v>
      </c>
      <c r="J25" s="53">
        <f t="shared" si="33"/>
        <v>1055800</v>
      </c>
      <c r="K25" s="44" t="s">
        <v>177</v>
      </c>
      <c r="L25" s="47">
        <v>2580</v>
      </c>
      <c r="M25" s="37">
        <f t="shared" si="34"/>
        <v>720</v>
      </c>
      <c r="N25" s="140">
        <v>386</v>
      </c>
      <c r="O25" s="140">
        <v>408</v>
      </c>
      <c r="P25" s="35">
        <f>(L25-H25)*I25-M25-N25-O25</f>
        <v>-25314</v>
      </c>
      <c r="Q25" s="54">
        <f t="shared" si="35"/>
        <v>-2.3976131843152112E-2</v>
      </c>
      <c r="R25" s="157"/>
      <c r="S25" s="159"/>
      <c r="U25" s="152"/>
      <c r="V25" s="152"/>
      <c r="W25" s="167"/>
      <c r="AA25" s="159"/>
      <c r="AB25" s="159"/>
      <c r="AC25" s="159"/>
    </row>
    <row r="26" spans="2:29" s="114" customFormat="1">
      <c r="B26" s="30"/>
      <c r="C26" s="153">
        <f>ROW()/2-1</f>
        <v>12</v>
      </c>
      <c r="D26" s="155">
        <v>43784</v>
      </c>
      <c r="E26" s="39" t="s">
        <v>186</v>
      </c>
      <c r="F26" s="39">
        <v>6770</v>
      </c>
      <c r="G26" s="61" t="s">
        <v>50</v>
      </c>
      <c r="H26" s="55">
        <v>2386</v>
      </c>
      <c r="I26" s="39">
        <v>400</v>
      </c>
      <c r="J26" s="56">
        <f t="shared" si="33"/>
        <v>954400</v>
      </c>
      <c r="K26" s="58" t="s">
        <v>192</v>
      </c>
      <c r="L26" s="55">
        <v>2446</v>
      </c>
      <c r="M26" s="39">
        <f t="shared" si="34"/>
        <v>720</v>
      </c>
      <c r="N26" s="39">
        <v>162</v>
      </c>
      <c r="O26" s="58">
        <v>92</v>
      </c>
      <c r="P26" s="55">
        <f>(H26-L26)*I26-M26-N26-O26</f>
        <v>-24974</v>
      </c>
      <c r="Q26" s="57">
        <f t="shared" si="35"/>
        <v>-2.6167225481978206E-2</v>
      </c>
      <c r="R26" s="157">
        <f>P26+P27</f>
        <v>-22888</v>
      </c>
      <c r="S26" s="158">
        <f>R26/(J26+J27)</f>
        <v>-1.2057738910546834E-2</v>
      </c>
      <c r="U26" s="160">
        <f ca="1">建玉管理!$P$1</f>
        <v>43803</v>
      </c>
      <c r="V26" s="152">
        <f ca="1">DATEDIF(D26,U26,"d")</f>
        <v>19</v>
      </c>
      <c r="W26" s="165" t="s">
        <v>299</v>
      </c>
      <c r="AA26" s="164">
        <f t="shared" ref="AA26" ca="1" si="45">YEAR(U26)</f>
        <v>2019</v>
      </c>
      <c r="AB26" s="164">
        <f t="shared" ref="AB26" ca="1" si="46">MONTH(U26)</f>
        <v>12</v>
      </c>
      <c r="AC26" s="164" t="str">
        <f t="shared" ref="AC26" si="47">IF(R26&gt;0,"○","☓")</f>
        <v>☓</v>
      </c>
    </row>
    <row r="27" spans="2:29" s="114" customFormat="1">
      <c r="B27" s="30"/>
      <c r="C27" s="154"/>
      <c r="D27" s="156">
        <v>43748</v>
      </c>
      <c r="E27" s="35" t="s">
        <v>187</v>
      </c>
      <c r="F27" s="35">
        <v>1911</v>
      </c>
      <c r="G27" s="60" t="s">
        <v>131</v>
      </c>
      <c r="H27" s="52">
        <v>1573</v>
      </c>
      <c r="I27" s="52">
        <v>600</v>
      </c>
      <c r="J27" s="53">
        <f t="shared" si="33"/>
        <v>943800</v>
      </c>
      <c r="K27" s="44" t="s">
        <v>177</v>
      </c>
      <c r="L27" s="47">
        <v>1579</v>
      </c>
      <c r="M27" s="37">
        <f t="shared" si="34"/>
        <v>720</v>
      </c>
      <c r="N27" s="141">
        <v>386</v>
      </c>
      <c r="O27" s="141">
        <v>408</v>
      </c>
      <c r="P27" s="35">
        <f>(L27-H27)*I27-M27-N27-O27</f>
        <v>2086</v>
      </c>
      <c r="Q27" s="54">
        <f t="shared" si="35"/>
        <v>2.2102140283958467E-3</v>
      </c>
      <c r="R27" s="157"/>
      <c r="S27" s="159"/>
      <c r="U27" s="152"/>
      <c r="V27" s="152"/>
      <c r="W27" s="165"/>
      <c r="AA27" s="159"/>
      <c r="AB27" s="159"/>
      <c r="AC27" s="159"/>
    </row>
  </sheetData>
  <autoFilter ref="B3:AC23"/>
  <mergeCells count="120">
    <mergeCell ref="AA22:AA23"/>
    <mergeCell ref="AB22:AB23"/>
    <mergeCell ref="AC22:AC2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C22:C23"/>
    <mergeCell ref="W22:W23"/>
    <mergeCell ref="W20:W21"/>
    <mergeCell ref="C20:C21"/>
    <mergeCell ref="R20:R21"/>
    <mergeCell ref="S20:S21"/>
    <mergeCell ref="V20:V21"/>
    <mergeCell ref="U20:U21"/>
    <mergeCell ref="D22:D23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AA24:AA25"/>
    <mergeCell ref="AB24:AB25"/>
    <mergeCell ref="AC24:AC25"/>
    <mergeCell ref="V26:V27"/>
    <mergeCell ref="W26:W27"/>
    <mergeCell ref="V24:V25"/>
    <mergeCell ref="W24:W25"/>
    <mergeCell ref="C24:C25"/>
    <mergeCell ref="D24:D25"/>
    <mergeCell ref="R24:R25"/>
    <mergeCell ref="S24:S25"/>
    <mergeCell ref="U24:U25"/>
    <mergeCell ref="AA26:AA27"/>
    <mergeCell ref="AB26:AB27"/>
    <mergeCell ref="AC26:AC27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9"/>
  <sheetViews>
    <sheetView showGridLines="0" zoomScale="115" zoomScaleNormal="115" workbookViewId="0">
      <selection activeCell="F15" sqref="F15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2</v>
      </c>
      <c r="D8" s="24">
        <v>3</v>
      </c>
      <c r="F8" s="4" t="s">
        <v>97</v>
      </c>
      <c r="G8" s="29">
        <v>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98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99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93</v>
      </c>
      <c r="C17" s="190" t="s">
        <v>91</v>
      </c>
      <c r="D17" s="191"/>
      <c r="E17" s="192"/>
      <c r="F17" s="192"/>
    </row>
    <row r="18" spans="2:7">
      <c r="B18" s="4" t="s">
        <v>90</v>
      </c>
      <c r="C18" s="190" t="s">
        <v>92</v>
      </c>
      <c r="D18" s="191"/>
      <c r="E18" s="192"/>
      <c r="F18" s="192"/>
      <c r="G18" s="192"/>
    </row>
    <row r="19" spans="2:7">
      <c r="B19" s="4" t="s">
        <v>405</v>
      </c>
      <c r="C19" s="190" t="s">
        <v>404</v>
      </c>
      <c r="D19" s="191"/>
      <c r="E19" s="192"/>
      <c r="F19" s="192"/>
      <c r="G19" s="192"/>
    </row>
  </sheetData>
  <mergeCells count="3">
    <mergeCell ref="C17:F17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Z300"/>
  <sheetViews>
    <sheetView showGridLines="0" topLeftCell="Q1" zoomScale="85" zoomScaleNormal="85" workbookViewId="0">
      <selection activeCell="AD6" sqref="AD6"/>
    </sheetView>
  </sheetViews>
  <sheetFormatPr defaultRowHeight="14.25"/>
  <cols>
    <col min="1" max="1" width="5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52" ht="15" thickBot="1"/>
    <row r="2" spans="1:52">
      <c r="A2" s="114"/>
      <c r="B2" s="197" t="s">
        <v>314</v>
      </c>
      <c r="C2" s="194"/>
      <c r="D2" s="194"/>
      <c r="E2" s="194"/>
      <c r="F2" s="194"/>
      <c r="G2" s="195"/>
      <c r="H2" s="198" t="s">
        <v>315</v>
      </c>
      <c r="I2" s="194"/>
      <c r="J2" s="194"/>
      <c r="K2" s="194"/>
      <c r="L2" s="194"/>
      <c r="M2" s="195"/>
      <c r="N2" s="193" t="s">
        <v>316</v>
      </c>
      <c r="O2" s="194"/>
      <c r="P2" s="194"/>
      <c r="Q2" s="194"/>
      <c r="R2" s="195"/>
      <c r="S2" s="196" t="s">
        <v>317</v>
      </c>
      <c r="T2" s="194"/>
      <c r="U2" s="194"/>
      <c r="V2" s="194"/>
      <c r="W2" s="194"/>
      <c r="X2" s="194"/>
      <c r="Y2" s="195"/>
      <c r="Z2" s="119" t="s">
        <v>318</v>
      </c>
      <c r="AA2" s="120"/>
      <c r="AB2" s="120"/>
      <c r="AC2" s="121"/>
    </row>
    <row r="3" spans="1:52" s="22" customFormat="1" ht="28.5" customHeight="1" thickBot="1">
      <c r="A3" s="115"/>
      <c r="B3" s="117" t="s">
        <v>319</v>
      </c>
      <c r="C3" s="133" t="s">
        <v>320</v>
      </c>
      <c r="D3" s="133" t="s">
        <v>321</v>
      </c>
      <c r="E3" s="133" t="s">
        <v>322</v>
      </c>
      <c r="F3" s="133" t="s">
        <v>323</v>
      </c>
      <c r="G3" s="134" t="s">
        <v>403</v>
      </c>
      <c r="H3" s="118" t="s">
        <v>319</v>
      </c>
      <c r="I3" s="122" t="s">
        <v>320</v>
      </c>
      <c r="J3" s="122" t="s">
        <v>321</v>
      </c>
      <c r="K3" s="122" t="s">
        <v>322</v>
      </c>
      <c r="L3" s="122" t="s">
        <v>323</v>
      </c>
      <c r="M3" s="123" t="s">
        <v>402</v>
      </c>
      <c r="N3" s="124" t="s">
        <v>324</v>
      </c>
      <c r="O3" s="125" t="s">
        <v>325</v>
      </c>
      <c r="P3" s="125" t="s">
        <v>326</v>
      </c>
      <c r="Q3" s="125" t="s">
        <v>327</v>
      </c>
      <c r="R3" s="126" t="s">
        <v>328</v>
      </c>
      <c r="S3" s="127" t="s">
        <v>329</v>
      </c>
      <c r="T3" s="128" t="s">
        <v>330</v>
      </c>
      <c r="U3" s="116" t="s">
        <v>331</v>
      </c>
      <c r="V3" s="116" t="s">
        <v>332</v>
      </c>
      <c r="W3" s="116" t="s">
        <v>333</v>
      </c>
      <c r="X3" s="128" t="s">
        <v>334</v>
      </c>
      <c r="Y3" s="129" t="s">
        <v>335</v>
      </c>
      <c r="Z3" s="130" t="s">
        <v>336</v>
      </c>
      <c r="AA3" s="131" t="s">
        <v>337</v>
      </c>
      <c r="AB3" s="131" t="s">
        <v>338</v>
      </c>
      <c r="AC3" s="131" t="s">
        <v>339</v>
      </c>
    </row>
    <row r="4" spans="1:52">
      <c r="A4" s="132" t="s">
        <v>307</v>
      </c>
      <c r="B4">
        <v>3105</v>
      </c>
      <c r="C4" s="114" t="s">
        <v>118</v>
      </c>
      <c r="D4" s="114" t="s">
        <v>114</v>
      </c>
      <c r="E4">
        <v>1016</v>
      </c>
      <c r="F4">
        <v>1000</v>
      </c>
      <c r="H4">
        <v>6471</v>
      </c>
      <c r="I4" s="114" t="s">
        <v>168</v>
      </c>
      <c r="J4" s="114" t="s">
        <v>127</v>
      </c>
      <c r="K4">
        <v>1047</v>
      </c>
      <c r="L4">
        <v>1000</v>
      </c>
      <c r="M4"/>
      <c r="N4">
        <v>2.12433755286016</v>
      </c>
      <c r="O4">
        <v>6.04</v>
      </c>
      <c r="P4">
        <v>1016000</v>
      </c>
      <c r="Q4">
        <v>1047000</v>
      </c>
      <c r="R4">
        <v>2.96</v>
      </c>
      <c r="S4">
        <v>378866</v>
      </c>
      <c r="T4">
        <v>25258</v>
      </c>
      <c r="U4" s="144">
        <v>15</v>
      </c>
      <c r="V4" s="144">
        <v>8</v>
      </c>
      <c r="W4" s="144" t="s">
        <v>1204</v>
      </c>
      <c r="X4">
        <v>53.33</v>
      </c>
      <c r="Y4">
        <v>13</v>
      </c>
      <c r="Z4">
        <v>0.919869327485341</v>
      </c>
      <c r="AA4">
        <v>0.90768717201092197</v>
      </c>
      <c r="AB4">
        <v>0.118176050469076</v>
      </c>
      <c r="AC4">
        <v>9.7694068887367994E-2</v>
      </c>
      <c r="AD4" s="132" t="s">
        <v>1199</v>
      </c>
    </row>
    <row r="5" spans="1:52" s="145" customFormat="1">
      <c r="A5" s="132" t="s">
        <v>307</v>
      </c>
      <c r="B5">
        <v>3105</v>
      </c>
      <c r="C5" s="114" t="s">
        <v>118</v>
      </c>
      <c r="D5" s="114" t="s">
        <v>114</v>
      </c>
      <c r="E5">
        <v>1016</v>
      </c>
      <c r="F5">
        <v>1000</v>
      </c>
      <c r="G5"/>
      <c r="H5">
        <v>7762</v>
      </c>
      <c r="I5" s="114" t="s">
        <v>135</v>
      </c>
      <c r="J5" s="114" t="s">
        <v>121</v>
      </c>
      <c r="K5">
        <v>592</v>
      </c>
      <c r="L5">
        <v>1700</v>
      </c>
      <c r="M5"/>
      <c r="N5">
        <v>2.9489928099963998</v>
      </c>
      <c r="O5">
        <v>6.74</v>
      </c>
      <c r="P5">
        <v>1016000</v>
      </c>
      <c r="Q5">
        <v>1006400</v>
      </c>
      <c r="R5">
        <v>0.94</v>
      </c>
      <c r="S5">
        <v>153088</v>
      </c>
      <c r="T5">
        <v>11776</v>
      </c>
      <c r="U5" s="144">
        <v>13</v>
      </c>
      <c r="V5" s="144">
        <v>5</v>
      </c>
      <c r="W5" s="144" t="s">
        <v>391</v>
      </c>
      <c r="X5">
        <v>38.46</v>
      </c>
      <c r="Y5">
        <v>12</v>
      </c>
      <c r="Z5">
        <v>0.93861265412933403</v>
      </c>
      <c r="AA5">
        <v>0.90502226956907905</v>
      </c>
      <c r="AB5">
        <v>2.3719900076860999E-2</v>
      </c>
      <c r="AC5">
        <v>1.26881396006483E-2</v>
      </c>
      <c r="AD5" s="132" t="s">
        <v>1199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s="145" customFormat="1">
      <c r="A6" s="132" t="s">
        <v>307</v>
      </c>
      <c r="B6">
        <v>3105</v>
      </c>
      <c r="C6" s="114" t="s">
        <v>118</v>
      </c>
      <c r="D6" s="114" t="s">
        <v>114</v>
      </c>
      <c r="E6">
        <v>1016</v>
      </c>
      <c r="F6">
        <v>600</v>
      </c>
      <c r="G6"/>
      <c r="H6">
        <v>6988</v>
      </c>
      <c r="I6" s="114" t="s">
        <v>169</v>
      </c>
      <c r="J6" s="114" t="s">
        <v>86</v>
      </c>
      <c r="K6">
        <v>6060</v>
      </c>
      <c r="L6">
        <v>100</v>
      </c>
      <c r="M6"/>
      <c r="N6">
        <v>2.1855077972236701</v>
      </c>
      <c r="O6">
        <v>5.37</v>
      </c>
      <c r="P6">
        <v>609600</v>
      </c>
      <c r="Q6">
        <v>606000</v>
      </c>
      <c r="R6">
        <v>0.59</v>
      </c>
      <c r="S6">
        <v>59924</v>
      </c>
      <c r="T6">
        <v>3329</v>
      </c>
      <c r="U6" s="144">
        <v>18</v>
      </c>
      <c r="V6" s="144">
        <v>10</v>
      </c>
      <c r="W6" s="144" t="s">
        <v>1205</v>
      </c>
      <c r="X6">
        <v>55.56</v>
      </c>
      <c r="Y6">
        <v>12</v>
      </c>
      <c r="Z6">
        <v>0.92533027176778804</v>
      </c>
      <c r="AA6">
        <v>0.94393685465552102</v>
      </c>
      <c r="AB6">
        <v>0.13084801290197101</v>
      </c>
      <c r="AC6">
        <v>2.37544089402697E-3</v>
      </c>
      <c r="AD6" s="132" t="s">
        <v>1199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145" customFormat="1">
      <c r="A7" s="132" t="s">
        <v>307</v>
      </c>
      <c r="B7">
        <v>5991</v>
      </c>
      <c r="C7" s="114" t="s">
        <v>143</v>
      </c>
      <c r="D7" s="114" t="s">
        <v>144</v>
      </c>
      <c r="E7">
        <v>988</v>
      </c>
      <c r="F7">
        <v>900</v>
      </c>
      <c r="G7"/>
      <c r="H7">
        <v>7267</v>
      </c>
      <c r="I7" s="114" t="s">
        <v>146</v>
      </c>
      <c r="J7" s="114" t="s">
        <v>111</v>
      </c>
      <c r="K7">
        <v>3091</v>
      </c>
      <c r="L7">
        <v>300</v>
      </c>
      <c r="M7"/>
      <c r="N7">
        <v>2.5142383966019199</v>
      </c>
      <c r="O7">
        <v>6.67</v>
      </c>
      <c r="P7">
        <v>889200</v>
      </c>
      <c r="Q7">
        <v>927300</v>
      </c>
      <c r="R7">
        <v>4.1100000000000003</v>
      </c>
      <c r="S7">
        <v>-2961</v>
      </c>
      <c r="T7">
        <v>-212</v>
      </c>
      <c r="U7" s="144">
        <v>14</v>
      </c>
      <c r="V7" s="144">
        <v>9</v>
      </c>
      <c r="W7" s="144" t="s">
        <v>1198</v>
      </c>
      <c r="X7">
        <v>64.290000000000006</v>
      </c>
      <c r="Y7">
        <v>16</v>
      </c>
      <c r="Z7">
        <v>0.96512330300337901</v>
      </c>
      <c r="AA7">
        <v>0.91455349411333098</v>
      </c>
      <c r="AB7">
        <v>7.0453591794430698E-2</v>
      </c>
      <c r="AC7">
        <v>8.5096204362031802E-2</v>
      </c>
      <c r="AD7" s="132" t="s">
        <v>1199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145" customFormat="1">
      <c r="A8" s="132" t="s">
        <v>307</v>
      </c>
      <c r="B8">
        <v>8410</v>
      </c>
      <c r="C8" s="114" t="s">
        <v>347</v>
      </c>
      <c r="D8" s="114" t="s">
        <v>109</v>
      </c>
      <c r="E8">
        <v>344</v>
      </c>
      <c r="F8">
        <v>3100</v>
      </c>
      <c r="G8"/>
      <c r="H8">
        <v>9412</v>
      </c>
      <c r="I8" s="114" t="s">
        <v>105</v>
      </c>
      <c r="J8" s="114" t="s">
        <v>106</v>
      </c>
      <c r="K8">
        <v>464</v>
      </c>
      <c r="L8">
        <v>2300</v>
      </c>
      <c r="M8"/>
      <c r="N8">
        <v>2.2602461204983402</v>
      </c>
      <c r="O8">
        <v>7.33</v>
      </c>
      <c r="P8">
        <v>1066400</v>
      </c>
      <c r="Q8">
        <v>1067200</v>
      </c>
      <c r="R8">
        <v>7.0000000000000007E-2</v>
      </c>
      <c r="S8">
        <v>-93985</v>
      </c>
      <c r="T8">
        <v>-4947</v>
      </c>
      <c r="U8" s="144">
        <v>19</v>
      </c>
      <c r="V8" s="144">
        <v>8</v>
      </c>
      <c r="W8" s="144" t="s">
        <v>1188</v>
      </c>
      <c r="X8">
        <v>42.11</v>
      </c>
      <c r="Y8">
        <v>14</v>
      </c>
      <c r="Z8">
        <v>0.92024055440462404</v>
      </c>
      <c r="AA8">
        <v>0.90334823044464396</v>
      </c>
      <c r="AB8">
        <v>1.16666054433224E-3</v>
      </c>
      <c r="AC8">
        <v>1.1468458929775999E-3</v>
      </c>
      <c r="AD8" s="132" t="s">
        <v>1199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s="145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s="145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>
      <c r="B11"/>
      <c r="C11"/>
      <c r="D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52">
      <c r="B12"/>
      <c r="C12"/>
      <c r="D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52" s="14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s="14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B15"/>
      <c r="C15"/>
      <c r="D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52">
      <c r="B16"/>
      <c r="C16"/>
      <c r="D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52" s="14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>
      <c r="B18"/>
      <c r="C18"/>
      <c r="D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52">
      <c r="B19"/>
      <c r="C19"/>
      <c r="D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52">
      <c r="B20"/>
      <c r="C20"/>
      <c r="D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52">
      <c r="B21"/>
      <c r="C21"/>
      <c r="D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52" s="14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>
      <c r="B23"/>
      <c r="C23"/>
      <c r="D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52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52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52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52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52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52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52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52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52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199" t="s">
        <v>175</v>
      </c>
      <c r="D2" s="192"/>
      <c r="E2">
        <v>8804</v>
      </c>
      <c r="G2" s="1" t="s">
        <v>32</v>
      </c>
    </row>
    <row r="3" spans="3:11">
      <c r="C3" s="199" t="s">
        <v>35</v>
      </c>
      <c r="D3" s="192"/>
      <c r="E3">
        <v>5711</v>
      </c>
    </row>
    <row r="4" spans="3:11">
      <c r="C4" s="199" t="s">
        <v>25</v>
      </c>
      <c r="D4" s="192"/>
    </row>
    <row r="5" spans="3:11">
      <c r="C5" s="199" t="s">
        <v>26</v>
      </c>
      <c r="D5" s="192"/>
    </row>
    <row r="6" spans="3:11">
      <c r="C6" s="199" t="s">
        <v>28</v>
      </c>
      <c r="D6" s="192"/>
    </row>
    <row r="7" spans="3:11">
      <c r="C7" s="199" t="s">
        <v>27</v>
      </c>
      <c r="D7" s="192"/>
    </row>
    <row r="8" spans="3:11">
      <c r="C8" s="199" t="s">
        <v>29</v>
      </c>
      <c r="D8" s="192"/>
      <c r="K8" s="1" t="s">
        <v>41</v>
      </c>
    </row>
    <row r="9" spans="3:11">
      <c r="C9" s="199" t="s">
        <v>20</v>
      </c>
      <c r="D9" s="192"/>
      <c r="K9" s="1" t="s">
        <v>42</v>
      </c>
    </row>
    <row r="10" spans="3:11">
      <c r="C10" s="199" t="s">
        <v>9</v>
      </c>
      <c r="D10" s="192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U777"/>
  <sheetViews>
    <sheetView showGridLines="0" workbookViewId="0">
      <selection activeCell="I1" sqref="I1"/>
    </sheetView>
  </sheetViews>
  <sheetFormatPr defaultRowHeight="14.25"/>
  <cols>
    <col min="1" max="1" width="9.125" customWidth="1"/>
  </cols>
  <sheetData>
    <row r="1" spans="1:21" ht="22.5" customHeight="1" thickBot="1">
      <c r="A1" s="147"/>
      <c r="B1" s="148" t="s">
        <v>1191</v>
      </c>
      <c r="C1" s="114">
        <v>3105</v>
      </c>
      <c r="D1" s="151" t="s">
        <v>1201</v>
      </c>
      <c r="H1" s="149" t="s">
        <v>1195</v>
      </c>
      <c r="I1" s="114">
        <v>3116</v>
      </c>
      <c r="J1" s="150" t="s">
        <v>1202</v>
      </c>
      <c r="N1" s="148" t="s">
        <v>1192</v>
      </c>
      <c r="O1" s="148">
        <v>12</v>
      </c>
      <c r="P1" s="148"/>
      <c r="Q1" s="148" t="s">
        <v>1193</v>
      </c>
      <c r="R1" s="148">
        <v>1</v>
      </c>
      <c r="T1" s="148" t="s">
        <v>1194</v>
      </c>
      <c r="U1" s="114" t="s">
        <v>1200</v>
      </c>
    </row>
    <row r="2" spans="1:21">
      <c r="B2" s="102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4"/>
    </row>
    <row r="3" spans="1:21">
      <c r="B3" s="105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6"/>
    </row>
    <row r="4" spans="1:21">
      <c r="B4" s="10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6"/>
    </row>
    <row r="5" spans="1:21">
      <c r="B5" s="105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6"/>
    </row>
    <row r="6" spans="1:21">
      <c r="A6" s="114" t="s">
        <v>400</v>
      </c>
      <c r="B6" s="10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6"/>
    </row>
    <row r="7" spans="1:21">
      <c r="A7">
        <v>0</v>
      </c>
      <c r="B7" s="10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6"/>
    </row>
    <row r="8" spans="1:21">
      <c r="A8" s="114" t="s">
        <v>401</v>
      </c>
      <c r="B8" s="10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6"/>
    </row>
    <row r="9" spans="1:21">
      <c r="A9">
        <v>11.9</v>
      </c>
      <c r="B9" s="105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6"/>
    </row>
    <row r="10" spans="1:21">
      <c r="B10" s="10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6"/>
    </row>
    <row r="11" spans="1:21">
      <c r="B11" s="10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6"/>
    </row>
    <row r="12" spans="1:21">
      <c r="B12" s="10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6"/>
    </row>
    <row r="13" spans="1:21">
      <c r="B13" s="10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6"/>
    </row>
    <row r="14" spans="1:21">
      <c r="B14" s="105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6"/>
    </row>
    <row r="15" spans="1:21">
      <c r="B15" s="10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6"/>
    </row>
    <row r="16" spans="1:21">
      <c r="B16" s="10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6"/>
    </row>
    <row r="17" spans="2:20">
      <c r="B17" s="10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6"/>
    </row>
    <row r="18" spans="2:20">
      <c r="B18" s="10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6"/>
    </row>
    <row r="19" spans="2:20">
      <c r="B19" s="105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6"/>
    </row>
    <row r="20" spans="2:20">
      <c r="B20" s="105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6"/>
    </row>
    <row r="21" spans="2:20">
      <c r="B21" s="10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6"/>
    </row>
    <row r="22" spans="2:20">
      <c r="B22" s="105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6"/>
    </row>
    <row r="23" spans="2:20">
      <c r="B23" s="10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6"/>
    </row>
    <row r="24" spans="2:20">
      <c r="B24" s="10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6"/>
    </row>
    <row r="25" spans="2:20">
      <c r="B25" s="10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6"/>
    </row>
    <row r="26" spans="2:20">
      <c r="B26" s="10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6"/>
    </row>
    <row r="27" spans="2:20">
      <c r="B27" s="105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6"/>
    </row>
    <row r="28" spans="2:20">
      <c r="B28" s="105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6"/>
    </row>
    <row r="29" spans="2:20">
      <c r="B29" s="105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6"/>
    </row>
    <row r="30" spans="2:20">
      <c r="B30" s="105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6"/>
    </row>
    <row r="31" spans="2:20">
      <c r="B31" s="105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6"/>
    </row>
    <row r="32" spans="2:20">
      <c r="B32" s="105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6"/>
    </row>
    <row r="33" spans="1:20">
      <c r="B33" s="105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6"/>
    </row>
    <row r="34" spans="1:20">
      <c r="B34" s="105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6"/>
    </row>
    <row r="35" spans="1:20">
      <c r="B35" s="105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6"/>
    </row>
    <row r="36" spans="1:20">
      <c r="B36" s="10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6"/>
    </row>
    <row r="37" spans="1:20">
      <c r="B37" s="105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6"/>
    </row>
    <row r="38" spans="1:20" ht="15" thickBot="1">
      <c r="B38" s="107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9"/>
    </row>
    <row r="40" spans="1:20">
      <c r="A40" s="111" t="s">
        <v>308</v>
      </c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</row>
    <row r="41" spans="1:20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L41" s="114" t="s">
        <v>309</v>
      </c>
      <c r="M41" s="114" t="s">
        <v>310</v>
      </c>
      <c r="N41" s="114" t="s">
        <v>311</v>
      </c>
      <c r="O41" s="114" t="s">
        <v>312</v>
      </c>
    </row>
    <row r="42" spans="1:20">
      <c r="A42" s="19"/>
    </row>
    <row r="43" spans="1:20">
      <c r="A43" s="19"/>
    </row>
    <row r="44" spans="1:20">
      <c r="A44" s="19"/>
    </row>
    <row r="45" spans="1:20">
      <c r="A45" s="19"/>
    </row>
    <row r="46" spans="1:20">
      <c r="A46" s="19"/>
    </row>
    <row r="47" spans="1:20">
      <c r="A47" s="19"/>
    </row>
    <row r="48" spans="1:20">
      <c r="A48" s="19"/>
    </row>
    <row r="49" spans="1:1">
      <c r="A49" s="19"/>
    </row>
    <row r="50" spans="1:1">
      <c r="A50" s="19"/>
    </row>
    <row r="51" spans="1:1">
      <c r="A51" s="19"/>
    </row>
    <row r="52" spans="1:1">
      <c r="A52" s="19"/>
    </row>
    <row r="53" spans="1:1">
      <c r="A53" s="19"/>
    </row>
    <row r="54" spans="1:1">
      <c r="A54" s="19"/>
    </row>
    <row r="55" spans="1:1">
      <c r="A55" s="19"/>
    </row>
    <row r="56" spans="1:1">
      <c r="A56" s="19"/>
    </row>
    <row r="57" spans="1:1">
      <c r="A57" s="19"/>
    </row>
    <row r="58" spans="1:1">
      <c r="A58" s="19"/>
    </row>
    <row r="59" spans="1:1">
      <c r="A59" s="19"/>
    </row>
    <row r="60" spans="1:1">
      <c r="A60" s="19"/>
    </row>
    <row r="61" spans="1:1">
      <c r="A61" s="19"/>
    </row>
    <row r="62" spans="1:1">
      <c r="A62" s="19"/>
    </row>
    <row r="63" spans="1:1">
      <c r="A63" s="19"/>
    </row>
    <row r="64" spans="1:1">
      <c r="A64" s="19"/>
    </row>
    <row r="65" spans="1:1">
      <c r="A65" s="19"/>
    </row>
    <row r="66" spans="1:1">
      <c r="A66" s="19"/>
    </row>
    <row r="67" spans="1:1">
      <c r="A67" s="19"/>
    </row>
    <row r="68" spans="1:1">
      <c r="A68" s="19"/>
    </row>
    <row r="69" spans="1:1">
      <c r="A69" s="19"/>
    </row>
    <row r="70" spans="1:1">
      <c r="A70" s="19"/>
    </row>
    <row r="71" spans="1:1">
      <c r="A71" s="19"/>
    </row>
    <row r="72" spans="1:1">
      <c r="A72" s="19"/>
    </row>
    <row r="73" spans="1:1">
      <c r="A73" s="19"/>
    </row>
    <row r="74" spans="1:1">
      <c r="A74" s="19"/>
    </row>
    <row r="75" spans="1:1">
      <c r="A75" s="19"/>
    </row>
    <row r="76" spans="1:1">
      <c r="A76" s="19"/>
    </row>
    <row r="77" spans="1:1">
      <c r="A77" s="19"/>
    </row>
    <row r="78" spans="1:1">
      <c r="A78" s="19"/>
    </row>
    <row r="79" spans="1:1">
      <c r="A79" s="19"/>
    </row>
    <row r="80" spans="1:1">
      <c r="A80" s="19"/>
    </row>
    <row r="81" spans="1:1">
      <c r="A81" s="19"/>
    </row>
    <row r="82" spans="1:1">
      <c r="A82" s="19"/>
    </row>
    <row r="83" spans="1:1">
      <c r="A83" s="19"/>
    </row>
    <row r="84" spans="1:1">
      <c r="A84" s="19"/>
    </row>
    <row r="85" spans="1:1">
      <c r="A85" s="19"/>
    </row>
    <row r="86" spans="1:1">
      <c r="A86" s="19"/>
    </row>
    <row r="87" spans="1:1">
      <c r="A87" s="19"/>
    </row>
    <row r="88" spans="1:1">
      <c r="A88" s="19"/>
    </row>
    <row r="89" spans="1:1">
      <c r="A89" s="19"/>
    </row>
    <row r="90" spans="1:1">
      <c r="A90" s="19"/>
    </row>
    <row r="91" spans="1:1">
      <c r="A91" s="19"/>
    </row>
    <row r="92" spans="1:1">
      <c r="A92" s="19"/>
    </row>
    <row r="93" spans="1:1">
      <c r="A93" s="19"/>
    </row>
    <row r="94" spans="1:1">
      <c r="A94" s="19"/>
    </row>
    <row r="95" spans="1:1">
      <c r="A95" s="19"/>
    </row>
    <row r="96" spans="1:1">
      <c r="A96" s="19"/>
    </row>
    <row r="97" spans="1:1">
      <c r="A97" s="19"/>
    </row>
    <row r="98" spans="1:1">
      <c r="A98" s="19"/>
    </row>
    <row r="99" spans="1:1">
      <c r="A99" s="19"/>
    </row>
    <row r="100" spans="1:1">
      <c r="A100" s="19"/>
    </row>
    <row r="101" spans="1:1">
      <c r="A101" s="19"/>
    </row>
    <row r="102" spans="1:1">
      <c r="A102" s="19"/>
    </row>
    <row r="103" spans="1:1">
      <c r="A103" s="19"/>
    </row>
    <row r="104" spans="1:1">
      <c r="A104" s="19"/>
    </row>
    <row r="105" spans="1:1">
      <c r="A105" s="19"/>
    </row>
    <row r="106" spans="1:1">
      <c r="A106" s="19"/>
    </row>
    <row r="107" spans="1:1">
      <c r="A107" s="19"/>
    </row>
    <row r="108" spans="1:1">
      <c r="A108" s="19"/>
    </row>
    <row r="109" spans="1:1">
      <c r="A109" s="19"/>
    </row>
    <row r="110" spans="1:1">
      <c r="A110" s="19"/>
    </row>
    <row r="111" spans="1:1">
      <c r="A111" s="19"/>
    </row>
    <row r="112" spans="1:1">
      <c r="A112" s="19"/>
    </row>
    <row r="113" spans="1:1">
      <c r="A113" s="19"/>
    </row>
    <row r="114" spans="1:1">
      <c r="A114" s="19"/>
    </row>
    <row r="115" spans="1:1">
      <c r="A115" s="19"/>
    </row>
    <row r="116" spans="1:1">
      <c r="A116" s="19"/>
    </row>
    <row r="117" spans="1:1">
      <c r="A117" s="19"/>
    </row>
    <row r="118" spans="1:1">
      <c r="A118" s="19"/>
    </row>
    <row r="119" spans="1:1">
      <c r="A119" s="19"/>
    </row>
    <row r="120" spans="1:1">
      <c r="A120" s="19"/>
    </row>
    <row r="121" spans="1:1">
      <c r="A121" s="19"/>
    </row>
    <row r="122" spans="1:1">
      <c r="A122" s="19"/>
    </row>
    <row r="123" spans="1:1">
      <c r="A123" s="19"/>
    </row>
    <row r="124" spans="1:1">
      <c r="A124" s="19"/>
    </row>
    <row r="125" spans="1:1">
      <c r="A125" s="19"/>
    </row>
    <row r="126" spans="1:1">
      <c r="A126" s="19"/>
    </row>
    <row r="127" spans="1:1">
      <c r="A127" s="19"/>
    </row>
    <row r="128" spans="1:1">
      <c r="A128" s="19"/>
    </row>
    <row r="129" spans="1:1">
      <c r="A129" s="19"/>
    </row>
    <row r="130" spans="1:1">
      <c r="A130" s="19"/>
    </row>
    <row r="131" spans="1:1">
      <c r="A131" s="19"/>
    </row>
    <row r="132" spans="1:1">
      <c r="A132" s="19"/>
    </row>
    <row r="133" spans="1:1">
      <c r="A133" s="19"/>
    </row>
    <row r="134" spans="1:1">
      <c r="A134" s="19"/>
    </row>
    <row r="135" spans="1:1">
      <c r="A135" s="19"/>
    </row>
    <row r="136" spans="1:1">
      <c r="A136" s="19"/>
    </row>
    <row r="137" spans="1:1">
      <c r="A137" s="19"/>
    </row>
    <row r="138" spans="1:1">
      <c r="A138" s="19"/>
    </row>
    <row r="139" spans="1:1">
      <c r="A139" s="19"/>
    </row>
    <row r="140" spans="1:1">
      <c r="A140" s="19"/>
    </row>
    <row r="141" spans="1:1">
      <c r="A141" s="19"/>
    </row>
    <row r="142" spans="1:1">
      <c r="A142" s="19"/>
    </row>
    <row r="143" spans="1:1">
      <c r="A143" s="19"/>
    </row>
    <row r="144" spans="1:1">
      <c r="A144" s="19"/>
    </row>
    <row r="145" spans="1:1">
      <c r="A145" s="19"/>
    </row>
    <row r="146" spans="1:1">
      <c r="A146" s="19"/>
    </row>
    <row r="147" spans="1:1">
      <c r="A147" s="19"/>
    </row>
    <row r="148" spans="1:1">
      <c r="A148" s="19"/>
    </row>
    <row r="149" spans="1:1">
      <c r="A149" s="19"/>
    </row>
    <row r="150" spans="1:1">
      <c r="A150" s="19"/>
    </row>
    <row r="151" spans="1:1">
      <c r="A151" s="19"/>
    </row>
    <row r="152" spans="1:1">
      <c r="A152" s="19"/>
    </row>
    <row r="153" spans="1:1">
      <c r="A153" s="19"/>
    </row>
    <row r="154" spans="1:1">
      <c r="A154" s="19"/>
    </row>
    <row r="155" spans="1:1">
      <c r="A155" s="19"/>
    </row>
    <row r="156" spans="1:1">
      <c r="A156" s="19"/>
    </row>
    <row r="157" spans="1:1">
      <c r="A157" s="19"/>
    </row>
    <row r="158" spans="1:1">
      <c r="A158" s="19"/>
    </row>
    <row r="159" spans="1:1">
      <c r="A159" s="19"/>
    </row>
    <row r="160" spans="1:1">
      <c r="A160" s="19"/>
    </row>
    <row r="161" spans="1:1">
      <c r="A161" s="19"/>
    </row>
    <row r="162" spans="1:1">
      <c r="A162" s="19"/>
    </row>
    <row r="163" spans="1:1">
      <c r="A163" s="19"/>
    </row>
    <row r="164" spans="1:1">
      <c r="A164" s="19"/>
    </row>
    <row r="165" spans="1:1">
      <c r="A165" s="19"/>
    </row>
    <row r="166" spans="1:1">
      <c r="A166" s="19"/>
    </row>
    <row r="167" spans="1:1">
      <c r="A167" s="19"/>
    </row>
    <row r="168" spans="1:1">
      <c r="A168" s="19"/>
    </row>
    <row r="169" spans="1:1">
      <c r="A169" s="19"/>
    </row>
    <row r="170" spans="1:1">
      <c r="A170" s="19"/>
    </row>
    <row r="171" spans="1:1">
      <c r="A171" s="19"/>
    </row>
    <row r="172" spans="1:1">
      <c r="A172" s="19"/>
    </row>
    <row r="173" spans="1:1">
      <c r="A173" s="19"/>
    </row>
    <row r="174" spans="1:1">
      <c r="A174" s="19"/>
    </row>
    <row r="175" spans="1:1">
      <c r="A175" s="19"/>
    </row>
    <row r="176" spans="1:1">
      <c r="A176" s="19"/>
    </row>
    <row r="177" spans="1:1">
      <c r="A177" s="19"/>
    </row>
    <row r="178" spans="1:1">
      <c r="A178" s="19"/>
    </row>
    <row r="179" spans="1:1">
      <c r="A179" s="19"/>
    </row>
    <row r="180" spans="1:1">
      <c r="A180" s="19"/>
    </row>
    <row r="181" spans="1:1">
      <c r="A181" s="19"/>
    </row>
    <row r="182" spans="1:1">
      <c r="A182" s="19"/>
    </row>
    <row r="183" spans="1:1">
      <c r="A183" s="19"/>
    </row>
    <row r="184" spans="1:1">
      <c r="A184" s="19"/>
    </row>
    <row r="185" spans="1:1">
      <c r="A185" s="19"/>
    </row>
    <row r="186" spans="1:1">
      <c r="A186" s="19"/>
    </row>
    <row r="187" spans="1:1">
      <c r="A187" s="19"/>
    </row>
    <row r="188" spans="1:1">
      <c r="A188" s="19"/>
    </row>
    <row r="189" spans="1:1">
      <c r="A189" s="19"/>
    </row>
    <row r="190" spans="1:1">
      <c r="A190" s="19"/>
    </row>
    <row r="191" spans="1:1">
      <c r="A191" s="19"/>
    </row>
    <row r="192" spans="1:1">
      <c r="A192" s="19"/>
    </row>
    <row r="193" spans="1:1">
      <c r="A193" s="19"/>
    </row>
    <row r="194" spans="1:1">
      <c r="A194" s="19"/>
    </row>
    <row r="195" spans="1:1">
      <c r="A195" s="19"/>
    </row>
    <row r="196" spans="1:1">
      <c r="A196" s="19"/>
    </row>
    <row r="197" spans="1:1">
      <c r="A197" s="19"/>
    </row>
    <row r="198" spans="1:1">
      <c r="A198" s="19"/>
    </row>
    <row r="199" spans="1:1">
      <c r="A199" s="19"/>
    </row>
    <row r="200" spans="1:1">
      <c r="A200" s="19"/>
    </row>
    <row r="201" spans="1:1">
      <c r="A201" s="19"/>
    </row>
    <row r="202" spans="1:1">
      <c r="A202" s="19"/>
    </row>
    <row r="203" spans="1:1">
      <c r="A203" s="19"/>
    </row>
    <row r="204" spans="1:1">
      <c r="A204" s="19"/>
    </row>
    <row r="205" spans="1:1">
      <c r="A205" s="19"/>
    </row>
    <row r="206" spans="1:1">
      <c r="A206" s="19"/>
    </row>
    <row r="207" spans="1:1">
      <c r="A207" s="19"/>
    </row>
    <row r="208" spans="1:1">
      <c r="A208" s="19"/>
    </row>
    <row r="209" spans="1:1">
      <c r="A209" s="19"/>
    </row>
    <row r="210" spans="1:1">
      <c r="A210" s="19"/>
    </row>
    <row r="211" spans="1:1">
      <c r="A211" s="19"/>
    </row>
    <row r="212" spans="1:1">
      <c r="A212" s="19"/>
    </row>
    <row r="213" spans="1:1">
      <c r="A213" s="19"/>
    </row>
    <row r="214" spans="1:1">
      <c r="A214" s="19"/>
    </row>
    <row r="215" spans="1:1">
      <c r="A215" s="19"/>
    </row>
    <row r="216" spans="1:1">
      <c r="A216" s="19"/>
    </row>
    <row r="217" spans="1:1">
      <c r="A217" s="19"/>
    </row>
    <row r="218" spans="1:1">
      <c r="A218" s="19"/>
    </row>
    <row r="219" spans="1:1">
      <c r="A219" s="19"/>
    </row>
    <row r="220" spans="1:1">
      <c r="A220" s="19"/>
    </row>
    <row r="221" spans="1:1">
      <c r="A221" s="19"/>
    </row>
    <row r="222" spans="1:1">
      <c r="A222" s="19"/>
    </row>
    <row r="223" spans="1:1">
      <c r="A223" s="19"/>
    </row>
    <row r="224" spans="1:1">
      <c r="A224" s="19"/>
    </row>
    <row r="225" spans="1:1">
      <c r="A225" s="19"/>
    </row>
    <row r="226" spans="1:1">
      <c r="A226" s="19"/>
    </row>
    <row r="227" spans="1:1">
      <c r="A227" s="19"/>
    </row>
    <row r="228" spans="1:1">
      <c r="A228" s="19"/>
    </row>
    <row r="229" spans="1:1">
      <c r="A229" s="19"/>
    </row>
    <row r="230" spans="1:1">
      <c r="A230" s="19"/>
    </row>
    <row r="231" spans="1:1">
      <c r="A231" s="19"/>
    </row>
    <row r="232" spans="1:1">
      <c r="A232" s="19"/>
    </row>
    <row r="233" spans="1:1">
      <c r="A233" s="19"/>
    </row>
    <row r="234" spans="1:1">
      <c r="A234" s="19"/>
    </row>
    <row r="235" spans="1:1">
      <c r="A235" s="19"/>
    </row>
    <row r="236" spans="1:1">
      <c r="A236" s="19"/>
    </row>
    <row r="237" spans="1:1">
      <c r="A237" s="19"/>
    </row>
    <row r="238" spans="1:1">
      <c r="A238" s="19"/>
    </row>
    <row r="239" spans="1:1">
      <c r="A239" s="19"/>
    </row>
    <row r="240" spans="1:1">
      <c r="A240" s="19"/>
    </row>
    <row r="241" spans="1:1">
      <c r="A241" s="19"/>
    </row>
    <row r="242" spans="1:1">
      <c r="A242" s="19"/>
    </row>
    <row r="243" spans="1:1">
      <c r="A243" s="19"/>
    </row>
    <row r="244" spans="1:1">
      <c r="A244" s="19"/>
    </row>
    <row r="245" spans="1:1">
      <c r="A245" s="19"/>
    </row>
    <row r="246" spans="1:1">
      <c r="A246" s="19"/>
    </row>
    <row r="247" spans="1:1">
      <c r="A247" s="19"/>
    </row>
    <row r="248" spans="1:1">
      <c r="A248" s="19"/>
    </row>
    <row r="249" spans="1:1">
      <c r="A249" s="19"/>
    </row>
    <row r="250" spans="1:1">
      <c r="A250" s="19"/>
    </row>
    <row r="251" spans="1:1">
      <c r="A251" s="19"/>
    </row>
    <row r="252" spans="1:1">
      <c r="A252" s="19"/>
    </row>
    <row r="253" spans="1:1">
      <c r="A253" s="19"/>
    </row>
    <row r="254" spans="1:1">
      <c r="A254" s="19"/>
    </row>
    <row r="255" spans="1:1">
      <c r="A255" s="19"/>
    </row>
    <row r="256" spans="1:1">
      <c r="A256" s="19"/>
    </row>
    <row r="257" spans="1:1">
      <c r="A257" s="19"/>
    </row>
    <row r="258" spans="1:1">
      <c r="A258" s="19"/>
    </row>
    <row r="259" spans="1:1">
      <c r="A259" s="19"/>
    </row>
    <row r="260" spans="1:1">
      <c r="A260" s="19"/>
    </row>
    <row r="261" spans="1:1">
      <c r="A261" s="19"/>
    </row>
    <row r="262" spans="1:1">
      <c r="A262" s="19"/>
    </row>
    <row r="263" spans="1:1">
      <c r="A263" s="19"/>
    </row>
    <row r="264" spans="1:1">
      <c r="A264" s="19"/>
    </row>
    <row r="265" spans="1:1">
      <c r="A265" s="19"/>
    </row>
    <row r="266" spans="1:1">
      <c r="A266" s="19"/>
    </row>
    <row r="267" spans="1:1">
      <c r="A267" s="19"/>
    </row>
    <row r="268" spans="1:1">
      <c r="A268" s="19"/>
    </row>
    <row r="269" spans="1:1">
      <c r="A269" s="19"/>
    </row>
    <row r="270" spans="1:1">
      <c r="A270" s="19"/>
    </row>
    <row r="271" spans="1:1">
      <c r="A271" s="19"/>
    </row>
    <row r="272" spans="1:1">
      <c r="A272" s="19"/>
    </row>
    <row r="273" spans="1:1">
      <c r="A273" s="19"/>
    </row>
    <row r="274" spans="1:1">
      <c r="A274" s="19"/>
    </row>
    <row r="275" spans="1:1">
      <c r="A275" s="19"/>
    </row>
    <row r="276" spans="1:1">
      <c r="A276" s="19"/>
    </row>
    <row r="277" spans="1:1">
      <c r="A277" s="19"/>
    </row>
    <row r="278" spans="1:1">
      <c r="A278" s="19"/>
    </row>
    <row r="279" spans="1:1">
      <c r="A279" s="19"/>
    </row>
    <row r="280" spans="1:1">
      <c r="A280" s="19"/>
    </row>
    <row r="281" spans="1:1">
      <c r="A281" s="19"/>
    </row>
    <row r="282" spans="1:1">
      <c r="A282" s="19"/>
    </row>
    <row r="283" spans="1:1">
      <c r="A283" s="19"/>
    </row>
    <row r="284" spans="1:1">
      <c r="A284" s="19"/>
    </row>
    <row r="285" spans="1:1">
      <c r="A285" s="19"/>
    </row>
    <row r="286" spans="1:1">
      <c r="A286" s="19"/>
    </row>
    <row r="287" spans="1:1">
      <c r="A287" s="19"/>
    </row>
    <row r="288" spans="1:1">
      <c r="A288" s="19"/>
    </row>
    <row r="289" spans="1:1">
      <c r="A289" s="19"/>
    </row>
    <row r="290" spans="1:1">
      <c r="A290" s="19"/>
    </row>
    <row r="291" spans="1:1">
      <c r="A291" s="19"/>
    </row>
    <row r="292" spans="1:1">
      <c r="A292" s="19"/>
    </row>
    <row r="293" spans="1:1">
      <c r="A293" s="19"/>
    </row>
    <row r="294" spans="1:1">
      <c r="A294" s="19"/>
    </row>
    <row r="295" spans="1:1">
      <c r="A295" s="19"/>
    </row>
    <row r="296" spans="1:1">
      <c r="A296" s="19"/>
    </row>
    <row r="297" spans="1:1">
      <c r="A297" s="19"/>
    </row>
    <row r="298" spans="1:1">
      <c r="A298" s="19"/>
    </row>
    <row r="299" spans="1:1">
      <c r="A299" s="19"/>
    </row>
    <row r="300" spans="1:1">
      <c r="A300" s="19"/>
    </row>
    <row r="301" spans="1:1">
      <c r="A301" s="19"/>
    </row>
    <row r="302" spans="1:1">
      <c r="A302" s="19"/>
    </row>
    <row r="303" spans="1:1">
      <c r="A303" s="19"/>
    </row>
    <row r="304" spans="1:1">
      <c r="A304" s="19"/>
    </row>
    <row r="305" spans="1:9">
      <c r="A305" s="19"/>
    </row>
    <row r="306" spans="1:9">
      <c r="A306" s="19"/>
    </row>
    <row r="307" spans="1:9">
      <c r="A307" s="19"/>
      <c r="I307" s="20"/>
    </row>
    <row r="308" spans="1:9">
      <c r="A308" s="19"/>
    </row>
    <row r="309" spans="1:9">
      <c r="A309" s="19"/>
    </row>
    <row r="310" spans="1:9">
      <c r="A310" s="19"/>
    </row>
    <row r="311" spans="1:9">
      <c r="A311" s="19"/>
    </row>
    <row r="312" spans="1:9">
      <c r="A312" s="19"/>
    </row>
    <row r="313" spans="1:9">
      <c r="A313" s="19"/>
    </row>
    <row r="314" spans="1:9">
      <c r="A314" s="19"/>
    </row>
    <row r="315" spans="1:9">
      <c r="A315" s="19"/>
    </row>
    <row r="316" spans="1:9">
      <c r="A316" s="19"/>
    </row>
    <row r="317" spans="1:9">
      <c r="A317" s="19"/>
    </row>
    <row r="318" spans="1:9">
      <c r="A318" s="19"/>
    </row>
    <row r="319" spans="1:9">
      <c r="A319" s="19"/>
    </row>
    <row r="320" spans="1:9">
      <c r="A320" s="19"/>
    </row>
    <row r="321" spans="1:1">
      <c r="A321" s="19"/>
    </row>
    <row r="322" spans="1:1">
      <c r="A322" s="19"/>
    </row>
    <row r="323" spans="1:1">
      <c r="A323" s="19"/>
    </row>
    <row r="324" spans="1:1">
      <c r="A324" s="19"/>
    </row>
    <row r="325" spans="1:1">
      <c r="A325" s="19"/>
    </row>
    <row r="326" spans="1:1">
      <c r="A326" s="19"/>
    </row>
    <row r="327" spans="1:1">
      <c r="A327" s="19"/>
    </row>
    <row r="328" spans="1:1">
      <c r="A328" s="19"/>
    </row>
    <row r="329" spans="1:1">
      <c r="A329" s="19"/>
    </row>
    <row r="330" spans="1:1">
      <c r="A330" s="19"/>
    </row>
    <row r="331" spans="1:1">
      <c r="A331" s="19"/>
    </row>
    <row r="332" spans="1:1">
      <c r="A332" s="19"/>
    </row>
    <row r="333" spans="1:1">
      <c r="A333" s="19"/>
    </row>
    <row r="334" spans="1:1">
      <c r="A334" s="19"/>
    </row>
    <row r="335" spans="1:1">
      <c r="A335" s="19"/>
    </row>
    <row r="336" spans="1:1">
      <c r="A336" s="19"/>
    </row>
    <row r="337" spans="1:9">
      <c r="A337" s="19"/>
      <c r="I337" s="20"/>
    </row>
    <row r="338" spans="1:9">
      <c r="A338" s="19"/>
    </row>
    <row r="339" spans="1:9">
      <c r="A339" s="19"/>
    </row>
    <row r="340" spans="1:9">
      <c r="A340" s="19"/>
    </row>
    <row r="341" spans="1:9">
      <c r="A341" s="19"/>
    </row>
    <row r="342" spans="1:9">
      <c r="A342" s="19"/>
    </row>
    <row r="343" spans="1:9">
      <c r="A343" s="19"/>
    </row>
    <row r="344" spans="1:9">
      <c r="A344" s="19"/>
    </row>
    <row r="345" spans="1:9">
      <c r="A345" s="19"/>
    </row>
    <row r="346" spans="1:9">
      <c r="A346" s="19"/>
    </row>
    <row r="347" spans="1:9">
      <c r="A347" s="19"/>
    </row>
    <row r="348" spans="1:9">
      <c r="A348" s="19"/>
    </row>
    <row r="349" spans="1:9">
      <c r="A349" s="19"/>
    </row>
    <row r="350" spans="1:9">
      <c r="A350" s="19"/>
    </row>
    <row r="351" spans="1:9">
      <c r="A351" s="19"/>
    </row>
    <row r="352" spans="1:9">
      <c r="A352" s="19"/>
    </row>
    <row r="353" spans="1:1">
      <c r="A353" s="19"/>
    </row>
    <row r="354" spans="1:1">
      <c r="A354" s="19"/>
    </row>
    <row r="355" spans="1:1">
      <c r="A355" s="19"/>
    </row>
    <row r="356" spans="1:1">
      <c r="A356" s="19"/>
    </row>
    <row r="357" spans="1:1">
      <c r="A357" s="19"/>
    </row>
    <row r="358" spans="1:1">
      <c r="A358" s="19"/>
    </row>
    <row r="359" spans="1:1">
      <c r="A359" s="19"/>
    </row>
    <row r="360" spans="1:1">
      <c r="A360" s="19"/>
    </row>
    <row r="361" spans="1:1">
      <c r="A361" s="19"/>
    </row>
    <row r="362" spans="1:1">
      <c r="A362" s="19"/>
    </row>
    <row r="363" spans="1:1">
      <c r="A363" s="19"/>
    </row>
    <row r="364" spans="1:1">
      <c r="A364" s="19"/>
    </row>
    <row r="365" spans="1:1">
      <c r="A365" s="19"/>
    </row>
    <row r="366" spans="1:1">
      <c r="A366" s="19"/>
    </row>
    <row r="367" spans="1:1">
      <c r="A367" s="19"/>
    </row>
    <row r="368" spans="1:1">
      <c r="A368" s="19"/>
    </row>
    <row r="369" spans="1:1">
      <c r="A369" s="19"/>
    </row>
    <row r="370" spans="1:1">
      <c r="A370" s="19"/>
    </row>
    <row r="371" spans="1:1">
      <c r="A371" s="19"/>
    </row>
    <row r="372" spans="1:1">
      <c r="A372" s="19"/>
    </row>
    <row r="373" spans="1:1">
      <c r="A373" s="19"/>
    </row>
    <row r="374" spans="1:1">
      <c r="A374" s="19"/>
    </row>
    <row r="375" spans="1:1">
      <c r="A375" s="19"/>
    </row>
    <row r="376" spans="1:1">
      <c r="A376" s="19"/>
    </row>
    <row r="377" spans="1:1">
      <c r="A377" s="19"/>
    </row>
    <row r="378" spans="1:1">
      <c r="A378" s="19"/>
    </row>
    <row r="379" spans="1:1">
      <c r="A379" s="19"/>
    </row>
    <row r="380" spans="1:1">
      <c r="A380" s="19"/>
    </row>
    <row r="381" spans="1:1">
      <c r="A381" s="19"/>
    </row>
    <row r="382" spans="1:1">
      <c r="A382" s="19"/>
    </row>
    <row r="383" spans="1:1">
      <c r="A383" s="19"/>
    </row>
    <row r="384" spans="1:1">
      <c r="A384" s="19"/>
    </row>
    <row r="385" spans="1:1">
      <c r="A385" s="19"/>
    </row>
    <row r="386" spans="1:1">
      <c r="A386" s="19"/>
    </row>
    <row r="387" spans="1:1">
      <c r="A387" s="19"/>
    </row>
    <row r="388" spans="1:1">
      <c r="A388" s="19"/>
    </row>
    <row r="389" spans="1:1">
      <c r="A389" s="19"/>
    </row>
    <row r="390" spans="1:1">
      <c r="A390" s="19"/>
    </row>
    <row r="391" spans="1:1">
      <c r="A391" s="19"/>
    </row>
    <row r="392" spans="1:1">
      <c r="A392" s="19"/>
    </row>
    <row r="393" spans="1:1">
      <c r="A393" s="19"/>
    </row>
    <row r="394" spans="1:1">
      <c r="A394" s="19"/>
    </row>
    <row r="395" spans="1:1">
      <c r="A395" s="19"/>
    </row>
    <row r="396" spans="1:1">
      <c r="A396" s="19"/>
    </row>
    <row r="397" spans="1:1">
      <c r="A397" s="19"/>
    </row>
    <row r="398" spans="1:1">
      <c r="A398" s="19"/>
    </row>
    <row r="399" spans="1:1">
      <c r="A399" s="19"/>
    </row>
    <row r="400" spans="1:1">
      <c r="A400" s="19"/>
    </row>
    <row r="401" spans="1:1">
      <c r="A401" s="19"/>
    </row>
    <row r="402" spans="1:1">
      <c r="A402" s="19"/>
    </row>
    <row r="403" spans="1:1">
      <c r="A403" s="19"/>
    </row>
    <row r="404" spans="1:1">
      <c r="A404" s="19"/>
    </row>
    <row r="405" spans="1:1">
      <c r="A405" s="19"/>
    </row>
    <row r="406" spans="1:1">
      <c r="A406" s="19"/>
    </row>
    <row r="407" spans="1:1">
      <c r="A407" s="19"/>
    </row>
    <row r="408" spans="1:1">
      <c r="A408" s="19"/>
    </row>
    <row r="409" spans="1:1">
      <c r="A409" s="19"/>
    </row>
    <row r="410" spans="1:1">
      <c r="A410" s="19"/>
    </row>
    <row r="411" spans="1:1">
      <c r="A411" s="19"/>
    </row>
    <row r="412" spans="1:1">
      <c r="A412" s="19"/>
    </row>
    <row r="413" spans="1:1">
      <c r="A413" s="19"/>
    </row>
    <row r="414" spans="1:1">
      <c r="A414" s="19"/>
    </row>
    <row r="415" spans="1:1">
      <c r="A415" s="19"/>
    </row>
    <row r="416" spans="1:1">
      <c r="A416" s="19"/>
    </row>
    <row r="417" spans="1:1">
      <c r="A417" s="19"/>
    </row>
    <row r="418" spans="1:1">
      <c r="A418" s="19"/>
    </row>
    <row r="419" spans="1:1">
      <c r="A419" s="19"/>
    </row>
    <row r="420" spans="1:1">
      <c r="A420" s="19"/>
    </row>
    <row r="421" spans="1:1">
      <c r="A421" s="19"/>
    </row>
    <row r="422" spans="1:1">
      <c r="A422" s="19"/>
    </row>
    <row r="423" spans="1:1">
      <c r="A423" s="19"/>
    </row>
    <row r="424" spans="1:1">
      <c r="A424" s="19"/>
    </row>
    <row r="425" spans="1:1">
      <c r="A425" s="19"/>
    </row>
    <row r="426" spans="1:1">
      <c r="A426" s="19"/>
    </row>
    <row r="427" spans="1:1">
      <c r="A427" s="19"/>
    </row>
    <row r="428" spans="1:1">
      <c r="A428" s="19"/>
    </row>
    <row r="429" spans="1:1">
      <c r="A429" s="19"/>
    </row>
    <row r="430" spans="1:1">
      <c r="A430" s="19"/>
    </row>
    <row r="431" spans="1:1">
      <c r="A431" s="19"/>
    </row>
    <row r="432" spans="1:1">
      <c r="A432" s="19"/>
    </row>
    <row r="433" spans="1:1">
      <c r="A433" s="19"/>
    </row>
    <row r="434" spans="1:1">
      <c r="A434" s="19"/>
    </row>
    <row r="435" spans="1:1">
      <c r="A435" s="19"/>
    </row>
    <row r="436" spans="1:1">
      <c r="A436" s="19"/>
    </row>
    <row r="437" spans="1:1">
      <c r="A437" s="19"/>
    </row>
    <row r="438" spans="1:1">
      <c r="A438" s="19"/>
    </row>
    <row r="439" spans="1:1">
      <c r="A439" s="19"/>
    </row>
    <row r="440" spans="1:1">
      <c r="A440" s="19"/>
    </row>
    <row r="441" spans="1:1">
      <c r="A441" s="19"/>
    </row>
    <row r="442" spans="1:1">
      <c r="A442" s="19"/>
    </row>
    <row r="443" spans="1:1">
      <c r="A443" s="19"/>
    </row>
    <row r="444" spans="1:1">
      <c r="A444" s="19"/>
    </row>
    <row r="445" spans="1:1">
      <c r="A445" s="19"/>
    </row>
    <row r="446" spans="1:1">
      <c r="A446" s="19"/>
    </row>
    <row r="447" spans="1:1">
      <c r="A447" s="19"/>
    </row>
    <row r="448" spans="1:1">
      <c r="A448" s="19"/>
    </row>
    <row r="449" spans="1:1">
      <c r="A449" s="19"/>
    </row>
    <row r="450" spans="1:1">
      <c r="A450" s="19"/>
    </row>
    <row r="451" spans="1:1">
      <c r="A451" s="19"/>
    </row>
    <row r="452" spans="1:1">
      <c r="A452" s="19"/>
    </row>
    <row r="453" spans="1:1">
      <c r="A453" s="19"/>
    </row>
    <row r="454" spans="1:1">
      <c r="A454" s="19"/>
    </row>
    <row r="455" spans="1:1">
      <c r="A455" s="19"/>
    </row>
    <row r="456" spans="1:1">
      <c r="A456" s="19"/>
    </row>
    <row r="457" spans="1:1">
      <c r="A457" s="19"/>
    </row>
    <row r="458" spans="1:1">
      <c r="A458" s="19"/>
    </row>
    <row r="459" spans="1:1">
      <c r="A459" s="19"/>
    </row>
    <row r="460" spans="1:1">
      <c r="A460" s="19"/>
    </row>
    <row r="461" spans="1:1">
      <c r="A461" s="19"/>
    </row>
    <row r="462" spans="1:1">
      <c r="A462" s="19"/>
    </row>
    <row r="463" spans="1:1">
      <c r="A463" s="19"/>
    </row>
    <row r="464" spans="1:1">
      <c r="A464" s="19"/>
    </row>
    <row r="465" spans="1:1">
      <c r="A465" s="19"/>
    </row>
    <row r="466" spans="1:1">
      <c r="A466" s="19"/>
    </row>
    <row r="467" spans="1:1">
      <c r="A467" s="19"/>
    </row>
    <row r="468" spans="1:1">
      <c r="A468" s="19"/>
    </row>
    <row r="469" spans="1:1">
      <c r="A469" s="19"/>
    </row>
    <row r="470" spans="1:1">
      <c r="A470" s="19"/>
    </row>
    <row r="471" spans="1:1">
      <c r="A471" s="19"/>
    </row>
    <row r="472" spans="1:1">
      <c r="A472" s="19"/>
    </row>
    <row r="473" spans="1:1">
      <c r="A473" s="19"/>
    </row>
    <row r="474" spans="1:1">
      <c r="A474" s="19"/>
    </row>
    <row r="475" spans="1:1">
      <c r="A475" s="19"/>
    </row>
    <row r="476" spans="1:1">
      <c r="A476" s="19"/>
    </row>
    <row r="477" spans="1:1">
      <c r="A477" s="19"/>
    </row>
    <row r="478" spans="1:1">
      <c r="A478" s="19"/>
    </row>
    <row r="479" spans="1:1">
      <c r="A479" s="19"/>
    </row>
    <row r="480" spans="1:1">
      <c r="A480" s="19"/>
    </row>
    <row r="481" spans="1:1">
      <c r="A481" s="19"/>
    </row>
    <row r="482" spans="1:1">
      <c r="A482" s="19"/>
    </row>
    <row r="483" spans="1:1">
      <c r="A483" s="19"/>
    </row>
    <row r="484" spans="1:1">
      <c r="A484" s="19"/>
    </row>
    <row r="485" spans="1:1">
      <c r="A485" s="19"/>
    </row>
    <row r="486" spans="1:1">
      <c r="A486" s="19"/>
    </row>
    <row r="487" spans="1:1">
      <c r="A487" s="19"/>
    </row>
    <row r="488" spans="1:1">
      <c r="A488" s="19"/>
    </row>
    <row r="489" spans="1:1">
      <c r="A489" s="19"/>
    </row>
    <row r="490" spans="1:1">
      <c r="A490" s="19"/>
    </row>
    <row r="491" spans="1:1">
      <c r="A491" s="19"/>
    </row>
    <row r="492" spans="1:1">
      <c r="A492" s="19"/>
    </row>
    <row r="493" spans="1:1">
      <c r="A493" s="19"/>
    </row>
    <row r="494" spans="1:1">
      <c r="A494" s="19"/>
    </row>
    <row r="495" spans="1:1">
      <c r="A495" s="19"/>
    </row>
    <row r="496" spans="1:1">
      <c r="A496" s="19"/>
    </row>
    <row r="497" spans="1:1">
      <c r="A497" s="19"/>
    </row>
    <row r="498" spans="1:1">
      <c r="A498" s="19"/>
    </row>
    <row r="499" spans="1:1">
      <c r="A499" s="19"/>
    </row>
    <row r="500" spans="1:1">
      <c r="A500" s="19"/>
    </row>
    <row r="501" spans="1:1">
      <c r="A501" s="19"/>
    </row>
    <row r="502" spans="1:1">
      <c r="A502" s="19"/>
    </row>
    <row r="503" spans="1:1">
      <c r="A503" s="19"/>
    </row>
    <row r="504" spans="1:1">
      <c r="A504" s="19"/>
    </row>
    <row r="505" spans="1:1">
      <c r="A505" s="19"/>
    </row>
    <row r="506" spans="1:1">
      <c r="A506" s="19"/>
    </row>
    <row r="507" spans="1:1">
      <c r="A507" s="19"/>
    </row>
    <row r="508" spans="1:1">
      <c r="A508" s="19"/>
    </row>
    <row r="509" spans="1:1">
      <c r="A509" s="19"/>
    </row>
    <row r="510" spans="1:1">
      <c r="A510" s="19"/>
    </row>
    <row r="511" spans="1:1">
      <c r="A511" s="19"/>
    </row>
    <row r="512" spans="1:1">
      <c r="A512" s="19"/>
    </row>
    <row r="513" spans="1:1">
      <c r="A513" s="19"/>
    </row>
    <row r="514" spans="1:1">
      <c r="A514" s="19"/>
    </row>
    <row r="515" spans="1:1">
      <c r="A515" s="19"/>
    </row>
    <row r="516" spans="1:1">
      <c r="A516" s="19"/>
    </row>
    <row r="517" spans="1:1">
      <c r="A517" s="19"/>
    </row>
    <row r="518" spans="1:1">
      <c r="A518" s="19"/>
    </row>
    <row r="519" spans="1:1">
      <c r="A519" s="19"/>
    </row>
    <row r="520" spans="1:1">
      <c r="A520" s="19"/>
    </row>
    <row r="521" spans="1:1">
      <c r="A521" s="19"/>
    </row>
    <row r="522" spans="1:1">
      <c r="A522" s="19"/>
    </row>
    <row r="523" spans="1:1">
      <c r="A523" s="19"/>
    </row>
    <row r="524" spans="1:1">
      <c r="A524" s="19"/>
    </row>
    <row r="525" spans="1:1">
      <c r="A525" s="19"/>
    </row>
    <row r="526" spans="1:1">
      <c r="A526" s="19"/>
    </row>
    <row r="527" spans="1:1">
      <c r="A527" s="19"/>
    </row>
    <row r="528" spans="1:1">
      <c r="A528" s="19"/>
    </row>
    <row r="529" spans="1:1">
      <c r="A529" s="19"/>
    </row>
    <row r="530" spans="1:1">
      <c r="A530" s="19"/>
    </row>
    <row r="531" spans="1:1">
      <c r="A531" s="19"/>
    </row>
    <row r="532" spans="1:1">
      <c r="A532" s="19"/>
    </row>
    <row r="533" spans="1:1">
      <c r="A533" s="19"/>
    </row>
    <row r="534" spans="1:1">
      <c r="A534" s="19"/>
    </row>
    <row r="535" spans="1:1">
      <c r="A535" s="19"/>
    </row>
    <row r="536" spans="1:1">
      <c r="A536" s="19"/>
    </row>
    <row r="537" spans="1:1">
      <c r="A537" s="19"/>
    </row>
    <row r="538" spans="1:1">
      <c r="A538" s="19"/>
    </row>
    <row r="539" spans="1:1">
      <c r="A539" s="19"/>
    </row>
    <row r="540" spans="1:1">
      <c r="A540" s="19"/>
    </row>
    <row r="541" spans="1:1">
      <c r="A541" s="19"/>
    </row>
    <row r="542" spans="1:1">
      <c r="A542" s="19"/>
    </row>
    <row r="543" spans="1:1">
      <c r="A543" s="19"/>
    </row>
    <row r="544" spans="1:1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  <row r="743" spans="1:1">
      <c r="A743" s="19"/>
    </row>
    <row r="744" spans="1:1">
      <c r="A744" s="19"/>
    </row>
    <row r="745" spans="1:1">
      <c r="A745" s="19"/>
    </row>
    <row r="746" spans="1:1">
      <c r="A746" s="19"/>
    </row>
    <row r="747" spans="1:1">
      <c r="A747" s="19"/>
    </row>
    <row r="748" spans="1:1">
      <c r="A748" s="19"/>
    </row>
    <row r="749" spans="1:1">
      <c r="A749" s="19"/>
    </row>
    <row r="750" spans="1:1">
      <c r="A750" s="19"/>
    </row>
    <row r="751" spans="1:1">
      <c r="A751" s="19"/>
    </row>
    <row r="752" spans="1:1">
      <c r="A752" s="19"/>
    </row>
    <row r="753" spans="1:1">
      <c r="A753" s="19"/>
    </row>
    <row r="754" spans="1:1">
      <c r="A754" s="19"/>
    </row>
    <row r="755" spans="1:1">
      <c r="A755" s="19"/>
    </row>
    <row r="756" spans="1:1">
      <c r="A756" s="19"/>
    </row>
    <row r="757" spans="1:1">
      <c r="A757" s="19"/>
    </row>
    <row r="758" spans="1:1">
      <c r="A758" s="19"/>
    </row>
    <row r="759" spans="1:1">
      <c r="A759" s="19"/>
    </row>
    <row r="760" spans="1:1">
      <c r="A760" s="19"/>
    </row>
    <row r="761" spans="1:1">
      <c r="A761" s="19"/>
    </row>
    <row r="762" spans="1:1">
      <c r="A762" s="19"/>
    </row>
    <row r="763" spans="1:1">
      <c r="A763" s="19"/>
    </row>
    <row r="764" spans="1:1">
      <c r="A764" s="19"/>
    </row>
    <row r="765" spans="1:1">
      <c r="A765" s="19"/>
    </row>
    <row r="766" spans="1:1">
      <c r="A766" s="19"/>
    </row>
    <row r="767" spans="1:1">
      <c r="A767" s="19"/>
    </row>
    <row r="768" spans="1:1">
      <c r="A768" s="19"/>
    </row>
    <row r="769" spans="1:1">
      <c r="A769" s="19"/>
    </row>
    <row r="770" spans="1:1">
      <c r="A770" s="19"/>
    </row>
    <row r="771" spans="1:1">
      <c r="A771" s="19"/>
    </row>
    <row r="772" spans="1:1">
      <c r="A772" s="19"/>
    </row>
    <row r="773" spans="1:1">
      <c r="A773" s="19"/>
    </row>
    <row r="774" spans="1:1">
      <c r="A774" s="19"/>
    </row>
    <row r="775" spans="1:1">
      <c r="A775" s="19"/>
    </row>
    <row r="776" spans="1:1">
      <c r="A776" s="19"/>
    </row>
    <row r="777" spans="1:1">
      <c r="A777" s="19"/>
    </row>
  </sheetData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B1" sqref="B1"/>
    </sheetView>
  </sheetViews>
  <sheetFormatPr defaultRowHeight="14.25"/>
  <cols>
    <col min="1" max="1" width="9" style="110"/>
    <col min="4" max="4" width="9.875" customWidth="1"/>
    <col min="22" max="22" width="11.25" customWidth="1"/>
  </cols>
  <sheetData>
    <row r="1" spans="1:34">
      <c r="B1" s="114" t="s">
        <v>354</v>
      </c>
      <c r="C1" s="114" t="s">
        <v>58</v>
      </c>
      <c r="D1" s="114" t="s">
        <v>59</v>
      </c>
      <c r="E1" s="114" t="s">
        <v>60</v>
      </c>
      <c r="F1" s="114" t="s">
        <v>61</v>
      </c>
      <c r="G1" s="114" t="s">
        <v>62</v>
      </c>
      <c r="H1" s="114" t="s">
        <v>63</v>
      </c>
      <c r="I1" s="114" t="s">
        <v>64</v>
      </c>
      <c r="J1" s="114" t="s">
        <v>49</v>
      </c>
      <c r="K1" s="114" t="s">
        <v>65</v>
      </c>
      <c r="L1" s="114" t="s">
        <v>66</v>
      </c>
      <c r="M1" s="114" t="s">
        <v>67</v>
      </c>
      <c r="N1" s="114" t="s">
        <v>68</v>
      </c>
      <c r="O1" s="114" t="s">
        <v>69</v>
      </c>
      <c r="P1" s="114" t="s">
        <v>70</v>
      </c>
      <c r="Q1" s="114" t="s">
        <v>71</v>
      </c>
      <c r="R1" s="114" t="s">
        <v>72</v>
      </c>
      <c r="S1" s="114" t="s">
        <v>73</v>
      </c>
      <c r="T1" s="114" t="s">
        <v>100</v>
      </c>
      <c r="U1" s="114" t="s">
        <v>74</v>
      </c>
      <c r="V1" s="114" t="s">
        <v>75</v>
      </c>
      <c r="W1" s="114" t="s">
        <v>76</v>
      </c>
      <c r="X1" s="114" t="s">
        <v>77</v>
      </c>
      <c r="Y1" s="114" t="s">
        <v>78</v>
      </c>
      <c r="Z1" s="114" t="s">
        <v>79</v>
      </c>
      <c r="AA1" s="114" t="s">
        <v>80</v>
      </c>
      <c r="AB1" s="114" t="s">
        <v>81</v>
      </c>
      <c r="AC1" s="114" t="s">
        <v>82</v>
      </c>
      <c r="AD1" s="114" t="s">
        <v>83</v>
      </c>
      <c r="AE1" s="114" t="s">
        <v>84</v>
      </c>
      <c r="AF1" s="114" t="s">
        <v>101</v>
      </c>
      <c r="AG1" s="114" t="s">
        <v>102</v>
      </c>
      <c r="AH1" s="114" t="s">
        <v>103</v>
      </c>
    </row>
    <row r="2" spans="1:34">
      <c r="A2" s="110">
        <v>111</v>
      </c>
      <c r="B2">
        <v>4626</v>
      </c>
      <c r="C2" s="114" t="s">
        <v>1051</v>
      </c>
      <c r="D2" s="114" t="s">
        <v>86</v>
      </c>
      <c r="E2">
        <v>4150</v>
      </c>
      <c r="F2">
        <v>4190</v>
      </c>
      <c r="G2">
        <v>200</v>
      </c>
      <c r="H2" s="114" t="s">
        <v>85</v>
      </c>
      <c r="I2">
        <v>6134</v>
      </c>
      <c r="J2" s="114" t="s">
        <v>1052</v>
      </c>
      <c r="K2" s="114" t="s">
        <v>127</v>
      </c>
      <c r="L2">
        <v>1919</v>
      </c>
      <c r="M2">
        <v>1934</v>
      </c>
      <c r="N2">
        <v>400</v>
      </c>
      <c r="O2" s="114" t="s">
        <v>87</v>
      </c>
      <c r="P2">
        <v>0.94511918755697299</v>
      </c>
      <c r="Q2">
        <v>0.91306603472301595</v>
      </c>
      <c r="R2" s="20">
        <v>2.4702224980293199E-2</v>
      </c>
      <c r="S2">
        <v>0.12505110181132401</v>
      </c>
      <c r="T2">
        <v>-1.01390551611154</v>
      </c>
      <c r="U2">
        <v>1.01390551611154</v>
      </c>
      <c r="V2">
        <v>-3.57</v>
      </c>
      <c r="W2">
        <v>7.68</v>
      </c>
      <c r="X2">
        <v>550688</v>
      </c>
      <c r="Y2">
        <v>32393</v>
      </c>
      <c r="Z2">
        <v>1.85</v>
      </c>
      <c r="AA2">
        <v>17</v>
      </c>
      <c r="AB2">
        <v>13</v>
      </c>
      <c r="AC2">
        <v>4</v>
      </c>
      <c r="AD2">
        <v>76.47</v>
      </c>
      <c r="AE2">
        <v>12</v>
      </c>
      <c r="AF2">
        <v>9</v>
      </c>
      <c r="AG2">
        <v>2</v>
      </c>
      <c r="AH2">
        <v>6</v>
      </c>
    </row>
    <row r="3" spans="1:34">
      <c r="A3" s="110">
        <v>16</v>
      </c>
      <c r="B3">
        <v>4202</v>
      </c>
      <c r="C3" s="114" t="s">
        <v>117</v>
      </c>
      <c r="D3" s="114" t="s">
        <v>86</v>
      </c>
      <c r="E3">
        <v>1078</v>
      </c>
      <c r="F3">
        <v>1065</v>
      </c>
      <c r="G3">
        <v>1000</v>
      </c>
      <c r="H3" s="114" t="s">
        <v>85</v>
      </c>
      <c r="I3">
        <v>5991</v>
      </c>
      <c r="J3" s="114" t="s">
        <v>143</v>
      </c>
      <c r="K3" s="114" t="s">
        <v>144</v>
      </c>
      <c r="L3">
        <v>975</v>
      </c>
      <c r="M3">
        <v>988</v>
      </c>
      <c r="N3">
        <v>1100</v>
      </c>
      <c r="O3" s="114" t="s">
        <v>87</v>
      </c>
      <c r="P3">
        <v>0.95916009689591897</v>
      </c>
      <c r="Q3">
        <v>0.94658480548455604</v>
      </c>
      <c r="R3" s="20">
        <v>8.4478120828627101E-2</v>
      </c>
      <c r="S3" s="20">
        <v>2.4316790902561301E-2</v>
      </c>
      <c r="T3">
        <v>-1.0635845102813499</v>
      </c>
      <c r="U3">
        <v>1.0635845102813499</v>
      </c>
      <c r="V3">
        <v>-3.2</v>
      </c>
      <c r="W3">
        <v>2.0499999999999998</v>
      </c>
      <c r="X3">
        <v>542623</v>
      </c>
      <c r="Y3">
        <v>27131</v>
      </c>
      <c r="Z3">
        <v>1.27</v>
      </c>
      <c r="AA3">
        <v>20</v>
      </c>
      <c r="AB3">
        <v>14</v>
      </c>
      <c r="AC3">
        <v>6</v>
      </c>
      <c r="AD3">
        <v>70</v>
      </c>
      <c r="AE3">
        <v>13</v>
      </c>
      <c r="AF3">
        <v>7</v>
      </c>
      <c r="AG3">
        <v>1</v>
      </c>
      <c r="AH3">
        <v>12</v>
      </c>
    </row>
    <row r="4" spans="1:34">
      <c r="A4" s="110">
        <v>37</v>
      </c>
      <c r="B4">
        <v>3635</v>
      </c>
      <c r="C4" s="114" t="s">
        <v>112</v>
      </c>
      <c r="D4" s="114" t="s">
        <v>106</v>
      </c>
      <c r="E4">
        <v>2634</v>
      </c>
      <c r="F4">
        <v>2631</v>
      </c>
      <c r="G4">
        <v>400</v>
      </c>
      <c r="H4" s="114" t="s">
        <v>87</v>
      </c>
      <c r="I4">
        <v>6845</v>
      </c>
      <c r="J4" s="114" t="s">
        <v>355</v>
      </c>
      <c r="K4" s="114" t="s">
        <v>114</v>
      </c>
      <c r="L4">
        <v>3145</v>
      </c>
      <c r="M4">
        <v>3145</v>
      </c>
      <c r="N4">
        <v>300</v>
      </c>
      <c r="O4" s="114" t="s">
        <v>85</v>
      </c>
      <c r="P4">
        <v>0.91920080949223903</v>
      </c>
      <c r="Q4">
        <v>0.93820738279983995</v>
      </c>
      <c r="R4">
        <v>5.5203077376046399E-2</v>
      </c>
      <c r="S4">
        <v>1.1273365897930101E-2</v>
      </c>
      <c r="T4">
        <v>1.80127668366756</v>
      </c>
      <c r="U4">
        <v>1.80127668366756</v>
      </c>
      <c r="V4">
        <v>3.78</v>
      </c>
      <c r="W4">
        <v>11.54</v>
      </c>
      <c r="X4">
        <v>542091</v>
      </c>
      <c r="Y4">
        <v>31888</v>
      </c>
      <c r="Z4">
        <v>1.61</v>
      </c>
      <c r="AA4">
        <v>17</v>
      </c>
      <c r="AB4">
        <v>14</v>
      </c>
      <c r="AC4">
        <v>3</v>
      </c>
      <c r="AD4">
        <v>82.35</v>
      </c>
      <c r="AE4">
        <v>12</v>
      </c>
      <c r="AF4">
        <v>8</v>
      </c>
      <c r="AG4">
        <v>2</v>
      </c>
      <c r="AH4">
        <v>7</v>
      </c>
    </row>
    <row r="5" spans="1:34">
      <c r="A5" s="110">
        <v>23</v>
      </c>
      <c r="B5">
        <v>2914</v>
      </c>
      <c r="C5" s="114" t="s">
        <v>124</v>
      </c>
      <c r="D5" s="114" t="s">
        <v>125</v>
      </c>
      <c r="E5">
        <v>2499.5</v>
      </c>
      <c r="F5">
        <v>2515</v>
      </c>
      <c r="G5">
        <v>400</v>
      </c>
      <c r="H5" s="114" t="s">
        <v>85</v>
      </c>
      <c r="I5">
        <v>7189</v>
      </c>
      <c r="J5" s="114" t="s">
        <v>108</v>
      </c>
      <c r="K5" s="114" t="s">
        <v>109</v>
      </c>
      <c r="L5">
        <v>835</v>
      </c>
      <c r="M5">
        <v>846</v>
      </c>
      <c r="N5">
        <v>1200</v>
      </c>
      <c r="O5" s="114" t="s">
        <v>87</v>
      </c>
      <c r="P5">
        <v>0.93357308769901504</v>
      </c>
      <c r="Q5">
        <v>0.94262254381003596</v>
      </c>
      <c r="R5">
        <v>0.10505592227414</v>
      </c>
      <c r="S5">
        <v>5.9627788541340501E-2</v>
      </c>
      <c r="T5">
        <v>-0.76916413560475305</v>
      </c>
      <c r="U5">
        <v>0.76916413560475305</v>
      </c>
      <c r="V5">
        <v>-5.23</v>
      </c>
      <c r="W5">
        <v>0.91</v>
      </c>
      <c r="X5">
        <v>526842</v>
      </c>
      <c r="Y5">
        <v>23947</v>
      </c>
      <c r="Z5">
        <v>1.21</v>
      </c>
      <c r="AA5">
        <v>22</v>
      </c>
      <c r="AB5">
        <v>16</v>
      </c>
      <c r="AC5">
        <v>6</v>
      </c>
      <c r="AD5">
        <v>72.73</v>
      </c>
      <c r="AE5">
        <v>14</v>
      </c>
      <c r="AF5">
        <v>12</v>
      </c>
      <c r="AG5">
        <v>3</v>
      </c>
      <c r="AH5">
        <v>7</v>
      </c>
    </row>
    <row r="6" spans="1:34">
      <c r="A6" s="110">
        <v>1</v>
      </c>
      <c r="B6">
        <v>3635</v>
      </c>
      <c r="C6" s="114" t="s">
        <v>112</v>
      </c>
      <c r="D6" s="114" t="s">
        <v>106</v>
      </c>
      <c r="E6">
        <v>2634</v>
      </c>
      <c r="F6">
        <v>2631</v>
      </c>
      <c r="G6">
        <v>400</v>
      </c>
      <c r="H6" s="114" t="s">
        <v>85</v>
      </c>
      <c r="I6">
        <v>6920</v>
      </c>
      <c r="J6" s="114" t="s">
        <v>113</v>
      </c>
      <c r="K6" s="114" t="s">
        <v>114</v>
      </c>
      <c r="L6">
        <v>9680</v>
      </c>
      <c r="M6">
        <v>9660</v>
      </c>
      <c r="N6">
        <v>100</v>
      </c>
      <c r="O6" s="114" t="s">
        <v>87</v>
      </c>
      <c r="P6">
        <v>0.93112576772390299</v>
      </c>
      <c r="Q6">
        <v>0.96301257895641701</v>
      </c>
      <c r="R6">
        <v>6.7159266450560196E-2</v>
      </c>
      <c r="S6">
        <v>7.5701129409057398E-4</v>
      </c>
      <c r="T6">
        <v>-1.88203008334516</v>
      </c>
      <c r="U6">
        <v>1.88203008334516</v>
      </c>
      <c r="V6">
        <v>-18.79</v>
      </c>
      <c r="W6">
        <v>8.94</v>
      </c>
      <c r="X6">
        <v>518439</v>
      </c>
      <c r="Y6">
        <v>25922</v>
      </c>
      <c r="Z6">
        <v>1.37</v>
      </c>
      <c r="AA6">
        <v>20</v>
      </c>
      <c r="AB6">
        <v>13</v>
      </c>
      <c r="AC6">
        <v>7</v>
      </c>
      <c r="AD6">
        <v>65</v>
      </c>
      <c r="AE6">
        <v>10</v>
      </c>
      <c r="AF6">
        <v>10</v>
      </c>
      <c r="AG6">
        <v>6</v>
      </c>
      <c r="AH6">
        <v>4</v>
      </c>
    </row>
    <row r="7" spans="1:34">
      <c r="A7" s="110">
        <v>36</v>
      </c>
      <c r="B7">
        <v>6923</v>
      </c>
      <c r="C7" s="114" t="s">
        <v>140</v>
      </c>
      <c r="D7" s="114" t="s">
        <v>114</v>
      </c>
      <c r="E7">
        <v>3060</v>
      </c>
      <c r="F7">
        <v>3090</v>
      </c>
      <c r="G7">
        <v>300</v>
      </c>
      <c r="H7" s="114" t="s">
        <v>85</v>
      </c>
      <c r="I7">
        <v>7272</v>
      </c>
      <c r="J7" s="114" t="s">
        <v>345</v>
      </c>
      <c r="K7" s="114" t="s">
        <v>111</v>
      </c>
      <c r="L7">
        <v>2231</v>
      </c>
      <c r="M7">
        <v>2259</v>
      </c>
      <c r="N7">
        <v>400</v>
      </c>
      <c r="O7" s="114" t="s">
        <v>87</v>
      </c>
      <c r="P7">
        <v>0.91031053412741603</v>
      </c>
      <c r="Q7">
        <v>0.93841902982307701</v>
      </c>
      <c r="R7">
        <v>0.13864508639840301</v>
      </c>
      <c r="S7">
        <v>0.14348873345235</v>
      </c>
      <c r="T7">
        <v>-0.896178480123064</v>
      </c>
      <c r="U7">
        <v>0.896178480123064</v>
      </c>
      <c r="V7">
        <v>-4.13</v>
      </c>
      <c r="W7">
        <v>2.52</v>
      </c>
      <c r="X7">
        <v>442542</v>
      </c>
      <c r="Y7">
        <v>44254</v>
      </c>
      <c r="Z7">
        <v>2.38</v>
      </c>
      <c r="AA7">
        <v>10</v>
      </c>
      <c r="AB7">
        <v>8</v>
      </c>
      <c r="AC7">
        <v>2</v>
      </c>
      <c r="AD7">
        <v>80</v>
      </c>
      <c r="AE7">
        <v>14</v>
      </c>
      <c r="AF7">
        <v>6</v>
      </c>
      <c r="AG7">
        <v>0</v>
      </c>
      <c r="AH7">
        <v>4</v>
      </c>
    </row>
    <row r="8" spans="1:34">
      <c r="A8" s="110">
        <v>11</v>
      </c>
      <c r="B8">
        <v>5991</v>
      </c>
      <c r="C8" s="114" t="s">
        <v>143</v>
      </c>
      <c r="D8" s="114" t="s">
        <v>144</v>
      </c>
      <c r="E8">
        <v>975</v>
      </c>
      <c r="F8">
        <v>988</v>
      </c>
      <c r="G8">
        <v>1000</v>
      </c>
      <c r="H8" s="114" t="s">
        <v>87</v>
      </c>
      <c r="I8">
        <v>7278</v>
      </c>
      <c r="J8" s="114" t="s">
        <v>110</v>
      </c>
      <c r="K8" s="114" t="s">
        <v>111</v>
      </c>
      <c r="L8">
        <v>2409</v>
      </c>
      <c r="M8">
        <v>2482</v>
      </c>
      <c r="N8">
        <v>400</v>
      </c>
      <c r="O8" s="114" t="s">
        <v>85</v>
      </c>
      <c r="P8">
        <v>0.93426684357506096</v>
      </c>
      <c r="Q8">
        <v>0.95018469494671298</v>
      </c>
      <c r="R8">
        <v>0.170837918698692</v>
      </c>
      <c r="S8" s="20">
        <v>2.4305148006699102E-2</v>
      </c>
      <c r="T8">
        <v>1.12512459229051</v>
      </c>
      <c r="U8">
        <v>1.12512459229051</v>
      </c>
      <c r="V8">
        <v>2.99</v>
      </c>
      <c r="W8">
        <v>0.48</v>
      </c>
      <c r="X8">
        <v>437615</v>
      </c>
      <c r="Y8">
        <v>24312</v>
      </c>
      <c r="Z8">
        <v>1.1399999999999999</v>
      </c>
      <c r="AA8">
        <v>18</v>
      </c>
      <c r="AB8">
        <v>13</v>
      </c>
      <c r="AC8">
        <v>5</v>
      </c>
      <c r="AD8">
        <v>72.22</v>
      </c>
      <c r="AE8">
        <v>13</v>
      </c>
      <c r="AF8">
        <v>8</v>
      </c>
      <c r="AG8">
        <v>1</v>
      </c>
      <c r="AH8">
        <v>9</v>
      </c>
    </row>
    <row r="9" spans="1:34">
      <c r="A9" s="110">
        <v>41</v>
      </c>
      <c r="B9">
        <v>1973</v>
      </c>
      <c r="C9" s="114" t="s">
        <v>358</v>
      </c>
      <c r="D9" s="114" t="s">
        <v>106</v>
      </c>
      <c r="E9">
        <v>3450</v>
      </c>
      <c r="F9">
        <v>3590</v>
      </c>
      <c r="G9">
        <v>300</v>
      </c>
      <c r="H9" s="114" t="s">
        <v>87</v>
      </c>
      <c r="I9">
        <v>3635</v>
      </c>
      <c r="J9" s="114" t="s">
        <v>112</v>
      </c>
      <c r="K9" s="114" t="s">
        <v>106</v>
      </c>
      <c r="L9">
        <v>2634</v>
      </c>
      <c r="M9">
        <v>2631</v>
      </c>
      <c r="N9">
        <v>400</v>
      </c>
      <c r="O9" s="114" t="s">
        <v>85</v>
      </c>
      <c r="P9">
        <v>0.94940841553227395</v>
      </c>
      <c r="Q9">
        <v>0.93348016593070504</v>
      </c>
      <c r="R9">
        <v>5.89510309530399E-3</v>
      </c>
      <c r="S9">
        <v>1.29097367271094E-2</v>
      </c>
      <c r="T9">
        <v>1.73185749134079</v>
      </c>
      <c r="U9">
        <v>1.73185749134079</v>
      </c>
      <c r="V9">
        <v>4.67</v>
      </c>
      <c r="W9">
        <v>2.2799999999999998</v>
      </c>
      <c r="X9">
        <v>416117</v>
      </c>
      <c r="Y9">
        <v>26007</v>
      </c>
      <c r="Z9">
        <v>1.37</v>
      </c>
      <c r="AA9">
        <v>16</v>
      </c>
      <c r="AB9">
        <v>12</v>
      </c>
      <c r="AC9">
        <v>4</v>
      </c>
      <c r="AD9">
        <v>75</v>
      </c>
      <c r="AE9">
        <v>13</v>
      </c>
      <c r="AF9">
        <v>8</v>
      </c>
      <c r="AG9">
        <v>1</v>
      </c>
      <c r="AH9">
        <v>7</v>
      </c>
    </row>
    <row r="10" spans="1:34">
      <c r="A10" s="110">
        <v>157</v>
      </c>
      <c r="B10">
        <v>6371</v>
      </c>
      <c r="C10" s="114" t="s">
        <v>136</v>
      </c>
      <c r="D10" s="114" t="s">
        <v>127</v>
      </c>
      <c r="E10">
        <v>3765</v>
      </c>
      <c r="F10">
        <v>3850</v>
      </c>
      <c r="G10">
        <v>200</v>
      </c>
      <c r="H10" s="114" t="s">
        <v>85</v>
      </c>
      <c r="I10">
        <v>7278</v>
      </c>
      <c r="J10" s="114" t="s">
        <v>110</v>
      </c>
      <c r="K10" s="114" t="s">
        <v>111</v>
      </c>
      <c r="L10">
        <v>2409</v>
      </c>
      <c r="M10">
        <v>2482</v>
      </c>
      <c r="N10">
        <v>300</v>
      </c>
      <c r="O10" s="114" t="s">
        <v>87</v>
      </c>
      <c r="P10">
        <v>0.95353355475295098</v>
      </c>
      <c r="Q10">
        <v>0.90253844982370701</v>
      </c>
      <c r="R10">
        <v>9.5379154993088301E-4</v>
      </c>
      <c r="S10">
        <v>1.8394545354894001E-2</v>
      </c>
      <c r="T10">
        <v>-1.12419265300912</v>
      </c>
      <c r="U10">
        <v>1.12419265300912</v>
      </c>
      <c r="V10">
        <v>-3.13</v>
      </c>
      <c r="W10">
        <v>3.3</v>
      </c>
      <c r="X10">
        <v>415459</v>
      </c>
      <c r="Y10">
        <v>41546</v>
      </c>
      <c r="Z10">
        <v>2.39</v>
      </c>
      <c r="AA10">
        <v>10</v>
      </c>
      <c r="AB10">
        <v>8</v>
      </c>
      <c r="AC10">
        <v>2</v>
      </c>
      <c r="AD10">
        <v>80</v>
      </c>
      <c r="AE10">
        <v>10</v>
      </c>
      <c r="AF10">
        <v>6</v>
      </c>
      <c r="AG10">
        <v>0</v>
      </c>
      <c r="AH10">
        <v>4</v>
      </c>
    </row>
    <row r="11" spans="1:34">
      <c r="A11" s="110">
        <v>47</v>
      </c>
      <c r="B11">
        <v>1973</v>
      </c>
      <c r="C11" s="114" t="s">
        <v>358</v>
      </c>
      <c r="D11" s="114" t="s">
        <v>106</v>
      </c>
      <c r="E11">
        <v>3450</v>
      </c>
      <c r="F11">
        <v>3590</v>
      </c>
      <c r="G11">
        <v>300</v>
      </c>
      <c r="H11" s="114" t="s">
        <v>87</v>
      </c>
      <c r="I11">
        <v>6845</v>
      </c>
      <c r="J11" s="114" t="s">
        <v>355</v>
      </c>
      <c r="K11" s="114" t="s">
        <v>114</v>
      </c>
      <c r="L11">
        <v>3145</v>
      </c>
      <c r="M11">
        <v>3145</v>
      </c>
      <c r="N11">
        <v>300</v>
      </c>
      <c r="O11" s="114" t="s">
        <v>85</v>
      </c>
      <c r="P11">
        <v>0.90330113036113502</v>
      </c>
      <c r="Q11">
        <v>0.93098910609852303</v>
      </c>
      <c r="R11">
        <v>5.6695466962506198E-3</v>
      </c>
      <c r="S11">
        <v>6.6242329063175001E-3</v>
      </c>
      <c r="T11">
        <v>2.4029515903355101</v>
      </c>
      <c r="U11">
        <v>2.4029515903355101</v>
      </c>
      <c r="V11">
        <v>8.2799999999999994</v>
      </c>
      <c r="W11">
        <v>12.4</v>
      </c>
      <c r="X11">
        <v>410608</v>
      </c>
      <c r="Y11">
        <v>31585</v>
      </c>
      <c r="Z11">
        <v>1.58</v>
      </c>
      <c r="AA11">
        <v>13</v>
      </c>
      <c r="AB11">
        <v>10</v>
      </c>
      <c r="AC11">
        <v>3</v>
      </c>
      <c r="AD11">
        <v>76.92</v>
      </c>
      <c r="AE11">
        <v>10</v>
      </c>
      <c r="AF11">
        <v>8</v>
      </c>
      <c r="AG11">
        <v>2</v>
      </c>
      <c r="AH11">
        <v>3</v>
      </c>
    </row>
    <row r="12" spans="1:34">
      <c r="A12" s="110">
        <v>40</v>
      </c>
      <c r="B12">
        <v>4062</v>
      </c>
      <c r="C12" s="114" t="s">
        <v>378</v>
      </c>
      <c r="D12" s="114" t="s">
        <v>114</v>
      </c>
      <c r="E12">
        <v>2548</v>
      </c>
      <c r="F12">
        <v>2536</v>
      </c>
      <c r="G12">
        <v>300</v>
      </c>
      <c r="H12" s="114" t="s">
        <v>85</v>
      </c>
      <c r="I12">
        <v>8036</v>
      </c>
      <c r="J12" s="114" t="s">
        <v>370</v>
      </c>
      <c r="K12" s="114" t="s">
        <v>129</v>
      </c>
      <c r="L12">
        <v>7220</v>
      </c>
      <c r="M12">
        <v>7320</v>
      </c>
      <c r="N12">
        <v>100</v>
      </c>
      <c r="O12" s="114" t="s">
        <v>87</v>
      </c>
      <c r="P12">
        <v>0.935471121681134</v>
      </c>
      <c r="Q12">
        <v>0.934237936398431</v>
      </c>
      <c r="R12">
        <v>2.9265490963016401E-2</v>
      </c>
      <c r="S12">
        <v>0.182843433375982</v>
      </c>
      <c r="T12">
        <v>-1.4767896175506401</v>
      </c>
      <c r="U12">
        <v>1.4767896175506401</v>
      </c>
      <c r="V12">
        <v>-3.94</v>
      </c>
      <c r="W12">
        <v>3.93</v>
      </c>
      <c r="X12">
        <v>409387</v>
      </c>
      <c r="Y12">
        <v>29242</v>
      </c>
      <c r="Z12">
        <v>1.62</v>
      </c>
      <c r="AA12">
        <v>14</v>
      </c>
      <c r="AB12">
        <v>10</v>
      </c>
      <c r="AC12">
        <v>4</v>
      </c>
      <c r="AD12">
        <v>71.430000000000007</v>
      </c>
      <c r="AE12">
        <v>11</v>
      </c>
      <c r="AF12">
        <v>7</v>
      </c>
      <c r="AG12">
        <v>2</v>
      </c>
      <c r="AH12">
        <v>5</v>
      </c>
    </row>
    <row r="13" spans="1:34">
      <c r="A13" s="110">
        <v>147</v>
      </c>
      <c r="B13">
        <v>3861</v>
      </c>
      <c r="C13" s="114" t="s">
        <v>89</v>
      </c>
      <c r="D13" s="114" t="s">
        <v>107</v>
      </c>
      <c r="E13">
        <v>603</v>
      </c>
      <c r="F13">
        <v>613</v>
      </c>
      <c r="G13">
        <v>1700</v>
      </c>
      <c r="H13" s="114" t="s">
        <v>87</v>
      </c>
      <c r="I13">
        <v>4183</v>
      </c>
      <c r="J13" s="114" t="s">
        <v>348</v>
      </c>
      <c r="K13" s="114" t="s">
        <v>86</v>
      </c>
      <c r="L13">
        <v>2609</v>
      </c>
      <c r="M13">
        <v>2602</v>
      </c>
      <c r="N13">
        <v>400</v>
      </c>
      <c r="O13" s="114" t="s">
        <v>85</v>
      </c>
      <c r="P13">
        <v>0.90714868110249802</v>
      </c>
      <c r="Q13">
        <v>0.90544977975614505</v>
      </c>
      <c r="R13">
        <v>0.28157884719029602</v>
      </c>
      <c r="S13">
        <v>0.12870279944000601</v>
      </c>
      <c r="T13">
        <v>1.7744527162211301</v>
      </c>
      <c r="U13">
        <v>1.7744527162211301</v>
      </c>
      <c r="V13">
        <v>7.04</v>
      </c>
      <c r="W13">
        <v>0.12</v>
      </c>
      <c r="X13">
        <v>408613</v>
      </c>
      <c r="Y13">
        <v>17766</v>
      </c>
      <c r="Z13">
        <v>0.95</v>
      </c>
      <c r="AA13">
        <v>23</v>
      </c>
      <c r="AB13">
        <v>15</v>
      </c>
      <c r="AC13">
        <v>8</v>
      </c>
      <c r="AD13">
        <v>65.22</v>
      </c>
      <c r="AE13">
        <v>13</v>
      </c>
      <c r="AF13">
        <v>10</v>
      </c>
      <c r="AG13">
        <v>4</v>
      </c>
      <c r="AH13">
        <v>9</v>
      </c>
    </row>
    <row r="14" spans="1:34">
      <c r="A14" s="110">
        <v>137</v>
      </c>
      <c r="B14">
        <v>3105</v>
      </c>
      <c r="C14" s="114" t="s">
        <v>118</v>
      </c>
      <c r="D14" s="114" t="s">
        <v>114</v>
      </c>
      <c r="E14">
        <v>1000</v>
      </c>
      <c r="F14">
        <v>1016</v>
      </c>
      <c r="G14">
        <v>1000</v>
      </c>
      <c r="H14" s="114" t="s">
        <v>87</v>
      </c>
      <c r="I14">
        <v>6471</v>
      </c>
      <c r="J14" s="114" t="s">
        <v>168</v>
      </c>
      <c r="K14" s="114" t="s">
        <v>127</v>
      </c>
      <c r="L14">
        <v>1045</v>
      </c>
      <c r="M14">
        <v>1047</v>
      </c>
      <c r="N14">
        <v>1000</v>
      </c>
      <c r="O14" s="114" t="s">
        <v>85</v>
      </c>
      <c r="P14">
        <v>0.919869327485341</v>
      </c>
      <c r="Q14">
        <v>0.90768717201092197</v>
      </c>
      <c r="R14">
        <v>0.118176050469076</v>
      </c>
      <c r="S14">
        <v>9.7694068887367994E-2</v>
      </c>
      <c r="T14">
        <v>2.12433755286016</v>
      </c>
      <c r="U14">
        <v>2.12433755286016</v>
      </c>
      <c r="V14">
        <v>6.04</v>
      </c>
      <c r="W14">
        <v>2.96</v>
      </c>
      <c r="X14">
        <v>378866</v>
      </c>
      <c r="Y14">
        <v>25258</v>
      </c>
      <c r="Z14">
        <v>1.1299999999999999</v>
      </c>
      <c r="AA14">
        <v>15</v>
      </c>
      <c r="AB14">
        <v>8</v>
      </c>
      <c r="AC14">
        <v>7</v>
      </c>
      <c r="AD14">
        <v>53.33</v>
      </c>
      <c r="AE14">
        <v>13</v>
      </c>
      <c r="AF14">
        <v>6</v>
      </c>
      <c r="AG14">
        <v>1</v>
      </c>
      <c r="AH14">
        <v>8</v>
      </c>
    </row>
    <row r="15" spans="1:34">
      <c r="A15" s="110">
        <v>118</v>
      </c>
      <c r="B15">
        <v>8593</v>
      </c>
      <c r="C15" s="114" t="s">
        <v>359</v>
      </c>
      <c r="D15" s="114" t="s">
        <v>343</v>
      </c>
      <c r="E15">
        <v>683</v>
      </c>
      <c r="F15">
        <v>696</v>
      </c>
      <c r="G15">
        <v>1500</v>
      </c>
      <c r="H15" s="114" t="s">
        <v>85</v>
      </c>
      <c r="I15">
        <v>9934</v>
      </c>
      <c r="J15" s="114" t="s">
        <v>1053</v>
      </c>
      <c r="K15" s="114" t="s">
        <v>129</v>
      </c>
      <c r="L15">
        <v>2663</v>
      </c>
      <c r="M15">
        <v>2673</v>
      </c>
      <c r="N15">
        <v>400</v>
      </c>
      <c r="O15" s="114" t="s">
        <v>87</v>
      </c>
      <c r="P15">
        <v>0.90746716334109101</v>
      </c>
      <c r="Q15">
        <v>0.91135643995962701</v>
      </c>
      <c r="R15" s="20">
        <v>4.7869012545614299E-2</v>
      </c>
      <c r="S15">
        <v>8.4321900242179306E-3</v>
      </c>
      <c r="T15">
        <v>-0.199913760581785</v>
      </c>
      <c r="U15">
        <v>0.199913760581785</v>
      </c>
      <c r="V15">
        <v>-0.73</v>
      </c>
      <c r="W15">
        <v>2.36</v>
      </c>
      <c r="X15">
        <v>371048</v>
      </c>
      <c r="Y15">
        <v>23190</v>
      </c>
      <c r="Z15">
        <v>1.22</v>
      </c>
      <c r="AA15">
        <v>16</v>
      </c>
      <c r="AB15">
        <v>14</v>
      </c>
      <c r="AC15">
        <v>2</v>
      </c>
      <c r="AD15">
        <v>87.5</v>
      </c>
      <c r="AE15">
        <v>14</v>
      </c>
      <c r="AF15">
        <v>7</v>
      </c>
      <c r="AG15">
        <v>1</v>
      </c>
      <c r="AH15">
        <v>8</v>
      </c>
    </row>
    <row r="16" spans="1:34">
      <c r="A16" s="110">
        <v>59</v>
      </c>
      <c r="B16">
        <v>1820</v>
      </c>
      <c r="C16" s="114" t="s">
        <v>150</v>
      </c>
      <c r="D16" s="114" t="s">
        <v>104</v>
      </c>
      <c r="E16">
        <v>2404</v>
      </c>
      <c r="F16">
        <v>2453</v>
      </c>
      <c r="G16">
        <v>400</v>
      </c>
      <c r="H16" s="114" t="s">
        <v>87</v>
      </c>
      <c r="I16">
        <v>7278</v>
      </c>
      <c r="J16" s="114" t="s">
        <v>110</v>
      </c>
      <c r="K16" s="114" t="s">
        <v>111</v>
      </c>
      <c r="L16">
        <v>2409</v>
      </c>
      <c r="M16">
        <v>2482</v>
      </c>
      <c r="N16">
        <v>400</v>
      </c>
      <c r="O16" s="114" t="s">
        <v>85</v>
      </c>
      <c r="P16">
        <v>0.93582556529207706</v>
      </c>
      <c r="Q16">
        <v>0.92594517207174698</v>
      </c>
      <c r="R16">
        <v>0.12715031949057201</v>
      </c>
      <c r="S16">
        <v>4.0459192091362499E-2</v>
      </c>
      <c r="T16">
        <v>1.27209181637764</v>
      </c>
      <c r="U16">
        <v>1.27209181637764</v>
      </c>
      <c r="V16">
        <v>3.41</v>
      </c>
      <c r="W16">
        <v>1.17</v>
      </c>
      <c r="X16">
        <v>350930</v>
      </c>
      <c r="Y16">
        <v>25066</v>
      </c>
      <c r="Z16">
        <v>1.22</v>
      </c>
      <c r="AA16">
        <v>14</v>
      </c>
      <c r="AB16">
        <v>9</v>
      </c>
      <c r="AC16">
        <v>5</v>
      </c>
      <c r="AD16">
        <v>64.290000000000006</v>
      </c>
      <c r="AE16">
        <v>12</v>
      </c>
      <c r="AF16">
        <v>8</v>
      </c>
      <c r="AG16">
        <v>2</v>
      </c>
      <c r="AH16">
        <v>4</v>
      </c>
    </row>
    <row r="17" spans="1:34">
      <c r="A17" s="110">
        <v>60</v>
      </c>
      <c r="B17">
        <v>1963</v>
      </c>
      <c r="C17" s="114" t="s">
        <v>160</v>
      </c>
      <c r="D17" s="114" t="s">
        <v>104</v>
      </c>
      <c r="E17">
        <v>1616</v>
      </c>
      <c r="F17">
        <v>1647</v>
      </c>
      <c r="G17">
        <v>500</v>
      </c>
      <c r="H17" s="114" t="s">
        <v>87</v>
      </c>
      <c r="I17">
        <v>7272</v>
      </c>
      <c r="J17" s="114" t="s">
        <v>345</v>
      </c>
      <c r="K17" s="114" t="s">
        <v>111</v>
      </c>
      <c r="L17">
        <v>2231</v>
      </c>
      <c r="M17">
        <v>2259</v>
      </c>
      <c r="N17">
        <v>400</v>
      </c>
      <c r="O17" s="114" t="s">
        <v>85</v>
      </c>
      <c r="P17">
        <v>0.94884729375619303</v>
      </c>
      <c r="Q17">
        <v>0.925799610597829</v>
      </c>
      <c r="R17">
        <v>6.3022479587951694E-2</v>
      </c>
      <c r="S17" s="20">
        <v>3.2922235348360098E-5</v>
      </c>
      <c r="T17">
        <v>0.33388350079432799</v>
      </c>
      <c r="U17">
        <v>0.33388350079432799</v>
      </c>
      <c r="V17">
        <v>0.81</v>
      </c>
      <c r="W17">
        <v>8.86</v>
      </c>
      <c r="X17">
        <v>347406</v>
      </c>
      <c r="Y17">
        <v>16543</v>
      </c>
      <c r="Z17">
        <v>0.82</v>
      </c>
      <c r="AA17">
        <v>21</v>
      </c>
      <c r="AB17">
        <v>14</v>
      </c>
      <c r="AC17">
        <v>7</v>
      </c>
      <c r="AD17">
        <v>66.67</v>
      </c>
      <c r="AE17">
        <v>10</v>
      </c>
      <c r="AF17">
        <v>12</v>
      </c>
      <c r="AG17">
        <v>5</v>
      </c>
      <c r="AH17">
        <v>4</v>
      </c>
    </row>
    <row r="18" spans="1:34">
      <c r="A18" s="110">
        <v>43</v>
      </c>
      <c r="B18">
        <v>4182</v>
      </c>
      <c r="C18" s="114" t="s">
        <v>115</v>
      </c>
      <c r="D18" s="114" t="s">
        <v>86</v>
      </c>
      <c r="E18">
        <v>1666</v>
      </c>
      <c r="F18">
        <v>1667</v>
      </c>
      <c r="G18">
        <v>600</v>
      </c>
      <c r="H18" s="114" t="s">
        <v>87</v>
      </c>
      <c r="I18">
        <v>7278</v>
      </c>
      <c r="J18" s="114" t="s">
        <v>110</v>
      </c>
      <c r="K18" s="114" t="s">
        <v>111</v>
      </c>
      <c r="L18">
        <v>2409</v>
      </c>
      <c r="M18">
        <v>2482</v>
      </c>
      <c r="N18">
        <v>400</v>
      </c>
      <c r="O18" s="114" t="s">
        <v>85</v>
      </c>
      <c r="P18">
        <v>0.92909600086036703</v>
      </c>
      <c r="Q18">
        <v>0.93305453018512496</v>
      </c>
      <c r="R18" s="20">
        <v>4.5374407218970202E-2</v>
      </c>
      <c r="S18">
        <v>6.6792804321811505E-2</v>
      </c>
      <c r="T18">
        <v>0.29700319937456798</v>
      </c>
      <c r="U18">
        <v>0.29700319937456798</v>
      </c>
      <c r="V18">
        <v>0.99</v>
      </c>
      <c r="W18">
        <v>0.75</v>
      </c>
      <c r="X18">
        <v>344277</v>
      </c>
      <c r="Y18">
        <v>26483</v>
      </c>
      <c r="Z18">
        <v>1.33</v>
      </c>
      <c r="AA18">
        <v>13</v>
      </c>
      <c r="AB18">
        <v>8</v>
      </c>
      <c r="AC18">
        <v>5</v>
      </c>
      <c r="AD18">
        <v>61.54</v>
      </c>
      <c r="AE18">
        <v>10</v>
      </c>
      <c r="AF18">
        <v>7</v>
      </c>
      <c r="AG18">
        <v>3</v>
      </c>
      <c r="AH18">
        <v>3</v>
      </c>
    </row>
    <row r="19" spans="1:34">
      <c r="A19" s="110">
        <v>127</v>
      </c>
      <c r="B19">
        <v>5110</v>
      </c>
      <c r="C19" s="114" t="s">
        <v>158</v>
      </c>
      <c r="D19" s="114" t="s">
        <v>159</v>
      </c>
      <c r="E19">
        <v>1386</v>
      </c>
      <c r="F19">
        <v>1392</v>
      </c>
      <c r="G19">
        <v>700</v>
      </c>
      <c r="H19" s="114" t="s">
        <v>85</v>
      </c>
      <c r="I19">
        <v>6923</v>
      </c>
      <c r="J19" s="114" t="s">
        <v>140</v>
      </c>
      <c r="K19" s="114" t="s">
        <v>114</v>
      </c>
      <c r="L19">
        <v>3060</v>
      </c>
      <c r="M19">
        <v>3090</v>
      </c>
      <c r="N19">
        <v>300</v>
      </c>
      <c r="O19" s="114" t="s">
        <v>87</v>
      </c>
      <c r="P19">
        <v>0.92887364174954301</v>
      </c>
      <c r="Q19">
        <v>0.90954804962258295</v>
      </c>
      <c r="R19">
        <v>0.15972363129134901</v>
      </c>
      <c r="S19">
        <v>9.1166849680507797E-2</v>
      </c>
      <c r="T19">
        <v>-0.92319469581398905</v>
      </c>
      <c r="U19">
        <v>0.92319469581398905</v>
      </c>
      <c r="V19">
        <v>-1.72</v>
      </c>
      <c r="W19">
        <v>5.1100000000000003</v>
      </c>
      <c r="X19">
        <v>336458</v>
      </c>
      <c r="Y19">
        <v>16823</v>
      </c>
      <c r="Z19">
        <v>1.01</v>
      </c>
      <c r="AA19">
        <v>20</v>
      </c>
      <c r="AB19">
        <v>12</v>
      </c>
      <c r="AC19">
        <v>8</v>
      </c>
      <c r="AD19">
        <v>60</v>
      </c>
      <c r="AE19">
        <v>14</v>
      </c>
      <c r="AF19">
        <v>8</v>
      </c>
      <c r="AG19">
        <v>0</v>
      </c>
      <c r="AH19">
        <v>12</v>
      </c>
    </row>
    <row r="20" spans="1:34">
      <c r="A20" s="110">
        <v>88</v>
      </c>
      <c r="B20">
        <v>1963</v>
      </c>
      <c r="C20" s="114" t="s">
        <v>160</v>
      </c>
      <c r="D20" s="114" t="s">
        <v>104</v>
      </c>
      <c r="E20">
        <v>1616</v>
      </c>
      <c r="F20">
        <v>1647</v>
      </c>
      <c r="G20">
        <v>600</v>
      </c>
      <c r="H20" s="114" t="s">
        <v>85</v>
      </c>
      <c r="I20">
        <v>5802</v>
      </c>
      <c r="J20" s="114" t="s">
        <v>161</v>
      </c>
      <c r="K20" s="114" t="s">
        <v>162</v>
      </c>
      <c r="L20">
        <v>1633</v>
      </c>
      <c r="M20">
        <v>1638</v>
      </c>
      <c r="N20">
        <v>600</v>
      </c>
      <c r="O20" s="114" t="s">
        <v>87</v>
      </c>
      <c r="P20">
        <v>0.90602536822073898</v>
      </c>
      <c r="Q20">
        <v>0.918425987687981</v>
      </c>
      <c r="R20">
        <v>0.32235248198253702</v>
      </c>
      <c r="S20">
        <v>3.2669507843953601E-4</v>
      </c>
      <c r="T20">
        <v>-0.85045121807662605</v>
      </c>
      <c r="U20">
        <v>0.85045121807662605</v>
      </c>
      <c r="V20">
        <v>-2.68</v>
      </c>
      <c r="W20">
        <v>0.55000000000000004</v>
      </c>
      <c r="X20">
        <v>331151</v>
      </c>
      <c r="Y20">
        <v>13246</v>
      </c>
      <c r="Z20">
        <v>0.66</v>
      </c>
      <c r="AA20">
        <v>25</v>
      </c>
      <c r="AB20">
        <v>15</v>
      </c>
      <c r="AC20">
        <v>10</v>
      </c>
      <c r="AD20">
        <v>60</v>
      </c>
      <c r="AE20">
        <v>13</v>
      </c>
      <c r="AF20">
        <v>12</v>
      </c>
      <c r="AG20">
        <v>6</v>
      </c>
      <c r="AH20">
        <v>7</v>
      </c>
    </row>
    <row r="21" spans="1:34">
      <c r="A21" s="110">
        <v>126</v>
      </c>
      <c r="B21">
        <v>6371</v>
      </c>
      <c r="C21" s="114" t="s">
        <v>136</v>
      </c>
      <c r="D21" s="114" t="s">
        <v>127</v>
      </c>
      <c r="E21">
        <v>3765</v>
      </c>
      <c r="F21">
        <v>3850</v>
      </c>
      <c r="G21">
        <v>200</v>
      </c>
      <c r="H21" s="114" t="s">
        <v>85</v>
      </c>
      <c r="I21">
        <v>7259</v>
      </c>
      <c r="J21" s="114" t="s">
        <v>53</v>
      </c>
      <c r="K21" s="114" t="s">
        <v>111</v>
      </c>
      <c r="L21">
        <v>4170</v>
      </c>
      <c r="M21">
        <v>4140</v>
      </c>
      <c r="N21">
        <v>200</v>
      </c>
      <c r="O21" s="114" t="s">
        <v>87</v>
      </c>
      <c r="P21">
        <v>0.96075154609132996</v>
      </c>
      <c r="Q21">
        <v>0.90962440869592398</v>
      </c>
      <c r="R21">
        <v>8.4597606990085995E-3</v>
      </c>
      <c r="S21" s="20">
        <v>1.0330773817491E-2</v>
      </c>
      <c r="T21">
        <v>-0.73103317087776298</v>
      </c>
      <c r="U21">
        <v>0.73103317087776298</v>
      </c>
      <c r="V21">
        <v>-4.26</v>
      </c>
      <c r="W21">
        <v>7</v>
      </c>
      <c r="X21">
        <v>326064</v>
      </c>
      <c r="Y21">
        <v>36229</v>
      </c>
      <c r="Z21">
        <v>2.0699999999999998</v>
      </c>
      <c r="AA21">
        <v>9</v>
      </c>
      <c r="AB21">
        <v>7</v>
      </c>
      <c r="AC21">
        <v>2</v>
      </c>
      <c r="AD21">
        <v>77.78</v>
      </c>
      <c r="AE21">
        <v>11</v>
      </c>
      <c r="AF21">
        <v>6</v>
      </c>
      <c r="AG21">
        <v>0</v>
      </c>
      <c r="AH21">
        <v>3</v>
      </c>
    </row>
    <row r="22" spans="1:34">
      <c r="A22" s="110">
        <v>144</v>
      </c>
      <c r="B22">
        <v>4208</v>
      </c>
      <c r="C22" s="114" t="s">
        <v>126</v>
      </c>
      <c r="D22" s="114" t="s">
        <v>86</v>
      </c>
      <c r="E22">
        <v>2337</v>
      </c>
      <c r="F22">
        <v>2345</v>
      </c>
      <c r="G22">
        <v>400</v>
      </c>
      <c r="H22" s="114" t="s">
        <v>85</v>
      </c>
      <c r="I22">
        <v>7762</v>
      </c>
      <c r="J22" s="114" t="s">
        <v>135</v>
      </c>
      <c r="K22" s="114" t="s">
        <v>121</v>
      </c>
      <c r="L22">
        <v>592</v>
      </c>
      <c r="M22">
        <v>592</v>
      </c>
      <c r="N22">
        <v>1600</v>
      </c>
      <c r="O22" s="114" t="s">
        <v>87</v>
      </c>
      <c r="P22">
        <v>0.93256110053729102</v>
      </c>
      <c r="Q22">
        <v>0.90578304986151403</v>
      </c>
      <c r="R22" s="20">
        <v>3.79212341045966E-2</v>
      </c>
      <c r="S22">
        <v>1.2894906406463E-2</v>
      </c>
      <c r="T22">
        <v>-0.775232347746307</v>
      </c>
      <c r="U22">
        <v>0.775232347746307</v>
      </c>
      <c r="V22">
        <v>-1.94</v>
      </c>
      <c r="W22">
        <v>0.98</v>
      </c>
      <c r="X22">
        <v>318939</v>
      </c>
      <c r="Y22">
        <v>22781</v>
      </c>
      <c r="Z22">
        <v>1.17</v>
      </c>
      <c r="AA22">
        <v>14</v>
      </c>
      <c r="AB22">
        <v>10</v>
      </c>
      <c r="AC22">
        <v>4</v>
      </c>
      <c r="AD22">
        <v>71.430000000000007</v>
      </c>
      <c r="AE22">
        <v>13</v>
      </c>
      <c r="AF22">
        <v>5</v>
      </c>
      <c r="AG22">
        <v>1</v>
      </c>
      <c r="AH22">
        <v>8</v>
      </c>
    </row>
    <row r="23" spans="1:34">
      <c r="A23" s="110">
        <v>93</v>
      </c>
      <c r="B23">
        <v>5802</v>
      </c>
      <c r="C23" s="114" t="s">
        <v>161</v>
      </c>
      <c r="D23" s="114" t="s">
        <v>162</v>
      </c>
      <c r="E23">
        <v>1633</v>
      </c>
      <c r="F23">
        <v>1638</v>
      </c>
      <c r="G23">
        <v>600</v>
      </c>
      <c r="H23" s="114" t="s">
        <v>87</v>
      </c>
      <c r="I23">
        <v>6995</v>
      </c>
      <c r="J23" s="114" t="s">
        <v>119</v>
      </c>
      <c r="K23" s="114" t="s">
        <v>111</v>
      </c>
      <c r="L23">
        <v>2092</v>
      </c>
      <c r="M23">
        <v>2127</v>
      </c>
      <c r="N23">
        <v>500</v>
      </c>
      <c r="O23" s="114" t="s">
        <v>85</v>
      </c>
      <c r="P23">
        <v>0.96188162143011202</v>
      </c>
      <c r="Q23">
        <v>0.91749565336410799</v>
      </c>
      <c r="R23" s="20">
        <v>3.7976881588760399E-3</v>
      </c>
      <c r="S23">
        <v>0.20361382519105201</v>
      </c>
      <c r="T23">
        <v>2.03335085247826</v>
      </c>
      <c r="U23">
        <v>2.03335085247826</v>
      </c>
      <c r="V23">
        <v>3.3</v>
      </c>
      <c r="W23">
        <v>7.59</v>
      </c>
      <c r="X23">
        <v>306631</v>
      </c>
      <c r="Y23">
        <v>18037</v>
      </c>
      <c r="Z23">
        <v>0.89</v>
      </c>
      <c r="AA23">
        <v>17</v>
      </c>
      <c r="AB23">
        <v>11</v>
      </c>
      <c r="AC23">
        <v>6</v>
      </c>
      <c r="AD23">
        <v>64.709999999999994</v>
      </c>
      <c r="AE23">
        <v>15</v>
      </c>
      <c r="AF23">
        <v>6</v>
      </c>
      <c r="AG23">
        <v>0</v>
      </c>
      <c r="AH23">
        <v>11</v>
      </c>
    </row>
    <row r="24" spans="1:34">
      <c r="A24" s="110">
        <v>85</v>
      </c>
      <c r="B24">
        <v>4208</v>
      </c>
      <c r="C24" s="114" t="s">
        <v>126</v>
      </c>
      <c r="D24" s="114" t="s">
        <v>86</v>
      </c>
      <c r="E24">
        <v>2337</v>
      </c>
      <c r="F24">
        <v>2345</v>
      </c>
      <c r="G24">
        <v>400</v>
      </c>
      <c r="H24" s="114" t="s">
        <v>87</v>
      </c>
      <c r="I24">
        <v>6301</v>
      </c>
      <c r="J24" s="114" t="s">
        <v>137</v>
      </c>
      <c r="K24" s="114" t="s">
        <v>127</v>
      </c>
      <c r="L24">
        <v>2542</v>
      </c>
      <c r="M24">
        <v>2558.5</v>
      </c>
      <c r="N24">
        <v>400</v>
      </c>
      <c r="O24" s="114" t="s">
        <v>85</v>
      </c>
      <c r="P24">
        <v>0.91346099923289803</v>
      </c>
      <c r="Q24">
        <v>0.919241207924963</v>
      </c>
      <c r="R24" s="20">
        <v>1.4037428295388E-3</v>
      </c>
      <c r="S24">
        <v>6.5114370719720803E-3</v>
      </c>
      <c r="T24">
        <v>1.3181383731493499</v>
      </c>
      <c r="U24">
        <v>1.3181383731493499</v>
      </c>
      <c r="V24">
        <v>1.94</v>
      </c>
      <c r="W24">
        <v>8.34</v>
      </c>
      <c r="X24">
        <v>306571</v>
      </c>
      <c r="Y24">
        <v>30657</v>
      </c>
      <c r="Z24">
        <v>1.56</v>
      </c>
      <c r="AA24">
        <v>10</v>
      </c>
      <c r="AB24">
        <v>7</v>
      </c>
      <c r="AC24">
        <v>3</v>
      </c>
      <c r="AD24">
        <v>70</v>
      </c>
      <c r="AE24">
        <v>12</v>
      </c>
      <c r="AF24">
        <v>6</v>
      </c>
      <c r="AG24">
        <v>0</v>
      </c>
      <c r="AH24">
        <v>4</v>
      </c>
    </row>
    <row r="25" spans="1:34">
      <c r="A25" s="110">
        <v>25</v>
      </c>
      <c r="B25">
        <v>4182</v>
      </c>
      <c r="C25" s="114" t="s">
        <v>115</v>
      </c>
      <c r="D25" s="114" t="s">
        <v>86</v>
      </c>
      <c r="E25">
        <v>1666</v>
      </c>
      <c r="F25">
        <v>1667</v>
      </c>
      <c r="G25">
        <v>500</v>
      </c>
      <c r="H25" s="114" t="s">
        <v>87</v>
      </c>
      <c r="I25">
        <v>7272</v>
      </c>
      <c r="J25" s="114" t="s">
        <v>345</v>
      </c>
      <c r="K25" s="114" t="s">
        <v>111</v>
      </c>
      <c r="L25">
        <v>2231</v>
      </c>
      <c r="M25">
        <v>2259</v>
      </c>
      <c r="N25">
        <v>400</v>
      </c>
      <c r="O25" s="114" t="s">
        <v>85</v>
      </c>
      <c r="P25">
        <v>0.93617451875336699</v>
      </c>
      <c r="Q25">
        <v>0.94196173130724303</v>
      </c>
      <c r="R25">
        <v>6.2147137384905996E-3</v>
      </c>
      <c r="S25" s="20">
        <v>2.12885776129335E-3</v>
      </c>
      <c r="T25">
        <v>0.49038228400235201</v>
      </c>
      <c r="U25">
        <v>0.49038228400235201</v>
      </c>
      <c r="V25">
        <v>1.38</v>
      </c>
      <c r="W25">
        <v>7.76</v>
      </c>
      <c r="X25">
        <v>303536</v>
      </c>
      <c r="Y25">
        <v>23349</v>
      </c>
      <c r="Z25">
        <v>1.1599999999999999</v>
      </c>
      <c r="AA25">
        <v>13</v>
      </c>
      <c r="AB25">
        <v>9</v>
      </c>
      <c r="AC25">
        <v>4</v>
      </c>
      <c r="AD25">
        <v>69.23</v>
      </c>
      <c r="AE25">
        <v>12</v>
      </c>
      <c r="AF25">
        <v>6</v>
      </c>
      <c r="AG25">
        <v>1</v>
      </c>
      <c r="AH25">
        <v>6</v>
      </c>
    </row>
    <row r="26" spans="1:34">
      <c r="A26" s="110">
        <v>27</v>
      </c>
      <c r="B26">
        <v>6457</v>
      </c>
      <c r="C26" s="114" t="s">
        <v>362</v>
      </c>
      <c r="D26" s="114" t="s">
        <v>127</v>
      </c>
      <c r="E26">
        <v>3290</v>
      </c>
      <c r="F26">
        <v>3340</v>
      </c>
      <c r="G26">
        <v>300</v>
      </c>
      <c r="H26" s="114" t="s">
        <v>85</v>
      </c>
      <c r="I26">
        <v>8593</v>
      </c>
      <c r="J26" s="114" t="s">
        <v>359</v>
      </c>
      <c r="K26" s="114" t="s">
        <v>343</v>
      </c>
      <c r="L26">
        <v>683</v>
      </c>
      <c r="M26">
        <v>696</v>
      </c>
      <c r="N26">
        <v>1400</v>
      </c>
      <c r="O26" s="114" t="s">
        <v>87</v>
      </c>
      <c r="P26">
        <v>0.93708957752683097</v>
      </c>
      <c r="Q26">
        <v>0.94100462221891501</v>
      </c>
      <c r="R26">
        <v>1.48545243304693E-2</v>
      </c>
      <c r="S26">
        <v>3.4224750426270498E-3</v>
      </c>
      <c r="T26">
        <v>-0.211046594624758</v>
      </c>
      <c r="U26">
        <v>0.211046594624758</v>
      </c>
      <c r="V26">
        <v>-0.48</v>
      </c>
      <c r="W26">
        <v>2.75</v>
      </c>
      <c r="X26">
        <v>302420</v>
      </c>
      <c r="Y26">
        <v>15917</v>
      </c>
      <c r="Z26">
        <v>0.96</v>
      </c>
      <c r="AA26">
        <v>19</v>
      </c>
      <c r="AB26">
        <v>12</v>
      </c>
      <c r="AC26">
        <v>7</v>
      </c>
      <c r="AD26">
        <v>63.16</v>
      </c>
      <c r="AE26">
        <v>12</v>
      </c>
      <c r="AF26">
        <v>9</v>
      </c>
      <c r="AG26">
        <v>3</v>
      </c>
      <c r="AH26">
        <v>7</v>
      </c>
    </row>
    <row r="27" spans="1:34">
      <c r="A27" s="110">
        <v>134</v>
      </c>
      <c r="B27">
        <v>4182</v>
      </c>
      <c r="C27" s="114" t="s">
        <v>115</v>
      </c>
      <c r="D27" s="114" t="s">
        <v>86</v>
      </c>
      <c r="E27">
        <v>1666</v>
      </c>
      <c r="F27">
        <v>1667</v>
      </c>
      <c r="G27">
        <v>600</v>
      </c>
      <c r="H27" s="114" t="s">
        <v>87</v>
      </c>
      <c r="I27">
        <v>4208</v>
      </c>
      <c r="J27" s="114" t="s">
        <v>126</v>
      </c>
      <c r="K27" s="114" t="s">
        <v>86</v>
      </c>
      <c r="L27">
        <v>2337</v>
      </c>
      <c r="M27">
        <v>2345</v>
      </c>
      <c r="N27">
        <v>400</v>
      </c>
      <c r="O27" s="114" t="s">
        <v>85</v>
      </c>
      <c r="P27">
        <v>0.92863001900764097</v>
      </c>
      <c r="Q27">
        <v>0.90796503437053999</v>
      </c>
      <c r="R27" s="20">
        <v>2.7995734584154799E-2</v>
      </c>
      <c r="S27" s="20">
        <v>0.172738259864647</v>
      </c>
      <c r="T27">
        <v>1.4117001975942201</v>
      </c>
      <c r="U27">
        <v>1.4117001975942201</v>
      </c>
      <c r="V27">
        <v>6.83</v>
      </c>
      <c r="W27">
        <v>6.63</v>
      </c>
      <c r="X27">
        <v>299666</v>
      </c>
      <c r="Y27">
        <v>15772</v>
      </c>
      <c r="Z27">
        <v>0.82</v>
      </c>
      <c r="AA27">
        <v>19</v>
      </c>
      <c r="AB27">
        <v>13</v>
      </c>
      <c r="AC27">
        <v>6</v>
      </c>
      <c r="AD27">
        <v>68.42</v>
      </c>
      <c r="AE27">
        <v>13</v>
      </c>
      <c r="AF27">
        <v>8</v>
      </c>
      <c r="AG27">
        <v>2</v>
      </c>
      <c r="AH27">
        <v>9</v>
      </c>
    </row>
    <row r="28" spans="1:34">
      <c r="A28" s="110">
        <v>5</v>
      </c>
      <c r="B28">
        <v>5991</v>
      </c>
      <c r="C28" s="114" t="s">
        <v>143</v>
      </c>
      <c r="D28" s="114" t="s">
        <v>144</v>
      </c>
      <c r="E28">
        <v>975</v>
      </c>
      <c r="F28">
        <v>988</v>
      </c>
      <c r="G28">
        <v>800</v>
      </c>
      <c r="H28" s="114" t="s">
        <v>87</v>
      </c>
      <c r="I28">
        <v>6371</v>
      </c>
      <c r="J28" s="114" t="s">
        <v>136</v>
      </c>
      <c r="K28" s="114" t="s">
        <v>127</v>
      </c>
      <c r="L28">
        <v>3765</v>
      </c>
      <c r="M28">
        <v>3850</v>
      </c>
      <c r="N28">
        <v>200</v>
      </c>
      <c r="O28" s="114" t="s">
        <v>85</v>
      </c>
      <c r="P28">
        <v>0.95538692548409099</v>
      </c>
      <c r="Q28">
        <v>0.95627657161138202</v>
      </c>
      <c r="R28">
        <v>0.26938104273498598</v>
      </c>
      <c r="S28">
        <v>1.2162348363359699E-3</v>
      </c>
      <c r="T28">
        <v>1.70489091295007</v>
      </c>
      <c r="U28">
        <v>1.70489091295007</v>
      </c>
      <c r="V28">
        <v>5.87</v>
      </c>
      <c r="W28">
        <v>2.65</v>
      </c>
      <c r="X28">
        <v>286657</v>
      </c>
      <c r="Y28">
        <v>16862</v>
      </c>
      <c r="Z28">
        <v>0.8</v>
      </c>
      <c r="AA28">
        <v>17</v>
      </c>
      <c r="AB28">
        <v>10</v>
      </c>
      <c r="AC28">
        <v>7</v>
      </c>
      <c r="AD28">
        <v>58.82</v>
      </c>
      <c r="AE28">
        <v>13</v>
      </c>
      <c r="AF28">
        <v>7</v>
      </c>
      <c r="AG28">
        <v>1</v>
      </c>
      <c r="AH28">
        <v>9</v>
      </c>
    </row>
    <row r="29" spans="1:34">
      <c r="A29" s="110">
        <v>67</v>
      </c>
      <c r="B29">
        <v>5393</v>
      </c>
      <c r="C29" s="114" t="s">
        <v>392</v>
      </c>
      <c r="D29" s="114" t="s">
        <v>134</v>
      </c>
      <c r="E29">
        <v>2547</v>
      </c>
      <c r="F29">
        <v>2608</v>
      </c>
      <c r="G29">
        <v>300</v>
      </c>
      <c r="H29" s="114" t="s">
        <v>87</v>
      </c>
      <c r="I29">
        <v>5947</v>
      </c>
      <c r="J29" s="114" t="s">
        <v>377</v>
      </c>
      <c r="K29" s="114" t="s">
        <v>144</v>
      </c>
      <c r="L29">
        <v>8380</v>
      </c>
      <c r="M29">
        <v>8410</v>
      </c>
      <c r="N29">
        <v>100</v>
      </c>
      <c r="O29" s="114" t="s">
        <v>85</v>
      </c>
      <c r="P29">
        <v>0.96469165356806696</v>
      </c>
      <c r="Q29">
        <v>0.92488457524390899</v>
      </c>
      <c r="R29">
        <v>5.3652837784124698E-2</v>
      </c>
      <c r="S29">
        <v>3.1159728285800301E-2</v>
      </c>
      <c r="T29">
        <v>1.8952249801114001</v>
      </c>
      <c r="U29">
        <v>1.8952249801114001</v>
      </c>
      <c r="V29">
        <v>11.56</v>
      </c>
      <c r="W29">
        <v>6.97</v>
      </c>
      <c r="X29">
        <v>284943</v>
      </c>
      <c r="Y29">
        <v>23745</v>
      </c>
      <c r="Z29">
        <v>1.3</v>
      </c>
      <c r="AA29">
        <v>12</v>
      </c>
      <c r="AB29">
        <v>8</v>
      </c>
      <c r="AC29">
        <v>4</v>
      </c>
      <c r="AD29">
        <v>66.67</v>
      </c>
      <c r="AE29">
        <v>11</v>
      </c>
      <c r="AF29">
        <v>6</v>
      </c>
      <c r="AG29">
        <v>3</v>
      </c>
      <c r="AH29">
        <v>3</v>
      </c>
    </row>
    <row r="30" spans="1:34">
      <c r="A30" s="110">
        <v>9</v>
      </c>
      <c r="B30">
        <v>6752</v>
      </c>
      <c r="C30" s="114" t="s">
        <v>133</v>
      </c>
      <c r="D30" s="114" t="s">
        <v>114</v>
      </c>
      <c r="E30">
        <v>1021.5</v>
      </c>
      <c r="F30">
        <v>1034.5</v>
      </c>
      <c r="G30">
        <v>1000</v>
      </c>
      <c r="H30" s="114" t="s">
        <v>87</v>
      </c>
      <c r="I30">
        <v>7278</v>
      </c>
      <c r="J30" s="114" t="s">
        <v>110</v>
      </c>
      <c r="K30" s="114" t="s">
        <v>111</v>
      </c>
      <c r="L30">
        <v>2409</v>
      </c>
      <c r="M30">
        <v>2482</v>
      </c>
      <c r="N30">
        <v>400</v>
      </c>
      <c r="O30" s="114" t="s">
        <v>85</v>
      </c>
      <c r="P30">
        <v>0.92835659955498195</v>
      </c>
      <c r="Q30">
        <v>0.950629359043758</v>
      </c>
      <c r="R30">
        <v>6.1558395045068198E-3</v>
      </c>
      <c r="S30" s="20">
        <v>6.5835112503519698E-4</v>
      </c>
      <c r="T30">
        <v>0.41215254839900001</v>
      </c>
      <c r="U30">
        <v>0.41215254839900001</v>
      </c>
      <c r="V30">
        <v>1.04</v>
      </c>
      <c r="W30">
        <v>4.2</v>
      </c>
      <c r="X30">
        <v>283523</v>
      </c>
      <c r="Y30">
        <v>14922</v>
      </c>
      <c r="Z30">
        <v>0.75</v>
      </c>
      <c r="AA30">
        <v>19</v>
      </c>
      <c r="AB30">
        <v>11</v>
      </c>
      <c r="AC30">
        <v>8</v>
      </c>
      <c r="AD30">
        <v>57.89</v>
      </c>
      <c r="AE30">
        <v>11</v>
      </c>
      <c r="AF30">
        <v>8</v>
      </c>
      <c r="AG30">
        <v>2</v>
      </c>
      <c r="AH30">
        <v>9</v>
      </c>
    </row>
    <row r="31" spans="1:34">
      <c r="A31" s="110">
        <v>141</v>
      </c>
      <c r="B31">
        <v>6287</v>
      </c>
      <c r="C31" s="114" t="s">
        <v>1054</v>
      </c>
      <c r="D31" s="114" t="s">
        <v>127</v>
      </c>
      <c r="E31">
        <v>3340</v>
      </c>
      <c r="F31">
        <v>3370</v>
      </c>
      <c r="G31">
        <v>300</v>
      </c>
      <c r="H31" s="114" t="s">
        <v>87</v>
      </c>
      <c r="I31">
        <v>6465</v>
      </c>
      <c r="J31" s="114" t="s">
        <v>1055</v>
      </c>
      <c r="K31" s="114" t="s">
        <v>127</v>
      </c>
      <c r="L31">
        <v>9640</v>
      </c>
      <c r="M31">
        <v>9630</v>
      </c>
      <c r="N31">
        <v>100</v>
      </c>
      <c r="O31" s="114" t="s">
        <v>85</v>
      </c>
      <c r="P31">
        <v>0.96318665200054299</v>
      </c>
      <c r="Q31">
        <v>0.90691906144031798</v>
      </c>
      <c r="R31">
        <v>1.7273437527401399E-2</v>
      </c>
      <c r="S31">
        <v>7.23508392406461E-2</v>
      </c>
      <c r="T31">
        <v>0.82031881747227797</v>
      </c>
      <c r="U31">
        <v>0.82031881747227797</v>
      </c>
      <c r="V31">
        <v>1.52</v>
      </c>
      <c r="W31">
        <v>4.9800000000000004</v>
      </c>
      <c r="X31">
        <v>272271</v>
      </c>
      <c r="Y31">
        <v>22689</v>
      </c>
      <c r="Z31">
        <v>1.55</v>
      </c>
      <c r="AA31">
        <v>12</v>
      </c>
      <c r="AB31">
        <v>7</v>
      </c>
      <c r="AC31">
        <v>5</v>
      </c>
      <c r="AD31">
        <v>58.33</v>
      </c>
      <c r="AE31">
        <v>12</v>
      </c>
      <c r="AF31">
        <v>5</v>
      </c>
      <c r="AG31">
        <v>3</v>
      </c>
      <c r="AH31">
        <v>4</v>
      </c>
    </row>
    <row r="32" spans="1:34">
      <c r="A32" s="110">
        <v>8</v>
      </c>
      <c r="B32">
        <v>3635</v>
      </c>
      <c r="C32" s="114" t="s">
        <v>112</v>
      </c>
      <c r="D32" s="114" t="s">
        <v>106</v>
      </c>
      <c r="E32">
        <v>2634</v>
      </c>
      <c r="F32">
        <v>2631</v>
      </c>
      <c r="G32">
        <v>400</v>
      </c>
      <c r="H32" s="114" t="s">
        <v>87</v>
      </c>
      <c r="I32">
        <v>4062</v>
      </c>
      <c r="J32" s="114" t="s">
        <v>378</v>
      </c>
      <c r="K32" s="114" t="s">
        <v>114</v>
      </c>
      <c r="L32">
        <v>2548</v>
      </c>
      <c r="M32">
        <v>2536</v>
      </c>
      <c r="N32">
        <v>400</v>
      </c>
      <c r="O32" s="114" t="s">
        <v>85</v>
      </c>
      <c r="P32">
        <v>0.93295227697197403</v>
      </c>
      <c r="Q32">
        <v>0.95161872943251602</v>
      </c>
      <c r="R32">
        <v>1.4001112793297099E-2</v>
      </c>
      <c r="S32" s="20">
        <v>0.116423244826484</v>
      </c>
      <c r="T32">
        <v>0.12788791071038799</v>
      </c>
      <c r="U32">
        <v>0.12788791071038799</v>
      </c>
      <c r="V32">
        <v>0.37</v>
      </c>
      <c r="W32">
        <v>3.61</v>
      </c>
      <c r="X32">
        <v>272145</v>
      </c>
      <c r="Y32">
        <v>20934</v>
      </c>
      <c r="Z32">
        <v>1.08</v>
      </c>
      <c r="AA32">
        <v>13</v>
      </c>
      <c r="AB32">
        <v>8</v>
      </c>
      <c r="AC32">
        <v>5</v>
      </c>
      <c r="AD32">
        <v>61.54</v>
      </c>
      <c r="AE32">
        <v>12</v>
      </c>
      <c r="AF32">
        <v>6</v>
      </c>
      <c r="AG32">
        <v>2</v>
      </c>
      <c r="AH32">
        <v>5</v>
      </c>
    </row>
    <row r="33" spans="1:34">
      <c r="A33" s="110">
        <v>91</v>
      </c>
      <c r="B33">
        <v>6474</v>
      </c>
      <c r="C33" s="114" t="s">
        <v>363</v>
      </c>
      <c r="D33" s="114" t="s">
        <v>127</v>
      </c>
      <c r="E33">
        <v>4980</v>
      </c>
      <c r="F33">
        <v>4970</v>
      </c>
      <c r="G33">
        <v>200</v>
      </c>
      <c r="H33" s="114" t="s">
        <v>85</v>
      </c>
      <c r="I33">
        <v>6503</v>
      </c>
      <c r="J33" s="114" t="s">
        <v>364</v>
      </c>
      <c r="K33" s="114" t="s">
        <v>114</v>
      </c>
      <c r="L33">
        <v>1525</v>
      </c>
      <c r="M33">
        <v>1520</v>
      </c>
      <c r="N33">
        <v>700</v>
      </c>
      <c r="O33" s="114" t="s">
        <v>87</v>
      </c>
      <c r="P33">
        <v>0.93695356065957502</v>
      </c>
      <c r="Q33">
        <v>0.91817131232543603</v>
      </c>
      <c r="R33">
        <v>6.1411238278336298E-2</v>
      </c>
      <c r="S33" s="20">
        <v>2.0529722797078698E-2</v>
      </c>
      <c r="T33">
        <v>-0.68608167843697698</v>
      </c>
      <c r="U33">
        <v>0.68608167843697698</v>
      </c>
      <c r="V33">
        <v>-1.34</v>
      </c>
      <c r="W33">
        <v>7.04</v>
      </c>
      <c r="X33">
        <v>266206</v>
      </c>
      <c r="Y33">
        <v>20477</v>
      </c>
      <c r="Z33">
        <v>1.38</v>
      </c>
      <c r="AA33">
        <v>13</v>
      </c>
      <c r="AB33">
        <v>10</v>
      </c>
      <c r="AC33">
        <v>3</v>
      </c>
      <c r="AD33">
        <v>76.92</v>
      </c>
      <c r="AE33">
        <v>11</v>
      </c>
      <c r="AF33">
        <v>8</v>
      </c>
      <c r="AG33">
        <v>1</v>
      </c>
      <c r="AH33">
        <v>4</v>
      </c>
    </row>
    <row r="34" spans="1:34">
      <c r="A34" s="110">
        <v>89</v>
      </c>
      <c r="B34">
        <v>7259</v>
      </c>
      <c r="C34" s="114" t="s">
        <v>53</v>
      </c>
      <c r="D34" s="114" t="s">
        <v>111</v>
      </c>
      <c r="E34">
        <v>4170</v>
      </c>
      <c r="F34">
        <v>4140</v>
      </c>
      <c r="G34">
        <v>200</v>
      </c>
      <c r="H34" s="114" t="s">
        <v>87</v>
      </c>
      <c r="I34">
        <v>7278</v>
      </c>
      <c r="J34" s="114" t="s">
        <v>110</v>
      </c>
      <c r="K34" s="114" t="s">
        <v>111</v>
      </c>
      <c r="L34">
        <v>2409</v>
      </c>
      <c r="M34">
        <v>2482</v>
      </c>
      <c r="N34">
        <v>300</v>
      </c>
      <c r="O34" s="114" t="s">
        <v>85</v>
      </c>
      <c r="P34">
        <v>0.97850061895003904</v>
      </c>
      <c r="Q34">
        <v>0.91824840223850202</v>
      </c>
      <c r="R34">
        <v>0.26878410051302298</v>
      </c>
      <c r="S34">
        <v>0.29249814920624101</v>
      </c>
      <c r="T34">
        <v>0.25259332783677102</v>
      </c>
      <c r="U34">
        <v>0.25259332783677102</v>
      </c>
      <c r="V34">
        <v>0.91</v>
      </c>
      <c r="W34">
        <v>10.07</v>
      </c>
      <c r="X34">
        <v>265669</v>
      </c>
      <c r="Y34">
        <v>24152</v>
      </c>
      <c r="Z34">
        <v>1.6</v>
      </c>
      <c r="AA34">
        <v>11</v>
      </c>
      <c r="AB34">
        <v>9</v>
      </c>
      <c r="AC34">
        <v>2</v>
      </c>
      <c r="AD34">
        <v>81.819999999999993</v>
      </c>
      <c r="AE34">
        <v>14</v>
      </c>
      <c r="AF34">
        <v>3</v>
      </c>
      <c r="AG34">
        <v>1</v>
      </c>
      <c r="AH34">
        <v>7</v>
      </c>
    </row>
    <row r="35" spans="1:34">
      <c r="A35" s="110">
        <v>95</v>
      </c>
      <c r="B35">
        <v>1963</v>
      </c>
      <c r="C35" s="114" t="s">
        <v>160</v>
      </c>
      <c r="D35" s="114" t="s">
        <v>104</v>
      </c>
      <c r="E35">
        <v>1616</v>
      </c>
      <c r="F35">
        <v>1647</v>
      </c>
      <c r="G35">
        <v>600</v>
      </c>
      <c r="H35" s="114" t="s">
        <v>87</v>
      </c>
      <c r="I35">
        <v>7267</v>
      </c>
      <c r="J35" s="114" t="s">
        <v>146</v>
      </c>
      <c r="K35" s="114" t="s">
        <v>111</v>
      </c>
      <c r="L35">
        <v>3085</v>
      </c>
      <c r="M35">
        <v>3091</v>
      </c>
      <c r="N35">
        <v>300</v>
      </c>
      <c r="O35" s="114" t="s">
        <v>85</v>
      </c>
      <c r="P35">
        <v>0.92074745897958998</v>
      </c>
      <c r="Q35">
        <v>0.91730995296322404</v>
      </c>
      <c r="R35" s="20">
        <v>5.1599855504971003E-2</v>
      </c>
      <c r="S35">
        <v>2.0887235202244299E-4</v>
      </c>
      <c r="T35">
        <v>1.1814823812760999</v>
      </c>
      <c r="U35">
        <v>1.1814823812760999</v>
      </c>
      <c r="V35">
        <v>4.16</v>
      </c>
      <c r="W35">
        <v>6.57</v>
      </c>
      <c r="X35">
        <v>259201</v>
      </c>
      <c r="Y35">
        <v>12960</v>
      </c>
      <c r="Z35">
        <v>0.65</v>
      </c>
      <c r="AA35">
        <v>20</v>
      </c>
      <c r="AB35">
        <v>13</v>
      </c>
      <c r="AC35">
        <v>7</v>
      </c>
      <c r="AD35">
        <v>65</v>
      </c>
      <c r="AE35">
        <v>10</v>
      </c>
      <c r="AF35">
        <v>10</v>
      </c>
      <c r="AG35">
        <v>5</v>
      </c>
      <c r="AH35">
        <v>5</v>
      </c>
    </row>
    <row r="36" spans="1:34">
      <c r="A36" s="110">
        <v>76</v>
      </c>
      <c r="B36">
        <v>6457</v>
      </c>
      <c r="C36" s="114" t="s">
        <v>362</v>
      </c>
      <c r="D36" s="114" t="s">
        <v>127</v>
      </c>
      <c r="E36">
        <v>3290</v>
      </c>
      <c r="F36">
        <v>3340</v>
      </c>
      <c r="G36">
        <v>300</v>
      </c>
      <c r="H36" s="114" t="s">
        <v>87</v>
      </c>
      <c r="I36">
        <v>6925</v>
      </c>
      <c r="J36" s="114" t="s">
        <v>361</v>
      </c>
      <c r="K36" s="114" t="s">
        <v>114</v>
      </c>
      <c r="L36">
        <v>1626</v>
      </c>
      <c r="M36">
        <v>1643</v>
      </c>
      <c r="N36">
        <v>600</v>
      </c>
      <c r="O36" s="114" t="s">
        <v>85</v>
      </c>
      <c r="P36">
        <v>0.93124950857534805</v>
      </c>
      <c r="Q36">
        <v>0.92178180902069895</v>
      </c>
      <c r="R36">
        <v>2.4188267345678201E-2</v>
      </c>
      <c r="S36">
        <v>4.5547806895852902E-2</v>
      </c>
      <c r="T36">
        <v>7.0393782364237906E-2</v>
      </c>
      <c r="U36">
        <v>7.0393782364237906E-2</v>
      </c>
      <c r="V36">
        <v>0.19</v>
      </c>
      <c r="W36">
        <v>1.62</v>
      </c>
      <c r="X36">
        <v>257915</v>
      </c>
      <c r="Y36">
        <v>17194</v>
      </c>
      <c r="Z36">
        <v>1.01</v>
      </c>
      <c r="AA36">
        <v>15</v>
      </c>
      <c r="AB36">
        <v>10</v>
      </c>
      <c r="AC36">
        <v>5</v>
      </c>
      <c r="AD36">
        <v>66.67</v>
      </c>
      <c r="AE36">
        <v>11</v>
      </c>
      <c r="AF36">
        <v>7</v>
      </c>
      <c r="AG36">
        <v>4</v>
      </c>
      <c r="AH36">
        <v>4</v>
      </c>
    </row>
    <row r="37" spans="1:34">
      <c r="A37" s="110">
        <v>53</v>
      </c>
      <c r="B37">
        <v>4061</v>
      </c>
      <c r="C37" s="114" t="s">
        <v>151</v>
      </c>
      <c r="D37" s="114" t="s">
        <v>86</v>
      </c>
      <c r="E37">
        <v>3205</v>
      </c>
      <c r="F37">
        <v>3195</v>
      </c>
      <c r="G37">
        <v>300</v>
      </c>
      <c r="H37" s="114" t="s">
        <v>85</v>
      </c>
      <c r="I37">
        <v>4401</v>
      </c>
      <c r="J37" s="114" t="s">
        <v>365</v>
      </c>
      <c r="K37" s="114" t="s">
        <v>86</v>
      </c>
      <c r="L37">
        <v>1628</v>
      </c>
      <c r="M37">
        <v>1636</v>
      </c>
      <c r="N37">
        <v>600</v>
      </c>
      <c r="O37" s="114" t="s">
        <v>87</v>
      </c>
      <c r="P37">
        <v>0.94866717299222003</v>
      </c>
      <c r="Q37">
        <v>0.92906488445350499</v>
      </c>
      <c r="R37">
        <v>4.2201518006921498E-3</v>
      </c>
      <c r="S37">
        <v>7.6161017132209304E-4</v>
      </c>
      <c r="T37">
        <v>-1.7082585770848999</v>
      </c>
      <c r="U37">
        <v>1.7082585770848999</v>
      </c>
      <c r="V37">
        <v>-7.62</v>
      </c>
      <c r="W37">
        <v>2.41</v>
      </c>
      <c r="X37">
        <v>256424</v>
      </c>
      <c r="Y37">
        <v>17095</v>
      </c>
      <c r="Z37">
        <v>0.97</v>
      </c>
      <c r="AA37">
        <v>15</v>
      </c>
      <c r="AB37">
        <v>9</v>
      </c>
      <c r="AC37">
        <v>6</v>
      </c>
      <c r="AD37">
        <v>60</v>
      </c>
      <c r="AE37">
        <v>12</v>
      </c>
      <c r="AF37">
        <v>7</v>
      </c>
      <c r="AG37">
        <v>1</v>
      </c>
      <c r="AH37">
        <v>7</v>
      </c>
    </row>
    <row r="38" spans="1:34">
      <c r="A38" s="110">
        <v>113</v>
      </c>
      <c r="B38">
        <v>6752</v>
      </c>
      <c r="C38" s="114" t="s">
        <v>133</v>
      </c>
      <c r="D38" s="114" t="s">
        <v>114</v>
      </c>
      <c r="E38">
        <v>1021.5</v>
      </c>
      <c r="F38">
        <v>1034.5</v>
      </c>
      <c r="G38">
        <v>1100</v>
      </c>
      <c r="H38" s="114" t="s">
        <v>85</v>
      </c>
      <c r="I38">
        <v>7205</v>
      </c>
      <c r="J38" s="114" t="s">
        <v>145</v>
      </c>
      <c r="K38" s="114" t="s">
        <v>111</v>
      </c>
      <c r="L38">
        <v>1080</v>
      </c>
      <c r="M38">
        <v>1096</v>
      </c>
      <c r="N38">
        <v>1000</v>
      </c>
      <c r="O38" s="114" t="s">
        <v>87</v>
      </c>
      <c r="P38">
        <v>0.94119152840813103</v>
      </c>
      <c r="Q38">
        <v>0.91243867748004004</v>
      </c>
      <c r="R38">
        <v>0.18453672923608799</v>
      </c>
      <c r="S38">
        <v>5.9431281213906097E-2</v>
      </c>
      <c r="T38">
        <v>-0.67478187197351103</v>
      </c>
      <c r="U38">
        <v>0.67478187197351103</v>
      </c>
      <c r="V38">
        <v>-1.99</v>
      </c>
      <c r="W38">
        <v>3.83</v>
      </c>
      <c r="X38">
        <v>255537</v>
      </c>
      <c r="Y38">
        <v>17036</v>
      </c>
      <c r="Z38">
        <v>0.81</v>
      </c>
      <c r="AA38">
        <v>15</v>
      </c>
      <c r="AB38">
        <v>10</v>
      </c>
      <c r="AC38">
        <v>5</v>
      </c>
      <c r="AD38">
        <v>66.67</v>
      </c>
      <c r="AE38">
        <v>13</v>
      </c>
      <c r="AF38">
        <v>6</v>
      </c>
      <c r="AG38">
        <v>1</v>
      </c>
      <c r="AH38">
        <v>8</v>
      </c>
    </row>
    <row r="39" spans="1:34">
      <c r="A39" s="110">
        <v>110</v>
      </c>
      <c r="B39">
        <v>6807</v>
      </c>
      <c r="C39" s="114" t="s">
        <v>395</v>
      </c>
      <c r="D39" s="114" t="s">
        <v>114</v>
      </c>
      <c r="E39">
        <v>2104</v>
      </c>
      <c r="F39">
        <v>2226</v>
      </c>
      <c r="G39">
        <v>300</v>
      </c>
      <c r="H39" s="114" t="s">
        <v>87</v>
      </c>
      <c r="I39">
        <v>9706</v>
      </c>
      <c r="J39" s="114" t="s">
        <v>397</v>
      </c>
      <c r="K39" s="114" t="s">
        <v>142</v>
      </c>
      <c r="L39">
        <v>5730</v>
      </c>
      <c r="M39">
        <v>5780</v>
      </c>
      <c r="N39">
        <v>100</v>
      </c>
      <c r="O39" s="114" t="s">
        <v>85</v>
      </c>
      <c r="P39">
        <v>0.90098781510804304</v>
      </c>
      <c r="Q39">
        <v>0.913074356322509</v>
      </c>
      <c r="R39">
        <v>9.6238171232407202E-2</v>
      </c>
      <c r="S39">
        <v>1.80809213641469E-2</v>
      </c>
      <c r="T39">
        <v>1.4472447314386701</v>
      </c>
      <c r="U39">
        <v>1.4472447314386701</v>
      </c>
      <c r="V39">
        <v>8.58</v>
      </c>
      <c r="W39">
        <v>15.54</v>
      </c>
      <c r="X39">
        <v>252142</v>
      </c>
      <c r="Y39">
        <v>14008</v>
      </c>
      <c r="Z39">
        <v>0.88</v>
      </c>
      <c r="AA39">
        <v>18</v>
      </c>
      <c r="AB39">
        <v>11</v>
      </c>
      <c r="AC39">
        <v>7</v>
      </c>
      <c r="AD39">
        <v>61.11</v>
      </c>
      <c r="AE39">
        <v>10</v>
      </c>
      <c r="AF39">
        <v>9</v>
      </c>
      <c r="AG39">
        <v>5</v>
      </c>
      <c r="AH39">
        <v>4</v>
      </c>
    </row>
    <row r="40" spans="1:34">
      <c r="A40" s="110">
        <v>2</v>
      </c>
      <c r="B40">
        <v>6988</v>
      </c>
      <c r="C40" s="114" t="s">
        <v>169</v>
      </c>
      <c r="D40" s="114" t="s">
        <v>86</v>
      </c>
      <c r="E40">
        <v>6060</v>
      </c>
      <c r="F40">
        <v>6060</v>
      </c>
      <c r="G40">
        <v>100</v>
      </c>
      <c r="H40" s="114" t="s">
        <v>85</v>
      </c>
      <c r="I40">
        <v>7282</v>
      </c>
      <c r="J40" s="114" t="s">
        <v>1056</v>
      </c>
      <c r="K40" s="114" t="s">
        <v>111</v>
      </c>
      <c r="L40">
        <v>2574</v>
      </c>
      <c r="M40">
        <v>2623</v>
      </c>
      <c r="N40">
        <v>200</v>
      </c>
      <c r="O40" s="114" t="s">
        <v>87</v>
      </c>
      <c r="P40">
        <v>0.96459423017978096</v>
      </c>
      <c r="Q40">
        <v>0.96121967809367004</v>
      </c>
      <c r="R40">
        <v>2.9013935778656299E-3</v>
      </c>
      <c r="S40" s="20">
        <v>1.7804727625442901E-5</v>
      </c>
      <c r="T40">
        <v>-2.4246047569430198</v>
      </c>
      <c r="U40">
        <v>2.4246047569430198</v>
      </c>
      <c r="V40">
        <v>-6.36</v>
      </c>
      <c r="W40">
        <v>13.43</v>
      </c>
      <c r="X40">
        <v>241866</v>
      </c>
      <c r="Y40">
        <v>16124</v>
      </c>
      <c r="Z40">
        <v>0.86</v>
      </c>
      <c r="AA40">
        <v>15</v>
      </c>
      <c r="AB40">
        <v>11</v>
      </c>
      <c r="AC40">
        <v>4</v>
      </c>
      <c r="AD40">
        <v>73.33</v>
      </c>
      <c r="AE40">
        <v>11</v>
      </c>
      <c r="AF40">
        <v>9</v>
      </c>
      <c r="AG40">
        <v>3</v>
      </c>
      <c r="AH40">
        <v>3</v>
      </c>
    </row>
    <row r="41" spans="1:34">
      <c r="A41" s="110">
        <v>13</v>
      </c>
      <c r="B41">
        <v>5471</v>
      </c>
      <c r="C41" s="114" t="s">
        <v>351</v>
      </c>
      <c r="D41" s="114" t="s">
        <v>120</v>
      </c>
      <c r="E41">
        <v>4855</v>
      </c>
      <c r="F41">
        <v>4885</v>
      </c>
      <c r="G41">
        <v>200</v>
      </c>
      <c r="H41" s="114" t="s">
        <v>85</v>
      </c>
      <c r="I41">
        <v>6995</v>
      </c>
      <c r="J41" s="114" t="s">
        <v>119</v>
      </c>
      <c r="K41" s="114" t="s">
        <v>111</v>
      </c>
      <c r="L41">
        <v>2092</v>
      </c>
      <c r="M41">
        <v>2127</v>
      </c>
      <c r="N41">
        <v>500</v>
      </c>
      <c r="O41" s="114" t="s">
        <v>87</v>
      </c>
      <c r="P41">
        <v>0.92562494643333404</v>
      </c>
      <c r="Q41">
        <v>0.94782035029999101</v>
      </c>
      <c r="R41">
        <v>0.26648877873543902</v>
      </c>
      <c r="S41">
        <v>3.27163636680457E-2</v>
      </c>
      <c r="T41">
        <v>-1.04129188673255</v>
      </c>
      <c r="U41">
        <v>1.04129188673255</v>
      </c>
      <c r="V41">
        <v>-2.78</v>
      </c>
      <c r="W41">
        <v>8.85</v>
      </c>
      <c r="X41">
        <v>238619</v>
      </c>
      <c r="Y41">
        <v>15908</v>
      </c>
      <c r="Z41">
        <v>0.93</v>
      </c>
      <c r="AA41">
        <v>15</v>
      </c>
      <c r="AB41">
        <v>8</v>
      </c>
      <c r="AC41">
        <v>7</v>
      </c>
      <c r="AD41">
        <v>53.33</v>
      </c>
      <c r="AE41">
        <v>12</v>
      </c>
      <c r="AF41">
        <v>6</v>
      </c>
      <c r="AG41">
        <v>2</v>
      </c>
      <c r="AH41">
        <v>7</v>
      </c>
    </row>
    <row r="42" spans="1:34">
      <c r="A42" s="110">
        <v>108</v>
      </c>
      <c r="B42">
        <v>4202</v>
      </c>
      <c r="C42" s="114" t="s">
        <v>117</v>
      </c>
      <c r="D42" s="114" t="s">
        <v>86</v>
      </c>
      <c r="E42">
        <v>1078</v>
      </c>
      <c r="F42">
        <v>1065</v>
      </c>
      <c r="G42">
        <v>900</v>
      </c>
      <c r="H42" s="114" t="s">
        <v>85</v>
      </c>
      <c r="I42">
        <v>7278</v>
      </c>
      <c r="J42" s="114" t="s">
        <v>110</v>
      </c>
      <c r="K42" s="114" t="s">
        <v>111</v>
      </c>
      <c r="L42">
        <v>2409</v>
      </c>
      <c r="M42">
        <v>2482</v>
      </c>
      <c r="N42">
        <v>400</v>
      </c>
      <c r="O42" s="114" t="s">
        <v>87</v>
      </c>
      <c r="P42">
        <v>0.93424060104740803</v>
      </c>
      <c r="Q42">
        <v>0.91330229504442695</v>
      </c>
      <c r="R42">
        <v>5.5497504503024597E-2</v>
      </c>
      <c r="S42" s="20">
        <v>0.33329842130943399</v>
      </c>
      <c r="T42">
        <v>-2.7845176968761799E-2</v>
      </c>
      <c r="U42">
        <v>2.7845176968761799E-2</v>
      </c>
      <c r="V42">
        <v>-0.1</v>
      </c>
      <c r="W42">
        <v>3.45</v>
      </c>
      <c r="X42">
        <v>234049</v>
      </c>
      <c r="Y42">
        <v>11702</v>
      </c>
      <c r="Z42">
        <v>0.56999999999999995</v>
      </c>
      <c r="AA42">
        <v>20</v>
      </c>
      <c r="AB42">
        <v>12</v>
      </c>
      <c r="AC42">
        <v>8</v>
      </c>
      <c r="AD42">
        <v>60</v>
      </c>
      <c r="AE42">
        <v>12</v>
      </c>
      <c r="AF42">
        <v>7</v>
      </c>
      <c r="AG42">
        <v>5</v>
      </c>
      <c r="AH42">
        <v>8</v>
      </c>
    </row>
    <row r="43" spans="1:34">
      <c r="A43" s="110">
        <v>112</v>
      </c>
      <c r="B43">
        <v>7167</v>
      </c>
      <c r="C43" s="114" t="s">
        <v>128</v>
      </c>
      <c r="D43" s="114" t="s">
        <v>109</v>
      </c>
      <c r="E43">
        <v>278</v>
      </c>
      <c r="F43">
        <v>281</v>
      </c>
      <c r="G43">
        <v>3700</v>
      </c>
      <c r="H43" s="114" t="s">
        <v>85</v>
      </c>
      <c r="I43">
        <v>9505</v>
      </c>
      <c r="J43" s="114" t="s">
        <v>153</v>
      </c>
      <c r="K43" s="114" t="s">
        <v>154</v>
      </c>
      <c r="L43">
        <v>777</v>
      </c>
      <c r="M43">
        <v>790</v>
      </c>
      <c r="N43">
        <v>1300</v>
      </c>
      <c r="O43" s="114" t="s">
        <v>87</v>
      </c>
      <c r="P43">
        <v>0.91450301140425905</v>
      </c>
      <c r="Q43">
        <v>0.912897668353022</v>
      </c>
      <c r="R43">
        <v>0.22118440063714501</v>
      </c>
      <c r="S43">
        <v>2.7807914942062702E-2</v>
      </c>
      <c r="T43">
        <v>-0.73490846063652104</v>
      </c>
      <c r="U43">
        <v>0.73490846063652104</v>
      </c>
      <c r="V43">
        <v>-1.49</v>
      </c>
      <c r="W43">
        <v>1.24</v>
      </c>
      <c r="X43">
        <v>224925</v>
      </c>
      <c r="Y43">
        <v>13231</v>
      </c>
      <c r="Z43">
        <v>0.62</v>
      </c>
      <c r="AA43">
        <v>17</v>
      </c>
      <c r="AB43">
        <v>8</v>
      </c>
      <c r="AC43">
        <v>9</v>
      </c>
      <c r="AD43">
        <v>47.06</v>
      </c>
      <c r="AE43">
        <v>14</v>
      </c>
      <c r="AF43">
        <v>5</v>
      </c>
      <c r="AG43">
        <v>2</v>
      </c>
      <c r="AH43">
        <v>10</v>
      </c>
    </row>
    <row r="44" spans="1:34">
      <c r="A44" s="110">
        <v>57</v>
      </c>
      <c r="B44">
        <v>4519</v>
      </c>
      <c r="C44" s="114" t="s">
        <v>1057</v>
      </c>
      <c r="D44" s="114" t="s">
        <v>166</v>
      </c>
      <c r="E44">
        <v>9639</v>
      </c>
      <c r="F44">
        <v>9690</v>
      </c>
      <c r="G44">
        <v>100</v>
      </c>
      <c r="H44" s="114" t="s">
        <v>85</v>
      </c>
      <c r="I44">
        <v>6588</v>
      </c>
      <c r="J44" s="114" t="s">
        <v>1058</v>
      </c>
      <c r="K44" s="114" t="s">
        <v>114</v>
      </c>
      <c r="L44">
        <v>4435</v>
      </c>
      <c r="M44">
        <v>4465</v>
      </c>
      <c r="N44">
        <v>200</v>
      </c>
      <c r="O44" s="114" t="s">
        <v>87</v>
      </c>
      <c r="P44">
        <v>0.94575341800906898</v>
      </c>
      <c r="Q44">
        <v>0.92671716048216002</v>
      </c>
      <c r="R44">
        <v>0.23004650220545</v>
      </c>
      <c r="S44">
        <v>0.114706651628359</v>
      </c>
      <c r="T44">
        <v>-1.42741599698194</v>
      </c>
      <c r="U44">
        <v>1.42741599698194</v>
      </c>
      <c r="V44">
        <v>-8.17</v>
      </c>
      <c r="W44">
        <v>7.84</v>
      </c>
      <c r="X44">
        <v>222279</v>
      </c>
      <c r="Y44">
        <v>13892</v>
      </c>
      <c r="Z44">
        <v>0.92</v>
      </c>
      <c r="AA44">
        <v>16</v>
      </c>
      <c r="AB44">
        <v>10</v>
      </c>
      <c r="AC44">
        <v>6</v>
      </c>
      <c r="AD44">
        <v>62.5</v>
      </c>
      <c r="AE44">
        <v>11</v>
      </c>
      <c r="AF44">
        <v>7</v>
      </c>
      <c r="AG44">
        <v>4</v>
      </c>
      <c r="AH44">
        <v>5</v>
      </c>
    </row>
    <row r="45" spans="1:34">
      <c r="A45" s="110">
        <v>90</v>
      </c>
      <c r="B45">
        <v>1333</v>
      </c>
      <c r="C45" s="114" t="s">
        <v>383</v>
      </c>
      <c r="D45" s="114" t="s">
        <v>384</v>
      </c>
      <c r="E45">
        <v>2830</v>
      </c>
      <c r="F45">
        <v>2860</v>
      </c>
      <c r="G45">
        <v>300</v>
      </c>
      <c r="H45" s="114" t="s">
        <v>85</v>
      </c>
      <c r="I45">
        <v>5901</v>
      </c>
      <c r="J45" s="114" t="s">
        <v>371</v>
      </c>
      <c r="K45" s="114" t="s">
        <v>144</v>
      </c>
      <c r="L45">
        <v>1899</v>
      </c>
      <c r="M45">
        <v>1899</v>
      </c>
      <c r="N45">
        <v>500</v>
      </c>
      <c r="O45" s="114" t="s">
        <v>87</v>
      </c>
      <c r="P45">
        <v>0.90625744269177699</v>
      </c>
      <c r="Q45">
        <v>0.91822934163673897</v>
      </c>
      <c r="R45" s="20">
        <v>1.2997725822975501E-6</v>
      </c>
      <c r="S45">
        <v>0.15338670394335599</v>
      </c>
      <c r="T45">
        <v>-1.22477492493528</v>
      </c>
      <c r="U45">
        <v>1.22477492493528</v>
      </c>
      <c r="V45">
        <v>-7.28</v>
      </c>
      <c r="W45">
        <v>10.66</v>
      </c>
      <c r="X45">
        <v>219773</v>
      </c>
      <c r="Y45">
        <v>13736</v>
      </c>
      <c r="Z45">
        <v>0.77</v>
      </c>
      <c r="AA45">
        <v>16</v>
      </c>
      <c r="AB45">
        <v>11</v>
      </c>
      <c r="AC45">
        <v>5</v>
      </c>
      <c r="AD45">
        <v>68.75</v>
      </c>
      <c r="AE45">
        <v>12</v>
      </c>
      <c r="AF45">
        <v>5</v>
      </c>
      <c r="AG45">
        <v>3</v>
      </c>
      <c r="AH45">
        <v>8</v>
      </c>
    </row>
    <row r="46" spans="1:34">
      <c r="A46" s="110">
        <v>75</v>
      </c>
      <c r="B46">
        <v>3635</v>
      </c>
      <c r="C46" s="114" t="s">
        <v>112</v>
      </c>
      <c r="D46" s="114" t="s">
        <v>106</v>
      </c>
      <c r="E46">
        <v>2634</v>
      </c>
      <c r="F46">
        <v>2631</v>
      </c>
      <c r="G46">
        <v>400</v>
      </c>
      <c r="H46" s="114" t="s">
        <v>87</v>
      </c>
      <c r="I46">
        <v>8593</v>
      </c>
      <c r="J46" s="114" t="s">
        <v>359</v>
      </c>
      <c r="K46" s="114" t="s">
        <v>343</v>
      </c>
      <c r="L46">
        <v>683</v>
      </c>
      <c r="M46">
        <v>696</v>
      </c>
      <c r="N46">
        <v>1500</v>
      </c>
      <c r="O46" s="114" t="s">
        <v>85</v>
      </c>
      <c r="P46">
        <v>0.90638983696339404</v>
      </c>
      <c r="Q46">
        <v>0.92214522968625301</v>
      </c>
      <c r="R46">
        <v>7.79801386753399E-2</v>
      </c>
      <c r="S46">
        <v>4.6568270533981902E-2</v>
      </c>
      <c r="T46">
        <v>1.1165667531144801</v>
      </c>
      <c r="U46">
        <v>1.1165667531144801</v>
      </c>
      <c r="V46">
        <v>2.76</v>
      </c>
      <c r="W46">
        <v>0.8</v>
      </c>
      <c r="X46">
        <v>218633</v>
      </c>
      <c r="Y46">
        <v>12861</v>
      </c>
      <c r="Z46">
        <v>0.62</v>
      </c>
      <c r="AA46">
        <v>17</v>
      </c>
      <c r="AB46">
        <v>10</v>
      </c>
      <c r="AC46">
        <v>7</v>
      </c>
      <c r="AD46">
        <v>58.82</v>
      </c>
      <c r="AE46">
        <v>12</v>
      </c>
      <c r="AF46">
        <v>7</v>
      </c>
      <c r="AG46">
        <v>4</v>
      </c>
      <c r="AH46">
        <v>6</v>
      </c>
    </row>
    <row r="47" spans="1:34">
      <c r="A47" s="110">
        <v>100</v>
      </c>
      <c r="B47">
        <v>1860</v>
      </c>
      <c r="C47" s="114" t="s">
        <v>139</v>
      </c>
      <c r="D47" s="114" t="s">
        <v>104</v>
      </c>
      <c r="E47">
        <v>675</v>
      </c>
      <c r="F47">
        <v>690</v>
      </c>
      <c r="G47">
        <v>1300</v>
      </c>
      <c r="H47" s="114" t="s">
        <v>85</v>
      </c>
      <c r="I47">
        <v>7272</v>
      </c>
      <c r="J47" s="114" t="s">
        <v>345</v>
      </c>
      <c r="K47" s="114" t="s">
        <v>111</v>
      </c>
      <c r="L47">
        <v>2231</v>
      </c>
      <c r="M47">
        <v>2259</v>
      </c>
      <c r="N47">
        <v>400</v>
      </c>
      <c r="O47" s="114" t="s">
        <v>87</v>
      </c>
      <c r="P47">
        <v>0.91823378772270203</v>
      </c>
      <c r="Q47">
        <v>0.91464862791751</v>
      </c>
      <c r="R47">
        <v>0.241906623443087</v>
      </c>
      <c r="S47">
        <v>2.6916987427755899E-3</v>
      </c>
      <c r="T47">
        <v>-0.91274945604817703</v>
      </c>
      <c r="U47">
        <v>0.91274945604817703</v>
      </c>
      <c r="V47">
        <v>-3.51</v>
      </c>
      <c r="W47">
        <v>0.73</v>
      </c>
      <c r="X47">
        <v>215662</v>
      </c>
      <c r="Y47">
        <v>11351</v>
      </c>
      <c r="Z47">
        <v>0.54</v>
      </c>
      <c r="AA47">
        <v>19</v>
      </c>
      <c r="AB47">
        <v>11</v>
      </c>
      <c r="AC47">
        <v>8</v>
      </c>
      <c r="AD47">
        <v>57.89</v>
      </c>
      <c r="AE47">
        <v>11</v>
      </c>
      <c r="AF47">
        <v>10</v>
      </c>
      <c r="AG47">
        <v>5</v>
      </c>
      <c r="AH47">
        <v>4</v>
      </c>
    </row>
    <row r="48" spans="1:34">
      <c r="A48" s="110">
        <v>161</v>
      </c>
      <c r="B48">
        <v>5463</v>
      </c>
      <c r="C48" s="114" t="s">
        <v>172</v>
      </c>
      <c r="D48" s="114" t="s">
        <v>120</v>
      </c>
      <c r="E48">
        <v>3180</v>
      </c>
      <c r="F48">
        <v>3150</v>
      </c>
      <c r="G48">
        <v>300</v>
      </c>
      <c r="H48" s="114" t="s">
        <v>85</v>
      </c>
      <c r="I48">
        <v>5991</v>
      </c>
      <c r="J48" s="114" t="s">
        <v>143</v>
      </c>
      <c r="K48" s="114" t="s">
        <v>144</v>
      </c>
      <c r="L48">
        <v>975</v>
      </c>
      <c r="M48">
        <v>988</v>
      </c>
      <c r="N48">
        <v>1000</v>
      </c>
      <c r="O48" s="114" t="s">
        <v>87</v>
      </c>
      <c r="P48">
        <v>0.94365969431022501</v>
      </c>
      <c r="Q48">
        <v>0.90174669069610602</v>
      </c>
      <c r="R48">
        <v>1.0019777902261899E-2</v>
      </c>
      <c r="S48">
        <v>0.28810905004089998</v>
      </c>
      <c r="T48">
        <v>-1.3572864141865499</v>
      </c>
      <c r="U48">
        <v>1.3572864141865499</v>
      </c>
      <c r="V48">
        <v>-6.13</v>
      </c>
      <c r="W48">
        <v>4.55</v>
      </c>
      <c r="X48">
        <v>212896</v>
      </c>
      <c r="Y48">
        <v>12523</v>
      </c>
      <c r="Z48">
        <v>0.62</v>
      </c>
      <c r="AA48">
        <v>17</v>
      </c>
      <c r="AB48">
        <v>11</v>
      </c>
      <c r="AC48">
        <v>6</v>
      </c>
      <c r="AD48">
        <v>64.709999999999994</v>
      </c>
      <c r="AE48">
        <v>11</v>
      </c>
      <c r="AF48">
        <v>6</v>
      </c>
      <c r="AG48">
        <v>3</v>
      </c>
      <c r="AH48">
        <v>8</v>
      </c>
    </row>
    <row r="49" spans="1:34">
      <c r="A49" s="110">
        <v>129</v>
      </c>
      <c r="B49">
        <v>3105</v>
      </c>
      <c r="C49" s="114" t="s">
        <v>118</v>
      </c>
      <c r="D49" s="114" t="s">
        <v>114</v>
      </c>
      <c r="E49">
        <v>1000</v>
      </c>
      <c r="F49">
        <v>1016</v>
      </c>
      <c r="G49">
        <v>1000</v>
      </c>
      <c r="H49" s="114" t="s">
        <v>85</v>
      </c>
      <c r="I49">
        <v>6770</v>
      </c>
      <c r="J49" s="114" t="s">
        <v>50</v>
      </c>
      <c r="K49" s="114" t="s">
        <v>114</v>
      </c>
      <c r="L49">
        <v>2446</v>
      </c>
      <c r="M49">
        <v>2445</v>
      </c>
      <c r="N49">
        <v>400</v>
      </c>
      <c r="O49" s="114" t="s">
        <v>87</v>
      </c>
      <c r="P49">
        <v>0.94387004084502601</v>
      </c>
      <c r="Q49">
        <v>0.90913770535870297</v>
      </c>
      <c r="R49">
        <v>0.13870279193132701</v>
      </c>
      <c r="S49">
        <v>7.5999064804362901E-2</v>
      </c>
      <c r="T49">
        <v>-8.0476283779348595E-2</v>
      </c>
      <c r="U49">
        <v>8.0476283779348595E-2</v>
      </c>
      <c r="V49">
        <v>-0.34</v>
      </c>
      <c r="W49">
        <v>3.89</v>
      </c>
      <c r="X49">
        <v>211945</v>
      </c>
      <c r="Y49">
        <v>10093</v>
      </c>
      <c r="Z49">
        <v>0.54</v>
      </c>
      <c r="AA49">
        <v>21</v>
      </c>
      <c r="AB49">
        <v>12</v>
      </c>
      <c r="AC49">
        <v>9</v>
      </c>
      <c r="AD49">
        <v>57.14</v>
      </c>
      <c r="AE49">
        <v>9</v>
      </c>
      <c r="AF49">
        <v>11</v>
      </c>
      <c r="AG49">
        <v>7</v>
      </c>
      <c r="AH49">
        <v>3</v>
      </c>
    </row>
    <row r="50" spans="1:34">
      <c r="A50" s="110">
        <v>84</v>
      </c>
      <c r="B50">
        <v>6674</v>
      </c>
      <c r="C50" s="114" t="s">
        <v>387</v>
      </c>
      <c r="D50" s="114" t="s">
        <v>114</v>
      </c>
      <c r="E50">
        <v>2276</v>
      </c>
      <c r="F50">
        <v>2281</v>
      </c>
      <c r="G50">
        <v>400</v>
      </c>
      <c r="H50" s="114" t="s">
        <v>87</v>
      </c>
      <c r="I50">
        <v>6752</v>
      </c>
      <c r="J50" s="114" t="s">
        <v>133</v>
      </c>
      <c r="K50" s="114" t="s">
        <v>114</v>
      </c>
      <c r="L50">
        <v>1021.5</v>
      </c>
      <c r="M50">
        <v>1034.5</v>
      </c>
      <c r="N50">
        <v>900</v>
      </c>
      <c r="O50" s="114" t="s">
        <v>85</v>
      </c>
      <c r="P50">
        <v>0.945861572513783</v>
      </c>
      <c r="Q50">
        <v>0.919473767030068</v>
      </c>
      <c r="R50">
        <v>0.26216959708316001</v>
      </c>
      <c r="S50">
        <v>0.24788723295651499</v>
      </c>
      <c r="T50">
        <v>0.61197539669132195</v>
      </c>
      <c r="U50">
        <v>0.61197539669132195</v>
      </c>
      <c r="V50">
        <v>1.9</v>
      </c>
      <c r="W50">
        <v>2.04</v>
      </c>
      <c r="X50">
        <v>208764</v>
      </c>
      <c r="Y50">
        <v>13048</v>
      </c>
      <c r="Z50">
        <v>0.75</v>
      </c>
      <c r="AA50">
        <v>16</v>
      </c>
      <c r="AB50">
        <v>10</v>
      </c>
      <c r="AC50">
        <v>6</v>
      </c>
      <c r="AD50">
        <v>62.5</v>
      </c>
      <c r="AE50">
        <v>12</v>
      </c>
      <c r="AF50">
        <v>6</v>
      </c>
      <c r="AG50">
        <v>2</v>
      </c>
      <c r="AH50">
        <v>8</v>
      </c>
    </row>
    <row r="51" spans="1:34">
      <c r="A51" s="110">
        <v>117</v>
      </c>
      <c r="B51">
        <v>5333</v>
      </c>
      <c r="C51" s="114" t="s">
        <v>394</v>
      </c>
      <c r="D51" s="114" t="s">
        <v>134</v>
      </c>
      <c r="E51">
        <v>1822</v>
      </c>
      <c r="F51">
        <v>1859</v>
      </c>
      <c r="G51">
        <v>600</v>
      </c>
      <c r="H51" s="114" t="s">
        <v>87</v>
      </c>
      <c r="I51">
        <v>6995</v>
      </c>
      <c r="J51" s="114" t="s">
        <v>119</v>
      </c>
      <c r="K51" s="114" t="s">
        <v>111</v>
      </c>
      <c r="L51">
        <v>2092</v>
      </c>
      <c r="M51">
        <v>2127</v>
      </c>
      <c r="N51">
        <v>500</v>
      </c>
      <c r="O51" s="114" t="s">
        <v>85</v>
      </c>
      <c r="P51">
        <v>0.96956259981084503</v>
      </c>
      <c r="Q51">
        <v>0.91152524310365102</v>
      </c>
      <c r="R51">
        <v>4.6398175865529502E-2</v>
      </c>
      <c r="S51">
        <v>2.4191615499477698E-2</v>
      </c>
      <c r="T51">
        <v>0.99391233433743498</v>
      </c>
      <c r="U51">
        <v>0.99391233433743498</v>
      </c>
      <c r="V51">
        <v>2.77</v>
      </c>
      <c r="W51">
        <v>4.88</v>
      </c>
      <c r="X51">
        <v>207740</v>
      </c>
      <c r="Y51">
        <v>11541</v>
      </c>
      <c r="Z51">
        <v>0.59</v>
      </c>
      <c r="AA51">
        <v>18</v>
      </c>
      <c r="AB51">
        <v>12</v>
      </c>
      <c r="AC51">
        <v>6</v>
      </c>
      <c r="AD51">
        <v>66.67</v>
      </c>
      <c r="AE51">
        <v>15</v>
      </c>
      <c r="AF51">
        <v>4</v>
      </c>
      <c r="AG51">
        <v>2</v>
      </c>
      <c r="AH51">
        <v>12</v>
      </c>
    </row>
    <row r="52" spans="1:34">
      <c r="A52" s="110">
        <v>135</v>
      </c>
      <c r="B52">
        <v>4183</v>
      </c>
      <c r="C52" s="114" t="s">
        <v>348</v>
      </c>
      <c r="D52" s="114" t="s">
        <v>86</v>
      </c>
      <c r="E52">
        <v>2609</v>
      </c>
      <c r="F52">
        <v>2602</v>
      </c>
      <c r="G52">
        <v>400</v>
      </c>
      <c r="H52" s="114" t="s">
        <v>85</v>
      </c>
      <c r="I52">
        <v>4208</v>
      </c>
      <c r="J52" s="114" t="s">
        <v>126</v>
      </c>
      <c r="K52" s="114" t="s">
        <v>86</v>
      </c>
      <c r="L52">
        <v>2337</v>
      </c>
      <c r="M52">
        <v>2345</v>
      </c>
      <c r="N52">
        <v>400</v>
      </c>
      <c r="O52" s="114" t="s">
        <v>87</v>
      </c>
      <c r="P52">
        <v>0.95043222410653505</v>
      </c>
      <c r="Q52">
        <v>0.90784034104734301</v>
      </c>
      <c r="R52">
        <v>2.5257493972383402E-3</v>
      </c>
      <c r="S52">
        <v>4.5616097910222697E-2</v>
      </c>
      <c r="T52">
        <v>-1.00529727812808</v>
      </c>
      <c r="U52">
        <v>1.00529727812808</v>
      </c>
      <c r="V52">
        <v>-1.5</v>
      </c>
      <c r="W52">
        <v>9.8800000000000008</v>
      </c>
      <c r="X52">
        <v>207621</v>
      </c>
      <c r="Y52">
        <v>20762</v>
      </c>
      <c r="Z52">
        <v>1.0900000000000001</v>
      </c>
      <c r="AA52">
        <v>10</v>
      </c>
      <c r="AB52">
        <v>9</v>
      </c>
      <c r="AC52">
        <v>1</v>
      </c>
      <c r="AD52">
        <v>90</v>
      </c>
      <c r="AE52">
        <v>14</v>
      </c>
      <c r="AF52">
        <v>3</v>
      </c>
      <c r="AG52">
        <v>0</v>
      </c>
      <c r="AH52">
        <v>7</v>
      </c>
    </row>
    <row r="53" spans="1:34">
      <c r="A53" s="110">
        <v>32</v>
      </c>
      <c r="B53">
        <v>3291</v>
      </c>
      <c r="C53" s="114" t="s">
        <v>141</v>
      </c>
      <c r="D53" s="114" t="s">
        <v>142</v>
      </c>
      <c r="E53">
        <v>1915</v>
      </c>
      <c r="F53">
        <v>1940</v>
      </c>
      <c r="G53">
        <v>500</v>
      </c>
      <c r="H53" s="114" t="s">
        <v>87</v>
      </c>
      <c r="I53">
        <v>8086</v>
      </c>
      <c r="J53" s="114" t="s">
        <v>346</v>
      </c>
      <c r="K53" s="114" t="s">
        <v>121</v>
      </c>
      <c r="L53">
        <v>1297</v>
      </c>
      <c r="M53">
        <v>1301</v>
      </c>
      <c r="N53">
        <v>700</v>
      </c>
      <c r="O53" s="114" t="s">
        <v>85</v>
      </c>
      <c r="P53">
        <v>0.90737056765598001</v>
      </c>
      <c r="Q53">
        <v>0.93974753927740196</v>
      </c>
      <c r="R53" s="20">
        <v>1.11046327605388E-2</v>
      </c>
      <c r="S53">
        <v>9.73726257167931E-4</v>
      </c>
      <c r="T53">
        <v>1.3414639902155601</v>
      </c>
      <c r="U53">
        <v>1.3414639902155601</v>
      </c>
      <c r="V53">
        <v>3.05</v>
      </c>
      <c r="W53">
        <v>6.11</v>
      </c>
      <c r="X53">
        <v>204433</v>
      </c>
      <c r="Y53">
        <v>17036</v>
      </c>
      <c r="Z53">
        <v>0.89</v>
      </c>
      <c r="AA53">
        <v>12</v>
      </c>
      <c r="AB53">
        <v>8</v>
      </c>
      <c r="AC53">
        <v>4</v>
      </c>
      <c r="AD53">
        <v>66.67</v>
      </c>
      <c r="AE53">
        <v>10</v>
      </c>
      <c r="AF53">
        <v>6</v>
      </c>
      <c r="AG53">
        <v>3</v>
      </c>
      <c r="AH53">
        <v>3</v>
      </c>
    </row>
    <row r="54" spans="1:34">
      <c r="A54" s="110">
        <v>54</v>
      </c>
      <c r="B54">
        <v>6807</v>
      </c>
      <c r="C54" s="114" t="s">
        <v>395</v>
      </c>
      <c r="D54" s="114" t="s">
        <v>114</v>
      </c>
      <c r="E54">
        <v>2104</v>
      </c>
      <c r="F54">
        <v>2226</v>
      </c>
      <c r="G54">
        <v>400</v>
      </c>
      <c r="H54" s="114" t="s">
        <v>85</v>
      </c>
      <c r="I54">
        <v>7274</v>
      </c>
      <c r="J54" s="114" t="s">
        <v>396</v>
      </c>
      <c r="K54" s="114" t="s">
        <v>111</v>
      </c>
      <c r="L54">
        <v>2278</v>
      </c>
      <c r="M54">
        <v>2276</v>
      </c>
      <c r="N54">
        <v>400</v>
      </c>
      <c r="O54" s="114" t="s">
        <v>87</v>
      </c>
      <c r="P54">
        <v>0.98475004262202204</v>
      </c>
      <c r="Q54">
        <v>0.92817204661387298</v>
      </c>
      <c r="R54" s="20">
        <v>4.9843946765128698E-6</v>
      </c>
      <c r="S54">
        <v>0.14265506729143901</v>
      </c>
      <c r="T54">
        <v>-0.35468829870999402</v>
      </c>
      <c r="U54">
        <v>0.35468829870999402</v>
      </c>
      <c r="V54">
        <v>-2.27</v>
      </c>
      <c r="W54">
        <v>2.2000000000000002</v>
      </c>
      <c r="X54">
        <v>203868</v>
      </c>
      <c r="Y54">
        <v>11326</v>
      </c>
      <c r="Z54">
        <v>0.46</v>
      </c>
      <c r="AA54">
        <v>18</v>
      </c>
      <c r="AB54">
        <v>11</v>
      </c>
      <c r="AC54">
        <v>7</v>
      </c>
      <c r="AD54">
        <v>61.11</v>
      </c>
      <c r="AE54">
        <v>11</v>
      </c>
      <c r="AF54">
        <v>9</v>
      </c>
      <c r="AG54">
        <v>4</v>
      </c>
      <c r="AH54">
        <v>5</v>
      </c>
    </row>
    <row r="55" spans="1:34">
      <c r="A55" s="110">
        <v>115</v>
      </c>
      <c r="B55">
        <v>1860</v>
      </c>
      <c r="C55" s="114" t="s">
        <v>139</v>
      </c>
      <c r="D55" s="114" t="s">
        <v>104</v>
      </c>
      <c r="E55">
        <v>675</v>
      </c>
      <c r="F55">
        <v>690</v>
      </c>
      <c r="G55">
        <v>1100</v>
      </c>
      <c r="H55" s="114" t="s">
        <v>87</v>
      </c>
      <c r="I55">
        <v>9787</v>
      </c>
      <c r="J55" s="114" t="s">
        <v>1203</v>
      </c>
      <c r="K55" s="114" t="s">
        <v>148</v>
      </c>
      <c r="L55">
        <v>3805</v>
      </c>
      <c r="M55">
        <v>3835</v>
      </c>
      <c r="N55">
        <v>200</v>
      </c>
      <c r="O55" s="114" t="s">
        <v>85</v>
      </c>
      <c r="P55">
        <v>0.92463643541886897</v>
      </c>
      <c r="Q55">
        <v>0.91194704918886704</v>
      </c>
      <c r="R55" s="20">
        <v>0.37334281244638101</v>
      </c>
      <c r="S55">
        <v>1.3067457225805501E-3</v>
      </c>
      <c r="T55">
        <v>0.21588442791270299</v>
      </c>
      <c r="U55">
        <v>0.21588442791270299</v>
      </c>
      <c r="V55">
        <v>0.43</v>
      </c>
      <c r="W55">
        <v>1.04</v>
      </c>
      <c r="X55">
        <v>202804</v>
      </c>
      <c r="Y55">
        <v>9657</v>
      </c>
      <c r="Z55">
        <v>0.48</v>
      </c>
      <c r="AA55">
        <v>21</v>
      </c>
      <c r="AB55">
        <v>11</v>
      </c>
      <c r="AC55">
        <v>10</v>
      </c>
      <c r="AD55">
        <v>52.38</v>
      </c>
      <c r="AE55">
        <v>12</v>
      </c>
      <c r="AF55">
        <v>8</v>
      </c>
      <c r="AG55">
        <v>4</v>
      </c>
      <c r="AH55">
        <v>9</v>
      </c>
    </row>
    <row r="56" spans="1:34">
      <c r="A56" s="110">
        <v>31</v>
      </c>
      <c r="B56">
        <v>4182</v>
      </c>
      <c r="C56" s="114" t="s">
        <v>115</v>
      </c>
      <c r="D56" s="114" t="s">
        <v>86</v>
      </c>
      <c r="E56">
        <v>1666</v>
      </c>
      <c r="F56">
        <v>1667</v>
      </c>
      <c r="G56">
        <v>600</v>
      </c>
      <c r="H56" s="114" t="s">
        <v>85</v>
      </c>
      <c r="I56">
        <v>5802</v>
      </c>
      <c r="J56" s="114" t="s">
        <v>161</v>
      </c>
      <c r="K56" s="114" t="s">
        <v>162</v>
      </c>
      <c r="L56">
        <v>1633</v>
      </c>
      <c r="M56">
        <v>1638</v>
      </c>
      <c r="N56">
        <v>600</v>
      </c>
      <c r="O56" s="114" t="s">
        <v>87</v>
      </c>
      <c r="P56">
        <v>0.96978907827420502</v>
      </c>
      <c r="Q56">
        <v>0.94043609025567498</v>
      </c>
      <c r="R56">
        <v>0.152312172756739</v>
      </c>
      <c r="S56">
        <v>1.52614745517124E-2</v>
      </c>
      <c r="T56">
        <v>-0.88536509091243898</v>
      </c>
      <c r="U56">
        <v>0.88536509091243898</v>
      </c>
      <c r="V56">
        <v>-2.0499999999999998</v>
      </c>
      <c r="W56">
        <v>1.74</v>
      </c>
      <c r="X56">
        <v>202282</v>
      </c>
      <c r="Y56">
        <v>11238</v>
      </c>
      <c r="Z56">
        <v>0.67</v>
      </c>
      <c r="AA56">
        <v>18</v>
      </c>
      <c r="AB56">
        <v>11</v>
      </c>
      <c r="AC56">
        <v>7</v>
      </c>
      <c r="AD56">
        <v>61.11</v>
      </c>
      <c r="AE56">
        <v>13</v>
      </c>
      <c r="AF56">
        <v>7</v>
      </c>
      <c r="AG56">
        <v>4</v>
      </c>
      <c r="AH56">
        <v>7</v>
      </c>
    </row>
    <row r="57" spans="1:34">
      <c r="A57" s="110">
        <v>154</v>
      </c>
      <c r="B57">
        <v>1820</v>
      </c>
      <c r="C57" s="114" t="s">
        <v>150</v>
      </c>
      <c r="D57" s="114" t="s">
        <v>104</v>
      </c>
      <c r="E57">
        <v>2404</v>
      </c>
      <c r="F57">
        <v>2453</v>
      </c>
      <c r="G57">
        <v>400</v>
      </c>
      <c r="H57" s="114" t="s">
        <v>87</v>
      </c>
      <c r="I57">
        <v>4202</v>
      </c>
      <c r="J57" s="114" t="s">
        <v>117</v>
      </c>
      <c r="K57" s="114" t="s">
        <v>86</v>
      </c>
      <c r="L57">
        <v>1078</v>
      </c>
      <c r="M57">
        <v>1065</v>
      </c>
      <c r="N57">
        <v>900</v>
      </c>
      <c r="O57" s="114" t="s">
        <v>85</v>
      </c>
      <c r="P57">
        <v>0.95164266856242696</v>
      </c>
      <c r="Q57">
        <v>0.90333370830684001</v>
      </c>
      <c r="R57">
        <v>0.16237914489331101</v>
      </c>
      <c r="S57">
        <v>8.1469629890843401E-2</v>
      </c>
      <c r="T57">
        <v>1.0751479950262699</v>
      </c>
      <c r="U57">
        <v>1.0751479950262699</v>
      </c>
      <c r="V57">
        <v>3.43</v>
      </c>
      <c r="W57">
        <v>2.31</v>
      </c>
      <c r="X57">
        <v>201090</v>
      </c>
      <c r="Y57">
        <v>10584</v>
      </c>
      <c r="Z57">
        <v>0.56999999999999995</v>
      </c>
      <c r="AA57">
        <v>19</v>
      </c>
      <c r="AB57">
        <v>12</v>
      </c>
      <c r="AC57">
        <v>7</v>
      </c>
      <c r="AD57">
        <v>63.16</v>
      </c>
      <c r="AE57">
        <v>12</v>
      </c>
      <c r="AF57">
        <v>7</v>
      </c>
      <c r="AG57">
        <v>3</v>
      </c>
      <c r="AH57">
        <v>9</v>
      </c>
    </row>
    <row r="58" spans="1:34">
      <c r="A58" s="110">
        <v>160</v>
      </c>
      <c r="B58">
        <v>6471</v>
      </c>
      <c r="C58" s="114" t="s">
        <v>168</v>
      </c>
      <c r="D58" s="114" t="s">
        <v>127</v>
      </c>
      <c r="E58">
        <v>1045</v>
      </c>
      <c r="F58">
        <v>1047</v>
      </c>
      <c r="G58">
        <v>800</v>
      </c>
      <c r="H58" s="114" t="s">
        <v>85</v>
      </c>
      <c r="I58">
        <v>7259</v>
      </c>
      <c r="J58" s="114" t="s">
        <v>53</v>
      </c>
      <c r="K58" s="114" t="s">
        <v>111</v>
      </c>
      <c r="L58">
        <v>4170</v>
      </c>
      <c r="M58">
        <v>4140</v>
      </c>
      <c r="N58">
        <v>200</v>
      </c>
      <c r="O58" s="114" t="s">
        <v>87</v>
      </c>
      <c r="P58">
        <v>0.93896522823735895</v>
      </c>
      <c r="Q58">
        <v>0.90188856420734798</v>
      </c>
      <c r="R58">
        <v>1.4246652218504799E-3</v>
      </c>
      <c r="S58">
        <v>2.2471958736639E-2</v>
      </c>
      <c r="T58">
        <v>-1.1267445134638501</v>
      </c>
      <c r="U58">
        <v>1.1267445134638501</v>
      </c>
      <c r="V58">
        <v>-4.7</v>
      </c>
      <c r="W58">
        <v>1.1599999999999999</v>
      </c>
      <c r="X58">
        <v>199833</v>
      </c>
      <c r="Y58">
        <v>9516</v>
      </c>
      <c r="Z58">
        <v>0.62</v>
      </c>
      <c r="AA58">
        <v>21</v>
      </c>
      <c r="AB58">
        <v>14</v>
      </c>
      <c r="AC58">
        <v>7</v>
      </c>
      <c r="AD58">
        <v>66.67</v>
      </c>
      <c r="AE58">
        <v>12</v>
      </c>
      <c r="AF58">
        <v>8</v>
      </c>
      <c r="AG58">
        <v>4</v>
      </c>
      <c r="AH58">
        <v>9</v>
      </c>
    </row>
    <row r="59" spans="1:34">
      <c r="A59" s="110">
        <v>72</v>
      </c>
      <c r="B59">
        <v>8279</v>
      </c>
      <c r="C59" s="114" t="s">
        <v>366</v>
      </c>
      <c r="D59" s="114" t="s">
        <v>123</v>
      </c>
      <c r="E59">
        <v>5140</v>
      </c>
      <c r="F59">
        <v>5180</v>
      </c>
      <c r="G59">
        <v>200</v>
      </c>
      <c r="H59" s="114" t="s">
        <v>85</v>
      </c>
      <c r="I59">
        <v>9505</v>
      </c>
      <c r="J59" s="114" t="s">
        <v>153</v>
      </c>
      <c r="K59" s="114" t="s">
        <v>154</v>
      </c>
      <c r="L59">
        <v>777</v>
      </c>
      <c r="M59">
        <v>790</v>
      </c>
      <c r="N59">
        <v>1300</v>
      </c>
      <c r="O59" s="114" t="s">
        <v>87</v>
      </c>
      <c r="P59">
        <v>0.91780204165034995</v>
      </c>
      <c r="Q59">
        <v>0.92310356954475403</v>
      </c>
      <c r="R59">
        <v>5.03081381751114E-2</v>
      </c>
      <c r="S59">
        <v>0.135261056192886</v>
      </c>
      <c r="T59">
        <v>-0.68648217689996804</v>
      </c>
      <c r="U59">
        <v>0.68648217689996804</v>
      </c>
      <c r="V59">
        <v>-3.12</v>
      </c>
      <c r="W59">
        <v>0.87</v>
      </c>
      <c r="X59">
        <v>199119</v>
      </c>
      <c r="Y59">
        <v>8657</v>
      </c>
      <c r="Z59">
        <v>0.9</v>
      </c>
      <c r="AA59">
        <v>23</v>
      </c>
      <c r="AB59">
        <v>14</v>
      </c>
      <c r="AC59">
        <v>9</v>
      </c>
      <c r="AD59">
        <v>60.87</v>
      </c>
      <c r="AE59">
        <v>12</v>
      </c>
      <c r="AF59">
        <v>13</v>
      </c>
      <c r="AG59">
        <v>4</v>
      </c>
      <c r="AH59">
        <v>6</v>
      </c>
    </row>
    <row r="60" spans="1:34">
      <c r="A60" s="110">
        <v>26</v>
      </c>
      <c r="B60">
        <v>7846</v>
      </c>
      <c r="C60" s="114" t="s">
        <v>152</v>
      </c>
      <c r="D60" s="114" t="s">
        <v>116</v>
      </c>
      <c r="E60">
        <v>4200</v>
      </c>
      <c r="F60">
        <v>4290</v>
      </c>
      <c r="G60">
        <v>200</v>
      </c>
      <c r="H60" s="114" t="s">
        <v>85</v>
      </c>
      <c r="I60">
        <v>9505</v>
      </c>
      <c r="J60" s="114" t="s">
        <v>153</v>
      </c>
      <c r="K60" s="114" t="s">
        <v>154</v>
      </c>
      <c r="L60">
        <v>777</v>
      </c>
      <c r="M60">
        <v>790</v>
      </c>
      <c r="N60">
        <v>1100</v>
      </c>
      <c r="O60" s="114" t="s">
        <v>87</v>
      </c>
      <c r="P60">
        <v>0.93006488177789604</v>
      </c>
      <c r="Q60">
        <v>0.94112865009869395</v>
      </c>
      <c r="R60">
        <v>3.7392765058739903E-2</v>
      </c>
      <c r="S60">
        <v>4.6575079509167901E-2</v>
      </c>
      <c r="T60">
        <v>-0.37829705853983697</v>
      </c>
      <c r="U60">
        <v>0.37829705853983697</v>
      </c>
      <c r="V60">
        <v>-0.72</v>
      </c>
      <c r="W60">
        <v>1.28</v>
      </c>
      <c r="X60">
        <v>198192</v>
      </c>
      <c r="Y60">
        <v>9438</v>
      </c>
      <c r="Z60">
        <v>0.55000000000000004</v>
      </c>
      <c r="AA60">
        <v>21</v>
      </c>
      <c r="AB60">
        <v>11</v>
      </c>
      <c r="AC60">
        <v>10</v>
      </c>
      <c r="AD60">
        <v>52.38</v>
      </c>
      <c r="AE60">
        <v>11</v>
      </c>
      <c r="AF60">
        <v>8</v>
      </c>
      <c r="AG60">
        <v>4</v>
      </c>
      <c r="AH60">
        <v>9</v>
      </c>
    </row>
    <row r="61" spans="1:34">
      <c r="A61" s="110">
        <v>4</v>
      </c>
      <c r="B61">
        <v>4182</v>
      </c>
      <c r="C61" s="114" t="s">
        <v>115</v>
      </c>
      <c r="D61" s="114" t="s">
        <v>86</v>
      </c>
      <c r="E61">
        <v>1666</v>
      </c>
      <c r="F61">
        <v>1667</v>
      </c>
      <c r="G61">
        <v>600</v>
      </c>
      <c r="H61" s="114" t="s">
        <v>85</v>
      </c>
      <c r="I61">
        <v>5991</v>
      </c>
      <c r="J61" s="114" t="s">
        <v>143</v>
      </c>
      <c r="K61" s="114" t="s">
        <v>144</v>
      </c>
      <c r="L61">
        <v>975</v>
      </c>
      <c r="M61">
        <v>988</v>
      </c>
      <c r="N61">
        <v>1000</v>
      </c>
      <c r="O61" s="114" t="s">
        <v>87</v>
      </c>
      <c r="P61">
        <v>0.96525934966904203</v>
      </c>
      <c r="Q61">
        <v>0.95876153447965995</v>
      </c>
      <c r="R61">
        <v>0.11913534750981</v>
      </c>
      <c r="S61">
        <v>0.14026638185045401</v>
      </c>
      <c r="T61">
        <v>-1.0101968451260801</v>
      </c>
      <c r="U61">
        <v>1.0101968451260801</v>
      </c>
      <c r="V61">
        <v>-2.06</v>
      </c>
      <c r="W61">
        <v>1.22</v>
      </c>
      <c r="X61">
        <v>196981</v>
      </c>
      <c r="Y61">
        <v>10367</v>
      </c>
      <c r="Z61">
        <v>0.49</v>
      </c>
      <c r="AA61">
        <v>19</v>
      </c>
      <c r="AB61">
        <v>11</v>
      </c>
      <c r="AC61">
        <v>8</v>
      </c>
      <c r="AD61">
        <v>57.89</v>
      </c>
      <c r="AE61">
        <v>12</v>
      </c>
      <c r="AF61">
        <v>7</v>
      </c>
      <c r="AG61">
        <v>3</v>
      </c>
      <c r="AH61">
        <v>9</v>
      </c>
    </row>
    <row r="62" spans="1:34">
      <c r="A62" s="110">
        <v>12</v>
      </c>
      <c r="B62">
        <v>7181</v>
      </c>
      <c r="C62" s="114" t="s">
        <v>167</v>
      </c>
      <c r="D62" s="114" t="s">
        <v>138</v>
      </c>
      <c r="E62">
        <v>1888</v>
      </c>
      <c r="F62">
        <v>1912</v>
      </c>
      <c r="G62">
        <v>500</v>
      </c>
      <c r="H62" s="114" t="s">
        <v>87</v>
      </c>
      <c r="I62">
        <v>9956</v>
      </c>
      <c r="J62" s="114" t="s">
        <v>367</v>
      </c>
      <c r="K62" s="114" t="s">
        <v>123</v>
      </c>
      <c r="L62">
        <v>2025</v>
      </c>
      <c r="M62">
        <v>2038</v>
      </c>
      <c r="N62">
        <v>500</v>
      </c>
      <c r="O62" s="114" t="s">
        <v>85</v>
      </c>
      <c r="P62">
        <v>0.92608709835042702</v>
      </c>
      <c r="Q62">
        <v>0.94995778525794705</v>
      </c>
      <c r="R62">
        <v>4.4680374653568999E-3</v>
      </c>
      <c r="S62">
        <v>0.22063669496448299</v>
      </c>
      <c r="T62">
        <v>1.87780050580225</v>
      </c>
      <c r="U62">
        <v>1.87780050580225</v>
      </c>
      <c r="V62">
        <v>4.5599999999999996</v>
      </c>
      <c r="W62">
        <v>6.18</v>
      </c>
      <c r="X62">
        <v>196402</v>
      </c>
      <c r="Y62">
        <v>15108</v>
      </c>
      <c r="Z62">
        <v>0.7</v>
      </c>
      <c r="AA62">
        <v>13</v>
      </c>
      <c r="AB62">
        <v>9</v>
      </c>
      <c r="AC62">
        <v>4</v>
      </c>
      <c r="AD62">
        <v>69.23</v>
      </c>
      <c r="AE62">
        <v>14</v>
      </c>
      <c r="AF62">
        <v>3</v>
      </c>
      <c r="AG62">
        <v>1</v>
      </c>
      <c r="AH62">
        <v>9</v>
      </c>
    </row>
    <row r="63" spans="1:34">
      <c r="A63" s="110">
        <v>131</v>
      </c>
      <c r="B63">
        <v>1963</v>
      </c>
      <c r="C63" s="114" t="s">
        <v>160</v>
      </c>
      <c r="D63" s="114" t="s">
        <v>104</v>
      </c>
      <c r="E63">
        <v>1616</v>
      </c>
      <c r="F63">
        <v>1647</v>
      </c>
      <c r="G63">
        <v>600</v>
      </c>
      <c r="H63" s="114" t="s">
        <v>85</v>
      </c>
      <c r="I63">
        <v>4182</v>
      </c>
      <c r="J63" s="114" t="s">
        <v>115</v>
      </c>
      <c r="K63" s="114" t="s">
        <v>86</v>
      </c>
      <c r="L63">
        <v>1666</v>
      </c>
      <c r="M63">
        <v>1667</v>
      </c>
      <c r="N63">
        <v>600</v>
      </c>
      <c r="O63" s="114" t="s">
        <v>87</v>
      </c>
      <c r="P63">
        <v>0.91355843014851201</v>
      </c>
      <c r="Q63">
        <v>0.908465086591287</v>
      </c>
      <c r="R63">
        <v>0.16288943171630901</v>
      </c>
      <c r="S63">
        <v>1.02276477915538E-3</v>
      </c>
      <c r="T63">
        <v>-0.22448517273457899</v>
      </c>
      <c r="U63">
        <v>0.22448517273457899</v>
      </c>
      <c r="V63">
        <v>-0.64</v>
      </c>
      <c r="W63">
        <v>1.2</v>
      </c>
      <c r="X63">
        <v>193916</v>
      </c>
      <c r="Y63">
        <v>7757</v>
      </c>
      <c r="Z63">
        <v>0.39</v>
      </c>
      <c r="AA63">
        <v>25</v>
      </c>
      <c r="AB63">
        <v>15</v>
      </c>
      <c r="AC63">
        <v>10</v>
      </c>
      <c r="AD63">
        <v>60</v>
      </c>
      <c r="AE63">
        <v>9</v>
      </c>
      <c r="AF63">
        <v>12</v>
      </c>
      <c r="AG63">
        <v>9</v>
      </c>
      <c r="AH63">
        <v>4</v>
      </c>
    </row>
    <row r="64" spans="1:34">
      <c r="A64" s="110">
        <v>62</v>
      </c>
      <c r="B64">
        <v>6588</v>
      </c>
      <c r="C64" s="114" t="s">
        <v>1058</v>
      </c>
      <c r="D64" s="114" t="s">
        <v>114</v>
      </c>
      <c r="E64">
        <v>4435</v>
      </c>
      <c r="F64">
        <v>4465</v>
      </c>
      <c r="G64">
        <v>200</v>
      </c>
      <c r="H64" s="114" t="s">
        <v>87</v>
      </c>
      <c r="I64">
        <v>6702</v>
      </c>
      <c r="J64" s="114" t="s">
        <v>390</v>
      </c>
      <c r="K64" s="114" t="s">
        <v>114</v>
      </c>
      <c r="L64">
        <v>10145</v>
      </c>
      <c r="M64">
        <v>10290</v>
      </c>
      <c r="N64">
        <v>100</v>
      </c>
      <c r="O64" s="114" t="s">
        <v>85</v>
      </c>
      <c r="P64">
        <v>0.927517461802706</v>
      </c>
      <c r="Q64">
        <v>0.92533896800839199</v>
      </c>
      <c r="R64">
        <v>0.227146971912979</v>
      </c>
      <c r="S64" s="20">
        <v>9.3529394917207506E-2</v>
      </c>
      <c r="T64">
        <v>1.1862266612135599</v>
      </c>
      <c r="U64">
        <v>1.1862266612135599</v>
      </c>
      <c r="V64">
        <v>7.73</v>
      </c>
      <c r="W64">
        <v>13.22</v>
      </c>
      <c r="X64">
        <v>187415</v>
      </c>
      <c r="Y64">
        <v>18742</v>
      </c>
      <c r="Z64">
        <v>1.0900000000000001</v>
      </c>
      <c r="AA64">
        <v>10</v>
      </c>
      <c r="AB64">
        <v>6</v>
      </c>
      <c r="AC64">
        <v>4</v>
      </c>
      <c r="AD64">
        <v>60</v>
      </c>
      <c r="AE64">
        <v>12</v>
      </c>
      <c r="AF64">
        <v>4</v>
      </c>
      <c r="AG64">
        <v>1</v>
      </c>
      <c r="AH64">
        <v>5</v>
      </c>
    </row>
    <row r="65" spans="1:34">
      <c r="A65" s="110">
        <v>74</v>
      </c>
      <c r="B65">
        <v>4208</v>
      </c>
      <c r="C65" s="114" t="s">
        <v>126</v>
      </c>
      <c r="D65" s="114" t="s">
        <v>86</v>
      </c>
      <c r="E65">
        <v>2337</v>
      </c>
      <c r="F65">
        <v>2345</v>
      </c>
      <c r="G65">
        <v>400</v>
      </c>
      <c r="H65" s="114" t="s">
        <v>85</v>
      </c>
      <c r="I65">
        <v>5334</v>
      </c>
      <c r="J65" s="114" t="s">
        <v>349</v>
      </c>
      <c r="K65" s="114" t="s">
        <v>134</v>
      </c>
      <c r="L65">
        <v>2164</v>
      </c>
      <c r="M65">
        <v>2178</v>
      </c>
      <c r="N65">
        <v>400</v>
      </c>
      <c r="O65" s="114" t="s">
        <v>87</v>
      </c>
      <c r="P65">
        <v>0.93552049795334802</v>
      </c>
      <c r="Q65">
        <v>0.92264007473185405</v>
      </c>
      <c r="R65">
        <v>2.1674144307571301E-2</v>
      </c>
      <c r="S65">
        <v>8.2028872768335798E-4</v>
      </c>
      <c r="T65">
        <v>-8.4247986470940395E-2</v>
      </c>
      <c r="U65">
        <v>8.4247986470940395E-2</v>
      </c>
      <c r="V65">
        <v>-0.2</v>
      </c>
      <c r="W65">
        <v>7.12</v>
      </c>
      <c r="X65">
        <v>187255</v>
      </c>
      <c r="Y65">
        <v>9363</v>
      </c>
      <c r="Z65">
        <v>0.48</v>
      </c>
      <c r="AA65">
        <v>20</v>
      </c>
      <c r="AB65">
        <v>13</v>
      </c>
      <c r="AC65">
        <v>7</v>
      </c>
      <c r="AD65">
        <v>65</v>
      </c>
      <c r="AE65">
        <v>12</v>
      </c>
      <c r="AF65">
        <v>7</v>
      </c>
      <c r="AG65">
        <v>5</v>
      </c>
      <c r="AH65">
        <v>8</v>
      </c>
    </row>
    <row r="66" spans="1:34">
      <c r="A66" s="110">
        <v>163</v>
      </c>
      <c r="B66">
        <v>8002</v>
      </c>
      <c r="C66" s="114" t="s">
        <v>55</v>
      </c>
      <c r="D66" s="114" t="s">
        <v>129</v>
      </c>
      <c r="E66">
        <v>809</v>
      </c>
      <c r="F66">
        <v>813.2</v>
      </c>
      <c r="G66">
        <v>800</v>
      </c>
      <c r="H66" s="114" t="s">
        <v>85</v>
      </c>
      <c r="I66">
        <v>9062</v>
      </c>
      <c r="J66" s="114" t="s">
        <v>1059</v>
      </c>
      <c r="K66" s="114" t="s">
        <v>147</v>
      </c>
      <c r="L66">
        <v>6790</v>
      </c>
      <c r="M66">
        <v>6800</v>
      </c>
      <c r="N66">
        <v>100</v>
      </c>
      <c r="O66" s="114" t="s">
        <v>87</v>
      </c>
      <c r="P66">
        <v>0.93676198440081204</v>
      </c>
      <c r="Q66">
        <v>0.90060956690271798</v>
      </c>
      <c r="R66">
        <v>1.1363411646697799E-3</v>
      </c>
      <c r="S66">
        <v>3.09470956574213E-3</v>
      </c>
      <c r="T66">
        <v>-1.0226528769408301</v>
      </c>
      <c r="U66">
        <v>1.0226528769408301</v>
      </c>
      <c r="V66">
        <v>-4.5199999999999996</v>
      </c>
      <c r="W66">
        <v>4.33</v>
      </c>
      <c r="X66">
        <v>187241</v>
      </c>
      <c r="Y66">
        <v>9362</v>
      </c>
      <c r="Z66">
        <v>0.65</v>
      </c>
      <c r="AA66">
        <v>20</v>
      </c>
      <c r="AB66">
        <v>12</v>
      </c>
      <c r="AC66">
        <v>8</v>
      </c>
      <c r="AD66">
        <v>60</v>
      </c>
      <c r="AE66">
        <v>12</v>
      </c>
      <c r="AF66">
        <v>8</v>
      </c>
      <c r="AG66">
        <v>5</v>
      </c>
      <c r="AH66">
        <v>7</v>
      </c>
    </row>
    <row r="67" spans="1:34">
      <c r="A67" s="110">
        <v>18</v>
      </c>
      <c r="B67">
        <v>6845</v>
      </c>
      <c r="C67" s="114" t="s">
        <v>355</v>
      </c>
      <c r="D67" s="114" t="s">
        <v>114</v>
      </c>
      <c r="E67">
        <v>3145</v>
      </c>
      <c r="F67">
        <v>3145</v>
      </c>
      <c r="G67">
        <v>300</v>
      </c>
      <c r="H67" s="114" t="s">
        <v>85</v>
      </c>
      <c r="I67">
        <v>6925</v>
      </c>
      <c r="J67" s="114" t="s">
        <v>361</v>
      </c>
      <c r="K67" s="114" t="s">
        <v>114</v>
      </c>
      <c r="L67">
        <v>1626</v>
      </c>
      <c r="M67">
        <v>1643</v>
      </c>
      <c r="N67">
        <v>600</v>
      </c>
      <c r="O67" s="114" t="s">
        <v>87</v>
      </c>
      <c r="P67">
        <v>0.91789520240011901</v>
      </c>
      <c r="Q67">
        <v>0.94552999840859397</v>
      </c>
      <c r="R67">
        <v>0.165953189430086</v>
      </c>
      <c r="S67">
        <v>8.3930206985848698E-3</v>
      </c>
      <c r="T67">
        <v>-0.14519342538306401</v>
      </c>
      <c r="U67">
        <v>0.14519342538306401</v>
      </c>
      <c r="V67">
        <v>-0.41</v>
      </c>
      <c r="W67">
        <v>4.4800000000000004</v>
      </c>
      <c r="X67">
        <v>181027</v>
      </c>
      <c r="Y67">
        <v>10057</v>
      </c>
      <c r="Z67">
        <v>0.5</v>
      </c>
      <c r="AA67">
        <v>18</v>
      </c>
      <c r="AB67">
        <v>10</v>
      </c>
      <c r="AC67">
        <v>8</v>
      </c>
      <c r="AD67">
        <v>55.56</v>
      </c>
      <c r="AE67">
        <v>12</v>
      </c>
      <c r="AF67">
        <v>8</v>
      </c>
      <c r="AG67">
        <v>3</v>
      </c>
      <c r="AH67">
        <v>7</v>
      </c>
    </row>
    <row r="68" spans="1:34">
      <c r="A68" s="110">
        <v>151</v>
      </c>
      <c r="B68">
        <v>4208</v>
      </c>
      <c r="C68" s="114" t="s">
        <v>126</v>
      </c>
      <c r="D68" s="114" t="s">
        <v>86</v>
      </c>
      <c r="E68">
        <v>2337</v>
      </c>
      <c r="F68">
        <v>2345</v>
      </c>
      <c r="G68">
        <v>400</v>
      </c>
      <c r="H68" s="114" t="s">
        <v>87</v>
      </c>
      <c r="I68">
        <v>6472</v>
      </c>
      <c r="J68" s="114" t="s">
        <v>164</v>
      </c>
      <c r="K68" s="114" t="s">
        <v>127</v>
      </c>
      <c r="L68">
        <v>333</v>
      </c>
      <c r="M68">
        <v>333</v>
      </c>
      <c r="N68">
        <v>2800</v>
      </c>
      <c r="O68" s="114" t="s">
        <v>85</v>
      </c>
      <c r="P68">
        <v>0.91614824825633301</v>
      </c>
      <c r="Q68">
        <v>0.90427907833571997</v>
      </c>
      <c r="R68">
        <v>1.8520949381429499E-3</v>
      </c>
      <c r="S68">
        <v>7.5898091168555504E-2</v>
      </c>
      <c r="T68">
        <v>0.30527401296605799</v>
      </c>
      <c r="U68">
        <v>0.30527401296605799</v>
      </c>
      <c r="V68">
        <v>0.95</v>
      </c>
      <c r="W68">
        <v>0.6</v>
      </c>
      <c r="X68">
        <v>180416</v>
      </c>
      <c r="Y68">
        <v>9021</v>
      </c>
      <c r="Z68">
        <v>0.48</v>
      </c>
      <c r="AA68">
        <v>20</v>
      </c>
      <c r="AB68">
        <v>13</v>
      </c>
      <c r="AC68">
        <v>7</v>
      </c>
      <c r="AD68">
        <v>65</v>
      </c>
      <c r="AE68">
        <v>13</v>
      </c>
      <c r="AF68">
        <v>7</v>
      </c>
      <c r="AG68">
        <v>5</v>
      </c>
      <c r="AH68">
        <v>8</v>
      </c>
    </row>
    <row r="69" spans="1:34">
      <c r="A69" s="110">
        <v>68</v>
      </c>
      <c r="B69">
        <v>7167</v>
      </c>
      <c r="C69" s="114" t="s">
        <v>128</v>
      </c>
      <c r="D69" s="114" t="s">
        <v>109</v>
      </c>
      <c r="E69">
        <v>278</v>
      </c>
      <c r="F69">
        <v>281</v>
      </c>
      <c r="G69">
        <v>3900</v>
      </c>
      <c r="H69" s="114" t="s">
        <v>85</v>
      </c>
      <c r="I69">
        <v>7189</v>
      </c>
      <c r="J69" s="114" t="s">
        <v>108</v>
      </c>
      <c r="K69" s="114" t="s">
        <v>109</v>
      </c>
      <c r="L69">
        <v>835</v>
      </c>
      <c r="M69">
        <v>846</v>
      </c>
      <c r="N69">
        <v>1300</v>
      </c>
      <c r="O69" s="114" t="s">
        <v>87</v>
      </c>
      <c r="P69">
        <v>0.95061879920511105</v>
      </c>
      <c r="Q69">
        <v>0.92487837988383104</v>
      </c>
      <c r="R69" s="20">
        <v>1.30070330903961E-2</v>
      </c>
      <c r="S69" s="20">
        <v>0.125154472663209</v>
      </c>
      <c r="T69">
        <v>-1.3043323603421899</v>
      </c>
      <c r="U69">
        <v>1.3043323603421899</v>
      </c>
      <c r="V69">
        <v>-5.0599999999999996</v>
      </c>
      <c r="W69">
        <v>0.35</v>
      </c>
      <c r="X69">
        <v>179261</v>
      </c>
      <c r="Y69">
        <v>9435</v>
      </c>
      <c r="Z69">
        <v>0.45</v>
      </c>
      <c r="AA69">
        <v>19</v>
      </c>
      <c r="AB69">
        <v>11</v>
      </c>
      <c r="AC69">
        <v>8</v>
      </c>
      <c r="AD69">
        <v>57.89</v>
      </c>
      <c r="AE69">
        <v>15</v>
      </c>
      <c r="AF69">
        <v>6</v>
      </c>
      <c r="AG69">
        <v>2</v>
      </c>
      <c r="AH69">
        <v>11</v>
      </c>
    </row>
    <row r="70" spans="1:34">
      <c r="A70" s="110">
        <v>55</v>
      </c>
      <c r="B70">
        <v>3635</v>
      </c>
      <c r="C70" s="114" t="s">
        <v>112</v>
      </c>
      <c r="D70" s="114" t="s">
        <v>106</v>
      </c>
      <c r="E70">
        <v>2634</v>
      </c>
      <c r="F70">
        <v>2631</v>
      </c>
      <c r="G70">
        <v>400</v>
      </c>
      <c r="H70" s="114" t="s">
        <v>85</v>
      </c>
      <c r="I70">
        <v>4519</v>
      </c>
      <c r="J70" s="114" t="s">
        <v>1057</v>
      </c>
      <c r="K70" s="114" t="s">
        <v>166</v>
      </c>
      <c r="L70">
        <v>9639</v>
      </c>
      <c r="M70">
        <v>9690</v>
      </c>
      <c r="N70">
        <v>100</v>
      </c>
      <c r="O70" s="114" t="s">
        <v>87</v>
      </c>
      <c r="P70">
        <v>0.96018275825472099</v>
      </c>
      <c r="Q70">
        <v>0.92753593312829197</v>
      </c>
      <c r="R70" s="20">
        <v>1.1829853011290499E-2</v>
      </c>
      <c r="S70">
        <v>9.2824665267586898E-2</v>
      </c>
      <c r="T70">
        <v>-1.1563392372751899</v>
      </c>
      <c r="U70">
        <v>1.1563392372751899</v>
      </c>
      <c r="V70">
        <v>-3.74</v>
      </c>
      <c r="W70">
        <v>8.61</v>
      </c>
      <c r="X70">
        <v>177510</v>
      </c>
      <c r="Y70">
        <v>12679</v>
      </c>
      <c r="Z70">
        <v>1.08</v>
      </c>
      <c r="AA70">
        <v>14</v>
      </c>
      <c r="AB70">
        <v>8</v>
      </c>
      <c r="AC70">
        <v>6</v>
      </c>
      <c r="AD70">
        <v>57.14</v>
      </c>
      <c r="AE70">
        <v>11</v>
      </c>
      <c r="AF70">
        <v>8</v>
      </c>
      <c r="AG70">
        <v>2</v>
      </c>
      <c r="AH70">
        <v>4</v>
      </c>
    </row>
    <row r="71" spans="1:34">
      <c r="A71" s="110">
        <v>6</v>
      </c>
      <c r="B71">
        <v>8425</v>
      </c>
      <c r="C71" s="114" t="s">
        <v>368</v>
      </c>
      <c r="D71" s="114" t="s">
        <v>343</v>
      </c>
      <c r="E71">
        <v>3220</v>
      </c>
      <c r="F71">
        <v>3270</v>
      </c>
      <c r="G71">
        <v>300</v>
      </c>
      <c r="H71" s="114" t="s">
        <v>87</v>
      </c>
      <c r="I71">
        <v>8593</v>
      </c>
      <c r="J71" s="114" t="s">
        <v>359</v>
      </c>
      <c r="K71" s="114" t="s">
        <v>343</v>
      </c>
      <c r="L71">
        <v>683</v>
      </c>
      <c r="M71">
        <v>696</v>
      </c>
      <c r="N71">
        <v>1400</v>
      </c>
      <c r="O71" s="114" t="s">
        <v>85</v>
      </c>
      <c r="P71">
        <v>0.93831853277392496</v>
      </c>
      <c r="Q71">
        <v>0.95574006766304398</v>
      </c>
      <c r="R71">
        <v>3.5924541482755902E-2</v>
      </c>
      <c r="S71">
        <v>2.2075478570232E-3</v>
      </c>
      <c r="T71">
        <v>1.30313472413384</v>
      </c>
      <c r="U71">
        <v>1.30313472413384</v>
      </c>
      <c r="V71">
        <v>2.0699999999999998</v>
      </c>
      <c r="W71">
        <v>0.67</v>
      </c>
      <c r="X71">
        <v>175709</v>
      </c>
      <c r="Y71">
        <v>12551</v>
      </c>
      <c r="Z71">
        <v>0.59</v>
      </c>
      <c r="AA71">
        <v>14</v>
      </c>
      <c r="AB71">
        <v>9</v>
      </c>
      <c r="AC71">
        <v>5</v>
      </c>
      <c r="AD71">
        <v>64.290000000000006</v>
      </c>
      <c r="AE71">
        <v>13</v>
      </c>
      <c r="AF71">
        <v>6</v>
      </c>
      <c r="AG71">
        <v>3</v>
      </c>
      <c r="AH71">
        <v>5</v>
      </c>
    </row>
    <row r="72" spans="1:34">
      <c r="A72" s="110">
        <v>51</v>
      </c>
      <c r="B72">
        <v>3635</v>
      </c>
      <c r="C72" s="114" t="s">
        <v>112</v>
      </c>
      <c r="D72" s="114" t="s">
        <v>106</v>
      </c>
      <c r="E72">
        <v>2634</v>
      </c>
      <c r="F72">
        <v>2631</v>
      </c>
      <c r="G72">
        <v>300</v>
      </c>
      <c r="H72" s="114" t="s">
        <v>87</v>
      </c>
      <c r="I72">
        <v>4613</v>
      </c>
      <c r="J72" s="114" t="s">
        <v>369</v>
      </c>
      <c r="K72" s="114" t="s">
        <v>86</v>
      </c>
      <c r="L72">
        <v>2776</v>
      </c>
      <c r="M72">
        <v>2769</v>
      </c>
      <c r="N72">
        <v>300</v>
      </c>
      <c r="O72" s="114" t="s">
        <v>85</v>
      </c>
      <c r="P72">
        <v>0.91615277128398898</v>
      </c>
      <c r="Q72">
        <v>0.92961264682584299</v>
      </c>
      <c r="R72">
        <v>8.0071453823286398E-2</v>
      </c>
      <c r="S72" s="20">
        <v>4.2863043268947902E-2</v>
      </c>
      <c r="T72">
        <v>3.3395396373027797E-2</v>
      </c>
      <c r="U72">
        <v>3.3395396373027797E-2</v>
      </c>
      <c r="V72">
        <v>0.11</v>
      </c>
      <c r="W72">
        <v>4.9800000000000004</v>
      </c>
      <c r="X72">
        <v>175233</v>
      </c>
      <c r="Y72">
        <v>13479</v>
      </c>
      <c r="Z72">
        <v>0.8</v>
      </c>
      <c r="AA72">
        <v>13</v>
      </c>
      <c r="AB72">
        <v>9</v>
      </c>
      <c r="AC72">
        <v>4</v>
      </c>
      <c r="AD72">
        <v>69.23</v>
      </c>
      <c r="AE72">
        <v>13</v>
      </c>
      <c r="AF72">
        <v>5</v>
      </c>
      <c r="AG72">
        <v>2</v>
      </c>
      <c r="AH72">
        <v>6</v>
      </c>
    </row>
    <row r="73" spans="1:34">
      <c r="A73" s="110">
        <v>52</v>
      </c>
      <c r="B73">
        <v>5991</v>
      </c>
      <c r="C73" s="114" t="s">
        <v>143</v>
      </c>
      <c r="D73" s="114" t="s">
        <v>144</v>
      </c>
      <c r="E73">
        <v>975</v>
      </c>
      <c r="F73">
        <v>988</v>
      </c>
      <c r="G73">
        <v>800</v>
      </c>
      <c r="H73" s="114" t="s">
        <v>87</v>
      </c>
      <c r="I73">
        <v>7259</v>
      </c>
      <c r="J73" s="114" t="s">
        <v>53</v>
      </c>
      <c r="K73" s="114" t="s">
        <v>111</v>
      </c>
      <c r="L73">
        <v>4170</v>
      </c>
      <c r="M73">
        <v>4140</v>
      </c>
      <c r="N73">
        <v>200</v>
      </c>
      <c r="O73" s="114" t="s">
        <v>85</v>
      </c>
      <c r="P73">
        <v>0.92610369386013802</v>
      </c>
      <c r="Q73">
        <v>0.929248990277451</v>
      </c>
      <c r="R73">
        <v>0.250992634151326</v>
      </c>
      <c r="S73">
        <v>1.03181377588392E-2</v>
      </c>
      <c r="T73">
        <v>0.58944699857466698</v>
      </c>
      <c r="U73">
        <v>0.58944699857466698</v>
      </c>
      <c r="V73">
        <v>2.0099999999999998</v>
      </c>
      <c r="W73">
        <v>4.54</v>
      </c>
      <c r="X73">
        <v>175024</v>
      </c>
      <c r="Y73">
        <v>11668</v>
      </c>
      <c r="Z73">
        <v>0.81</v>
      </c>
      <c r="AA73">
        <v>15</v>
      </c>
      <c r="AB73">
        <v>9</v>
      </c>
      <c r="AC73">
        <v>6</v>
      </c>
      <c r="AD73">
        <v>60</v>
      </c>
      <c r="AE73">
        <v>10</v>
      </c>
      <c r="AF73">
        <v>8</v>
      </c>
      <c r="AG73">
        <v>3</v>
      </c>
      <c r="AH73">
        <v>4</v>
      </c>
    </row>
    <row r="74" spans="1:34">
      <c r="A74" s="110">
        <v>145</v>
      </c>
      <c r="B74">
        <v>4042</v>
      </c>
      <c r="C74" s="114" t="s">
        <v>386</v>
      </c>
      <c r="D74" s="114" t="s">
        <v>86</v>
      </c>
      <c r="E74">
        <v>1634</v>
      </c>
      <c r="F74">
        <v>1633</v>
      </c>
      <c r="G74">
        <v>600</v>
      </c>
      <c r="H74" s="114" t="s">
        <v>87</v>
      </c>
      <c r="I74">
        <v>7762</v>
      </c>
      <c r="J74" s="114" t="s">
        <v>135</v>
      </c>
      <c r="K74" s="114" t="s">
        <v>121</v>
      </c>
      <c r="L74">
        <v>592</v>
      </c>
      <c r="M74">
        <v>592</v>
      </c>
      <c r="N74">
        <v>1700</v>
      </c>
      <c r="O74" s="114" t="s">
        <v>85</v>
      </c>
      <c r="P74">
        <v>0.96822459713108799</v>
      </c>
      <c r="Q74">
        <v>0.905498159417362</v>
      </c>
      <c r="R74">
        <v>1.05172745493281E-2</v>
      </c>
      <c r="S74">
        <v>0.38259714896650099</v>
      </c>
      <c r="T74">
        <v>0.93731083666217296</v>
      </c>
      <c r="U74">
        <v>0.93731083666217296</v>
      </c>
      <c r="V74">
        <v>1.77</v>
      </c>
      <c r="W74">
        <v>2.71</v>
      </c>
      <c r="X74">
        <v>173063</v>
      </c>
      <c r="Y74">
        <v>12362</v>
      </c>
      <c r="Z74">
        <v>0.63</v>
      </c>
      <c r="AA74">
        <v>14</v>
      </c>
      <c r="AB74">
        <v>9</v>
      </c>
      <c r="AC74">
        <v>5</v>
      </c>
      <c r="AD74">
        <v>64.290000000000006</v>
      </c>
      <c r="AE74">
        <v>13</v>
      </c>
      <c r="AF74">
        <v>4</v>
      </c>
      <c r="AG74">
        <v>2</v>
      </c>
      <c r="AH74">
        <v>8</v>
      </c>
    </row>
    <row r="75" spans="1:34">
      <c r="A75" s="110">
        <v>19</v>
      </c>
      <c r="B75">
        <v>5901</v>
      </c>
      <c r="C75" s="114" t="s">
        <v>371</v>
      </c>
      <c r="D75" s="114" t="s">
        <v>144</v>
      </c>
      <c r="E75">
        <v>1899</v>
      </c>
      <c r="F75">
        <v>1899</v>
      </c>
      <c r="G75">
        <v>500</v>
      </c>
      <c r="H75" s="114" t="s">
        <v>87</v>
      </c>
      <c r="I75">
        <v>8377</v>
      </c>
      <c r="J75" s="114" t="s">
        <v>122</v>
      </c>
      <c r="K75" s="114" t="s">
        <v>109</v>
      </c>
      <c r="L75">
        <v>1107</v>
      </c>
      <c r="M75">
        <v>1126</v>
      </c>
      <c r="N75">
        <v>800</v>
      </c>
      <c r="O75" s="114" t="s">
        <v>85</v>
      </c>
      <c r="P75">
        <v>0.92752920419283302</v>
      </c>
      <c r="Q75">
        <v>0.94486100556402797</v>
      </c>
      <c r="R75">
        <v>0.12994196275452799</v>
      </c>
      <c r="S75" s="20">
        <v>2.0107447568565098E-2</v>
      </c>
      <c r="T75">
        <v>0.69647751025937099</v>
      </c>
      <c r="U75">
        <v>0.69647751025937099</v>
      </c>
      <c r="V75">
        <v>2.02</v>
      </c>
      <c r="W75">
        <v>5.13</v>
      </c>
      <c r="X75">
        <v>160862</v>
      </c>
      <c r="Y75">
        <v>7312</v>
      </c>
      <c r="Z75">
        <v>0.31</v>
      </c>
      <c r="AA75">
        <v>22</v>
      </c>
      <c r="AB75">
        <v>14</v>
      </c>
      <c r="AC75">
        <v>8</v>
      </c>
      <c r="AD75">
        <v>63.64</v>
      </c>
      <c r="AE75">
        <v>14</v>
      </c>
      <c r="AF75">
        <v>9</v>
      </c>
      <c r="AG75">
        <v>6</v>
      </c>
      <c r="AH75">
        <v>7</v>
      </c>
    </row>
    <row r="76" spans="1:34">
      <c r="A76" s="110">
        <v>136</v>
      </c>
      <c r="B76">
        <v>1820</v>
      </c>
      <c r="C76" s="114" t="s">
        <v>150</v>
      </c>
      <c r="D76" s="114" t="s">
        <v>104</v>
      </c>
      <c r="E76">
        <v>2404</v>
      </c>
      <c r="F76">
        <v>2453</v>
      </c>
      <c r="G76">
        <v>400</v>
      </c>
      <c r="H76" s="114" t="s">
        <v>87</v>
      </c>
      <c r="I76">
        <v>9072</v>
      </c>
      <c r="J76" s="114" t="s">
        <v>156</v>
      </c>
      <c r="K76" s="114" t="s">
        <v>147</v>
      </c>
      <c r="L76">
        <v>2670</v>
      </c>
      <c r="M76">
        <v>2706</v>
      </c>
      <c r="N76">
        <v>400</v>
      </c>
      <c r="O76" s="114" t="s">
        <v>85</v>
      </c>
      <c r="P76">
        <v>0.96612941188351797</v>
      </c>
      <c r="Q76">
        <v>0.90772672878579297</v>
      </c>
      <c r="R76">
        <v>7.5353827198440193E-2</v>
      </c>
      <c r="S76">
        <v>2.57279032215632E-3</v>
      </c>
      <c r="T76">
        <v>2.0451404348728599</v>
      </c>
      <c r="U76">
        <v>2.0451404348728599</v>
      </c>
      <c r="V76">
        <v>8.7100000000000009</v>
      </c>
      <c r="W76">
        <v>9.35</v>
      </c>
      <c r="X76">
        <v>153180</v>
      </c>
      <c r="Y76">
        <v>11783</v>
      </c>
      <c r="Z76">
        <v>0.63</v>
      </c>
      <c r="AA76">
        <v>13</v>
      </c>
      <c r="AB76">
        <v>7</v>
      </c>
      <c r="AC76">
        <v>6</v>
      </c>
      <c r="AD76">
        <v>53.85</v>
      </c>
      <c r="AE76">
        <v>16</v>
      </c>
      <c r="AF76">
        <v>5</v>
      </c>
      <c r="AG76">
        <v>1</v>
      </c>
      <c r="AH76">
        <v>7</v>
      </c>
    </row>
    <row r="77" spans="1:34">
      <c r="A77" s="110">
        <v>149</v>
      </c>
      <c r="B77">
        <v>3105</v>
      </c>
      <c r="C77" s="114" t="s">
        <v>118</v>
      </c>
      <c r="D77" s="114" t="s">
        <v>114</v>
      </c>
      <c r="E77">
        <v>1000</v>
      </c>
      <c r="F77">
        <v>1016</v>
      </c>
      <c r="G77">
        <v>1000</v>
      </c>
      <c r="H77" s="114" t="s">
        <v>87</v>
      </c>
      <c r="I77">
        <v>7762</v>
      </c>
      <c r="J77" s="114" t="s">
        <v>135</v>
      </c>
      <c r="K77" s="114" t="s">
        <v>121</v>
      </c>
      <c r="L77">
        <v>592</v>
      </c>
      <c r="M77">
        <v>592</v>
      </c>
      <c r="N77">
        <v>1700</v>
      </c>
      <c r="O77" s="114" t="s">
        <v>85</v>
      </c>
      <c r="P77">
        <v>0.93861265412933403</v>
      </c>
      <c r="Q77">
        <v>0.90502226956907905</v>
      </c>
      <c r="R77">
        <v>2.3719900076860999E-2</v>
      </c>
      <c r="S77">
        <v>1.26881396006483E-2</v>
      </c>
      <c r="T77">
        <v>2.9489928099963998</v>
      </c>
      <c r="U77">
        <v>2.9489928099963998</v>
      </c>
      <c r="V77">
        <v>6.74</v>
      </c>
      <c r="W77">
        <v>0.94</v>
      </c>
      <c r="X77">
        <v>153088</v>
      </c>
      <c r="Y77">
        <v>11776</v>
      </c>
      <c r="Z77">
        <v>0.53</v>
      </c>
      <c r="AA77">
        <v>13</v>
      </c>
      <c r="AB77">
        <v>5</v>
      </c>
      <c r="AC77">
        <v>8</v>
      </c>
      <c r="AD77">
        <v>38.46</v>
      </c>
      <c r="AE77">
        <v>12</v>
      </c>
      <c r="AF77">
        <v>5</v>
      </c>
      <c r="AG77">
        <v>3</v>
      </c>
      <c r="AH77">
        <v>5</v>
      </c>
    </row>
    <row r="78" spans="1:34">
      <c r="A78" s="110">
        <v>123</v>
      </c>
      <c r="B78">
        <v>3116</v>
      </c>
      <c r="C78" s="114" t="s">
        <v>155</v>
      </c>
      <c r="D78" s="114" t="s">
        <v>111</v>
      </c>
      <c r="E78">
        <v>1689</v>
      </c>
      <c r="F78">
        <v>1711</v>
      </c>
      <c r="G78">
        <v>400</v>
      </c>
      <c r="H78" s="114" t="s">
        <v>87</v>
      </c>
      <c r="I78">
        <v>6988</v>
      </c>
      <c r="J78" s="114" t="s">
        <v>169</v>
      </c>
      <c r="K78" s="114" t="s">
        <v>86</v>
      </c>
      <c r="L78">
        <v>6060</v>
      </c>
      <c r="M78">
        <v>6060</v>
      </c>
      <c r="N78">
        <v>100</v>
      </c>
      <c r="O78" s="114" t="s">
        <v>85</v>
      </c>
      <c r="P78">
        <v>0.93696139325154504</v>
      </c>
      <c r="Q78">
        <v>0.90997640483111797</v>
      </c>
      <c r="R78">
        <v>0.291587494211758</v>
      </c>
      <c r="S78" s="20">
        <v>0.229439425435878</v>
      </c>
      <c r="T78">
        <v>0.32319336908132001</v>
      </c>
      <c r="U78">
        <v>0.32319336908132001</v>
      </c>
      <c r="V78">
        <v>0.84</v>
      </c>
      <c r="W78">
        <v>12.94</v>
      </c>
      <c r="X78">
        <v>135364</v>
      </c>
      <c r="Y78">
        <v>13536</v>
      </c>
      <c r="Z78">
        <v>1.01</v>
      </c>
      <c r="AA78">
        <v>10</v>
      </c>
      <c r="AB78">
        <v>8</v>
      </c>
      <c r="AC78">
        <v>2</v>
      </c>
      <c r="AD78">
        <v>80</v>
      </c>
      <c r="AE78">
        <v>12</v>
      </c>
      <c r="AF78">
        <v>6</v>
      </c>
      <c r="AG78">
        <v>1</v>
      </c>
      <c r="AH78">
        <v>3</v>
      </c>
    </row>
    <row r="79" spans="1:34">
      <c r="A79" s="110">
        <v>97</v>
      </c>
      <c r="B79">
        <v>6952</v>
      </c>
      <c r="C79" s="114" t="s">
        <v>1060</v>
      </c>
      <c r="D79" s="114" t="s">
        <v>114</v>
      </c>
      <c r="E79">
        <v>2075</v>
      </c>
      <c r="F79">
        <v>2066</v>
      </c>
      <c r="G79">
        <v>500</v>
      </c>
      <c r="H79" s="114" t="s">
        <v>87</v>
      </c>
      <c r="I79">
        <v>8604</v>
      </c>
      <c r="J79" s="114" t="s">
        <v>1061</v>
      </c>
      <c r="K79" s="114" t="s">
        <v>1062</v>
      </c>
      <c r="L79">
        <v>554</v>
      </c>
      <c r="M79">
        <v>547.5</v>
      </c>
      <c r="N79">
        <v>1900</v>
      </c>
      <c r="O79" s="114" t="s">
        <v>85</v>
      </c>
      <c r="P79">
        <v>0.95471101908931699</v>
      </c>
      <c r="Q79">
        <v>0.91595044453218899</v>
      </c>
      <c r="R79" s="20">
        <v>1.8808689596197099E-2</v>
      </c>
      <c r="S79">
        <v>0.18798876368704501</v>
      </c>
      <c r="T79">
        <v>1.430448076924</v>
      </c>
      <c r="U79">
        <v>1.430448076924</v>
      </c>
      <c r="V79">
        <v>5.09</v>
      </c>
      <c r="W79">
        <v>0.7</v>
      </c>
      <c r="X79">
        <v>134282</v>
      </c>
      <c r="Y79">
        <v>7899</v>
      </c>
      <c r="Z79">
        <v>0.39</v>
      </c>
      <c r="AA79">
        <v>17</v>
      </c>
      <c r="AB79">
        <v>10</v>
      </c>
      <c r="AC79">
        <v>7</v>
      </c>
      <c r="AD79">
        <v>58.82</v>
      </c>
      <c r="AE79">
        <v>13</v>
      </c>
      <c r="AF79">
        <v>4</v>
      </c>
      <c r="AG79">
        <v>3</v>
      </c>
      <c r="AH79">
        <v>10</v>
      </c>
    </row>
    <row r="80" spans="1:34">
      <c r="A80" s="110">
        <v>121</v>
      </c>
      <c r="B80">
        <v>6856</v>
      </c>
      <c r="C80" s="114" t="s">
        <v>388</v>
      </c>
      <c r="D80" s="114" t="s">
        <v>114</v>
      </c>
      <c r="E80">
        <v>7350</v>
      </c>
      <c r="F80">
        <v>7360</v>
      </c>
      <c r="G80">
        <v>100</v>
      </c>
      <c r="H80" s="114" t="s">
        <v>85</v>
      </c>
      <c r="I80">
        <v>9706</v>
      </c>
      <c r="J80" s="114" t="s">
        <v>397</v>
      </c>
      <c r="K80" s="114" t="s">
        <v>142</v>
      </c>
      <c r="L80">
        <v>5730</v>
      </c>
      <c r="M80">
        <v>5780</v>
      </c>
      <c r="N80">
        <v>100</v>
      </c>
      <c r="O80" s="114" t="s">
        <v>87</v>
      </c>
      <c r="P80">
        <v>0.913116842218886</v>
      </c>
      <c r="Q80">
        <v>0.91040655479103905</v>
      </c>
      <c r="R80">
        <v>0.33650465014631997</v>
      </c>
      <c r="S80">
        <v>1.52104108367131E-2</v>
      </c>
      <c r="T80">
        <v>-1.2539959603392401</v>
      </c>
      <c r="U80">
        <v>1.2539959603392401</v>
      </c>
      <c r="V80">
        <v>-4.6900000000000004</v>
      </c>
      <c r="W80">
        <v>21.47</v>
      </c>
      <c r="X80">
        <v>132436</v>
      </c>
      <c r="Y80">
        <v>26487</v>
      </c>
      <c r="Z80">
        <v>1.54</v>
      </c>
      <c r="AA80">
        <v>5</v>
      </c>
      <c r="AB80">
        <v>4</v>
      </c>
      <c r="AC80">
        <v>1</v>
      </c>
      <c r="AD80">
        <v>80</v>
      </c>
      <c r="AE80">
        <v>6</v>
      </c>
      <c r="AF80">
        <v>3</v>
      </c>
      <c r="AG80">
        <v>1</v>
      </c>
      <c r="AH80">
        <v>1</v>
      </c>
    </row>
    <row r="81" spans="1:34">
      <c r="A81" s="110">
        <v>124</v>
      </c>
      <c r="B81">
        <v>4208</v>
      </c>
      <c r="C81" s="114" t="s">
        <v>126</v>
      </c>
      <c r="D81" s="114" t="s">
        <v>86</v>
      </c>
      <c r="E81">
        <v>2337</v>
      </c>
      <c r="F81">
        <v>2345</v>
      </c>
      <c r="G81">
        <v>500</v>
      </c>
      <c r="H81" s="114" t="s">
        <v>85</v>
      </c>
      <c r="I81">
        <v>9072</v>
      </c>
      <c r="J81" s="114" t="s">
        <v>156</v>
      </c>
      <c r="K81" s="114" t="s">
        <v>147</v>
      </c>
      <c r="L81">
        <v>2670</v>
      </c>
      <c r="M81">
        <v>2706</v>
      </c>
      <c r="N81">
        <v>400</v>
      </c>
      <c r="O81" s="114" t="s">
        <v>87</v>
      </c>
      <c r="P81">
        <v>0.92214334002341003</v>
      </c>
      <c r="Q81">
        <v>0.90988746953478306</v>
      </c>
      <c r="R81" s="20">
        <v>2.2572425656046901E-2</v>
      </c>
      <c r="S81">
        <v>2.1106971061798901E-2</v>
      </c>
      <c r="T81">
        <v>-0.23321057947794199</v>
      </c>
      <c r="U81">
        <v>0.23321057947794199</v>
      </c>
      <c r="V81">
        <v>-0.46</v>
      </c>
      <c r="W81">
        <v>8.32</v>
      </c>
      <c r="X81">
        <v>126426</v>
      </c>
      <c r="Y81">
        <v>11493</v>
      </c>
      <c r="Z81">
        <v>0.65</v>
      </c>
      <c r="AA81">
        <v>11</v>
      </c>
      <c r="AB81">
        <v>7</v>
      </c>
      <c r="AC81">
        <v>4</v>
      </c>
      <c r="AD81">
        <v>63.64</v>
      </c>
      <c r="AE81">
        <v>14</v>
      </c>
      <c r="AF81">
        <v>5</v>
      </c>
      <c r="AG81">
        <v>1</v>
      </c>
      <c r="AH81">
        <v>5</v>
      </c>
    </row>
    <row r="82" spans="1:34">
      <c r="A82" s="110">
        <v>155</v>
      </c>
      <c r="B82">
        <v>1860</v>
      </c>
      <c r="C82" s="114" t="s">
        <v>139</v>
      </c>
      <c r="D82" s="114" t="s">
        <v>104</v>
      </c>
      <c r="E82">
        <v>675</v>
      </c>
      <c r="F82">
        <v>690</v>
      </c>
      <c r="G82">
        <v>1400</v>
      </c>
      <c r="H82" s="114" t="s">
        <v>87</v>
      </c>
      <c r="I82">
        <v>5110</v>
      </c>
      <c r="J82" s="114" t="s">
        <v>158</v>
      </c>
      <c r="K82" s="114" t="s">
        <v>159</v>
      </c>
      <c r="L82">
        <v>1386</v>
      </c>
      <c r="M82">
        <v>1392</v>
      </c>
      <c r="N82">
        <v>700</v>
      </c>
      <c r="O82" s="114" t="s">
        <v>85</v>
      </c>
      <c r="P82">
        <v>0.95326390103519598</v>
      </c>
      <c r="Q82">
        <v>0.902834734257001</v>
      </c>
      <c r="R82">
        <v>1.46949698215268E-2</v>
      </c>
      <c r="S82">
        <v>9.8881710817884296E-3</v>
      </c>
      <c r="T82">
        <v>1.4016556683446899</v>
      </c>
      <c r="U82">
        <v>1.4016556683446899</v>
      </c>
      <c r="V82">
        <v>2.21</v>
      </c>
      <c r="W82">
        <v>0.86</v>
      </c>
      <c r="X82">
        <v>117025</v>
      </c>
      <c r="Y82">
        <v>7314</v>
      </c>
      <c r="Z82">
        <v>0.32</v>
      </c>
      <c r="AA82">
        <v>16</v>
      </c>
      <c r="AB82">
        <v>9</v>
      </c>
      <c r="AC82">
        <v>7</v>
      </c>
      <c r="AD82">
        <v>56.25</v>
      </c>
      <c r="AE82">
        <v>12</v>
      </c>
      <c r="AF82">
        <v>6</v>
      </c>
      <c r="AG82">
        <v>4</v>
      </c>
      <c r="AH82">
        <v>6</v>
      </c>
    </row>
    <row r="83" spans="1:34">
      <c r="A83" s="110">
        <v>99</v>
      </c>
      <c r="B83">
        <v>3116</v>
      </c>
      <c r="C83" s="114" t="s">
        <v>155</v>
      </c>
      <c r="D83" s="114" t="s">
        <v>111</v>
      </c>
      <c r="E83">
        <v>1689</v>
      </c>
      <c r="F83">
        <v>1711</v>
      </c>
      <c r="G83">
        <v>500</v>
      </c>
      <c r="H83" s="114" t="s">
        <v>87</v>
      </c>
      <c r="I83">
        <v>6371</v>
      </c>
      <c r="J83" s="114" t="s">
        <v>136</v>
      </c>
      <c r="K83" s="114" t="s">
        <v>127</v>
      </c>
      <c r="L83">
        <v>3765</v>
      </c>
      <c r="M83">
        <v>3850</v>
      </c>
      <c r="N83">
        <v>200</v>
      </c>
      <c r="O83" s="114" t="s">
        <v>85</v>
      </c>
      <c r="P83">
        <v>0.93208167526708197</v>
      </c>
      <c r="Q83">
        <v>0.91493040197549402</v>
      </c>
      <c r="R83">
        <v>0.28907114595662498</v>
      </c>
      <c r="S83">
        <v>1.8352438238538601E-2</v>
      </c>
      <c r="T83">
        <v>0.51614956744924001</v>
      </c>
      <c r="U83">
        <v>0.51614956744924001</v>
      </c>
      <c r="V83">
        <v>1.0900000000000001</v>
      </c>
      <c r="W83">
        <v>11.1</v>
      </c>
      <c r="X83">
        <v>116971</v>
      </c>
      <c r="Y83">
        <v>7798</v>
      </c>
      <c r="Z83">
        <v>0.42</v>
      </c>
      <c r="AA83">
        <v>15</v>
      </c>
      <c r="AB83">
        <v>8</v>
      </c>
      <c r="AC83">
        <v>7</v>
      </c>
      <c r="AD83">
        <v>53.33</v>
      </c>
      <c r="AE83">
        <v>12</v>
      </c>
      <c r="AF83">
        <v>6</v>
      </c>
      <c r="AG83">
        <v>3</v>
      </c>
      <c r="AH83">
        <v>6</v>
      </c>
    </row>
    <row r="84" spans="1:34">
      <c r="A84" s="110">
        <v>116</v>
      </c>
      <c r="B84">
        <v>5471</v>
      </c>
      <c r="C84" s="114" t="s">
        <v>351</v>
      </c>
      <c r="D84" s="114" t="s">
        <v>120</v>
      </c>
      <c r="E84">
        <v>4855</v>
      </c>
      <c r="F84">
        <v>4885</v>
      </c>
      <c r="G84">
        <v>100</v>
      </c>
      <c r="H84" s="114" t="s">
        <v>85</v>
      </c>
      <c r="I84">
        <v>6988</v>
      </c>
      <c r="J84" s="114" t="s">
        <v>169</v>
      </c>
      <c r="K84" s="114" t="s">
        <v>86</v>
      </c>
      <c r="L84">
        <v>6060</v>
      </c>
      <c r="M84">
        <v>6060</v>
      </c>
      <c r="N84">
        <v>100</v>
      </c>
      <c r="O84" s="114" t="s">
        <v>87</v>
      </c>
      <c r="P84">
        <v>0.94803253481493899</v>
      </c>
      <c r="Q84">
        <v>0.91191251636159798</v>
      </c>
      <c r="R84">
        <v>4.0626221568991101E-2</v>
      </c>
      <c r="S84" s="20">
        <v>1.06118896485555E-2</v>
      </c>
      <c r="T84">
        <v>-0.10003424007443899</v>
      </c>
      <c r="U84">
        <v>0.10003424007443899</v>
      </c>
      <c r="V84">
        <v>-0.26</v>
      </c>
      <c r="W84">
        <v>19.39</v>
      </c>
      <c r="X84">
        <v>114186</v>
      </c>
      <c r="Y84">
        <v>114186</v>
      </c>
      <c r="Z84">
        <v>5.01</v>
      </c>
      <c r="AA84">
        <v>1</v>
      </c>
      <c r="AB84">
        <v>1</v>
      </c>
      <c r="AC84">
        <v>0</v>
      </c>
      <c r="AD84">
        <v>100</v>
      </c>
      <c r="AE84">
        <v>2</v>
      </c>
      <c r="AF84">
        <v>1</v>
      </c>
      <c r="AG84">
        <v>0</v>
      </c>
      <c r="AH84">
        <v>0</v>
      </c>
    </row>
    <row r="85" spans="1:34">
      <c r="A85" s="110">
        <v>78</v>
      </c>
      <c r="B85">
        <v>5802</v>
      </c>
      <c r="C85" s="114" t="s">
        <v>161</v>
      </c>
      <c r="D85" s="114" t="s">
        <v>162</v>
      </c>
      <c r="E85">
        <v>1633</v>
      </c>
      <c r="F85">
        <v>1638</v>
      </c>
      <c r="G85">
        <v>700</v>
      </c>
      <c r="H85" s="114" t="s">
        <v>87</v>
      </c>
      <c r="I85">
        <v>9072</v>
      </c>
      <c r="J85" s="114" t="s">
        <v>156</v>
      </c>
      <c r="K85" s="114" t="s">
        <v>147</v>
      </c>
      <c r="L85">
        <v>2670</v>
      </c>
      <c r="M85">
        <v>2706</v>
      </c>
      <c r="N85">
        <v>400</v>
      </c>
      <c r="O85" s="114" t="s">
        <v>85</v>
      </c>
      <c r="P85">
        <v>0.93815114715732095</v>
      </c>
      <c r="Q85">
        <v>0.92060311753508905</v>
      </c>
      <c r="R85">
        <v>2.9292577681700498E-2</v>
      </c>
      <c r="S85" s="20">
        <v>9.2751183638359395E-5</v>
      </c>
      <c r="T85">
        <v>2.0377542291084398</v>
      </c>
      <c r="U85">
        <v>2.0377542291084398</v>
      </c>
      <c r="V85">
        <v>8.31</v>
      </c>
      <c r="W85">
        <v>5.93</v>
      </c>
      <c r="X85">
        <v>111309</v>
      </c>
      <c r="Y85">
        <v>5565</v>
      </c>
      <c r="Z85">
        <v>0.26</v>
      </c>
      <c r="AA85">
        <v>20</v>
      </c>
      <c r="AB85">
        <v>12</v>
      </c>
      <c r="AC85">
        <v>8</v>
      </c>
      <c r="AD85">
        <v>60</v>
      </c>
      <c r="AE85">
        <v>15</v>
      </c>
      <c r="AF85">
        <v>6</v>
      </c>
      <c r="AG85">
        <v>2</v>
      </c>
      <c r="AH85">
        <v>12</v>
      </c>
    </row>
    <row r="86" spans="1:34">
      <c r="A86" s="110">
        <v>0</v>
      </c>
      <c r="B86">
        <v>6702</v>
      </c>
      <c r="C86" s="114" t="s">
        <v>390</v>
      </c>
      <c r="D86" s="114" t="s">
        <v>114</v>
      </c>
      <c r="E86">
        <v>10145</v>
      </c>
      <c r="F86">
        <v>10290</v>
      </c>
      <c r="G86">
        <v>100</v>
      </c>
      <c r="H86" s="114" t="s">
        <v>85</v>
      </c>
      <c r="I86">
        <v>6920</v>
      </c>
      <c r="J86" s="114" t="s">
        <v>113</v>
      </c>
      <c r="K86" s="114" t="s">
        <v>114</v>
      </c>
      <c r="L86">
        <v>9680</v>
      </c>
      <c r="M86">
        <v>9660</v>
      </c>
      <c r="N86">
        <v>100</v>
      </c>
      <c r="O86" s="114" t="s">
        <v>87</v>
      </c>
      <c r="P86">
        <v>0.91461998563833802</v>
      </c>
      <c r="Q86">
        <v>0.96829808667988904</v>
      </c>
      <c r="R86">
        <v>0.15193337105801399</v>
      </c>
      <c r="S86">
        <v>3.45246175806337E-4</v>
      </c>
      <c r="T86">
        <v>-1.46337386052328</v>
      </c>
      <c r="U86">
        <v>1.46337386052328</v>
      </c>
      <c r="V86">
        <v>-15.29</v>
      </c>
      <c r="W86">
        <v>6.12</v>
      </c>
      <c r="X86">
        <v>111057</v>
      </c>
      <c r="Y86">
        <v>11106</v>
      </c>
      <c r="Z86">
        <v>0.64</v>
      </c>
      <c r="AA86">
        <v>10</v>
      </c>
      <c r="AB86">
        <v>5</v>
      </c>
      <c r="AC86">
        <v>5</v>
      </c>
      <c r="AD86">
        <v>50</v>
      </c>
      <c r="AE86">
        <v>7</v>
      </c>
      <c r="AF86">
        <v>5</v>
      </c>
      <c r="AG86">
        <v>4</v>
      </c>
      <c r="AH86">
        <v>1</v>
      </c>
    </row>
    <row r="87" spans="1:34">
      <c r="A87" s="110">
        <v>24</v>
      </c>
      <c r="B87">
        <v>6925</v>
      </c>
      <c r="C87" s="114" t="s">
        <v>361</v>
      </c>
      <c r="D87" s="114" t="s">
        <v>114</v>
      </c>
      <c r="E87">
        <v>1626</v>
      </c>
      <c r="F87">
        <v>1643</v>
      </c>
      <c r="G87">
        <v>600</v>
      </c>
      <c r="H87" s="114" t="s">
        <v>85</v>
      </c>
      <c r="I87">
        <v>6951</v>
      </c>
      <c r="J87" s="114" t="s">
        <v>374</v>
      </c>
      <c r="K87" s="114" t="s">
        <v>114</v>
      </c>
      <c r="L87">
        <v>3090</v>
      </c>
      <c r="M87">
        <v>3095</v>
      </c>
      <c r="N87">
        <v>300</v>
      </c>
      <c r="O87" s="114" t="s">
        <v>87</v>
      </c>
      <c r="P87">
        <v>0.93659877353167298</v>
      </c>
      <c r="Q87">
        <v>0.94220834084469696</v>
      </c>
      <c r="R87">
        <v>2.5986835782799599E-2</v>
      </c>
      <c r="S87">
        <v>8.5356952186374496E-3</v>
      </c>
      <c r="T87">
        <v>-1.79168933626081</v>
      </c>
      <c r="U87">
        <v>1.79168933626081</v>
      </c>
      <c r="V87">
        <v>-7.83</v>
      </c>
      <c r="W87">
        <v>6.17</v>
      </c>
      <c r="X87">
        <v>110041</v>
      </c>
      <c r="Y87">
        <v>6113</v>
      </c>
      <c r="Z87">
        <v>0.33</v>
      </c>
      <c r="AA87">
        <v>18</v>
      </c>
      <c r="AB87">
        <v>11</v>
      </c>
      <c r="AC87">
        <v>7</v>
      </c>
      <c r="AD87">
        <v>61.11</v>
      </c>
      <c r="AE87">
        <v>10</v>
      </c>
      <c r="AF87">
        <v>7</v>
      </c>
      <c r="AG87">
        <v>6</v>
      </c>
      <c r="AH87">
        <v>5</v>
      </c>
    </row>
    <row r="88" spans="1:34">
      <c r="A88" s="110">
        <v>79</v>
      </c>
      <c r="B88">
        <v>2175</v>
      </c>
      <c r="C88" s="114" t="s">
        <v>381</v>
      </c>
      <c r="D88" s="114" t="s">
        <v>148</v>
      </c>
      <c r="E88">
        <v>3015</v>
      </c>
      <c r="F88">
        <v>3035</v>
      </c>
      <c r="G88">
        <v>200</v>
      </c>
      <c r="H88" s="114" t="s">
        <v>85</v>
      </c>
      <c r="I88">
        <v>8036</v>
      </c>
      <c r="J88" s="114" t="s">
        <v>370</v>
      </c>
      <c r="K88" s="114" t="s">
        <v>129</v>
      </c>
      <c r="L88">
        <v>7220</v>
      </c>
      <c r="M88">
        <v>7320</v>
      </c>
      <c r="N88">
        <v>100</v>
      </c>
      <c r="O88" s="114" t="s">
        <v>87</v>
      </c>
      <c r="P88">
        <v>0.91129495716897502</v>
      </c>
      <c r="Q88">
        <v>0.92058037365476397</v>
      </c>
      <c r="R88">
        <v>3.2738526200146801E-3</v>
      </c>
      <c r="S88" s="20">
        <v>7.8408766722896706E-2</v>
      </c>
      <c r="T88">
        <v>-0.93226977006705003</v>
      </c>
      <c r="U88">
        <v>0.93226977006705003</v>
      </c>
      <c r="V88">
        <v>-2.34</v>
      </c>
      <c r="W88">
        <v>17.079999999999998</v>
      </c>
      <c r="X88">
        <v>107085</v>
      </c>
      <c r="Y88">
        <v>6299</v>
      </c>
      <c r="Z88">
        <v>0.39</v>
      </c>
      <c r="AA88">
        <v>17</v>
      </c>
      <c r="AB88">
        <v>9</v>
      </c>
      <c r="AC88">
        <v>8</v>
      </c>
      <c r="AD88">
        <v>52.94</v>
      </c>
      <c r="AE88">
        <v>11</v>
      </c>
      <c r="AF88">
        <v>8</v>
      </c>
      <c r="AG88">
        <v>6</v>
      </c>
      <c r="AH88">
        <v>3</v>
      </c>
    </row>
    <row r="89" spans="1:34">
      <c r="A89" s="110">
        <v>152</v>
      </c>
      <c r="B89">
        <v>6770</v>
      </c>
      <c r="C89" s="114" t="s">
        <v>50</v>
      </c>
      <c r="D89" s="114" t="s">
        <v>114</v>
      </c>
      <c r="E89">
        <v>2446</v>
      </c>
      <c r="F89">
        <v>2445</v>
      </c>
      <c r="G89">
        <v>400</v>
      </c>
      <c r="H89" s="114" t="s">
        <v>87</v>
      </c>
      <c r="I89">
        <v>7272</v>
      </c>
      <c r="J89" s="114" t="s">
        <v>345</v>
      </c>
      <c r="K89" s="114" t="s">
        <v>111</v>
      </c>
      <c r="L89">
        <v>2231</v>
      </c>
      <c r="M89">
        <v>2259</v>
      </c>
      <c r="N89">
        <v>400</v>
      </c>
      <c r="O89" s="114" t="s">
        <v>85</v>
      </c>
      <c r="P89">
        <v>0.92949198267296096</v>
      </c>
      <c r="Q89">
        <v>0.90369154711077904</v>
      </c>
      <c r="R89">
        <v>0.21641177361505701</v>
      </c>
      <c r="S89">
        <v>0.29259246858939703</v>
      </c>
      <c r="T89">
        <v>1.02537792680919</v>
      </c>
      <c r="U89">
        <v>1.02537792680919</v>
      </c>
      <c r="V89">
        <v>3.27</v>
      </c>
      <c r="W89">
        <v>7.61</v>
      </c>
      <c r="X89">
        <v>106683</v>
      </c>
      <c r="Y89">
        <v>8206</v>
      </c>
      <c r="Z89">
        <v>0.37</v>
      </c>
      <c r="AA89">
        <v>13</v>
      </c>
      <c r="AB89">
        <v>7</v>
      </c>
      <c r="AC89">
        <v>6</v>
      </c>
      <c r="AD89">
        <v>53.85</v>
      </c>
      <c r="AE89">
        <v>12</v>
      </c>
      <c r="AF89">
        <v>5</v>
      </c>
      <c r="AG89">
        <v>4</v>
      </c>
      <c r="AH89">
        <v>4</v>
      </c>
    </row>
    <row r="90" spans="1:34">
      <c r="A90" s="110">
        <v>81</v>
      </c>
      <c r="B90">
        <v>7167</v>
      </c>
      <c r="C90" s="114" t="s">
        <v>128</v>
      </c>
      <c r="D90" s="114" t="s">
        <v>109</v>
      </c>
      <c r="E90">
        <v>278</v>
      </c>
      <c r="F90">
        <v>281</v>
      </c>
      <c r="G90">
        <v>3600</v>
      </c>
      <c r="H90" s="114" t="s">
        <v>85</v>
      </c>
      <c r="I90">
        <v>8377</v>
      </c>
      <c r="J90" s="114" t="s">
        <v>122</v>
      </c>
      <c r="K90" s="114" t="s">
        <v>109</v>
      </c>
      <c r="L90">
        <v>1107</v>
      </c>
      <c r="M90">
        <v>1126</v>
      </c>
      <c r="N90">
        <v>900</v>
      </c>
      <c r="O90" s="114" t="s">
        <v>87</v>
      </c>
      <c r="P90">
        <v>0.967732702422199</v>
      </c>
      <c r="Q90">
        <v>0.92015144808707205</v>
      </c>
      <c r="R90">
        <v>1.9893747477246801E-2</v>
      </c>
      <c r="S90" s="20">
        <v>0.20114223805376899</v>
      </c>
      <c r="T90">
        <v>-0.63477465325669002</v>
      </c>
      <c r="U90">
        <v>0.63477465325669002</v>
      </c>
      <c r="V90">
        <v>-1.2</v>
      </c>
      <c r="W90">
        <v>0.18</v>
      </c>
      <c r="X90">
        <v>96023</v>
      </c>
      <c r="Y90">
        <v>6001</v>
      </c>
      <c r="Z90">
        <v>0.25</v>
      </c>
      <c r="AA90">
        <v>16</v>
      </c>
      <c r="AB90">
        <v>11</v>
      </c>
      <c r="AC90">
        <v>5</v>
      </c>
      <c r="AD90">
        <v>68.75</v>
      </c>
      <c r="AE90">
        <v>16</v>
      </c>
      <c r="AF90">
        <v>2</v>
      </c>
      <c r="AG90">
        <v>1</v>
      </c>
      <c r="AH90">
        <v>13</v>
      </c>
    </row>
    <row r="91" spans="1:34">
      <c r="A91" s="110">
        <v>34</v>
      </c>
      <c r="B91">
        <v>5802</v>
      </c>
      <c r="C91" s="114" t="s">
        <v>161</v>
      </c>
      <c r="D91" s="114" t="s">
        <v>162</v>
      </c>
      <c r="E91">
        <v>1633</v>
      </c>
      <c r="F91">
        <v>1638</v>
      </c>
      <c r="G91">
        <v>600</v>
      </c>
      <c r="H91" s="114" t="s">
        <v>87</v>
      </c>
      <c r="I91">
        <v>7267</v>
      </c>
      <c r="J91" s="114" t="s">
        <v>146</v>
      </c>
      <c r="K91" s="114" t="s">
        <v>111</v>
      </c>
      <c r="L91">
        <v>3085</v>
      </c>
      <c r="M91">
        <v>3091</v>
      </c>
      <c r="N91">
        <v>300</v>
      </c>
      <c r="O91" s="114" t="s">
        <v>85</v>
      </c>
      <c r="P91">
        <v>0.91836408743908005</v>
      </c>
      <c r="Q91">
        <v>0.93944515840323795</v>
      </c>
      <c r="R91">
        <v>2.69193295793363E-2</v>
      </c>
      <c r="S91">
        <v>7.4312934642599003E-4</v>
      </c>
      <c r="T91">
        <v>2.5382241690792702</v>
      </c>
      <c r="U91">
        <v>2.5382241690792702</v>
      </c>
      <c r="V91">
        <v>6.65</v>
      </c>
      <c r="W91">
        <v>5.99</v>
      </c>
      <c r="X91">
        <v>86548</v>
      </c>
      <c r="Y91">
        <v>5409</v>
      </c>
      <c r="Z91">
        <v>0.24</v>
      </c>
      <c r="AA91">
        <v>16</v>
      </c>
      <c r="AB91">
        <v>10</v>
      </c>
      <c r="AC91">
        <v>6</v>
      </c>
      <c r="AD91">
        <v>62.5</v>
      </c>
      <c r="AE91">
        <v>16</v>
      </c>
      <c r="AF91">
        <v>1</v>
      </c>
      <c r="AG91">
        <v>1</v>
      </c>
      <c r="AH91">
        <v>14</v>
      </c>
    </row>
    <row r="92" spans="1:34">
      <c r="A92" s="110">
        <v>130</v>
      </c>
      <c r="B92">
        <v>6301</v>
      </c>
      <c r="C92" s="114" t="s">
        <v>137</v>
      </c>
      <c r="D92" s="114" t="s">
        <v>127</v>
      </c>
      <c r="E92">
        <v>2542</v>
      </c>
      <c r="F92">
        <v>2558.5</v>
      </c>
      <c r="G92">
        <v>400</v>
      </c>
      <c r="H92" s="114" t="s">
        <v>85</v>
      </c>
      <c r="I92">
        <v>6472</v>
      </c>
      <c r="J92" s="114" t="s">
        <v>164</v>
      </c>
      <c r="K92" s="114" t="s">
        <v>127</v>
      </c>
      <c r="L92">
        <v>333</v>
      </c>
      <c r="M92">
        <v>333</v>
      </c>
      <c r="N92">
        <v>3100</v>
      </c>
      <c r="O92" s="114" t="s">
        <v>87</v>
      </c>
      <c r="P92">
        <v>0.91761939329682396</v>
      </c>
      <c r="Q92">
        <v>0.908864668328902</v>
      </c>
      <c r="R92">
        <v>0.162554238260991</v>
      </c>
      <c r="S92">
        <v>1.2381831723139501E-2</v>
      </c>
      <c r="T92">
        <v>-0.28883474079703197</v>
      </c>
      <c r="U92">
        <v>0.28883474079703197</v>
      </c>
      <c r="V92">
        <v>-1.03</v>
      </c>
      <c r="W92">
        <v>0.87</v>
      </c>
      <c r="X92">
        <v>85896</v>
      </c>
      <c r="Y92">
        <v>4295</v>
      </c>
      <c r="Z92">
        <v>0.12</v>
      </c>
      <c r="AA92">
        <v>20</v>
      </c>
      <c r="AB92">
        <v>10</v>
      </c>
      <c r="AC92">
        <v>10</v>
      </c>
      <c r="AD92">
        <v>50</v>
      </c>
      <c r="AE92">
        <v>11</v>
      </c>
      <c r="AF92">
        <v>8</v>
      </c>
      <c r="AG92">
        <v>7</v>
      </c>
      <c r="AH92">
        <v>5</v>
      </c>
    </row>
    <row r="93" spans="1:34">
      <c r="A93" s="110">
        <v>44</v>
      </c>
      <c r="B93">
        <v>5802</v>
      </c>
      <c r="C93" s="114" t="s">
        <v>161</v>
      </c>
      <c r="D93" s="114" t="s">
        <v>162</v>
      </c>
      <c r="E93">
        <v>1633</v>
      </c>
      <c r="F93">
        <v>1638</v>
      </c>
      <c r="G93">
        <v>600</v>
      </c>
      <c r="H93" s="114" t="s">
        <v>87</v>
      </c>
      <c r="I93">
        <v>9810</v>
      </c>
      <c r="J93" s="114" t="s">
        <v>157</v>
      </c>
      <c r="K93" s="114" t="s">
        <v>129</v>
      </c>
      <c r="L93">
        <v>5050</v>
      </c>
      <c r="M93">
        <v>5020</v>
      </c>
      <c r="N93">
        <v>200</v>
      </c>
      <c r="O93" s="114" t="s">
        <v>85</v>
      </c>
      <c r="P93">
        <v>0.93653106499269601</v>
      </c>
      <c r="Q93">
        <v>0.93268859382634794</v>
      </c>
      <c r="R93" s="20">
        <v>0.12640185473008</v>
      </c>
      <c r="S93">
        <v>2.8026428677986499E-2</v>
      </c>
      <c r="T93">
        <v>1.02272551594043</v>
      </c>
      <c r="U93">
        <v>1.02272551594043</v>
      </c>
      <c r="V93">
        <v>2.96</v>
      </c>
      <c r="W93">
        <v>2.11</v>
      </c>
      <c r="X93">
        <v>84914</v>
      </c>
      <c r="Y93">
        <v>5661</v>
      </c>
      <c r="Z93">
        <v>0.45</v>
      </c>
      <c r="AA93">
        <v>15</v>
      </c>
      <c r="AB93">
        <v>10</v>
      </c>
      <c r="AC93">
        <v>5</v>
      </c>
      <c r="AD93">
        <v>66.67</v>
      </c>
      <c r="AE93">
        <v>14</v>
      </c>
      <c r="AF93">
        <v>3</v>
      </c>
      <c r="AG93">
        <v>2</v>
      </c>
      <c r="AH93">
        <v>10</v>
      </c>
    </row>
    <row r="94" spans="1:34">
      <c r="A94" s="110">
        <v>56</v>
      </c>
      <c r="B94">
        <v>6770</v>
      </c>
      <c r="C94" s="114" t="s">
        <v>50</v>
      </c>
      <c r="D94" s="114" t="s">
        <v>114</v>
      </c>
      <c r="E94">
        <v>2446</v>
      </c>
      <c r="F94">
        <v>2445</v>
      </c>
      <c r="G94">
        <v>200</v>
      </c>
      <c r="H94" s="114" t="s">
        <v>87</v>
      </c>
      <c r="I94">
        <v>6988</v>
      </c>
      <c r="J94" s="114" t="s">
        <v>169</v>
      </c>
      <c r="K94" s="114" t="s">
        <v>86</v>
      </c>
      <c r="L94">
        <v>6060</v>
      </c>
      <c r="M94">
        <v>6060</v>
      </c>
      <c r="N94">
        <v>100</v>
      </c>
      <c r="O94" s="114" t="s">
        <v>85</v>
      </c>
      <c r="P94">
        <v>0.94547373457457295</v>
      </c>
      <c r="Q94">
        <v>0.92685816299230295</v>
      </c>
      <c r="R94">
        <v>0.152113769379875</v>
      </c>
      <c r="S94">
        <v>0.246372109329248</v>
      </c>
      <c r="T94">
        <v>1.62644680533375</v>
      </c>
      <c r="U94">
        <v>1.62644680533375</v>
      </c>
      <c r="V94">
        <v>5.57</v>
      </c>
      <c r="W94">
        <v>19.309999999999999</v>
      </c>
      <c r="X94">
        <v>80018</v>
      </c>
      <c r="Y94">
        <v>5716</v>
      </c>
      <c r="Z94">
        <v>0.28999999999999998</v>
      </c>
      <c r="AA94">
        <v>14</v>
      </c>
      <c r="AB94">
        <v>8</v>
      </c>
      <c r="AC94">
        <v>6</v>
      </c>
      <c r="AD94">
        <v>57.14</v>
      </c>
      <c r="AE94">
        <v>12</v>
      </c>
      <c r="AF94">
        <v>7</v>
      </c>
      <c r="AG94">
        <v>3</v>
      </c>
      <c r="AH94">
        <v>4</v>
      </c>
    </row>
    <row r="95" spans="1:34">
      <c r="A95" s="110">
        <v>105</v>
      </c>
      <c r="B95">
        <v>8002</v>
      </c>
      <c r="C95" s="114" t="s">
        <v>55</v>
      </c>
      <c r="D95" s="114" t="s">
        <v>129</v>
      </c>
      <c r="E95">
        <v>809</v>
      </c>
      <c r="F95">
        <v>813.2</v>
      </c>
      <c r="G95">
        <v>1300</v>
      </c>
      <c r="H95" s="114" t="s">
        <v>87</v>
      </c>
      <c r="I95">
        <v>9072</v>
      </c>
      <c r="J95" s="114" t="s">
        <v>156</v>
      </c>
      <c r="K95" s="114" t="s">
        <v>147</v>
      </c>
      <c r="L95">
        <v>2670</v>
      </c>
      <c r="M95">
        <v>2706</v>
      </c>
      <c r="N95">
        <v>400</v>
      </c>
      <c r="O95" s="114" t="s">
        <v>85</v>
      </c>
      <c r="P95">
        <v>0.94273230523936502</v>
      </c>
      <c r="Q95">
        <v>0.91412549499356199</v>
      </c>
      <c r="R95">
        <v>7.8909261207256207E-2</v>
      </c>
      <c r="S95" s="20">
        <v>1.88912601896841E-3</v>
      </c>
      <c r="T95">
        <v>1.5694369671716599</v>
      </c>
      <c r="U95">
        <v>1.5694369671716599</v>
      </c>
      <c r="V95">
        <v>3.06</v>
      </c>
      <c r="W95">
        <v>2.33</v>
      </c>
      <c r="X95">
        <v>77791</v>
      </c>
      <c r="Y95">
        <v>4862</v>
      </c>
      <c r="Z95">
        <v>0.24</v>
      </c>
      <c r="AA95">
        <v>16</v>
      </c>
      <c r="AB95">
        <v>8</v>
      </c>
      <c r="AC95">
        <v>8</v>
      </c>
      <c r="AD95">
        <v>50</v>
      </c>
      <c r="AE95">
        <v>16</v>
      </c>
      <c r="AF95">
        <v>4</v>
      </c>
      <c r="AG95">
        <v>1</v>
      </c>
      <c r="AH95">
        <v>11</v>
      </c>
    </row>
    <row r="96" spans="1:34">
      <c r="A96" s="110">
        <v>35</v>
      </c>
      <c r="B96">
        <v>1820</v>
      </c>
      <c r="C96" s="114" t="s">
        <v>150</v>
      </c>
      <c r="D96" s="114" t="s">
        <v>104</v>
      </c>
      <c r="E96">
        <v>2404</v>
      </c>
      <c r="F96">
        <v>2453</v>
      </c>
      <c r="G96">
        <v>400</v>
      </c>
      <c r="H96" s="114" t="s">
        <v>87</v>
      </c>
      <c r="I96">
        <v>4182</v>
      </c>
      <c r="J96" s="114" t="s">
        <v>115</v>
      </c>
      <c r="K96" s="114" t="s">
        <v>86</v>
      </c>
      <c r="L96">
        <v>1666</v>
      </c>
      <c r="M96">
        <v>1667</v>
      </c>
      <c r="N96">
        <v>600</v>
      </c>
      <c r="O96" s="114" t="s">
        <v>85</v>
      </c>
      <c r="P96">
        <v>0.96458138383091796</v>
      </c>
      <c r="Q96">
        <v>0.93914411040983803</v>
      </c>
      <c r="R96">
        <v>0.11662286802312</v>
      </c>
      <c r="S96">
        <v>4.2789758579651102E-2</v>
      </c>
      <c r="T96">
        <v>0.69649976154609095</v>
      </c>
      <c r="U96">
        <v>0.69649976154609095</v>
      </c>
      <c r="V96">
        <v>2.37</v>
      </c>
      <c r="W96">
        <v>1.94</v>
      </c>
      <c r="X96">
        <v>74834</v>
      </c>
      <c r="Y96">
        <v>6236</v>
      </c>
      <c r="Z96">
        <v>0.26</v>
      </c>
      <c r="AA96">
        <v>12</v>
      </c>
      <c r="AB96">
        <v>8</v>
      </c>
      <c r="AC96">
        <v>4</v>
      </c>
      <c r="AD96">
        <v>66.67</v>
      </c>
      <c r="AE96">
        <v>12</v>
      </c>
      <c r="AF96">
        <v>5</v>
      </c>
      <c r="AG96">
        <v>3</v>
      </c>
      <c r="AH96">
        <v>4</v>
      </c>
    </row>
    <row r="97" spans="1:34">
      <c r="A97" s="110">
        <v>107</v>
      </c>
      <c r="B97">
        <v>3116</v>
      </c>
      <c r="C97" s="114" t="s">
        <v>155</v>
      </c>
      <c r="D97" s="114" t="s">
        <v>111</v>
      </c>
      <c r="E97">
        <v>1689</v>
      </c>
      <c r="F97">
        <v>1711</v>
      </c>
      <c r="G97">
        <v>600</v>
      </c>
      <c r="H97" s="114" t="s">
        <v>87</v>
      </c>
      <c r="I97">
        <v>8002</v>
      </c>
      <c r="J97" s="114" t="s">
        <v>55</v>
      </c>
      <c r="K97" s="114" t="s">
        <v>129</v>
      </c>
      <c r="L97">
        <v>809</v>
      </c>
      <c r="M97">
        <v>813.2</v>
      </c>
      <c r="N97">
        <v>1300</v>
      </c>
      <c r="O97" s="114" t="s">
        <v>85</v>
      </c>
      <c r="P97">
        <v>0.94584462480833997</v>
      </c>
      <c r="Q97">
        <v>0.91353263941555596</v>
      </c>
      <c r="R97">
        <v>6.9387230187864704E-2</v>
      </c>
      <c r="S97">
        <v>7.7895640475041897E-2</v>
      </c>
      <c r="T97">
        <v>0.341941588306721</v>
      </c>
      <c r="U97">
        <v>0.341941588306721</v>
      </c>
      <c r="V97">
        <v>0.65</v>
      </c>
      <c r="W97">
        <v>2.98</v>
      </c>
      <c r="X97">
        <v>69702</v>
      </c>
      <c r="Y97">
        <v>5362</v>
      </c>
      <c r="Z97">
        <v>0.33</v>
      </c>
      <c r="AA97">
        <v>13</v>
      </c>
      <c r="AB97">
        <v>5</v>
      </c>
      <c r="AC97">
        <v>8</v>
      </c>
      <c r="AD97">
        <v>38.46</v>
      </c>
      <c r="AE97">
        <v>16</v>
      </c>
      <c r="AF97">
        <v>4</v>
      </c>
      <c r="AG97">
        <v>0</v>
      </c>
      <c r="AH97">
        <v>9</v>
      </c>
    </row>
    <row r="98" spans="1:34">
      <c r="A98" s="110">
        <v>38</v>
      </c>
      <c r="B98">
        <v>7189</v>
      </c>
      <c r="C98" s="114" t="s">
        <v>108</v>
      </c>
      <c r="D98" s="114" t="s">
        <v>109</v>
      </c>
      <c r="E98">
        <v>835</v>
      </c>
      <c r="F98">
        <v>846</v>
      </c>
      <c r="G98">
        <v>1100</v>
      </c>
      <c r="H98" s="114" t="s">
        <v>87</v>
      </c>
      <c r="I98">
        <v>7327</v>
      </c>
      <c r="J98" s="114" t="s">
        <v>171</v>
      </c>
      <c r="K98" s="114" t="s">
        <v>109</v>
      </c>
      <c r="L98">
        <v>2909</v>
      </c>
      <c r="M98">
        <v>2985</v>
      </c>
      <c r="N98">
        <v>300</v>
      </c>
      <c r="O98" s="114" t="s">
        <v>85</v>
      </c>
      <c r="P98">
        <v>0.94514448580763599</v>
      </c>
      <c r="Q98">
        <v>0.93649404944563996</v>
      </c>
      <c r="R98">
        <v>9.6238602643755E-2</v>
      </c>
      <c r="S98">
        <v>0.13438937575807999</v>
      </c>
      <c r="T98">
        <v>0.25952083735910803</v>
      </c>
      <c r="U98">
        <v>0.25952083735910803</v>
      </c>
      <c r="V98">
        <v>1.1100000000000001</v>
      </c>
      <c r="W98">
        <v>3.92</v>
      </c>
      <c r="X98">
        <v>68567</v>
      </c>
      <c r="Y98">
        <v>13713</v>
      </c>
      <c r="Z98">
        <v>0.79</v>
      </c>
      <c r="AA98">
        <v>5</v>
      </c>
      <c r="AB98">
        <v>3</v>
      </c>
      <c r="AC98">
        <v>2</v>
      </c>
      <c r="AD98">
        <v>60</v>
      </c>
      <c r="AE98">
        <v>11</v>
      </c>
      <c r="AF98">
        <v>2</v>
      </c>
      <c r="AG98">
        <v>1</v>
      </c>
      <c r="AH98">
        <v>2</v>
      </c>
    </row>
    <row r="99" spans="1:34">
      <c r="A99" s="110">
        <v>42</v>
      </c>
      <c r="B99">
        <v>3861</v>
      </c>
      <c r="C99" s="114" t="s">
        <v>89</v>
      </c>
      <c r="D99" s="114" t="s">
        <v>107</v>
      </c>
      <c r="E99">
        <v>603</v>
      </c>
      <c r="F99">
        <v>613</v>
      </c>
      <c r="G99">
        <v>1700</v>
      </c>
      <c r="H99" s="114" t="s">
        <v>87</v>
      </c>
      <c r="I99">
        <v>5703</v>
      </c>
      <c r="J99" s="114" t="s">
        <v>353</v>
      </c>
      <c r="K99" s="114" t="s">
        <v>162</v>
      </c>
      <c r="L99">
        <v>220</v>
      </c>
      <c r="M99">
        <v>223</v>
      </c>
      <c r="N99">
        <v>4700</v>
      </c>
      <c r="O99" s="114" t="s">
        <v>85</v>
      </c>
      <c r="P99">
        <v>0.96936412418429196</v>
      </c>
      <c r="Q99">
        <v>0.933079344221308</v>
      </c>
      <c r="R99">
        <v>2.9087200083781399E-2</v>
      </c>
      <c r="S99" s="20">
        <v>0.123224926534013</v>
      </c>
      <c r="T99">
        <v>1.3643004972285599</v>
      </c>
      <c r="U99">
        <v>1.3643004972285599</v>
      </c>
      <c r="V99">
        <v>3.02</v>
      </c>
      <c r="W99">
        <v>0.57999999999999996</v>
      </c>
      <c r="X99">
        <v>62912</v>
      </c>
      <c r="Y99">
        <v>2735</v>
      </c>
      <c r="Z99">
        <v>0.14000000000000001</v>
      </c>
      <c r="AA99">
        <v>23</v>
      </c>
      <c r="AB99">
        <v>12</v>
      </c>
      <c r="AC99">
        <v>11</v>
      </c>
      <c r="AD99">
        <v>52.17</v>
      </c>
      <c r="AE99">
        <v>12</v>
      </c>
      <c r="AF99">
        <v>9</v>
      </c>
      <c r="AG99">
        <v>6</v>
      </c>
      <c r="AH99">
        <v>8</v>
      </c>
    </row>
    <row r="100" spans="1:34">
      <c r="A100" s="110">
        <v>21</v>
      </c>
      <c r="B100">
        <v>3105</v>
      </c>
      <c r="C100" s="114" t="s">
        <v>118</v>
      </c>
      <c r="D100" s="114" t="s">
        <v>114</v>
      </c>
      <c r="E100">
        <v>1000</v>
      </c>
      <c r="F100">
        <v>1016</v>
      </c>
      <c r="G100">
        <v>600</v>
      </c>
      <c r="H100" s="114" t="s">
        <v>87</v>
      </c>
      <c r="I100">
        <v>6988</v>
      </c>
      <c r="J100" s="114" t="s">
        <v>169</v>
      </c>
      <c r="K100" s="114" t="s">
        <v>86</v>
      </c>
      <c r="L100">
        <v>6060</v>
      </c>
      <c r="M100">
        <v>6060</v>
      </c>
      <c r="N100">
        <v>100</v>
      </c>
      <c r="O100" s="114" t="s">
        <v>85</v>
      </c>
      <c r="P100">
        <v>0.92533027176778804</v>
      </c>
      <c r="Q100">
        <v>0.94393685465552102</v>
      </c>
      <c r="R100">
        <v>0.13084801290197101</v>
      </c>
      <c r="S100">
        <v>2.37544089402697E-3</v>
      </c>
      <c r="T100">
        <v>2.1855077972236701</v>
      </c>
      <c r="U100">
        <v>2.1855077972236701</v>
      </c>
      <c r="V100">
        <v>5.37</v>
      </c>
      <c r="W100">
        <v>0.59</v>
      </c>
      <c r="X100">
        <v>59924</v>
      </c>
      <c r="Y100">
        <v>3329</v>
      </c>
      <c r="Z100">
        <v>0.05</v>
      </c>
      <c r="AA100">
        <v>18</v>
      </c>
      <c r="AB100">
        <v>10</v>
      </c>
      <c r="AC100">
        <v>8</v>
      </c>
      <c r="AD100">
        <v>55.56</v>
      </c>
      <c r="AE100">
        <v>12</v>
      </c>
      <c r="AF100">
        <v>6</v>
      </c>
      <c r="AG100">
        <v>5</v>
      </c>
      <c r="AH100">
        <v>7</v>
      </c>
    </row>
    <row r="101" spans="1:34">
      <c r="A101" s="110">
        <v>61</v>
      </c>
      <c r="B101">
        <v>4182</v>
      </c>
      <c r="C101" s="114" t="s">
        <v>115</v>
      </c>
      <c r="D101" s="114" t="s">
        <v>86</v>
      </c>
      <c r="E101">
        <v>1666</v>
      </c>
      <c r="F101">
        <v>1667</v>
      </c>
      <c r="G101">
        <v>500</v>
      </c>
      <c r="H101" s="114" t="s">
        <v>87</v>
      </c>
      <c r="I101">
        <v>6371</v>
      </c>
      <c r="J101" s="114" t="s">
        <v>136</v>
      </c>
      <c r="K101" s="114" t="s">
        <v>127</v>
      </c>
      <c r="L101">
        <v>3765</v>
      </c>
      <c r="M101">
        <v>3850</v>
      </c>
      <c r="N101">
        <v>200</v>
      </c>
      <c r="O101" s="114" t="s">
        <v>85</v>
      </c>
      <c r="P101">
        <v>0.94460331509897599</v>
      </c>
      <c r="Q101">
        <v>0.92579044815599698</v>
      </c>
      <c r="R101">
        <v>9.7048777264678601E-2</v>
      </c>
      <c r="S101">
        <v>4.9903851957362001E-2</v>
      </c>
      <c r="T101">
        <v>0.93456891243686702</v>
      </c>
      <c r="U101">
        <v>0.93456891243686702</v>
      </c>
      <c r="V101">
        <v>3.92</v>
      </c>
      <c r="W101">
        <v>8.25</v>
      </c>
      <c r="X101">
        <v>55936</v>
      </c>
      <c r="Y101">
        <v>4661</v>
      </c>
      <c r="Z101">
        <v>0.32</v>
      </c>
      <c r="AA101">
        <v>12</v>
      </c>
      <c r="AB101">
        <v>7</v>
      </c>
      <c r="AC101">
        <v>5</v>
      </c>
      <c r="AD101">
        <v>58.33</v>
      </c>
      <c r="AE101">
        <v>13</v>
      </c>
      <c r="AF101">
        <v>3</v>
      </c>
      <c r="AG101">
        <v>2</v>
      </c>
      <c r="AH101">
        <v>7</v>
      </c>
    </row>
    <row r="102" spans="1:34">
      <c r="A102" s="110">
        <v>80</v>
      </c>
      <c r="B102">
        <v>4516</v>
      </c>
      <c r="C102" s="114" t="s">
        <v>373</v>
      </c>
      <c r="D102" s="114" t="s">
        <v>166</v>
      </c>
      <c r="E102">
        <v>9910</v>
      </c>
      <c r="F102">
        <v>9880</v>
      </c>
      <c r="G102">
        <v>100</v>
      </c>
      <c r="H102" s="114" t="s">
        <v>85</v>
      </c>
      <c r="I102">
        <v>8036</v>
      </c>
      <c r="J102" s="114" t="s">
        <v>370</v>
      </c>
      <c r="K102" s="114" t="s">
        <v>129</v>
      </c>
      <c r="L102">
        <v>7220</v>
      </c>
      <c r="M102">
        <v>7320</v>
      </c>
      <c r="N102">
        <v>100</v>
      </c>
      <c r="O102" s="114" t="s">
        <v>87</v>
      </c>
      <c r="P102">
        <v>0.92488050385436105</v>
      </c>
      <c r="Q102">
        <v>0.92021371177367695</v>
      </c>
      <c r="R102">
        <v>2.7677157227999199E-4</v>
      </c>
      <c r="S102">
        <v>8.4179936972232194E-2</v>
      </c>
      <c r="T102">
        <v>-1.91431319264879</v>
      </c>
      <c r="U102">
        <v>1.91431319264879</v>
      </c>
      <c r="V102">
        <v>-7.55</v>
      </c>
      <c r="W102">
        <v>25.91</v>
      </c>
      <c r="X102">
        <v>55404</v>
      </c>
      <c r="Y102">
        <v>9234</v>
      </c>
      <c r="Z102">
        <v>0.68</v>
      </c>
      <c r="AA102">
        <v>6</v>
      </c>
      <c r="AB102">
        <v>3</v>
      </c>
      <c r="AC102">
        <v>3</v>
      </c>
      <c r="AD102">
        <v>50</v>
      </c>
      <c r="AE102">
        <v>11</v>
      </c>
      <c r="AF102">
        <v>3</v>
      </c>
      <c r="AG102">
        <v>1</v>
      </c>
      <c r="AH102">
        <v>2</v>
      </c>
    </row>
    <row r="103" spans="1:34">
      <c r="A103" s="110">
        <v>15</v>
      </c>
      <c r="B103">
        <v>6457</v>
      </c>
      <c r="C103" s="114" t="s">
        <v>362</v>
      </c>
      <c r="D103" s="114" t="s">
        <v>127</v>
      </c>
      <c r="E103">
        <v>3290</v>
      </c>
      <c r="F103">
        <v>3340</v>
      </c>
      <c r="G103">
        <v>300</v>
      </c>
      <c r="H103" s="114" t="s">
        <v>85</v>
      </c>
      <c r="I103">
        <v>6755</v>
      </c>
      <c r="J103" s="114" t="s">
        <v>389</v>
      </c>
      <c r="K103" s="114" t="s">
        <v>114</v>
      </c>
      <c r="L103">
        <v>2057</v>
      </c>
      <c r="M103">
        <v>2213</v>
      </c>
      <c r="N103">
        <v>500</v>
      </c>
      <c r="O103" s="114" t="s">
        <v>87</v>
      </c>
      <c r="P103">
        <v>0.90140288333642404</v>
      </c>
      <c r="Q103">
        <v>0.94705168162644204</v>
      </c>
      <c r="R103" s="20">
        <v>0.33270922212284099</v>
      </c>
      <c r="S103" s="20">
        <v>4.4420707550886897E-5</v>
      </c>
      <c r="T103">
        <v>-3.4846523670406802</v>
      </c>
      <c r="U103">
        <v>3.4846523670406802</v>
      </c>
      <c r="V103">
        <v>-11.69</v>
      </c>
      <c r="W103">
        <v>10.43</v>
      </c>
      <c r="X103">
        <v>54333</v>
      </c>
      <c r="Y103">
        <v>3622</v>
      </c>
      <c r="Z103">
        <v>0.2</v>
      </c>
      <c r="AA103">
        <v>15</v>
      </c>
      <c r="AB103">
        <v>9</v>
      </c>
      <c r="AC103">
        <v>6</v>
      </c>
      <c r="AD103">
        <v>60</v>
      </c>
      <c r="AE103">
        <v>13</v>
      </c>
      <c r="AF103">
        <v>5</v>
      </c>
      <c r="AG103">
        <v>3</v>
      </c>
      <c r="AH103">
        <v>7</v>
      </c>
    </row>
    <row r="104" spans="1:34">
      <c r="A104" s="110">
        <v>92</v>
      </c>
      <c r="B104">
        <v>4182</v>
      </c>
      <c r="C104" s="114" t="s">
        <v>115</v>
      </c>
      <c r="D104" s="114" t="s">
        <v>86</v>
      </c>
      <c r="E104">
        <v>1666</v>
      </c>
      <c r="F104">
        <v>1667</v>
      </c>
      <c r="G104">
        <v>600</v>
      </c>
      <c r="H104" s="114" t="s">
        <v>87</v>
      </c>
      <c r="I104">
        <v>5463</v>
      </c>
      <c r="J104" s="114" t="s">
        <v>172</v>
      </c>
      <c r="K104" s="114" t="s">
        <v>120</v>
      </c>
      <c r="L104">
        <v>3180</v>
      </c>
      <c r="M104">
        <v>3150</v>
      </c>
      <c r="N104">
        <v>300</v>
      </c>
      <c r="O104" s="114" t="s">
        <v>85</v>
      </c>
      <c r="P104">
        <v>0.92989004318744695</v>
      </c>
      <c r="Q104">
        <v>0.91782357084315402</v>
      </c>
      <c r="R104">
        <v>0.214739247576998</v>
      </c>
      <c r="S104">
        <v>4.8694563946681799E-2</v>
      </c>
      <c r="T104">
        <v>0.79411353117200301</v>
      </c>
      <c r="U104">
        <v>0.79411353117200301</v>
      </c>
      <c r="V104">
        <v>3.65</v>
      </c>
      <c r="W104">
        <v>5.84</v>
      </c>
      <c r="X104">
        <v>49018</v>
      </c>
      <c r="Y104">
        <v>2723</v>
      </c>
      <c r="Z104">
        <v>0.22</v>
      </c>
      <c r="AA104">
        <v>18</v>
      </c>
      <c r="AB104">
        <v>10</v>
      </c>
      <c r="AC104">
        <v>8</v>
      </c>
      <c r="AD104">
        <v>55.56</v>
      </c>
      <c r="AE104">
        <v>11</v>
      </c>
      <c r="AF104">
        <v>7</v>
      </c>
      <c r="AG104">
        <v>6</v>
      </c>
      <c r="AH104">
        <v>5</v>
      </c>
    </row>
    <row r="105" spans="1:34">
      <c r="A105" s="110">
        <v>73</v>
      </c>
      <c r="B105">
        <v>6135</v>
      </c>
      <c r="C105" s="114" t="s">
        <v>356</v>
      </c>
      <c r="D105" s="114" t="s">
        <v>127</v>
      </c>
      <c r="E105">
        <v>5260</v>
      </c>
      <c r="F105">
        <v>5290</v>
      </c>
      <c r="G105">
        <v>100</v>
      </c>
      <c r="H105" s="114" t="s">
        <v>85</v>
      </c>
      <c r="I105">
        <v>6856</v>
      </c>
      <c r="J105" s="114" t="s">
        <v>388</v>
      </c>
      <c r="K105" s="114" t="s">
        <v>114</v>
      </c>
      <c r="L105">
        <v>7350</v>
      </c>
      <c r="M105">
        <v>7360</v>
      </c>
      <c r="N105">
        <v>100</v>
      </c>
      <c r="O105" s="114" t="s">
        <v>87</v>
      </c>
      <c r="P105">
        <v>0.94211036894068201</v>
      </c>
      <c r="Q105">
        <v>0.92272208869335104</v>
      </c>
      <c r="R105" s="20">
        <v>0.39816280582709801</v>
      </c>
      <c r="S105" s="20">
        <v>0.29222827996503498</v>
      </c>
      <c r="T105">
        <v>-1.0446852809754601</v>
      </c>
      <c r="U105">
        <v>1.0446852809754601</v>
      </c>
      <c r="V105">
        <v>-4</v>
      </c>
      <c r="W105">
        <v>28.12</v>
      </c>
      <c r="X105">
        <v>46787</v>
      </c>
      <c r="Y105">
        <v>46787</v>
      </c>
      <c r="Z105">
        <v>3.43</v>
      </c>
      <c r="AA105">
        <v>1</v>
      </c>
      <c r="AB105">
        <v>1</v>
      </c>
      <c r="AC105">
        <v>0</v>
      </c>
      <c r="AD105">
        <v>100</v>
      </c>
      <c r="AE105">
        <v>6</v>
      </c>
      <c r="AF105">
        <v>1</v>
      </c>
      <c r="AG105">
        <v>0</v>
      </c>
      <c r="AH105">
        <v>0</v>
      </c>
    </row>
    <row r="106" spans="1:34">
      <c r="A106" s="110">
        <v>7</v>
      </c>
      <c r="B106">
        <v>6471</v>
      </c>
      <c r="C106" s="114" t="s">
        <v>168</v>
      </c>
      <c r="D106" s="114" t="s">
        <v>127</v>
      </c>
      <c r="E106">
        <v>1045</v>
      </c>
      <c r="F106">
        <v>1047</v>
      </c>
      <c r="G106">
        <v>1000</v>
      </c>
      <c r="H106" s="114" t="s">
        <v>87</v>
      </c>
      <c r="I106">
        <v>6473</v>
      </c>
      <c r="J106" s="114" t="s">
        <v>163</v>
      </c>
      <c r="K106" s="114" t="s">
        <v>127</v>
      </c>
      <c r="L106">
        <v>1347</v>
      </c>
      <c r="M106">
        <v>1341</v>
      </c>
      <c r="N106">
        <v>800</v>
      </c>
      <c r="O106" s="114" t="s">
        <v>85</v>
      </c>
      <c r="P106">
        <v>0.96464434132017696</v>
      </c>
      <c r="Q106">
        <v>0.95502809846643499</v>
      </c>
      <c r="R106">
        <v>7.2392123529063795E-2</v>
      </c>
      <c r="S106" s="20">
        <v>1.40193710265606E-2</v>
      </c>
      <c r="T106">
        <v>1.9713306700022299</v>
      </c>
      <c r="U106">
        <v>1.9713306700022299</v>
      </c>
      <c r="V106">
        <v>3.67</v>
      </c>
      <c r="W106">
        <v>2.4</v>
      </c>
      <c r="X106">
        <v>46361</v>
      </c>
      <c r="Y106">
        <v>3863</v>
      </c>
      <c r="Z106">
        <v>0.19</v>
      </c>
      <c r="AA106">
        <v>12</v>
      </c>
      <c r="AB106">
        <v>8</v>
      </c>
      <c r="AC106">
        <v>4</v>
      </c>
      <c r="AD106">
        <v>66.67</v>
      </c>
      <c r="AE106">
        <v>16</v>
      </c>
      <c r="AF106">
        <v>1</v>
      </c>
      <c r="AG106">
        <v>1</v>
      </c>
      <c r="AH106">
        <v>10</v>
      </c>
    </row>
    <row r="107" spans="1:34">
      <c r="A107" s="110">
        <v>66</v>
      </c>
      <c r="B107">
        <v>5802</v>
      </c>
      <c r="C107" s="114" t="s">
        <v>161</v>
      </c>
      <c r="D107" s="114" t="s">
        <v>162</v>
      </c>
      <c r="E107">
        <v>1633</v>
      </c>
      <c r="F107">
        <v>1638</v>
      </c>
      <c r="G107">
        <v>500</v>
      </c>
      <c r="H107" s="114" t="s">
        <v>87</v>
      </c>
      <c r="I107">
        <v>7259</v>
      </c>
      <c r="J107" s="114" t="s">
        <v>53</v>
      </c>
      <c r="K107" s="114" t="s">
        <v>111</v>
      </c>
      <c r="L107">
        <v>4170</v>
      </c>
      <c r="M107">
        <v>4140</v>
      </c>
      <c r="N107">
        <v>200</v>
      </c>
      <c r="O107" s="114" t="s">
        <v>85</v>
      </c>
      <c r="P107">
        <v>0.91918898976942498</v>
      </c>
      <c r="Q107">
        <v>0.924929717033948</v>
      </c>
      <c r="R107" s="20">
        <v>5.0053792103787499E-2</v>
      </c>
      <c r="S107" s="20">
        <v>3.3835611709803E-3</v>
      </c>
      <c r="T107">
        <v>0.510817128252541</v>
      </c>
      <c r="U107">
        <v>0.510817128252541</v>
      </c>
      <c r="V107">
        <v>1.98</v>
      </c>
      <c r="W107">
        <v>1.0900000000000001</v>
      </c>
      <c r="X107">
        <v>42709</v>
      </c>
      <c r="Y107">
        <v>3051</v>
      </c>
      <c r="Z107">
        <v>0.18</v>
      </c>
      <c r="AA107">
        <v>14</v>
      </c>
      <c r="AB107">
        <v>8</v>
      </c>
      <c r="AC107">
        <v>6</v>
      </c>
      <c r="AD107">
        <v>57.14</v>
      </c>
      <c r="AE107">
        <v>16</v>
      </c>
      <c r="AF107">
        <v>4</v>
      </c>
      <c r="AG107">
        <v>1</v>
      </c>
      <c r="AH107">
        <v>9</v>
      </c>
    </row>
    <row r="108" spans="1:34">
      <c r="A108" s="110">
        <v>82</v>
      </c>
      <c r="B108">
        <v>4202</v>
      </c>
      <c r="C108" s="114" t="s">
        <v>117</v>
      </c>
      <c r="D108" s="114" t="s">
        <v>86</v>
      </c>
      <c r="E108">
        <v>1078</v>
      </c>
      <c r="F108">
        <v>1065</v>
      </c>
      <c r="G108">
        <v>800</v>
      </c>
      <c r="H108" s="114" t="s">
        <v>87</v>
      </c>
      <c r="I108">
        <v>7327</v>
      </c>
      <c r="J108" s="114" t="s">
        <v>171</v>
      </c>
      <c r="K108" s="114" t="s">
        <v>109</v>
      </c>
      <c r="L108">
        <v>2909</v>
      </c>
      <c r="M108">
        <v>2985</v>
      </c>
      <c r="N108">
        <v>300</v>
      </c>
      <c r="O108" s="114" t="s">
        <v>85</v>
      </c>
      <c r="P108">
        <v>0.912649966533988</v>
      </c>
      <c r="Q108">
        <v>0.91973628755470405</v>
      </c>
      <c r="R108">
        <v>0.291171143104831</v>
      </c>
      <c r="S108" s="20">
        <v>0.114978729769217</v>
      </c>
      <c r="T108">
        <v>0.364491120870098</v>
      </c>
      <c r="U108">
        <v>0.364491120870098</v>
      </c>
      <c r="V108">
        <v>2.11</v>
      </c>
      <c r="W108">
        <v>4.8600000000000003</v>
      </c>
      <c r="X108">
        <v>41676</v>
      </c>
      <c r="Y108">
        <v>13892</v>
      </c>
      <c r="Z108">
        <v>0.69</v>
      </c>
      <c r="AA108">
        <v>3</v>
      </c>
      <c r="AB108">
        <v>2</v>
      </c>
      <c r="AC108">
        <v>1</v>
      </c>
      <c r="AD108">
        <v>66.67</v>
      </c>
      <c r="AE108">
        <v>16</v>
      </c>
      <c r="AF108">
        <v>0</v>
      </c>
      <c r="AG108">
        <v>0</v>
      </c>
      <c r="AH108">
        <v>3</v>
      </c>
    </row>
    <row r="109" spans="1:34">
      <c r="A109" s="110">
        <v>94</v>
      </c>
      <c r="B109">
        <v>2914</v>
      </c>
      <c r="C109" s="114" t="s">
        <v>124</v>
      </c>
      <c r="D109" s="114" t="s">
        <v>125</v>
      </c>
      <c r="E109">
        <v>2499.5</v>
      </c>
      <c r="F109">
        <v>2515</v>
      </c>
      <c r="G109">
        <v>400</v>
      </c>
      <c r="H109" s="114" t="s">
        <v>85</v>
      </c>
      <c r="I109">
        <v>7327</v>
      </c>
      <c r="J109" s="114" t="s">
        <v>171</v>
      </c>
      <c r="K109" s="114" t="s">
        <v>109</v>
      </c>
      <c r="L109">
        <v>2909</v>
      </c>
      <c r="M109">
        <v>2985</v>
      </c>
      <c r="N109">
        <v>300</v>
      </c>
      <c r="O109" s="114" t="s">
        <v>87</v>
      </c>
      <c r="P109">
        <v>0.91776721744315004</v>
      </c>
      <c r="Q109">
        <v>0.91742984625877499</v>
      </c>
      <c r="R109">
        <v>0.25088139959420502</v>
      </c>
      <c r="S109">
        <v>7.2599116311118199E-3</v>
      </c>
      <c r="T109">
        <v>-1.2981023194941701</v>
      </c>
      <c r="U109">
        <v>1.2981023194941701</v>
      </c>
      <c r="V109">
        <v>-3.8</v>
      </c>
      <c r="W109">
        <v>12.34</v>
      </c>
      <c r="X109">
        <v>37401</v>
      </c>
      <c r="Y109">
        <v>37401</v>
      </c>
      <c r="Z109">
        <v>1.81</v>
      </c>
      <c r="AA109">
        <v>1</v>
      </c>
      <c r="AB109">
        <v>1</v>
      </c>
      <c r="AC109">
        <v>0</v>
      </c>
      <c r="AD109">
        <v>100</v>
      </c>
      <c r="AE109">
        <v>21</v>
      </c>
      <c r="AF109">
        <v>0</v>
      </c>
      <c r="AG109">
        <v>0</v>
      </c>
      <c r="AH109">
        <v>1</v>
      </c>
    </row>
    <row r="110" spans="1:34">
      <c r="A110" s="110">
        <v>128</v>
      </c>
      <c r="B110">
        <v>5471</v>
      </c>
      <c r="C110" s="114" t="s">
        <v>351</v>
      </c>
      <c r="D110" s="114" t="s">
        <v>120</v>
      </c>
      <c r="E110">
        <v>4855</v>
      </c>
      <c r="F110">
        <v>4885</v>
      </c>
      <c r="G110">
        <v>200</v>
      </c>
      <c r="H110" s="114" t="s">
        <v>85</v>
      </c>
      <c r="I110">
        <v>7251</v>
      </c>
      <c r="J110" s="114" t="s">
        <v>1063</v>
      </c>
      <c r="K110" s="114" t="s">
        <v>111</v>
      </c>
      <c r="L110">
        <v>2573</v>
      </c>
      <c r="M110">
        <v>2573</v>
      </c>
      <c r="N110">
        <v>400</v>
      </c>
      <c r="O110" s="114" t="s">
        <v>87</v>
      </c>
      <c r="P110">
        <v>0.92645536878439705</v>
      </c>
      <c r="Q110">
        <v>0.90920066670215405</v>
      </c>
      <c r="R110">
        <v>8.7000590097875793E-2</v>
      </c>
      <c r="S110">
        <v>1.4005312024762599E-3</v>
      </c>
      <c r="T110">
        <v>-1.53280447012157</v>
      </c>
      <c r="U110">
        <v>1.53280447012157</v>
      </c>
      <c r="V110">
        <v>-28.79</v>
      </c>
      <c r="W110">
        <v>5.34</v>
      </c>
      <c r="X110">
        <v>35729</v>
      </c>
      <c r="Y110">
        <v>2233</v>
      </c>
      <c r="Z110">
        <v>0</v>
      </c>
      <c r="AA110">
        <v>16</v>
      </c>
      <c r="AB110">
        <v>10</v>
      </c>
      <c r="AC110">
        <v>6</v>
      </c>
      <c r="AD110">
        <v>62.5</v>
      </c>
      <c r="AE110">
        <v>14</v>
      </c>
      <c r="AF110">
        <v>4</v>
      </c>
      <c r="AG110">
        <v>3</v>
      </c>
      <c r="AH110">
        <v>9</v>
      </c>
    </row>
    <row r="111" spans="1:34">
      <c r="A111" s="110">
        <v>65</v>
      </c>
      <c r="B111">
        <v>5802</v>
      </c>
      <c r="C111" s="114" t="s">
        <v>161</v>
      </c>
      <c r="D111" s="114" t="s">
        <v>162</v>
      </c>
      <c r="E111">
        <v>1633</v>
      </c>
      <c r="F111">
        <v>1638</v>
      </c>
      <c r="G111">
        <v>600</v>
      </c>
      <c r="H111" s="114" t="s">
        <v>87</v>
      </c>
      <c r="I111">
        <v>7272</v>
      </c>
      <c r="J111" s="114" t="s">
        <v>345</v>
      </c>
      <c r="K111" s="114" t="s">
        <v>111</v>
      </c>
      <c r="L111">
        <v>2231</v>
      </c>
      <c r="M111">
        <v>2259</v>
      </c>
      <c r="N111">
        <v>400</v>
      </c>
      <c r="O111" s="114" t="s">
        <v>85</v>
      </c>
      <c r="P111">
        <v>0.930853308588522</v>
      </c>
      <c r="Q111">
        <v>0.92499763377800603</v>
      </c>
      <c r="R111" s="20">
        <v>5.7808549319588801E-2</v>
      </c>
      <c r="S111">
        <v>8.2207100096166608E-3</v>
      </c>
      <c r="T111">
        <v>1.2965318274617399</v>
      </c>
      <c r="U111">
        <v>1.2965318274617399</v>
      </c>
      <c r="V111">
        <v>3.34</v>
      </c>
      <c r="W111">
        <v>8.76</v>
      </c>
      <c r="X111">
        <v>32314</v>
      </c>
      <c r="Y111">
        <v>1795</v>
      </c>
      <c r="Z111">
        <v>0.03</v>
      </c>
      <c r="AA111">
        <v>18</v>
      </c>
      <c r="AB111">
        <v>9</v>
      </c>
      <c r="AC111">
        <v>9</v>
      </c>
      <c r="AD111">
        <v>50</v>
      </c>
      <c r="AE111">
        <v>15</v>
      </c>
      <c r="AF111">
        <v>4</v>
      </c>
      <c r="AG111">
        <v>2</v>
      </c>
      <c r="AH111">
        <v>12</v>
      </c>
    </row>
    <row r="112" spans="1:34">
      <c r="A112" s="110">
        <v>33</v>
      </c>
      <c r="B112">
        <v>7453</v>
      </c>
      <c r="C112" s="114" t="s">
        <v>132</v>
      </c>
      <c r="D112" s="114" t="s">
        <v>123</v>
      </c>
      <c r="E112">
        <v>2499</v>
      </c>
      <c r="F112">
        <v>2476</v>
      </c>
      <c r="G112">
        <v>400</v>
      </c>
      <c r="H112" s="114" t="s">
        <v>87</v>
      </c>
      <c r="I112">
        <v>8267</v>
      </c>
      <c r="J112" s="114" t="s">
        <v>352</v>
      </c>
      <c r="K112" s="114" t="s">
        <v>123</v>
      </c>
      <c r="L112">
        <v>2189</v>
      </c>
      <c r="M112">
        <v>2213</v>
      </c>
      <c r="N112">
        <v>400</v>
      </c>
      <c r="O112" s="114" t="s">
        <v>85</v>
      </c>
      <c r="P112">
        <v>0.94342793056977203</v>
      </c>
      <c r="Q112">
        <v>0.93957101182321401</v>
      </c>
      <c r="R112">
        <v>2.6110862048662201E-2</v>
      </c>
      <c r="S112">
        <v>4.74585738301636E-4</v>
      </c>
      <c r="T112">
        <v>1.38816890880385</v>
      </c>
      <c r="U112">
        <v>1.38816890880385</v>
      </c>
      <c r="V112">
        <v>7.13</v>
      </c>
      <c r="W112">
        <v>10.62</v>
      </c>
      <c r="X112">
        <v>32083</v>
      </c>
      <c r="Y112">
        <v>1689</v>
      </c>
      <c r="Z112">
        <v>0.15</v>
      </c>
      <c r="AA112">
        <v>19</v>
      </c>
      <c r="AB112">
        <v>9</v>
      </c>
      <c r="AC112">
        <v>10</v>
      </c>
      <c r="AD112">
        <v>47.37</v>
      </c>
      <c r="AE112">
        <v>12</v>
      </c>
      <c r="AF112">
        <v>6</v>
      </c>
      <c r="AG112">
        <v>3</v>
      </c>
      <c r="AH112">
        <v>10</v>
      </c>
    </row>
    <row r="113" spans="1:34">
      <c r="A113" s="110">
        <v>10</v>
      </c>
      <c r="B113">
        <v>3635</v>
      </c>
      <c r="C113" s="114" t="s">
        <v>112</v>
      </c>
      <c r="D113" s="114" t="s">
        <v>106</v>
      </c>
      <c r="E113">
        <v>2634</v>
      </c>
      <c r="F113">
        <v>2631</v>
      </c>
      <c r="G113">
        <v>400</v>
      </c>
      <c r="H113" s="114" t="s">
        <v>85</v>
      </c>
      <c r="I113">
        <v>6702</v>
      </c>
      <c r="J113" s="114" t="s">
        <v>390</v>
      </c>
      <c r="K113" s="114" t="s">
        <v>114</v>
      </c>
      <c r="L113">
        <v>10145</v>
      </c>
      <c r="M113">
        <v>10290</v>
      </c>
      <c r="N113">
        <v>100</v>
      </c>
      <c r="O113" s="114" t="s">
        <v>87</v>
      </c>
      <c r="P113">
        <v>0.94935254396963598</v>
      </c>
      <c r="Q113">
        <v>0.95061122780357499</v>
      </c>
      <c r="R113">
        <v>4.6712808758229201E-3</v>
      </c>
      <c r="S113">
        <v>6.6724568095141296E-2</v>
      </c>
      <c r="T113">
        <v>-1.1714452430167901</v>
      </c>
      <c r="U113">
        <v>1.1714452430167901</v>
      </c>
      <c r="V113">
        <v>-3.13</v>
      </c>
      <c r="W113">
        <v>2.27</v>
      </c>
      <c r="X113">
        <v>31031</v>
      </c>
      <c r="Y113">
        <v>2586</v>
      </c>
      <c r="Z113">
        <v>0.16</v>
      </c>
      <c r="AA113">
        <v>12</v>
      </c>
      <c r="AB113">
        <v>7</v>
      </c>
      <c r="AC113">
        <v>5</v>
      </c>
      <c r="AD113">
        <v>58.33</v>
      </c>
      <c r="AE113">
        <v>13</v>
      </c>
      <c r="AF113">
        <v>6</v>
      </c>
      <c r="AG113">
        <v>1</v>
      </c>
      <c r="AH113">
        <v>5</v>
      </c>
    </row>
    <row r="114" spans="1:34">
      <c r="A114" s="110">
        <v>86</v>
      </c>
      <c r="B114">
        <v>6588</v>
      </c>
      <c r="C114" s="114" t="s">
        <v>1058</v>
      </c>
      <c r="D114" s="114" t="s">
        <v>114</v>
      </c>
      <c r="E114">
        <v>4435</v>
      </c>
      <c r="F114">
        <v>4465</v>
      </c>
      <c r="G114">
        <v>100</v>
      </c>
      <c r="H114" s="114" t="s">
        <v>87</v>
      </c>
      <c r="I114">
        <v>9706</v>
      </c>
      <c r="J114" s="114" t="s">
        <v>397</v>
      </c>
      <c r="K114" s="114" t="s">
        <v>142</v>
      </c>
      <c r="L114">
        <v>5730</v>
      </c>
      <c r="M114">
        <v>5780</v>
      </c>
      <c r="N114">
        <v>100</v>
      </c>
      <c r="O114" s="114" t="s">
        <v>85</v>
      </c>
      <c r="P114">
        <v>0.96908801129565703</v>
      </c>
      <c r="Q114">
        <v>0.91897984624197204</v>
      </c>
      <c r="R114">
        <v>0.108833007243001</v>
      </c>
      <c r="S114">
        <v>5.0132936889938598E-2</v>
      </c>
      <c r="T114">
        <v>1.3073790612251499</v>
      </c>
      <c r="U114">
        <v>1.3073790612251499</v>
      </c>
      <c r="V114">
        <v>4.96</v>
      </c>
      <c r="W114">
        <v>22.75</v>
      </c>
      <c r="X114">
        <v>26767</v>
      </c>
      <c r="Y114">
        <v>2059</v>
      </c>
      <c r="Z114">
        <v>0.15</v>
      </c>
      <c r="AA114">
        <v>13</v>
      </c>
      <c r="AB114">
        <v>8</v>
      </c>
      <c r="AC114">
        <v>5</v>
      </c>
      <c r="AD114">
        <v>61.54</v>
      </c>
      <c r="AE114">
        <v>11</v>
      </c>
      <c r="AF114">
        <v>5</v>
      </c>
      <c r="AG114">
        <v>4</v>
      </c>
      <c r="AH114">
        <v>4</v>
      </c>
    </row>
    <row r="115" spans="1:34">
      <c r="A115" s="110">
        <v>165</v>
      </c>
      <c r="B115">
        <v>3148</v>
      </c>
      <c r="C115" s="114" t="s">
        <v>344</v>
      </c>
      <c r="D115" s="114" t="s">
        <v>123</v>
      </c>
      <c r="E115">
        <v>2621</v>
      </c>
      <c r="F115">
        <v>2631</v>
      </c>
      <c r="G115">
        <v>400</v>
      </c>
      <c r="H115" s="114" t="s">
        <v>85</v>
      </c>
      <c r="I115">
        <v>8267</v>
      </c>
      <c r="J115" s="114" t="s">
        <v>352</v>
      </c>
      <c r="K115" s="114" t="s">
        <v>123</v>
      </c>
      <c r="L115">
        <v>2189</v>
      </c>
      <c r="M115">
        <v>2213</v>
      </c>
      <c r="N115">
        <v>500</v>
      </c>
      <c r="O115" s="114" t="s">
        <v>87</v>
      </c>
      <c r="P115">
        <v>0.94092737662816595</v>
      </c>
      <c r="Q115">
        <v>0.90005288612460999</v>
      </c>
      <c r="R115">
        <v>0.11499646945658799</v>
      </c>
      <c r="S115">
        <v>0.10743943678195</v>
      </c>
      <c r="T115">
        <v>-1.6235760901691301</v>
      </c>
      <c r="U115">
        <v>1.6235760901691301</v>
      </c>
      <c r="V115">
        <v>-3.54</v>
      </c>
      <c r="W115">
        <v>5.14</v>
      </c>
      <c r="X115">
        <v>23411</v>
      </c>
      <c r="Y115">
        <v>1561</v>
      </c>
      <c r="Z115">
        <v>0.02</v>
      </c>
      <c r="AA115">
        <v>15</v>
      </c>
      <c r="AB115">
        <v>7</v>
      </c>
      <c r="AC115">
        <v>8</v>
      </c>
      <c r="AD115">
        <v>46.67</v>
      </c>
      <c r="AE115">
        <v>14</v>
      </c>
      <c r="AF115">
        <v>3</v>
      </c>
      <c r="AG115">
        <v>2</v>
      </c>
      <c r="AH115">
        <v>10</v>
      </c>
    </row>
    <row r="116" spans="1:34">
      <c r="A116" s="110">
        <v>45</v>
      </c>
      <c r="B116">
        <v>6988</v>
      </c>
      <c r="C116" s="114" t="s">
        <v>169</v>
      </c>
      <c r="D116" s="114" t="s">
        <v>86</v>
      </c>
      <c r="E116">
        <v>6060</v>
      </c>
      <c r="F116">
        <v>6060</v>
      </c>
      <c r="G116">
        <v>100</v>
      </c>
      <c r="H116" s="114" t="s">
        <v>85</v>
      </c>
      <c r="I116">
        <v>6995</v>
      </c>
      <c r="J116" s="114" t="s">
        <v>119</v>
      </c>
      <c r="K116" s="114" t="s">
        <v>111</v>
      </c>
      <c r="L116">
        <v>2092</v>
      </c>
      <c r="M116">
        <v>2127</v>
      </c>
      <c r="N116">
        <v>300</v>
      </c>
      <c r="O116" s="114" t="s">
        <v>87</v>
      </c>
      <c r="P116">
        <v>0.95057560698395405</v>
      </c>
      <c r="Q116">
        <v>0.93243353276748397</v>
      </c>
      <c r="R116">
        <v>0.14830044974187701</v>
      </c>
      <c r="S116">
        <v>3.4511095583077099E-3</v>
      </c>
      <c r="T116">
        <v>-0.99895879423281897</v>
      </c>
      <c r="U116">
        <v>0.99895879423281897</v>
      </c>
      <c r="V116">
        <v>-2.5499999999999998</v>
      </c>
      <c r="W116">
        <v>5.3</v>
      </c>
      <c r="X116">
        <v>22867</v>
      </c>
      <c r="Y116">
        <v>2287</v>
      </c>
      <c r="Z116">
        <v>0.11</v>
      </c>
      <c r="AA116">
        <v>10</v>
      </c>
      <c r="AB116">
        <v>7</v>
      </c>
      <c r="AC116">
        <v>3</v>
      </c>
      <c r="AD116">
        <v>70</v>
      </c>
      <c r="AE116">
        <v>13</v>
      </c>
      <c r="AF116">
        <v>2</v>
      </c>
      <c r="AG116">
        <v>2</v>
      </c>
      <c r="AH116">
        <v>6</v>
      </c>
    </row>
    <row r="117" spans="1:34">
      <c r="A117" s="110">
        <v>109</v>
      </c>
      <c r="B117">
        <v>3291</v>
      </c>
      <c r="C117" s="114" t="s">
        <v>141</v>
      </c>
      <c r="D117" s="114" t="s">
        <v>142</v>
      </c>
      <c r="E117">
        <v>1915</v>
      </c>
      <c r="F117">
        <v>1940</v>
      </c>
      <c r="G117">
        <v>500</v>
      </c>
      <c r="H117" s="114" t="s">
        <v>87</v>
      </c>
      <c r="I117">
        <v>8601</v>
      </c>
      <c r="J117" s="114" t="s">
        <v>51</v>
      </c>
      <c r="K117" s="114" t="s">
        <v>1062</v>
      </c>
      <c r="L117">
        <v>540.1</v>
      </c>
      <c r="M117">
        <v>535.5</v>
      </c>
      <c r="N117">
        <v>1800</v>
      </c>
      <c r="O117" s="114" t="s">
        <v>85</v>
      </c>
      <c r="P117">
        <v>0.93768880545764499</v>
      </c>
      <c r="Q117">
        <v>0.91320251057483204</v>
      </c>
      <c r="R117">
        <v>0.14888591326378101</v>
      </c>
      <c r="S117">
        <v>0.127364736223985</v>
      </c>
      <c r="T117">
        <v>1.1268327438568699</v>
      </c>
      <c r="U117">
        <v>1.1268327438568699</v>
      </c>
      <c r="V117">
        <v>1.57</v>
      </c>
      <c r="W117">
        <v>0.63</v>
      </c>
      <c r="X117">
        <v>12422</v>
      </c>
      <c r="Y117">
        <v>731</v>
      </c>
      <c r="Z117">
        <v>0.05</v>
      </c>
      <c r="AA117">
        <v>17</v>
      </c>
      <c r="AB117">
        <v>10</v>
      </c>
      <c r="AC117">
        <v>7</v>
      </c>
      <c r="AD117">
        <v>58.82</v>
      </c>
      <c r="AE117">
        <v>15</v>
      </c>
      <c r="AF117">
        <v>3</v>
      </c>
      <c r="AG117">
        <v>1</v>
      </c>
      <c r="AH117">
        <v>13</v>
      </c>
    </row>
    <row r="118" spans="1:34">
      <c r="A118" s="110">
        <v>50</v>
      </c>
      <c r="B118">
        <v>5991</v>
      </c>
      <c r="C118" s="114" t="s">
        <v>143</v>
      </c>
      <c r="D118" s="114" t="s">
        <v>144</v>
      </c>
      <c r="E118">
        <v>975</v>
      </c>
      <c r="F118">
        <v>988</v>
      </c>
      <c r="G118">
        <v>1100</v>
      </c>
      <c r="H118" s="114" t="s">
        <v>87</v>
      </c>
      <c r="I118">
        <v>8002</v>
      </c>
      <c r="J118" s="114" t="s">
        <v>55</v>
      </c>
      <c r="K118" s="114" t="s">
        <v>129</v>
      </c>
      <c r="L118">
        <v>809</v>
      </c>
      <c r="M118">
        <v>813.2</v>
      </c>
      <c r="N118">
        <v>1300</v>
      </c>
      <c r="O118" s="114" t="s">
        <v>85</v>
      </c>
      <c r="P118">
        <v>0.961933066030215</v>
      </c>
      <c r="Q118">
        <v>0.92964211827243803</v>
      </c>
      <c r="R118">
        <v>4.4154188921273901E-2</v>
      </c>
      <c r="S118">
        <v>1.6548465808334401E-2</v>
      </c>
      <c r="T118">
        <v>1.49644230538309</v>
      </c>
      <c r="U118">
        <v>1.49644230538309</v>
      </c>
      <c r="V118">
        <v>5.44</v>
      </c>
      <c r="W118">
        <v>2.73</v>
      </c>
      <c r="X118">
        <v>10934</v>
      </c>
      <c r="Y118">
        <v>643</v>
      </c>
      <c r="Z118">
        <v>0.05</v>
      </c>
      <c r="AA118">
        <v>17</v>
      </c>
      <c r="AB118">
        <v>8</v>
      </c>
      <c r="AC118">
        <v>9</v>
      </c>
      <c r="AD118">
        <v>47.06</v>
      </c>
      <c r="AE118">
        <v>14</v>
      </c>
      <c r="AF118">
        <v>5</v>
      </c>
      <c r="AG118">
        <v>3</v>
      </c>
      <c r="AH118">
        <v>9</v>
      </c>
    </row>
    <row r="119" spans="1:34">
      <c r="A119" s="110">
        <v>122</v>
      </c>
      <c r="B119">
        <v>7205</v>
      </c>
      <c r="C119" s="114" t="s">
        <v>145</v>
      </c>
      <c r="D119" s="114" t="s">
        <v>111</v>
      </c>
      <c r="E119">
        <v>1080</v>
      </c>
      <c r="F119">
        <v>1096</v>
      </c>
      <c r="G119">
        <v>1000</v>
      </c>
      <c r="H119" s="114" t="s">
        <v>87</v>
      </c>
      <c r="I119">
        <v>8002</v>
      </c>
      <c r="J119" s="114" t="s">
        <v>55</v>
      </c>
      <c r="K119" s="114" t="s">
        <v>129</v>
      </c>
      <c r="L119">
        <v>809</v>
      </c>
      <c r="M119">
        <v>813.2</v>
      </c>
      <c r="N119">
        <v>1300</v>
      </c>
      <c r="O119" s="114" t="s">
        <v>85</v>
      </c>
      <c r="P119">
        <v>0.95023976379753805</v>
      </c>
      <c r="Q119">
        <v>0.91006348130667802</v>
      </c>
      <c r="R119">
        <v>0.13754409600666501</v>
      </c>
      <c r="S119">
        <v>5.6488380050749298E-2</v>
      </c>
      <c r="T119">
        <v>1.5805584374316799</v>
      </c>
      <c r="U119">
        <v>1.5805584374316799</v>
      </c>
      <c r="V119">
        <v>5.38</v>
      </c>
      <c r="W119">
        <v>3.54</v>
      </c>
      <c r="X119">
        <v>5271</v>
      </c>
      <c r="Y119">
        <v>310</v>
      </c>
      <c r="Z119">
        <v>0.03</v>
      </c>
      <c r="AA119">
        <v>17</v>
      </c>
      <c r="AB119">
        <v>8</v>
      </c>
      <c r="AC119">
        <v>9</v>
      </c>
      <c r="AD119">
        <v>47.06</v>
      </c>
      <c r="AE119">
        <v>15</v>
      </c>
      <c r="AF119">
        <v>3</v>
      </c>
      <c r="AG119">
        <v>2</v>
      </c>
      <c r="AH119">
        <v>12</v>
      </c>
    </row>
    <row r="120" spans="1:34">
      <c r="A120" s="110">
        <v>156</v>
      </c>
      <c r="B120">
        <v>4183</v>
      </c>
      <c r="C120" s="114" t="s">
        <v>348</v>
      </c>
      <c r="D120" s="114" t="s">
        <v>86</v>
      </c>
      <c r="E120">
        <v>2609</v>
      </c>
      <c r="F120">
        <v>2602</v>
      </c>
      <c r="G120">
        <v>200</v>
      </c>
      <c r="H120" s="114" t="s">
        <v>87</v>
      </c>
      <c r="I120">
        <v>7276</v>
      </c>
      <c r="J120" s="114" t="s">
        <v>1064</v>
      </c>
      <c r="K120" s="114" t="s">
        <v>114</v>
      </c>
      <c r="L120">
        <v>5500</v>
      </c>
      <c r="M120">
        <v>5530</v>
      </c>
      <c r="N120">
        <v>100</v>
      </c>
      <c r="O120" s="114" t="s">
        <v>85</v>
      </c>
      <c r="P120">
        <v>0.95284582406837803</v>
      </c>
      <c r="Q120">
        <v>0.90262012429124905</v>
      </c>
      <c r="R120">
        <v>2.74347276770751E-2</v>
      </c>
      <c r="S120" s="20">
        <v>9.7440017499448695E-2</v>
      </c>
      <c r="T120">
        <v>1.1908802074906999</v>
      </c>
      <c r="U120">
        <v>1.1908802074906999</v>
      </c>
      <c r="V120">
        <v>1.6</v>
      </c>
      <c r="W120">
        <v>5.9</v>
      </c>
      <c r="X120">
        <v>4903</v>
      </c>
      <c r="Y120">
        <v>700</v>
      </c>
      <c r="Z120">
        <v>0.13</v>
      </c>
      <c r="AA120">
        <v>7</v>
      </c>
      <c r="AB120">
        <v>2</v>
      </c>
      <c r="AC120">
        <v>5</v>
      </c>
      <c r="AD120">
        <v>28.57</v>
      </c>
      <c r="AE120">
        <v>11</v>
      </c>
      <c r="AF120">
        <v>2</v>
      </c>
      <c r="AG120">
        <v>2</v>
      </c>
      <c r="AH120">
        <v>3</v>
      </c>
    </row>
    <row r="121" spans="1:34">
      <c r="A121" s="110">
        <v>146</v>
      </c>
      <c r="B121">
        <v>6448</v>
      </c>
      <c r="C121" s="114" t="s">
        <v>1065</v>
      </c>
      <c r="D121" s="114" t="s">
        <v>114</v>
      </c>
      <c r="E121">
        <v>2178</v>
      </c>
      <c r="F121">
        <v>2188</v>
      </c>
      <c r="G121">
        <v>400</v>
      </c>
      <c r="H121" s="114" t="s">
        <v>85</v>
      </c>
      <c r="I121">
        <v>6965</v>
      </c>
      <c r="J121" s="114" t="s">
        <v>1066</v>
      </c>
      <c r="K121" s="114" t="s">
        <v>114</v>
      </c>
      <c r="L121">
        <v>4500</v>
      </c>
      <c r="M121">
        <v>4545</v>
      </c>
      <c r="N121">
        <v>200</v>
      </c>
      <c r="O121" s="114" t="s">
        <v>87</v>
      </c>
      <c r="P121">
        <v>0.93598482295738905</v>
      </c>
      <c r="Q121">
        <v>0.905490925698206</v>
      </c>
      <c r="R121">
        <v>0.106616668344968</v>
      </c>
      <c r="S121">
        <v>9.7746004929494895E-2</v>
      </c>
      <c r="T121">
        <v>-1.05452381888877</v>
      </c>
      <c r="U121">
        <v>1.05452381888877</v>
      </c>
      <c r="V121">
        <v>-2.56</v>
      </c>
      <c r="W121">
        <v>3.72</v>
      </c>
      <c r="X121">
        <v>4153</v>
      </c>
      <c r="Y121">
        <v>260</v>
      </c>
      <c r="Z121">
        <v>0.04</v>
      </c>
      <c r="AA121">
        <v>16</v>
      </c>
      <c r="AB121">
        <v>9</v>
      </c>
      <c r="AC121">
        <v>7</v>
      </c>
      <c r="AD121">
        <v>56.25</v>
      </c>
      <c r="AE121">
        <v>13</v>
      </c>
      <c r="AF121">
        <v>4</v>
      </c>
      <c r="AG121">
        <v>4</v>
      </c>
      <c r="AH121">
        <v>8</v>
      </c>
    </row>
    <row r="122" spans="1:34">
      <c r="A122" s="110">
        <v>148</v>
      </c>
      <c r="B122">
        <v>6371</v>
      </c>
      <c r="C122" s="114" t="s">
        <v>136</v>
      </c>
      <c r="D122" s="114" t="s">
        <v>127</v>
      </c>
      <c r="E122">
        <v>3765</v>
      </c>
      <c r="F122">
        <v>3850</v>
      </c>
      <c r="G122">
        <v>200</v>
      </c>
      <c r="H122" s="114" t="s">
        <v>85</v>
      </c>
      <c r="I122">
        <v>6752</v>
      </c>
      <c r="J122" s="114" t="s">
        <v>133</v>
      </c>
      <c r="K122" s="114" t="s">
        <v>114</v>
      </c>
      <c r="L122">
        <v>1021.5</v>
      </c>
      <c r="M122">
        <v>1034.5</v>
      </c>
      <c r="N122">
        <v>700</v>
      </c>
      <c r="O122" s="114" t="s">
        <v>87</v>
      </c>
      <c r="P122">
        <v>0.92602526832280996</v>
      </c>
      <c r="Q122">
        <v>0.90538653781520095</v>
      </c>
      <c r="R122" s="20">
        <v>9.8628588299881803E-2</v>
      </c>
      <c r="S122">
        <v>0.120831021096158</v>
      </c>
      <c r="T122">
        <v>-1.7695472176222</v>
      </c>
      <c r="U122">
        <v>1.7695472176222</v>
      </c>
      <c r="V122">
        <v>-4.2300000000000004</v>
      </c>
      <c r="W122">
        <v>5.95</v>
      </c>
      <c r="X122">
        <v>-1507</v>
      </c>
      <c r="Y122">
        <v>-72</v>
      </c>
      <c r="Z122">
        <v>0.03</v>
      </c>
      <c r="AA122">
        <v>21</v>
      </c>
      <c r="AB122">
        <v>9</v>
      </c>
      <c r="AC122">
        <v>12</v>
      </c>
      <c r="AD122">
        <v>42.86</v>
      </c>
      <c r="AE122">
        <v>14</v>
      </c>
      <c r="AF122">
        <v>4</v>
      </c>
      <c r="AG122">
        <v>3</v>
      </c>
      <c r="AH122">
        <v>14</v>
      </c>
    </row>
    <row r="123" spans="1:34">
      <c r="A123" s="110">
        <v>125</v>
      </c>
      <c r="B123">
        <v>2175</v>
      </c>
      <c r="C123" s="114" t="s">
        <v>381</v>
      </c>
      <c r="D123" s="114" t="s">
        <v>148</v>
      </c>
      <c r="E123">
        <v>3015</v>
      </c>
      <c r="F123">
        <v>3035</v>
      </c>
      <c r="G123">
        <v>300</v>
      </c>
      <c r="H123" s="114" t="s">
        <v>85</v>
      </c>
      <c r="I123">
        <v>6098</v>
      </c>
      <c r="J123" s="114" t="s">
        <v>399</v>
      </c>
      <c r="K123" s="114" t="s">
        <v>148</v>
      </c>
      <c r="L123">
        <v>3966</v>
      </c>
      <c r="M123">
        <v>3969</v>
      </c>
      <c r="N123">
        <v>200</v>
      </c>
      <c r="O123" s="114" t="s">
        <v>87</v>
      </c>
      <c r="P123">
        <v>0.94903479050893202</v>
      </c>
      <c r="Q123">
        <v>0.90962717156843997</v>
      </c>
      <c r="R123" s="20">
        <v>1.6584895259593501E-7</v>
      </c>
      <c r="S123">
        <v>7.743380584522E-2</v>
      </c>
      <c r="T123">
        <v>-0.120171206405531</v>
      </c>
      <c r="U123">
        <v>0.120171206405531</v>
      </c>
      <c r="V123">
        <v>-0.42</v>
      </c>
      <c r="W123">
        <v>14.7</v>
      </c>
      <c r="X123">
        <v>-1755</v>
      </c>
      <c r="Y123">
        <v>-103</v>
      </c>
      <c r="Z123">
        <v>0.05</v>
      </c>
      <c r="AA123">
        <v>17</v>
      </c>
      <c r="AB123">
        <v>9</v>
      </c>
      <c r="AC123">
        <v>8</v>
      </c>
      <c r="AD123">
        <v>52.94</v>
      </c>
      <c r="AE123">
        <v>10</v>
      </c>
      <c r="AF123">
        <v>8</v>
      </c>
      <c r="AG123">
        <v>5</v>
      </c>
      <c r="AH123">
        <v>4</v>
      </c>
    </row>
    <row r="124" spans="1:34">
      <c r="A124" s="110">
        <v>77</v>
      </c>
      <c r="B124">
        <v>8306</v>
      </c>
      <c r="C124" s="114" t="s">
        <v>174</v>
      </c>
      <c r="D124" s="114" t="s">
        <v>109</v>
      </c>
      <c r="E124">
        <v>577</v>
      </c>
      <c r="F124">
        <v>578.79999999999995</v>
      </c>
      <c r="G124">
        <v>1900</v>
      </c>
      <c r="H124" s="114" t="s">
        <v>87</v>
      </c>
      <c r="I124">
        <v>8411</v>
      </c>
      <c r="J124" s="114" t="s">
        <v>149</v>
      </c>
      <c r="K124" s="114" t="s">
        <v>109</v>
      </c>
      <c r="L124">
        <v>168</v>
      </c>
      <c r="M124">
        <v>169</v>
      </c>
      <c r="N124">
        <v>6500</v>
      </c>
      <c r="O124" s="114" t="s">
        <v>85</v>
      </c>
      <c r="P124">
        <v>0.96228046284055802</v>
      </c>
      <c r="Q124">
        <v>0.92119421599025597</v>
      </c>
      <c r="R124">
        <v>0.14025325639654701</v>
      </c>
      <c r="S124">
        <v>0.22829199634172501</v>
      </c>
      <c r="T124">
        <v>1.3839866873122399</v>
      </c>
      <c r="U124">
        <v>1.3839866873122399</v>
      </c>
      <c r="V124">
        <v>2.41</v>
      </c>
      <c r="W124">
        <v>0.11</v>
      </c>
      <c r="X124">
        <v>-2779</v>
      </c>
      <c r="Y124">
        <v>-154</v>
      </c>
      <c r="Z124">
        <v>0</v>
      </c>
      <c r="AA124">
        <v>18</v>
      </c>
      <c r="AB124">
        <v>8</v>
      </c>
      <c r="AC124">
        <v>10</v>
      </c>
      <c r="AD124">
        <v>44.44</v>
      </c>
      <c r="AE124">
        <v>17</v>
      </c>
      <c r="AF124">
        <v>2</v>
      </c>
      <c r="AG124">
        <v>0</v>
      </c>
      <c r="AH124">
        <v>16</v>
      </c>
    </row>
    <row r="125" spans="1:34">
      <c r="A125" s="110">
        <v>101</v>
      </c>
      <c r="B125">
        <v>5991</v>
      </c>
      <c r="C125" s="114" t="s">
        <v>143</v>
      </c>
      <c r="D125" s="114" t="s">
        <v>144</v>
      </c>
      <c r="E125">
        <v>975</v>
      </c>
      <c r="F125">
        <v>988</v>
      </c>
      <c r="G125">
        <v>900</v>
      </c>
      <c r="H125" s="114" t="s">
        <v>87</v>
      </c>
      <c r="I125">
        <v>7267</v>
      </c>
      <c r="J125" s="114" t="s">
        <v>146</v>
      </c>
      <c r="K125" s="114" t="s">
        <v>111</v>
      </c>
      <c r="L125">
        <v>3085</v>
      </c>
      <c r="M125">
        <v>3091</v>
      </c>
      <c r="N125">
        <v>300</v>
      </c>
      <c r="O125" s="114" t="s">
        <v>85</v>
      </c>
      <c r="P125">
        <v>0.96512330300337901</v>
      </c>
      <c r="Q125">
        <v>0.91455349411333098</v>
      </c>
      <c r="R125">
        <v>7.0453591794430698E-2</v>
      </c>
      <c r="S125">
        <v>8.5096204362031802E-2</v>
      </c>
      <c r="T125">
        <v>2.5142383966019199</v>
      </c>
      <c r="U125">
        <v>2.5142383966019199</v>
      </c>
      <c r="V125">
        <v>6.67</v>
      </c>
      <c r="W125">
        <v>4.1100000000000003</v>
      </c>
      <c r="X125">
        <v>-2961</v>
      </c>
      <c r="Y125">
        <v>-212</v>
      </c>
      <c r="Z125">
        <v>0.02</v>
      </c>
      <c r="AA125">
        <v>14</v>
      </c>
      <c r="AB125">
        <v>9</v>
      </c>
      <c r="AC125">
        <v>5</v>
      </c>
      <c r="AD125">
        <v>64.290000000000006</v>
      </c>
      <c r="AE125">
        <v>16</v>
      </c>
      <c r="AF125">
        <v>1</v>
      </c>
      <c r="AG125">
        <v>1</v>
      </c>
      <c r="AH125">
        <v>12</v>
      </c>
    </row>
    <row r="126" spans="1:34">
      <c r="A126" s="110">
        <v>63</v>
      </c>
      <c r="B126">
        <v>4183</v>
      </c>
      <c r="C126" s="114" t="s">
        <v>348</v>
      </c>
      <c r="D126" s="114" t="s">
        <v>86</v>
      </c>
      <c r="E126">
        <v>2609</v>
      </c>
      <c r="F126">
        <v>2602</v>
      </c>
      <c r="G126">
        <v>400</v>
      </c>
      <c r="H126" s="114" t="s">
        <v>87</v>
      </c>
      <c r="I126">
        <v>6301</v>
      </c>
      <c r="J126" s="114" t="s">
        <v>137</v>
      </c>
      <c r="K126" s="114" t="s">
        <v>127</v>
      </c>
      <c r="L126">
        <v>2542</v>
      </c>
      <c r="M126">
        <v>2558.5</v>
      </c>
      <c r="N126">
        <v>400</v>
      </c>
      <c r="O126" s="114" t="s">
        <v>85</v>
      </c>
      <c r="P126">
        <v>0.94311358807974799</v>
      </c>
      <c r="Q126">
        <v>0.92523367330281403</v>
      </c>
      <c r="R126">
        <v>3.51298071733026E-2</v>
      </c>
      <c r="S126">
        <v>1.92353073223123E-3</v>
      </c>
      <c r="T126">
        <v>0.29690618083540699</v>
      </c>
      <c r="U126">
        <v>0.29690618083540699</v>
      </c>
      <c r="V126">
        <v>0.47</v>
      </c>
      <c r="W126">
        <v>1.67</v>
      </c>
      <c r="X126">
        <v>-3844</v>
      </c>
      <c r="Y126">
        <v>-384</v>
      </c>
      <c r="Z126">
        <v>0.04</v>
      </c>
      <c r="AA126">
        <v>10</v>
      </c>
      <c r="AB126">
        <v>6</v>
      </c>
      <c r="AC126">
        <v>4</v>
      </c>
      <c r="AD126">
        <v>60</v>
      </c>
      <c r="AE126">
        <v>15</v>
      </c>
      <c r="AF126">
        <v>1</v>
      </c>
      <c r="AG126">
        <v>1</v>
      </c>
      <c r="AH126">
        <v>8</v>
      </c>
    </row>
    <row r="127" spans="1:34">
      <c r="A127" s="110">
        <v>14</v>
      </c>
      <c r="B127">
        <v>4062</v>
      </c>
      <c r="C127" s="114" t="s">
        <v>378</v>
      </c>
      <c r="D127" s="114" t="s">
        <v>114</v>
      </c>
      <c r="E127">
        <v>2548</v>
      </c>
      <c r="F127">
        <v>2536</v>
      </c>
      <c r="G127">
        <v>400</v>
      </c>
      <c r="H127" s="114" t="s">
        <v>85</v>
      </c>
      <c r="I127">
        <v>6920</v>
      </c>
      <c r="J127" s="114" t="s">
        <v>113</v>
      </c>
      <c r="K127" s="114" t="s">
        <v>114</v>
      </c>
      <c r="L127">
        <v>9680</v>
      </c>
      <c r="M127">
        <v>9660</v>
      </c>
      <c r="N127">
        <v>100</v>
      </c>
      <c r="O127" s="114" t="s">
        <v>87</v>
      </c>
      <c r="P127">
        <v>0.92554524446391395</v>
      </c>
      <c r="Q127">
        <v>0.94742711093160403</v>
      </c>
      <c r="R127">
        <v>0.222268757822803</v>
      </c>
      <c r="S127" s="20">
        <v>5.3204889628723898E-2</v>
      </c>
      <c r="T127">
        <v>-2.2917187649128601</v>
      </c>
      <c r="U127">
        <v>2.2917187649128601</v>
      </c>
      <c r="V127">
        <v>-19.149999999999999</v>
      </c>
      <c r="W127">
        <v>5.01</v>
      </c>
      <c r="X127">
        <v>-4708</v>
      </c>
      <c r="Y127">
        <v>-262</v>
      </c>
      <c r="Z127">
        <v>-0.02</v>
      </c>
      <c r="AA127">
        <v>18</v>
      </c>
      <c r="AB127">
        <v>9</v>
      </c>
      <c r="AC127">
        <v>9</v>
      </c>
      <c r="AD127">
        <v>50</v>
      </c>
      <c r="AE127">
        <v>10</v>
      </c>
      <c r="AF127">
        <v>8</v>
      </c>
      <c r="AG127">
        <v>7</v>
      </c>
      <c r="AH127">
        <v>3</v>
      </c>
    </row>
    <row r="128" spans="1:34">
      <c r="A128" s="110">
        <v>48</v>
      </c>
      <c r="B128">
        <v>6752</v>
      </c>
      <c r="C128" s="114" t="s">
        <v>133</v>
      </c>
      <c r="D128" s="114" t="s">
        <v>114</v>
      </c>
      <c r="E128">
        <v>1021.5</v>
      </c>
      <c r="F128">
        <v>1034.5</v>
      </c>
      <c r="G128">
        <v>1000</v>
      </c>
      <c r="H128" s="114" t="s">
        <v>87</v>
      </c>
      <c r="I128">
        <v>8002</v>
      </c>
      <c r="J128" s="114" t="s">
        <v>55</v>
      </c>
      <c r="K128" s="114" t="s">
        <v>129</v>
      </c>
      <c r="L128">
        <v>809</v>
      </c>
      <c r="M128">
        <v>813.2</v>
      </c>
      <c r="N128">
        <v>1300</v>
      </c>
      <c r="O128" s="114" t="s">
        <v>85</v>
      </c>
      <c r="P128">
        <v>0.91282147570963001</v>
      </c>
      <c r="Q128">
        <v>0.93070434251747902</v>
      </c>
      <c r="R128">
        <v>8.4281067759917894E-2</v>
      </c>
      <c r="S128">
        <v>1.09986764703957E-2</v>
      </c>
      <c r="T128">
        <v>1.48773846699999</v>
      </c>
      <c r="U128">
        <v>1.48773846699999</v>
      </c>
      <c r="V128">
        <v>3.57</v>
      </c>
      <c r="W128">
        <v>2.19</v>
      </c>
      <c r="X128">
        <v>-4844</v>
      </c>
      <c r="Y128">
        <v>-231</v>
      </c>
      <c r="Z128">
        <v>-0.02</v>
      </c>
      <c r="AA128">
        <v>21</v>
      </c>
      <c r="AB128">
        <v>11</v>
      </c>
      <c r="AC128">
        <v>10</v>
      </c>
      <c r="AD128">
        <v>52.38</v>
      </c>
      <c r="AE128">
        <v>15</v>
      </c>
      <c r="AF128">
        <v>5</v>
      </c>
      <c r="AG128">
        <v>4</v>
      </c>
      <c r="AH128">
        <v>12</v>
      </c>
    </row>
    <row r="129" spans="1:34">
      <c r="A129" s="110">
        <v>69</v>
      </c>
      <c r="B129">
        <v>2222</v>
      </c>
      <c r="C129" s="114" t="s">
        <v>372</v>
      </c>
      <c r="D129" s="114" t="s">
        <v>125</v>
      </c>
      <c r="E129">
        <v>7670</v>
      </c>
      <c r="F129">
        <v>7660</v>
      </c>
      <c r="G129">
        <v>100</v>
      </c>
      <c r="H129" s="114" t="s">
        <v>85</v>
      </c>
      <c r="I129">
        <v>4516</v>
      </c>
      <c r="J129" s="114" t="s">
        <v>373</v>
      </c>
      <c r="K129" s="114" t="s">
        <v>166</v>
      </c>
      <c r="L129">
        <v>9910</v>
      </c>
      <c r="M129">
        <v>9880</v>
      </c>
      <c r="N129">
        <v>100</v>
      </c>
      <c r="O129" s="114" t="s">
        <v>87</v>
      </c>
      <c r="P129">
        <v>0.909230662875534</v>
      </c>
      <c r="Q129">
        <v>0.92451626447459101</v>
      </c>
      <c r="R129">
        <v>1.0201142325753801E-3</v>
      </c>
      <c r="S129" s="20">
        <v>6.2839353750466106E-2</v>
      </c>
      <c r="T129">
        <v>-0.28441846520562603</v>
      </c>
      <c r="U129">
        <v>0.28441846520562603</v>
      </c>
      <c r="V129">
        <v>-0.61</v>
      </c>
      <c r="W129">
        <v>22.47</v>
      </c>
      <c r="X129">
        <v>-6765</v>
      </c>
      <c r="Y129">
        <v>-966</v>
      </c>
      <c r="Z129">
        <v>-0.1</v>
      </c>
      <c r="AA129">
        <v>7</v>
      </c>
      <c r="AB129">
        <v>4</v>
      </c>
      <c r="AC129">
        <v>3</v>
      </c>
      <c r="AD129">
        <v>57.14</v>
      </c>
      <c r="AE129">
        <v>7</v>
      </c>
      <c r="AF129">
        <v>3</v>
      </c>
      <c r="AG129">
        <v>3</v>
      </c>
      <c r="AH129">
        <v>1</v>
      </c>
    </row>
    <row r="130" spans="1:34">
      <c r="A130" s="110">
        <v>159</v>
      </c>
      <c r="B130">
        <v>6473</v>
      </c>
      <c r="C130" s="114" t="s">
        <v>163</v>
      </c>
      <c r="D130" s="114" t="s">
        <v>127</v>
      </c>
      <c r="E130">
        <v>1347</v>
      </c>
      <c r="F130">
        <v>1341</v>
      </c>
      <c r="G130">
        <v>500</v>
      </c>
      <c r="H130" s="114" t="s">
        <v>85</v>
      </c>
      <c r="I130">
        <v>6988</v>
      </c>
      <c r="J130" s="114" t="s">
        <v>169</v>
      </c>
      <c r="K130" s="114" t="s">
        <v>86</v>
      </c>
      <c r="L130">
        <v>6060</v>
      </c>
      <c r="M130">
        <v>6060</v>
      </c>
      <c r="N130">
        <v>100</v>
      </c>
      <c r="O130" s="114" t="s">
        <v>87</v>
      </c>
      <c r="P130">
        <v>0.93743094098495605</v>
      </c>
      <c r="Q130">
        <v>0.90234094176920099</v>
      </c>
      <c r="R130">
        <v>7.9780380155752909E-3</v>
      </c>
      <c r="S130">
        <v>2.5467222373741001E-2</v>
      </c>
      <c r="T130">
        <v>-1.8071844053105</v>
      </c>
      <c r="U130">
        <v>1.8071844053105</v>
      </c>
      <c r="V130">
        <v>-4.62</v>
      </c>
      <c r="W130">
        <v>10.64</v>
      </c>
      <c r="X130">
        <v>-8814</v>
      </c>
      <c r="Y130">
        <v>-630</v>
      </c>
      <c r="Z130">
        <v>-0.16</v>
      </c>
      <c r="AA130">
        <v>14</v>
      </c>
      <c r="AB130">
        <v>6</v>
      </c>
      <c r="AC130">
        <v>8</v>
      </c>
      <c r="AD130">
        <v>42.86</v>
      </c>
      <c r="AE130">
        <v>14</v>
      </c>
      <c r="AF130">
        <v>4</v>
      </c>
      <c r="AG130">
        <v>1</v>
      </c>
      <c r="AH130">
        <v>9</v>
      </c>
    </row>
    <row r="131" spans="1:34">
      <c r="A131" s="110">
        <v>104</v>
      </c>
      <c r="B131">
        <v>5333</v>
      </c>
      <c r="C131" s="114" t="s">
        <v>394</v>
      </c>
      <c r="D131" s="114" t="s">
        <v>134</v>
      </c>
      <c r="E131">
        <v>1822</v>
      </c>
      <c r="F131">
        <v>1859</v>
      </c>
      <c r="G131">
        <v>600</v>
      </c>
      <c r="H131" s="114" t="s">
        <v>85</v>
      </c>
      <c r="I131">
        <v>5393</v>
      </c>
      <c r="J131" s="114" t="s">
        <v>392</v>
      </c>
      <c r="K131" s="114" t="s">
        <v>134</v>
      </c>
      <c r="L131">
        <v>2547</v>
      </c>
      <c r="M131">
        <v>2608</v>
      </c>
      <c r="N131">
        <v>400</v>
      </c>
      <c r="O131" s="114" t="s">
        <v>87</v>
      </c>
      <c r="P131">
        <v>0.95480115022515799</v>
      </c>
      <c r="Q131">
        <v>0.91442232302024096</v>
      </c>
      <c r="R131">
        <v>3.0463795765665901E-2</v>
      </c>
      <c r="S131" s="20">
        <v>7.9925847420001699E-4</v>
      </c>
      <c r="T131">
        <v>-1.2864659725265599</v>
      </c>
      <c r="U131">
        <v>1.2864659725265599</v>
      </c>
      <c r="V131">
        <v>-9.3699999999999992</v>
      </c>
      <c r="W131">
        <v>6.92</v>
      </c>
      <c r="X131">
        <v>-11690</v>
      </c>
      <c r="Y131">
        <v>-584</v>
      </c>
      <c r="Z131">
        <v>-0.01</v>
      </c>
      <c r="AA131">
        <v>20</v>
      </c>
      <c r="AB131">
        <v>12</v>
      </c>
      <c r="AC131">
        <v>8</v>
      </c>
      <c r="AD131">
        <v>60</v>
      </c>
      <c r="AE131">
        <v>11</v>
      </c>
      <c r="AF131">
        <v>7</v>
      </c>
      <c r="AG131">
        <v>8</v>
      </c>
      <c r="AH131">
        <v>5</v>
      </c>
    </row>
    <row r="132" spans="1:34">
      <c r="A132" s="110">
        <v>150</v>
      </c>
      <c r="B132">
        <v>6988</v>
      </c>
      <c r="C132" s="114" t="s">
        <v>169</v>
      </c>
      <c r="D132" s="114" t="s">
        <v>86</v>
      </c>
      <c r="E132">
        <v>6060</v>
      </c>
      <c r="F132">
        <v>6060</v>
      </c>
      <c r="G132">
        <v>100</v>
      </c>
      <c r="H132" s="114" t="s">
        <v>85</v>
      </c>
      <c r="I132">
        <v>8002</v>
      </c>
      <c r="J132" s="114" t="s">
        <v>55</v>
      </c>
      <c r="K132" s="114" t="s">
        <v>129</v>
      </c>
      <c r="L132">
        <v>809</v>
      </c>
      <c r="M132">
        <v>813.2</v>
      </c>
      <c r="N132">
        <v>700</v>
      </c>
      <c r="O132" s="114" t="s">
        <v>87</v>
      </c>
      <c r="P132">
        <v>0.91062317943129301</v>
      </c>
      <c r="Q132">
        <v>0.90459642211973301</v>
      </c>
      <c r="R132">
        <v>0.36453350396765999</v>
      </c>
      <c r="S132">
        <v>0.16846351071851401</v>
      </c>
      <c r="T132">
        <v>-7.9520054310686497E-2</v>
      </c>
      <c r="U132">
        <v>7.9520054310686497E-2</v>
      </c>
      <c r="V132">
        <v>-0.26</v>
      </c>
      <c r="W132">
        <v>6.07</v>
      </c>
      <c r="X132">
        <v>-13492</v>
      </c>
      <c r="Y132">
        <v>-750</v>
      </c>
      <c r="Z132">
        <v>-0.19</v>
      </c>
      <c r="AA132">
        <v>18</v>
      </c>
      <c r="AB132">
        <v>8</v>
      </c>
      <c r="AC132">
        <v>10</v>
      </c>
      <c r="AD132">
        <v>44.44</v>
      </c>
      <c r="AE132">
        <v>13</v>
      </c>
      <c r="AF132">
        <v>6</v>
      </c>
      <c r="AG132">
        <v>4</v>
      </c>
      <c r="AH132">
        <v>8</v>
      </c>
    </row>
    <row r="133" spans="1:34">
      <c r="A133" s="110">
        <v>140</v>
      </c>
      <c r="B133">
        <v>4183</v>
      </c>
      <c r="C133" s="114" t="s">
        <v>348</v>
      </c>
      <c r="D133" s="114" t="s">
        <v>86</v>
      </c>
      <c r="E133">
        <v>2609</v>
      </c>
      <c r="F133">
        <v>2602</v>
      </c>
      <c r="G133">
        <v>400</v>
      </c>
      <c r="H133" s="114" t="s">
        <v>85</v>
      </c>
      <c r="I133">
        <v>7762</v>
      </c>
      <c r="J133" s="114" t="s">
        <v>135</v>
      </c>
      <c r="K133" s="114" t="s">
        <v>121</v>
      </c>
      <c r="L133">
        <v>592</v>
      </c>
      <c r="M133">
        <v>592</v>
      </c>
      <c r="N133">
        <v>1800</v>
      </c>
      <c r="O133" s="114" t="s">
        <v>87</v>
      </c>
      <c r="P133">
        <v>0.92089468329542301</v>
      </c>
      <c r="Q133">
        <v>0.90729825825993105</v>
      </c>
      <c r="R133">
        <v>0.15263701341115199</v>
      </c>
      <c r="S133" s="20">
        <v>3.0581348078817499E-3</v>
      </c>
      <c r="T133">
        <v>-1.4107274795689699</v>
      </c>
      <c r="U133">
        <v>1.4107274795689699</v>
      </c>
      <c r="V133">
        <v>-3.46</v>
      </c>
      <c r="W133">
        <v>2.38</v>
      </c>
      <c r="X133">
        <v>-15256</v>
      </c>
      <c r="Y133">
        <v>-1174</v>
      </c>
      <c r="Z133">
        <v>-0.12</v>
      </c>
      <c r="AA133">
        <v>13</v>
      </c>
      <c r="AB133">
        <v>7</v>
      </c>
      <c r="AC133">
        <v>6</v>
      </c>
      <c r="AD133">
        <v>53.85</v>
      </c>
      <c r="AE133">
        <v>15</v>
      </c>
      <c r="AF133">
        <v>3</v>
      </c>
      <c r="AG133">
        <v>4</v>
      </c>
      <c r="AH133">
        <v>6</v>
      </c>
    </row>
    <row r="134" spans="1:34">
      <c r="A134" s="110">
        <v>30</v>
      </c>
      <c r="B134">
        <v>1928</v>
      </c>
      <c r="C134" s="114" t="s">
        <v>350</v>
      </c>
      <c r="D134" s="114" t="s">
        <v>104</v>
      </c>
      <c r="E134">
        <v>2335.5</v>
      </c>
      <c r="F134">
        <v>2397</v>
      </c>
      <c r="G134">
        <v>300</v>
      </c>
      <c r="H134" s="114" t="s">
        <v>85</v>
      </c>
      <c r="I134">
        <v>4613</v>
      </c>
      <c r="J134" s="114" t="s">
        <v>369</v>
      </c>
      <c r="K134" s="114" t="s">
        <v>86</v>
      </c>
      <c r="L134">
        <v>2776</v>
      </c>
      <c r="M134">
        <v>2769</v>
      </c>
      <c r="N134">
        <v>300</v>
      </c>
      <c r="O134" s="114" t="s">
        <v>87</v>
      </c>
      <c r="P134">
        <v>0.95566134854164497</v>
      </c>
      <c r="Q134">
        <v>0.94051896937463098</v>
      </c>
      <c r="R134">
        <v>4.51936849363066E-2</v>
      </c>
      <c r="S134">
        <v>8.2697465546150803E-2</v>
      </c>
      <c r="T134">
        <v>-2.1306856419542799E-2</v>
      </c>
      <c r="U134">
        <v>2.1306856419542799E-2</v>
      </c>
      <c r="V134">
        <v>-0.04</v>
      </c>
      <c r="W134">
        <v>13.43</v>
      </c>
      <c r="X134">
        <v>-16022</v>
      </c>
      <c r="Y134">
        <v>-1232</v>
      </c>
      <c r="Z134">
        <v>-0.04</v>
      </c>
      <c r="AA134">
        <v>13</v>
      </c>
      <c r="AB134">
        <v>7</v>
      </c>
      <c r="AC134">
        <v>6</v>
      </c>
      <c r="AD134">
        <v>53.85</v>
      </c>
      <c r="AE134">
        <v>13</v>
      </c>
      <c r="AF134">
        <v>5</v>
      </c>
      <c r="AG134">
        <v>3</v>
      </c>
      <c r="AH134">
        <v>5</v>
      </c>
    </row>
    <row r="135" spans="1:34">
      <c r="A135" s="110">
        <v>87</v>
      </c>
      <c r="B135">
        <v>6457</v>
      </c>
      <c r="C135" s="114" t="s">
        <v>362</v>
      </c>
      <c r="D135" s="114" t="s">
        <v>127</v>
      </c>
      <c r="E135">
        <v>3290</v>
      </c>
      <c r="F135">
        <v>3340</v>
      </c>
      <c r="G135">
        <v>300</v>
      </c>
      <c r="H135" s="114" t="s">
        <v>87</v>
      </c>
      <c r="I135">
        <v>6845</v>
      </c>
      <c r="J135" s="114" t="s">
        <v>355</v>
      </c>
      <c r="K135" s="114" t="s">
        <v>114</v>
      </c>
      <c r="L135">
        <v>3145</v>
      </c>
      <c r="M135">
        <v>3145</v>
      </c>
      <c r="N135">
        <v>300</v>
      </c>
      <c r="O135" s="114" t="s">
        <v>85</v>
      </c>
      <c r="P135">
        <v>0.94323471615584698</v>
      </c>
      <c r="Q135">
        <v>0.91844584452570399</v>
      </c>
      <c r="R135">
        <v>5.66220639073321E-3</v>
      </c>
      <c r="S135">
        <v>6.1540407431309903E-2</v>
      </c>
      <c r="T135">
        <v>0.39574223198314501</v>
      </c>
      <c r="U135">
        <v>0.39574223198314501</v>
      </c>
      <c r="V135">
        <v>0.59</v>
      </c>
      <c r="W135">
        <v>5.84</v>
      </c>
      <c r="X135">
        <v>-22683</v>
      </c>
      <c r="Y135">
        <v>-2062</v>
      </c>
      <c r="Z135">
        <v>-0.06</v>
      </c>
      <c r="AA135">
        <v>11</v>
      </c>
      <c r="AB135">
        <v>6</v>
      </c>
      <c r="AC135">
        <v>5</v>
      </c>
      <c r="AD135">
        <v>54.55</v>
      </c>
      <c r="AE135">
        <v>15</v>
      </c>
      <c r="AF135">
        <v>2</v>
      </c>
      <c r="AG135">
        <v>1</v>
      </c>
      <c r="AH135">
        <v>8</v>
      </c>
    </row>
    <row r="136" spans="1:34">
      <c r="A136" s="110">
        <v>46</v>
      </c>
      <c r="B136">
        <v>1928</v>
      </c>
      <c r="C136" s="114" t="s">
        <v>350</v>
      </c>
      <c r="D136" s="114" t="s">
        <v>104</v>
      </c>
      <c r="E136">
        <v>2335.5</v>
      </c>
      <c r="F136">
        <v>2397</v>
      </c>
      <c r="G136">
        <v>300</v>
      </c>
      <c r="H136" s="114" t="s">
        <v>87</v>
      </c>
      <c r="I136">
        <v>7649</v>
      </c>
      <c r="J136" s="114" t="s">
        <v>393</v>
      </c>
      <c r="K136" s="114" t="s">
        <v>123</v>
      </c>
      <c r="L136">
        <v>6210</v>
      </c>
      <c r="M136">
        <v>6210</v>
      </c>
      <c r="N136">
        <v>100</v>
      </c>
      <c r="O136" s="114" t="s">
        <v>85</v>
      </c>
      <c r="P136">
        <v>0.922807960300559</v>
      </c>
      <c r="Q136">
        <v>0.93180566322469704</v>
      </c>
      <c r="R136">
        <v>0.15380649371117</v>
      </c>
      <c r="S136" s="20">
        <v>0.204551905637986</v>
      </c>
      <c r="T136" s="20">
        <v>1.22492182488418</v>
      </c>
      <c r="U136" s="20">
        <v>1.22492182488418</v>
      </c>
      <c r="V136">
        <v>5.48</v>
      </c>
      <c r="W136">
        <v>15.8</v>
      </c>
      <c r="X136">
        <v>-23765</v>
      </c>
      <c r="Y136">
        <v>-1828</v>
      </c>
      <c r="Z136">
        <v>7.0000000000000007E-2</v>
      </c>
      <c r="AA136">
        <v>13</v>
      </c>
      <c r="AB136">
        <v>7</v>
      </c>
      <c r="AC136">
        <v>6</v>
      </c>
      <c r="AD136">
        <v>53.85</v>
      </c>
      <c r="AE136">
        <v>13</v>
      </c>
      <c r="AF136">
        <v>4</v>
      </c>
      <c r="AG136">
        <v>3</v>
      </c>
      <c r="AH136">
        <v>6</v>
      </c>
    </row>
    <row r="137" spans="1:34">
      <c r="A137" s="110">
        <v>139</v>
      </c>
      <c r="B137">
        <v>6371</v>
      </c>
      <c r="C137" s="114" t="s">
        <v>136</v>
      </c>
      <c r="D137" s="114" t="s">
        <v>127</v>
      </c>
      <c r="E137">
        <v>3765</v>
      </c>
      <c r="F137">
        <v>3850</v>
      </c>
      <c r="G137">
        <v>200</v>
      </c>
      <c r="H137" s="114" t="s">
        <v>85</v>
      </c>
      <c r="I137">
        <v>7272</v>
      </c>
      <c r="J137" s="114" t="s">
        <v>345</v>
      </c>
      <c r="K137" s="114" t="s">
        <v>111</v>
      </c>
      <c r="L137">
        <v>2231</v>
      </c>
      <c r="M137">
        <v>2259</v>
      </c>
      <c r="N137">
        <v>300</v>
      </c>
      <c r="O137" s="114" t="s">
        <v>87</v>
      </c>
      <c r="P137">
        <v>0.91075390532960099</v>
      </c>
      <c r="Q137">
        <v>0.90751005412125396</v>
      </c>
      <c r="R137">
        <v>0.22227867580400901</v>
      </c>
      <c r="S137" s="20">
        <v>1.6119323043619599E-2</v>
      </c>
      <c r="T137">
        <v>-0.69258043549015802</v>
      </c>
      <c r="U137">
        <v>0.69258043549015802</v>
      </c>
      <c r="V137">
        <v>-2.77</v>
      </c>
      <c r="W137">
        <v>11.99</v>
      </c>
      <c r="X137">
        <v>-28954</v>
      </c>
      <c r="Y137">
        <v>-2632</v>
      </c>
      <c r="Z137">
        <v>-0.13</v>
      </c>
      <c r="AA137">
        <v>11</v>
      </c>
      <c r="AB137">
        <v>6</v>
      </c>
      <c r="AC137">
        <v>5</v>
      </c>
      <c r="AD137">
        <v>54.55</v>
      </c>
      <c r="AE137">
        <v>13</v>
      </c>
      <c r="AF137">
        <v>3</v>
      </c>
      <c r="AG137">
        <v>3</v>
      </c>
      <c r="AH137">
        <v>5</v>
      </c>
    </row>
    <row r="138" spans="1:34">
      <c r="A138" s="110">
        <v>106</v>
      </c>
      <c r="B138">
        <v>5463</v>
      </c>
      <c r="C138" s="114" t="s">
        <v>172</v>
      </c>
      <c r="D138" s="114" t="s">
        <v>120</v>
      </c>
      <c r="E138">
        <v>3180</v>
      </c>
      <c r="F138">
        <v>3150</v>
      </c>
      <c r="G138">
        <v>300</v>
      </c>
      <c r="H138" s="114" t="s">
        <v>87</v>
      </c>
      <c r="I138">
        <v>7167</v>
      </c>
      <c r="J138" s="114" t="s">
        <v>128</v>
      </c>
      <c r="K138" s="114" t="s">
        <v>109</v>
      </c>
      <c r="L138">
        <v>278</v>
      </c>
      <c r="M138">
        <v>281</v>
      </c>
      <c r="N138">
        <v>3400</v>
      </c>
      <c r="O138" s="114" t="s">
        <v>85</v>
      </c>
      <c r="P138">
        <v>0.91349646884046198</v>
      </c>
      <c r="Q138">
        <v>0.91407488732342401</v>
      </c>
      <c r="R138">
        <v>0.13741893668039901</v>
      </c>
      <c r="S138">
        <v>3.89443282999292E-2</v>
      </c>
      <c r="T138">
        <v>1.18653586292444</v>
      </c>
      <c r="U138">
        <v>1.18653586292444</v>
      </c>
      <c r="V138">
        <v>3.13</v>
      </c>
      <c r="W138">
        <v>1.1000000000000001</v>
      </c>
      <c r="X138">
        <v>-41684</v>
      </c>
      <c r="Y138">
        <v>-2605</v>
      </c>
      <c r="Z138">
        <v>-0.15</v>
      </c>
      <c r="AA138">
        <v>16</v>
      </c>
      <c r="AB138">
        <v>8</v>
      </c>
      <c r="AC138">
        <v>8</v>
      </c>
      <c r="AD138">
        <v>50</v>
      </c>
      <c r="AE138">
        <v>14</v>
      </c>
      <c r="AF138">
        <v>3</v>
      </c>
      <c r="AG138">
        <v>3</v>
      </c>
      <c r="AH138">
        <v>10</v>
      </c>
    </row>
    <row r="139" spans="1:34">
      <c r="A139" s="110">
        <v>96</v>
      </c>
      <c r="B139">
        <v>2492</v>
      </c>
      <c r="C139" s="114" t="s">
        <v>1196</v>
      </c>
      <c r="D139" s="114" t="s">
        <v>148</v>
      </c>
      <c r="E139">
        <v>1950</v>
      </c>
      <c r="F139">
        <v>1962</v>
      </c>
      <c r="G139">
        <v>500</v>
      </c>
      <c r="H139" s="114" t="s">
        <v>87</v>
      </c>
      <c r="I139">
        <v>9746</v>
      </c>
      <c r="J139" s="114" t="s">
        <v>1197</v>
      </c>
      <c r="K139" s="114" t="s">
        <v>106</v>
      </c>
      <c r="L139">
        <v>4970</v>
      </c>
      <c r="M139">
        <v>5110</v>
      </c>
      <c r="N139">
        <v>200</v>
      </c>
      <c r="O139" s="114" t="s">
        <v>85</v>
      </c>
      <c r="P139">
        <v>0.91997700405634897</v>
      </c>
      <c r="Q139">
        <v>0.91671733905474295</v>
      </c>
      <c r="R139">
        <v>0.332360988354447</v>
      </c>
      <c r="S139">
        <v>0.312501692012006</v>
      </c>
      <c r="T139">
        <v>1.25163078812382</v>
      </c>
      <c r="U139">
        <v>1.25163078812382</v>
      </c>
      <c r="V139">
        <v>5.71</v>
      </c>
      <c r="W139">
        <v>4.01</v>
      </c>
      <c r="X139">
        <v>-48312</v>
      </c>
      <c r="Y139">
        <v>-2101</v>
      </c>
      <c r="Z139">
        <v>-0.08</v>
      </c>
      <c r="AA139">
        <v>23</v>
      </c>
      <c r="AB139">
        <v>11</v>
      </c>
      <c r="AC139">
        <v>12</v>
      </c>
      <c r="AD139">
        <v>47.83</v>
      </c>
      <c r="AE139">
        <v>9</v>
      </c>
      <c r="AF139">
        <v>9</v>
      </c>
      <c r="AG139">
        <v>9</v>
      </c>
      <c r="AH139">
        <v>5</v>
      </c>
    </row>
    <row r="140" spans="1:34">
      <c r="A140" s="110">
        <v>143</v>
      </c>
      <c r="B140">
        <v>1911</v>
      </c>
      <c r="C140" s="114" t="s">
        <v>131</v>
      </c>
      <c r="D140" s="114" t="s">
        <v>104</v>
      </c>
      <c r="E140">
        <v>1586</v>
      </c>
      <c r="F140">
        <v>1606</v>
      </c>
      <c r="G140">
        <v>700</v>
      </c>
      <c r="H140" s="114" t="s">
        <v>87</v>
      </c>
      <c r="I140">
        <v>4634</v>
      </c>
      <c r="J140" s="114" t="s">
        <v>170</v>
      </c>
      <c r="K140" s="114" t="s">
        <v>86</v>
      </c>
      <c r="L140">
        <v>2643</v>
      </c>
      <c r="M140">
        <v>2656</v>
      </c>
      <c r="N140">
        <v>400</v>
      </c>
      <c r="O140" s="114" t="s">
        <v>85</v>
      </c>
      <c r="P140">
        <v>0.96437184135687903</v>
      </c>
      <c r="Q140">
        <v>0.90601973309352002</v>
      </c>
      <c r="R140">
        <v>0.155526864226883</v>
      </c>
      <c r="S140">
        <v>0.22969953933303</v>
      </c>
      <c r="T140">
        <v>1.6644844304689199</v>
      </c>
      <c r="U140">
        <v>1.6644844304689199</v>
      </c>
      <c r="V140">
        <v>2.61</v>
      </c>
      <c r="W140">
        <v>5.82</v>
      </c>
      <c r="X140">
        <v>-53382</v>
      </c>
      <c r="Y140">
        <v>-3336</v>
      </c>
      <c r="Z140">
        <v>-0.19</v>
      </c>
      <c r="AA140">
        <v>16</v>
      </c>
      <c r="AB140">
        <v>7</v>
      </c>
      <c r="AC140">
        <v>9</v>
      </c>
      <c r="AD140">
        <v>43.75</v>
      </c>
      <c r="AE140">
        <v>14</v>
      </c>
      <c r="AF140">
        <v>3</v>
      </c>
      <c r="AG140">
        <v>2</v>
      </c>
      <c r="AH140">
        <v>11</v>
      </c>
    </row>
    <row r="141" spans="1:34">
      <c r="A141" s="110">
        <v>29</v>
      </c>
      <c r="B141">
        <v>6457</v>
      </c>
      <c r="C141" s="114" t="s">
        <v>362</v>
      </c>
      <c r="D141" s="114" t="s">
        <v>127</v>
      </c>
      <c r="E141">
        <v>3290</v>
      </c>
      <c r="F141">
        <v>3340</v>
      </c>
      <c r="G141">
        <v>200</v>
      </c>
      <c r="H141" s="114" t="s">
        <v>87</v>
      </c>
      <c r="I141">
        <v>7203</v>
      </c>
      <c r="J141" s="114" t="s">
        <v>385</v>
      </c>
      <c r="K141" s="114" t="s">
        <v>111</v>
      </c>
      <c r="L141">
        <v>7719</v>
      </c>
      <c r="M141">
        <v>7783</v>
      </c>
      <c r="N141">
        <v>100</v>
      </c>
      <c r="O141" s="114" t="s">
        <v>85</v>
      </c>
      <c r="P141">
        <v>0.94760960340688805</v>
      </c>
      <c r="Q141">
        <v>0.94063672354193695</v>
      </c>
      <c r="R141">
        <v>6.9309031997012494E-2</v>
      </c>
      <c r="S141">
        <v>3.82867105488491E-2</v>
      </c>
      <c r="T141">
        <v>1.01280343632676</v>
      </c>
      <c r="U141">
        <v>1.01280343632676</v>
      </c>
      <c r="V141">
        <v>1.83</v>
      </c>
      <c r="W141">
        <v>14.17</v>
      </c>
      <c r="X141">
        <v>-61118</v>
      </c>
      <c r="Y141">
        <v>-12224</v>
      </c>
      <c r="Z141">
        <v>-0.8</v>
      </c>
      <c r="AA141">
        <v>5</v>
      </c>
      <c r="AB141">
        <v>2</v>
      </c>
      <c r="AC141">
        <v>3</v>
      </c>
      <c r="AD141">
        <v>40</v>
      </c>
      <c r="AE141">
        <v>14</v>
      </c>
      <c r="AF141">
        <v>2</v>
      </c>
      <c r="AG141">
        <v>3</v>
      </c>
      <c r="AH141">
        <v>0</v>
      </c>
    </row>
    <row r="142" spans="1:34">
      <c r="A142" s="110">
        <v>102</v>
      </c>
      <c r="B142">
        <v>2206</v>
      </c>
      <c r="C142" s="114" t="s">
        <v>1067</v>
      </c>
      <c r="D142" s="114" t="s">
        <v>125</v>
      </c>
      <c r="E142">
        <v>5030</v>
      </c>
      <c r="F142">
        <v>5010</v>
      </c>
      <c r="G142">
        <v>200</v>
      </c>
      <c r="H142" s="114" t="s">
        <v>85</v>
      </c>
      <c r="I142">
        <v>5233</v>
      </c>
      <c r="J142" s="114" t="s">
        <v>173</v>
      </c>
      <c r="K142" s="114" t="s">
        <v>134</v>
      </c>
      <c r="L142">
        <v>3260</v>
      </c>
      <c r="M142">
        <v>3310</v>
      </c>
      <c r="N142">
        <v>300</v>
      </c>
      <c r="O142" s="114" t="s">
        <v>87</v>
      </c>
      <c r="P142">
        <v>0.91447447739419596</v>
      </c>
      <c r="Q142">
        <v>0.91455129819073799</v>
      </c>
      <c r="R142">
        <v>3.6138870127291702E-2</v>
      </c>
      <c r="S142">
        <v>6.9364101094288602E-2</v>
      </c>
      <c r="T142">
        <v>-1.6155087486050399</v>
      </c>
      <c r="U142">
        <v>1.6155087486050399</v>
      </c>
      <c r="V142">
        <v>-7.03</v>
      </c>
      <c r="W142">
        <v>0.9</v>
      </c>
      <c r="X142">
        <v>-64856</v>
      </c>
      <c r="Y142">
        <v>-12971</v>
      </c>
      <c r="Z142">
        <v>-0.45</v>
      </c>
      <c r="AA142">
        <v>5</v>
      </c>
      <c r="AB142">
        <v>3</v>
      </c>
      <c r="AC142">
        <v>2</v>
      </c>
      <c r="AD142">
        <v>60</v>
      </c>
      <c r="AE142">
        <v>12</v>
      </c>
      <c r="AF142">
        <v>2</v>
      </c>
      <c r="AG142">
        <v>2</v>
      </c>
      <c r="AH142">
        <v>1</v>
      </c>
    </row>
    <row r="143" spans="1:34">
      <c r="A143" s="110">
        <v>22</v>
      </c>
      <c r="B143">
        <v>5802</v>
      </c>
      <c r="C143" s="114" t="s">
        <v>161</v>
      </c>
      <c r="D143" s="114" t="s">
        <v>162</v>
      </c>
      <c r="E143">
        <v>1633</v>
      </c>
      <c r="F143">
        <v>1638</v>
      </c>
      <c r="G143">
        <v>600</v>
      </c>
      <c r="H143" s="114" t="s">
        <v>87</v>
      </c>
      <c r="I143">
        <v>8002</v>
      </c>
      <c r="J143" s="114" t="s">
        <v>55</v>
      </c>
      <c r="K143" s="114" t="s">
        <v>129</v>
      </c>
      <c r="L143">
        <v>809</v>
      </c>
      <c r="M143">
        <v>813.2</v>
      </c>
      <c r="N143">
        <v>1200</v>
      </c>
      <c r="O143" s="114" t="s">
        <v>85</v>
      </c>
      <c r="P143">
        <v>0.94786397553063295</v>
      </c>
      <c r="Q143">
        <v>0.94347805461565404</v>
      </c>
      <c r="R143">
        <v>0.239407227416053</v>
      </c>
      <c r="S143">
        <v>4.6200662447595702E-3</v>
      </c>
      <c r="T143">
        <v>1.76495347723045</v>
      </c>
      <c r="U143">
        <v>1.76495347723045</v>
      </c>
      <c r="V143">
        <v>5.44</v>
      </c>
      <c r="W143">
        <v>0.71</v>
      </c>
      <c r="X143">
        <v>-65152</v>
      </c>
      <c r="Y143">
        <v>-4072</v>
      </c>
      <c r="Z143">
        <v>-0.19</v>
      </c>
      <c r="AA143">
        <v>16</v>
      </c>
      <c r="AB143">
        <v>7</v>
      </c>
      <c r="AC143">
        <v>9</v>
      </c>
      <c r="AD143">
        <v>43.75</v>
      </c>
      <c r="AE143">
        <v>15</v>
      </c>
      <c r="AF143">
        <v>3</v>
      </c>
      <c r="AG143">
        <v>2</v>
      </c>
      <c r="AH143">
        <v>11</v>
      </c>
    </row>
    <row r="144" spans="1:34">
      <c r="A144" s="110">
        <v>64</v>
      </c>
      <c r="B144">
        <v>4182</v>
      </c>
      <c r="C144" s="114" t="s">
        <v>115</v>
      </c>
      <c r="D144" s="114" t="s">
        <v>86</v>
      </c>
      <c r="E144">
        <v>1666</v>
      </c>
      <c r="F144">
        <v>1667</v>
      </c>
      <c r="G144">
        <v>600</v>
      </c>
      <c r="H144" s="114" t="s">
        <v>87</v>
      </c>
      <c r="I144">
        <v>7267</v>
      </c>
      <c r="J144" s="114" t="s">
        <v>146</v>
      </c>
      <c r="K144" s="114" t="s">
        <v>111</v>
      </c>
      <c r="L144">
        <v>3085</v>
      </c>
      <c r="M144">
        <v>3091</v>
      </c>
      <c r="N144">
        <v>300</v>
      </c>
      <c r="O144" s="114" t="s">
        <v>85</v>
      </c>
      <c r="P144">
        <v>0.91670810513897005</v>
      </c>
      <c r="Q144">
        <v>0.92517860246752204</v>
      </c>
      <c r="R144">
        <v>0.30539880528314201</v>
      </c>
      <c r="S144">
        <v>6.1212665499825302E-3</v>
      </c>
      <c r="T144">
        <v>1.31863383911593</v>
      </c>
      <c r="U144">
        <v>1.31863383911593</v>
      </c>
      <c r="V144">
        <v>4.7300000000000004</v>
      </c>
      <c r="W144">
        <v>7.86</v>
      </c>
      <c r="X144">
        <v>-68114</v>
      </c>
      <c r="Y144">
        <v>-4257</v>
      </c>
      <c r="Z144">
        <v>-0.3</v>
      </c>
      <c r="AA144">
        <v>16</v>
      </c>
      <c r="AB144">
        <v>10</v>
      </c>
      <c r="AC144">
        <v>6</v>
      </c>
      <c r="AD144">
        <v>62.5</v>
      </c>
      <c r="AE144">
        <v>14</v>
      </c>
      <c r="AF144">
        <v>4</v>
      </c>
      <c r="AG144">
        <v>4</v>
      </c>
      <c r="AH144">
        <v>8</v>
      </c>
    </row>
    <row r="145" spans="1:34">
      <c r="A145" s="110">
        <v>20</v>
      </c>
      <c r="B145">
        <v>6471</v>
      </c>
      <c r="C145" s="114" t="s">
        <v>168</v>
      </c>
      <c r="D145" s="114" t="s">
        <v>127</v>
      </c>
      <c r="E145">
        <v>1045</v>
      </c>
      <c r="F145">
        <v>1047</v>
      </c>
      <c r="G145">
        <v>1000</v>
      </c>
      <c r="H145" s="114" t="s">
        <v>87</v>
      </c>
      <c r="I145">
        <v>6472</v>
      </c>
      <c r="J145" s="114" t="s">
        <v>164</v>
      </c>
      <c r="K145" s="114" t="s">
        <v>127</v>
      </c>
      <c r="L145">
        <v>333</v>
      </c>
      <c r="M145">
        <v>333</v>
      </c>
      <c r="N145">
        <v>3100</v>
      </c>
      <c r="O145" s="114" t="s">
        <v>85</v>
      </c>
      <c r="P145">
        <v>0.93271262300680302</v>
      </c>
      <c r="Q145">
        <v>0.94464926558308204</v>
      </c>
      <c r="R145" s="20">
        <v>0.214971305668262</v>
      </c>
      <c r="S145">
        <v>0.21484862888957301</v>
      </c>
      <c r="T145">
        <v>1.6201015791669799</v>
      </c>
      <c r="U145">
        <v>1.6201015791669799</v>
      </c>
      <c r="V145">
        <v>3.54</v>
      </c>
      <c r="W145">
        <v>1.4</v>
      </c>
      <c r="X145">
        <v>-68265</v>
      </c>
      <c r="Y145">
        <v>-4016</v>
      </c>
      <c r="Z145">
        <v>-0.21</v>
      </c>
      <c r="AA145">
        <v>17</v>
      </c>
      <c r="AB145">
        <v>8</v>
      </c>
      <c r="AC145">
        <v>9</v>
      </c>
      <c r="AD145">
        <v>47.06</v>
      </c>
      <c r="AE145">
        <v>17</v>
      </c>
      <c r="AF145">
        <v>2</v>
      </c>
      <c r="AG145">
        <v>3</v>
      </c>
      <c r="AH145">
        <v>12</v>
      </c>
    </row>
    <row r="146" spans="1:34">
      <c r="A146" s="110">
        <v>132</v>
      </c>
      <c r="B146">
        <v>3231</v>
      </c>
      <c r="C146" s="114" t="s">
        <v>1068</v>
      </c>
      <c r="D146" s="114" t="s">
        <v>142</v>
      </c>
      <c r="E146">
        <v>2653</v>
      </c>
      <c r="F146">
        <v>2659</v>
      </c>
      <c r="G146">
        <v>300</v>
      </c>
      <c r="H146" s="114" t="s">
        <v>85</v>
      </c>
      <c r="I146">
        <v>6951</v>
      </c>
      <c r="J146" s="114" t="s">
        <v>374</v>
      </c>
      <c r="K146" s="114" t="s">
        <v>114</v>
      </c>
      <c r="L146">
        <v>3090</v>
      </c>
      <c r="M146">
        <v>3095</v>
      </c>
      <c r="N146">
        <v>300</v>
      </c>
      <c r="O146" s="114" t="s">
        <v>87</v>
      </c>
      <c r="P146">
        <v>0.94103021572284395</v>
      </c>
      <c r="Q146">
        <v>0.90825555941549796</v>
      </c>
      <c r="R146">
        <v>8.0536218948390095E-2</v>
      </c>
      <c r="S146">
        <v>6.5394343424625204E-2</v>
      </c>
      <c r="T146">
        <v>-1.2204351967523599</v>
      </c>
      <c r="U146">
        <v>1.2204351967523599</v>
      </c>
      <c r="V146">
        <v>-5.69</v>
      </c>
      <c r="W146">
        <v>14.09</v>
      </c>
      <c r="X146">
        <v>-82032</v>
      </c>
      <c r="Y146">
        <v>-5127</v>
      </c>
      <c r="Z146">
        <v>-0.21</v>
      </c>
      <c r="AA146">
        <v>16</v>
      </c>
      <c r="AB146">
        <v>9</v>
      </c>
      <c r="AC146">
        <v>7</v>
      </c>
      <c r="AD146">
        <v>56.25</v>
      </c>
      <c r="AE146">
        <v>8</v>
      </c>
      <c r="AF146">
        <v>7</v>
      </c>
      <c r="AG146">
        <v>6</v>
      </c>
      <c r="AH146">
        <v>3</v>
      </c>
    </row>
    <row r="147" spans="1:34">
      <c r="A147" s="110">
        <v>83</v>
      </c>
      <c r="B147">
        <v>6752</v>
      </c>
      <c r="C147" s="114" t="s">
        <v>133</v>
      </c>
      <c r="D147" s="114" t="s">
        <v>114</v>
      </c>
      <c r="E147">
        <v>1021.5</v>
      </c>
      <c r="F147">
        <v>1034.5</v>
      </c>
      <c r="G147">
        <v>1000</v>
      </c>
      <c r="H147" s="114" t="s">
        <v>87</v>
      </c>
      <c r="I147">
        <v>8795</v>
      </c>
      <c r="J147" s="114" t="s">
        <v>165</v>
      </c>
      <c r="K147" s="114" t="s">
        <v>138</v>
      </c>
      <c r="L147">
        <v>1283</v>
      </c>
      <c r="M147">
        <v>1310</v>
      </c>
      <c r="N147">
        <v>800</v>
      </c>
      <c r="O147" s="114" t="s">
        <v>85</v>
      </c>
      <c r="P147">
        <v>0.92095350711059198</v>
      </c>
      <c r="Q147">
        <v>0.91952239165633898</v>
      </c>
      <c r="R147">
        <v>3.8262061119206998E-2</v>
      </c>
      <c r="S147">
        <v>1.8009528046060898E-2</v>
      </c>
      <c r="T147">
        <v>0.69365515718966397</v>
      </c>
      <c r="U147">
        <v>0.69365515718966397</v>
      </c>
      <c r="V147">
        <v>1.89</v>
      </c>
      <c r="W147">
        <v>1.29</v>
      </c>
      <c r="X147">
        <v>-86216</v>
      </c>
      <c r="Y147">
        <v>-5388</v>
      </c>
      <c r="Z147">
        <v>-0.22</v>
      </c>
      <c r="AA147">
        <v>16</v>
      </c>
      <c r="AB147">
        <v>6</v>
      </c>
      <c r="AC147">
        <v>10</v>
      </c>
      <c r="AD147">
        <v>37.5</v>
      </c>
      <c r="AE147">
        <v>14</v>
      </c>
      <c r="AF147">
        <v>4</v>
      </c>
      <c r="AG147">
        <v>5</v>
      </c>
      <c r="AH147">
        <v>7</v>
      </c>
    </row>
    <row r="148" spans="1:34">
      <c r="A148" s="110">
        <v>153</v>
      </c>
      <c r="B148">
        <v>8410</v>
      </c>
      <c r="C148" s="114" t="s">
        <v>347</v>
      </c>
      <c r="D148" s="114" t="s">
        <v>109</v>
      </c>
      <c r="E148">
        <v>339</v>
      </c>
      <c r="F148">
        <v>344</v>
      </c>
      <c r="G148">
        <v>3100</v>
      </c>
      <c r="H148" s="114" t="s">
        <v>87</v>
      </c>
      <c r="I148">
        <v>9412</v>
      </c>
      <c r="J148" s="114" t="s">
        <v>105</v>
      </c>
      <c r="K148" s="114" t="s">
        <v>106</v>
      </c>
      <c r="L148">
        <v>459</v>
      </c>
      <c r="M148">
        <v>464</v>
      </c>
      <c r="N148">
        <v>2300</v>
      </c>
      <c r="O148" s="114" t="s">
        <v>85</v>
      </c>
      <c r="P148">
        <v>0.92024055440462404</v>
      </c>
      <c r="Q148">
        <v>0.90334823044464396</v>
      </c>
      <c r="R148">
        <v>1.16666054433224E-3</v>
      </c>
      <c r="S148">
        <v>1.1468458929775999E-3</v>
      </c>
      <c r="T148">
        <v>2.2602461204983402</v>
      </c>
      <c r="U148">
        <v>2.2602461204983402</v>
      </c>
      <c r="V148">
        <v>7.33</v>
      </c>
      <c r="W148">
        <v>7.0000000000000007E-2</v>
      </c>
      <c r="X148">
        <v>-93985</v>
      </c>
      <c r="Y148">
        <v>-4947</v>
      </c>
      <c r="Z148">
        <v>-0.23</v>
      </c>
      <c r="AA148">
        <v>19</v>
      </c>
      <c r="AB148">
        <v>8</v>
      </c>
      <c r="AC148">
        <v>11</v>
      </c>
      <c r="AD148">
        <v>42.11</v>
      </c>
      <c r="AE148">
        <v>14</v>
      </c>
      <c r="AF148">
        <v>5</v>
      </c>
      <c r="AG148">
        <v>3</v>
      </c>
      <c r="AH148">
        <v>11</v>
      </c>
    </row>
    <row r="149" spans="1:34">
      <c r="A149" s="110">
        <v>138</v>
      </c>
      <c r="B149">
        <v>5334</v>
      </c>
      <c r="C149" s="114" t="s">
        <v>349</v>
      </c>
      <c r="D149" s="114" t="s">
        <v>134</v>
      </c>
      <c r="E149">
        <v>2164</v>
      </c>
      <c r="F149">
        <v>2178</v>
      </c>
      <c r="G149">
        <v>400</v>
      </c>
      <c r="H149" s="114" t="s">
        <v>85</v>
      </c>
      <c r="I149">
        <v>6923</v>
      </c>
      <c r="J149" s="114" t="s">
        <v>140</v>
      </c>
      <c r="K149" s="114" t="s">
        <v>114</v>
      </c>
      <c r="L149">
        <v>3060</v>
      </c>
      <c r="M149">
        <v>3090</v>
      </c>
      <c r="N149">
        <v>300</v>
      </c>
      <c r="O149" s="114" t="s">
        <v>87</v>
      </c>
      <c r="P149">
        <v>0.91914289316098297</v>
      </c>
      <c r="Q149">
        <v>0.90761340855457195</v>
      </c>
      <c r="R149">
        <v>8.11138337178237E-2</v>
      </c>
      <c r="S149">
        <v>0.104268051355302</v>
      </c>
      <c r="T149">
        <v>-0.71142761918832798</v>
      </c>
      <c r="U149">
        <v>0.71142761918832798</v>
      </c>
      <c r="V149">
        <v>-1.7</v>
      </c>
      <c r="W149">
        <v>6.02</v>
      </c>
      <c r="X149">
        <v>-100321</v>
      </c>
      <c r="Y149">
        <v>-7717</v>
      </c>
      <c r="Z149">
        <v>-0.36</v>
      </c>
      <c r="AA149">
        <v>13</v>
      </c>
      <c r="AB149">
        <v>7</v>
      </c>
      <c r="AC149">
        <v>6</v>
      </c>
      <c r="AD149">
        <v>53.85</v>
      </c>
      <c r="AE149">
        <v>13</v>
      </c>
      <c r="AF149">
        <v>3</v>
      </c>
      <c r="AG149">
        <v>3</v>
      </c>
      <c r="AH149">
        <v>7</v>
      </c>
    </row>
    <row r="150" spans="1:34">
      <c r="A150" s="110">
        <v>133</v>
      </c>
      <c r="B150">
        <v>4202</v>
      </c>
      <c r="C150" s="114" t="s">
        <v>117</v>
      </c>
      <c r="D150" s="114" t="s">
        <v>86</v>
      </c>
      <c r="E150">
        <v>1078</v>
      </c>
      <c r="F150">
        <v>1065</v>
      </c>
      <c r="G150">
        <v>700</v>
      </c>
      <c r="H150" s="114" t="s">
        <v>87</v>
      </c>
      <c r="I150">
        <v>6371</v>
      </c>
      <c r="J150" s="114" t="s">
        <v>136</v>
      </c>
      <c r="K150" s="114" t="s">
        <v>127</v>
      </c>
      <c r="L150">
        <v>3765</v>
      </c>
      <c r="M150">
        <v>3850</v>
      </c>
      <c r="N150">
        <v>200</v>
      </c>
      <c r="O150" s="114" t="s">
        <v>85</v>
      </c>
      <c r="P150">
        <v>0.94764240653827803</v>
      </c>
      <c r="Q150">
        <v>0.90800986751494595</v>
      </c>
      <c r="R150">
        <v>0.15891263718106699</v>
      </c>
      <c r="S150">
        <v>0.211990296199664</v>
      </c>
      <c r="T150">
        <v>0.58087141870110204</v>
      </c>
      <c r="U150">
        <v>0.58087141870110204</v>
      </c>
      <c r="V150">
        <v>2.84</v>
      </c>
      <c r="W150">
        <v>3.18</v>
      </c>
      <c r="X150">
        <v>-110166</v>
      </c>
      <c r="Y150">
        <v>-6885</v>
      </c>
      <c r="Z150">
        <v>-0.47</v>
      </c>
      <c r="AA150">
        <v>16</v>
      </c>
      <c r="AB150">
        <v>5</v>
      </c>
      <c r="AC150">
        <v>11</v>
      </c>
      <c r="AD150">
        <v>31.25</v>
      </c>
      <c r="AE150">
        <v>14</v>
      </c>
      <c r="AF150">
        <v>3</v>
      </c>
      <c r="AG150">
        <v>5</v>
      </c>
      <c r="AH150">
        <v>8</v>
      </c>
    </row>
    <row r="151" spans="1:34">
      <c r="A151" s="110">
        <v>120</v>
      </c>
      <c r="B151">
        <v>4204</v>
      </c>
      <c r="C151" s="114" t="s">
        <v>376</v>
      </c>
      <c r="D151" s="114" t="s">
        <v>86</v>
      </c>
      <c r="E151">
        <v>1890</v>
      </c>
      <c r="F151">
        <v>1912</v>
      </c>
      <c r="G151">
        <v>400</v>
      </c>
      <c r="H151" s="114" t="s">
        <v>85</v>
      </c>
      <c r="I151">
        <v>5947</v>
      </c>
      <c r="J151" s="114" t="s">
        <v>377</v>
      </c>
      <c r="K151" s="114" t="s">
        <v>144</v>
      </c>
      <c r="L151">
        <v>8380</v>
      </c>
      <c r="M151">
        <v>8410</v>
      </c>
      <c r="N151">
        <v>100</v>
      </c>
      <c r="O151" s="114" t="s">
        <v>87</v>
      </c>
      <c r="P151">
        <v>0.93836757820227001</v>
      </c>
      <c r="Q151">
        <v>0.91093262331512204</v>
      </c>
      <c r="R151">
        <v>0.13750672121626401</v>
      </c>
      <c r="S151">
        <v>2.80583107709007E-3</v>
      </c>
      <c r="T151">
        <v>-0.41708439108407902</v>
      </c>
      <c r="U151">
        <v>0.41708439108407902</v>
      </c>
      <c r="V151">
        <v>-1</v>
      </c>
      <c r="W151">
        <v>9.06</v>
      </c>
      <c r="X151">
        <v>-110401</v>
      </c>
      <c r="Y151">
        <v>-7886</v>
      </c>
      <c r="Z151">
        <v>-0.25</v>
      </c>
      <c r="AA151">
        <v>14</v>
      </c>
      <c r="AB151">
        <v>7</v>
      </c>
      <c r="AC151">
        <v>7</v>
      </c>
      <c r="AD151">
        <v>50</v>
      </c>
      <c r="AE151">
        <v>16</v>
      </c>
      <c r="AF151">
        <v>4</v>
      </c>
      <c r="AG151">
        <v>2</v>
      </c>
      <c r="AH151">
        <v>8</v>
      </c>
    </row>
    <row r="152" spans="1:34">
      <c r="A152" s="110">
        <v>70</v>
      </c>
      <c r="B152">
        <v>6702</v>
      </c>
      <c r="C152" s="114" t="s">
        <v>390</v>
      </c>
      <c r="D152" s="114" t="s">
        <v>114</v>
      </c>
      <c r="E152">
        <v>10145</v>
      </c>
      <c r="F152">
        <v>10290</v>
      </c>
      <c r="G152">
        <v>100</v>
      </c>
      <c r="H152" s="114" t="s">
        <v>87</v>
      </c>
      <c r="I152">
        <v>6845</v>
      </c>
      <c r="J152" s="114" t="s">
        <v>355</v>
      </c>
      <c r="K152" s="114" t="s">
        <v>114</v>
      </c>
      <c r="L152">
        <v>3145</v>
      </c>
      <c r="M152">
        <v>3145</v>
      </c>
      <c r="N152">
        <v>300</v>
      </c>
      <c r="O152" s="114" t="s">
        <v>85</v>
      </c>
      <c r="P152">
        <v>0.91128564263703804</v>
      </c>
      <c r="Q152">
        <v>0.92393290142759299</v>
      </c>
      <c r="R152">
        <v>1.6011255655994001E-2</v>
      </c>
      <c r="S152">
        <v>9.29907929485819E-3</v>
      </c>
      <c r="T152">
        <v>2.68600592590909</v>
      </c>
      <c r="U152">
        <v>2.68600592590909</v>
      </c>
      <c r="V152">
        <v>6.66</v>
      </c>
      <c r="W152">
        <v>8.31</v>
      </c>
      <c r="X152">
        <v>-115725</v>
      </c>
      <c r="Y152">
        <v>-9644</v>
      </c>
      <c r="Z152">
        <v>-0.71</v>
      </c>
      <c r="AA152">
        <v>12</v>
      </c>
      <c r="AB152">
        <v>5</v>
      </c>
      <c r="AC152">
        <v>7</v>
      </c>
      <c r="AD152">
        <v>41.67</v>
      </c>
      <c r="AE152">
        <v>13</v>
      </c>
      <c r="AF152">
        <v>4</v>
      </c>
      <c r="AG152">
        <v>3</v>
      </c>
      <c r="AH152">
        <v>5</v>
      </c>
    </row>
    <row r="153" spans="1:34">
      <c r="A153" s="110">
        <v>39</v>
      </c>
      <c r="B153">
        <v>4062</v>
      </c>
      <c r="C153" s="114" t="s">
        <v>378</v>
      </c>
      <c r="D153" s="114" t="s">
        <v>114</v>
      </c>
      <c r="E153">
        <v>2548</v>
      </c>
      <c r="F153">
        <v>2536</v>
      </c>
      <c r="G153">
        <v>400</v>
      </c>
      <c r="H153" s="114" t="s">
        <v>85</v>
      </c>
      <c r="I153">
        <v>6951</v>
      </c>
      <c r="J153" s="114" t="s">
        <v>374</v>
      </c>
      <c r="K153" s="114" t="s">
        <v>114</v>
      </c>
      <c r="L153">
        <v>3090</v>
      </c>
      <c r="M153">
        <v>3095</v>
      </c>
      <c r="N153">
        <v>300</v>
      </c>
      <c r="O153" s="114" t="s">
        <v>87</v>
      </c>
      <c r="P153">
        <v>0.94627187803280399</v>
      </c>
      <c r="Q153">
        <v>0.93461476247104203</v>
      </c>
      <c r="R153" s="20">
        <v>5.5960094525271002E-2</v>
      </c>
      <c r="S153">
        <v>7.89816189231312E-2</v>
      </c>
      <c r="T153">
        <v>-1.52112143193524</v>
      </c>
      <c r="U153">
        <v>1.52112143193524</v>
      </c>
      <c r="V153">
        <v>-4.5</v>
      </c>
      <c r="W153">
        <v>9.25</v>
      </c>
      <c r="X153">
        <v>-118052</v>
      </c>
      <c r="Y153">
        <v>-7870</v>
      </c>
      <c r="Z153">
        <v>-0.41</v>
      </c>
      <c r="AA153">
        <v>15</v>
      </c>
      <c r="AB153">
        <v>7</v>
      </c>
      <c r="AC153">
        <v>8</v>
      </c>
      <c r="AD153">
        <v>46.67</v>
      </c>
      <c r="AE153">
        <v>12</v>
      </c>
      <c r="AF153">
        <v>5</v>
      </c>
      <c r="AG153">
        <v>6</v>
      </c>
      <c r="AH153">
        <v>4</v>
      </c>
    </row>
    <row r="154" spans="1:34">
      <c r="A154" s="110">
        <v>103</v>
      </c>
      <c r="B154">
        <v>6457</v>
      </c>
      <c r="C154" s="114" t="s">
        <v>362</v>
      </c>
      <c r="D154" s="114" t="s">
        <v>127</v>
      </c>
      <c r="E154">
        <v>3290</v>
      </c>
      <c r="F154">
        <v>3340</v>
      </c>
      <c r="G154">
        <v>300</v>
      </c>
      <c r="H154" s="114" t="s">
        <v>85</v>
      </c>
      <c r="I154">
        <v>8425</v>
      </c>
      <c r="J154" s="114" t="s">
        <v>368</v>
      </c>
      <c r="K154" s="114" t="s">
        <v>343</v>
      </c>
      <c r="L154">
        <v>3220</v>
      </c>
      <c r="M154">
        <v>3270</v>
      </c>
      <c r="N154">
        <v>300</v>
      </c>
      <c r="O154" s="114" t="s">
        <v>87</v>
      </c>
      <c r="P154">
        <v>0.90855307413432196</v>
      </c>
      <c r="Q154">
        <v>0.91449239932737203</v>
      </c>
      <c r="R154">
        <v>7.1350274896221505E-2</v>
      </c>
      <c r="S154">
        <v>3.1928234852856001E-2</v>
      </c>
      <c r="T154">
        <v>-1.0336584611523201</v>
      </c>
      <c r="U154">
        <v>1.0336584611523201</v>
      </c>
      <c r="V154">
        <v>-2.61</v>
      </c>
      <c r="W154">
        <v>2.1</v>
      </c>
      <c r="X154">
        <v>-123764</v>
      </c>
      <c r="Y154">
        <v>-9520</v>
      </c>
      <c r="Z154">
        <v>-0.56999999999999995</v>
      </c>
      <c r="AA154">
        <v>13</v>
      </c>
      <c r="AB154">
        <v>5</v>
      </c>
      <c r="AC154">
        <v>8</v>
      </c>
      <c r="AD154">
        <v>38.46</v>
      </c>
      <c r="AE154">
        <v>15</v>
      </c>
      <c r="AF154">
        <v>1</v>
      </c>
      <c r="AG154">
        <v>4</v>
      </c>
      <c r="AH154">
        <v>8</v>
      </c>
    </row>
    <row r="155" spans="1:34">
      <c r="A155" s="110">
        <v>58</v>
      </c>
      <c r="B155">
        <v>7189</v>
      </c>
      <c r="C155" s="114" t="s">
        <v>108</v>
      </c>
      <c r="D155" s="114" t="s">
        <v>109</v>
      </c>
      <c r="E155">
        <v>835</v>
      </c>
      <c r="F155">
        <v>846</v>
      </c>
      <c r="G155">
        <v>1200</v>
      </c>
      <c r="H155" s="114" t="s">
        <v>87</v>
      </c>
      <c r="I155">
        <v>8377</v>
      </c>
      <c r="J155" s="114" t="s">
        <v>122</v>
      </c>
      <c r="K155" s="114" t="s">
        <v>109</v>
      </c>
      <c r="L155">
        <v>1107</v>
      </c>
      <c r="M155">
        <v>1126</v>
      </c>
      <c r="N155">
        <v>900</v>
      </c>
      <c r="O155" s="114" t="s">
        <v>85</v>
      </c>
      <c r="P155">
        <v>0.96453880067904796</v>
      </c>
      <c r="Q155">
        <v>0.92630094241704497</v>
      </c>
      <c r="R155">
        <v>9.4966872460586799E-2</v>
      </c>
      <c r="S155">
        <v>0.28311961484845399</v>
      </c>
      <c r="T155">
        <v>0.82412414860929395</v>
      </c>
      <c r="U155">
        <v>0.82412414860929395</v>
      </c>
      <c r="V155">
        <v>3.53</v>
      </c>
      <c r="W155">
        <v>0.18</v>
      </c>
      <c r="X155">
        <v>-129434</v>
      </c>
      <c r="Y155">
        <v>-6812</v>
      </c>
      <c r="Z155">
        <v>-0.3</v>
      </c>
      <c r="AA155">
        <v>19</v>
      </c>
      <c r="AB155">
        <v>9</v>
      </c>
      <c r="AC155">
        <v>10</v>
      </c>
      <c r="AD155">
        <v>47.37</v>
      </c>
      <c r="AE155">
        <v>15</v>
      </c>
      <c r="AF155">
        <v>3</v>
      </c>
      <c r="AG155">
        <v>4</v>
      </c>
      <c r="AH155">
        <v>12</v>
      </c>
    </row>
    <row r="156" spans="1:34">
      <c r="A156" s="110">
        <v>119</v>
      </c>
      <c r="B156">
        <v>3635</v>
      </c>
      <c r="C156" s="114" t="s">
        <v>112</v>
      </c>
      <c r="D156" s="114" t="s">
        <v>106</v>
      </c>
      <c r="E156">
        <v>2634</v>
      </c>
      <c r="F156">
        <v>2631</v>
      </c>
      <c r="G156">
        <v>300</v>
      </c>
      <c r="H156" s="114" t="s">
        <v>85</v>
      </c>
      <c r="I156">
        <v>6588</v>
      </c>
      <c r="J156" s="114" t="s">
        <v>1058</v>
      </c>
      <c r="K156" s="114" t="s">
        <v>114</v>
      </c>
      <c r="L156">
        <v>4435</v>
      </c>
      <c r="M156">
        <v>4465</v>
      </c>
      <c r="N156">
        <v>200</v>
      </c>
      <c r="O156" s="114" t="s">
        <v>87</v>
      </c>
      <c r="P156">
        <v>0.95854246714673097</v>
      </c>
      <c r="Q156">
        <v>0.911041946350715</v>
      </c>
      <c r="R156">
        <v>1.1694225777465799E-2</v>
      </c>
      <c r="S156">
        <v>0.17701911281386601</v>
      </c>
      <c r="T156">
        <v>-1.56146060395004</v>
      </c>
      <c r="U156">
        <v>1.56146060395004</v>
      </c>
      <c r="V156">
        <v>-12.28</v>
      </c>
      <c r="W156">
        <v>11.61</v>
      </c>
      <c r="X156">
        <v>-149155</v>
      </c>
      <c r="Y156">
        <v>-16573</v>
      </c>
      <c r="Z156">
        <v>-0.94</v>
      </c>
      <c r="AA156">
        <v>9</v>
      </c>
      <c r="AB156">
        <v>4</v>
      </c>
      <c r="AC156">
        <v>5</v>
      </c>
      <c r="AD156">
        <v>44.44</v>
      </c>
      <c r="AE156">
        <v>12</v>
      </c>
      <c r="AF156">
        <v>1</v>
      </c>
      <c r="AG156">
        <v>3</v>
      </c>
      <c r="AH156">
        <v>5</v>
      </c>
    </row>
    <row r="157" spans="1:34">
      <c r="A157" s="110">
        <v>49</v>
      </c>
      <c r="B157">
        <v>4182</v>
      </c>
      <c r="C157" s="114" t="s">
        <v>115</v>
      </c>
      <c r="D157" s="114" t="s">
        <v>86</v>
      </c>
      <c r="E157">
        <v>1666</v>
      </c>
      <c r="F157">
        <v>1667</v>
      </c>
      <c r="G157">
        <v>600</v>
      </c>
      <c r="H157" s="114" t="s">
        <v>87</v>
      </c>
      <c r="I157">
        <v>9072</v>
      </c>
      <c r="J157" s="114" t="s">
        <v>156</v>
      </c>
      <c r="K157" s="114" t="s">
        <v>147</v>
      </c>
      <c r="L157">
        <v>2670</v>
      </c>
      <c r="M157">
        <v>2706</v>
      </c>
      <c r="N157">
        <v>400</v>
      </c>
      <c r="O157" s="114" t="s">
        <v>85</v>
      </c>
      <c r="P157">
        <v>0.95190812000152003</v>
      </c>
      <c r="Q157">
        <v>0.93037660255168497</v>
      </c>
      <c r="R157" s="20">
        <v>5.3820779712968898E-2</v>
      </c>
      <c r="S157">
        <v>1.3676026952245E-4</v>
      </c>
      <c r="T157">
        <v>1.1826122162431201</v>
      </c>
      <c r="U157">
        <v>1.1826122162431201</v>
      </c>
      <c r="V157">
        <v>6.39</v>
      </c>
      <c r="W157">
        <v>7.59</v>
      </c>
      <c r="X157">
        <v>-153106</v>
      </c>
      <c r="Y157">
        <v>-9006</v>
      </c>
      <c r="Z157">
        <v>-0.41</v>
      </c>
      <c r="AA157">
        <v>17</v>
      </c>
      <c r="AB157">
        <v>6</v>
      </c>
      <c r="AC157">
        <v>11</v>
      </c>
      <c r="AD157">
        <v>35.29</v>
      </c>
      <c r="AE157">
        <v>13</v>
      </c>
      <c r="AF157">
        <v>6</v>
      </c>
      <c r="AG157">
        <v>5</v>
      </c>
      <c r="AH157">
        <v>6</v>
      </c>
    </row>
    <row r="158" spans="1:34">
      <c r="A158" s="110">
        <v>28</v>
      </c>
      <c r="B158">
        <v>7267</v>
      </c>
      <c r="C158" s="114" t="s">
        <v>146</v>
      </c>
      <c r="D158" s="114" t="s">
        <v>111</v>
      </c>
      <c r="E158">
        <v>3085</v>
      </c>
      <c r="F158">
        <v>3091</v>
      </c>
      <c r="G158">
        <v>300</v>
      </c>
      <c r="H158" s="114" t="s">
        <v>85</v>
      </c>
      <c r="I158">
        <v>8002</v>
      </c>
      <c r="J158" s="114" t="s">
        <v>55</v>
      </c>
      <c r="K158" s="114" t="s">
        <v>129</v>
      </c>
      <c r="L158">
        <v>809</v>
      </c>
      <c r="M158">
        <v>813.2</v>
      </c>
      <c r="N158">
        <v>1100</v>
      </c>
      <c r="O158" s="114" t="s">
        <v>87</v>
      </c>
      <c r="P158">
        <v>0.95854018010868203</v>
      </c>
      <c r="Q158">
        <v>0.94077491924177803</v>
      </c>
      <c r="R158">
        <v>1.33134603189578E-2</v>
      </c>
      <c r="S158">
        <v>1.05501340353454E-3</v>
      </c>
      <c r="T158">
        <v>-0.58044961913480497</v>
      </c>
      <c r="U158">
        <v>0.58044961913480497</v>
      </c>
      <c r="V158">
        <v>-1.31</v>
      </c>
      <c r="W158">
        <v>3.53</v>
      </c>
      <c r="X158">
        <v>-183458</v>
      </c>
      <c r="Y158">
        <v>-12231</v>
      </c>
      <c r="Z158">
        <v>-0.72</v>
      </c>
      <c r="AA158">
        <v>15</v>
      </c>
      <c r="AB158">
        <v>6</v>
      </c>
      <c r="AC158">
        <v>9</v>
      </c>
      <c r="AD158">
        <v>40</v>
      </c>
      <c r="AE158">
        <v>16</v>
      </c>
      <c r="AF158">
        <v>0</v>
      </c>
      <c r="AG158">
        <v>3</v>
      </c>
      <c r="AH158">
        <v>12</v>
      </c>
    </row>
    <row r="159" spans="1:34">
      <c r="A159" s="110">
        <v>71</v>
      </c>
      <c r="B159">
        <v>3038</v>
      </c>
      <c r="C159" s="114" t="s">
        <v>398</v>
      </c>
      <c r="D159" s="114" t="s">
        <v>129</v>
      </c>
      <c r="E159">
        <v>3330</v>
      </c>
      <c r="F159">
        <v>3335</v>
      </c>
      <c r="G159">
        <v>200</v>
      </c>
      <c r="H159" s="114" t="s">
        <v>87</v>
      </c>
      <c r="I159">
        <v>6098</v>
      </c>
      <c r="J159" s="114" t="s">
        <v>399</v>
      </c>
      <c r="K159" s="114" t="s">
        <v>148</v>
      </c>
      <c r="L159">
        <v>3966</v>
      </c>
      <c r="M159">
        <v>3969</v>
      </c>
      <c r="N159">
        <v>200</v>
      </c>
      <c r="O159" s="114" t="s">
        <v>85</v>
      </c>
      <c r="P159">
        <v>0.92805297622372995</v>
      </c>
      <c r="Q159">
        <v>0.92375754245681996</v>
      </c>
      <c r="R159">
        <v>0.25087069620053398</v>
      </c>
      <c r="S159">
        <v>9.5483939120637407E-2</v>
      </c>
      <c r="T159">
        <v>0.37770988075012502</v>
      </c>
      <c r="U159">
        <v>0.37770988075012502</v>
      </c>
      <c r="V159">
        <v>1.72</v>
      </c>
      <c r="W159">
        <v>15.97</v>
      </c>
      <c r="X159">
        <v>-187710</v>
      </c>
      <c r="Y159">
        <v>-8161</v>
      </c>
      <c r="Z159">
        <v>-0.37</v>
      </c>
      <c r="AA159">
        <v>23</v>
      </c>
      <c r="AB159">
        <v>11</v>
      </c>
      <c r="AC159">
        <v>12</v>
      </c>
      <c r="AD159">
        <v>47.83</v>
      </c>
      <c r="AE159">
        <v>10</v>
      </c>
      <c r="AF159">
        <v>10</v>
      </c>
      <c r="AG159">
        <v>12</v>
      </c>
      <c r="AH159">
        <v>1</v>
      </c>
    </row>
    <row r="160" spans="1:34">
      <c r="A160" s="110">
        <v>142</v>
      </c>
      <c r="B160">
        <v>4183</v>
      </c>
      <c r="C160" s="114" t="s">
        <v>348</v>
      </c>
      <c r="D160" s="114" t="s">
        <v>86</v>
      </c>
      <c r="E160">
        <v>2609</v>
      </c>
      <c r="F160">
        <v>2602</v>
      </c>
      <c r="G160">
        <v>400</v>
      </c>
      <c r="H160" s="114" t="s">
        <v>85</v>
      </c>
      <c r="I160">
        <v>6473</v>
      </c>
      <c r="J160" s="114" t="s">
        <v>163</v>
      </c>
      <c r="K160" s="114" t="s">
        <v>127</v>
      </c>
      <c r="L160">
        <v>1347</v>
      </c>
      <c r="M160">
        <v>1341</v>
      </c>
      <c r="N160">
        <v>800</v>
      </c>
      <c r="O160" s="114" t="s">
        <v>87</v>
      </c>
      <c r="P160">
        <v>0.96143510054835102</v>
      </c>
      <c r="Q160">
        <v>0.90628840161272906</v>
      </c>
      <c r="R160">
        <v>3.4101399289063E-2</v>
      </c>
      <c r="S160">
        <v>8.9771336990066494E-2</v>
      </c>
      <c r="T160">
        <v>-0.171429498717314</v>
      </c>
      <c r="U160">
        <v>0.171429498717314</v>
      </c>
      <c r="V160">
        <v>-0.37</v>
      </c>
      <c r="W160">
        <v>3.07</v>
      </c>
      <c r="X160">
        <v>-198152</v>
      </c>
      <c r="Y160">
        <v>-11656</v>
      </c>
      <c r="Z160">
        <v>-0.65</v>
      </c>
      <c r="AA160">
        <v>17</v>
      </c>
      <c r="AB160">
        <v>5</v>
      </c>
      <c r="AC160">
        <v>12</v>
      </c>
      <c r="AD160">
        <v>29.41</v>
      </c>
      <c r="AE160">
        <v>15</v>
      </c>
      <c r="AF160">
        <v>4</v>
      </c>
      <c r="AG160">
        <v>5</v>
      </c>
      <c r="AH160">
        <v>8</v>
      </c>
    </row>
    <row r="161" spans="1:34">
      <c r="A161" s="110">
        <v>164</v>
      </c>
      <c r="B161">
        <v>4634</v>
      </c>
      <c r="C161" s="114" t="s">
        <v>170</v>
      </c>
      <c r="D161" s="114" t="s">
        <v>86</v>
      </c>
      <c r="E161">
        <v>2643</v>
      </c>
      <c r="F161">
        <v>2656</v>
      </c>
      <c r="G161">
        <v>400</v>
      </c>
      <c r="H161" s="114" t="s">
        <v>85</v>
      </c>
      <c r="I161">
        <v>5803</v>
      </c>
      <c r="J161" s="114" t="s">
        <v>52</v>
      </c>
      <c r="K161" s="114" t="s">
        <v>162</v>
      </c>
      <c r="L161">
        <v>451</v>
      </c>
      <c r="M161">
        <v>459</v>
      </c>
      <c r="N161">
        <v>2300</v>
      </c>
      <c r="O161" s="114" t="s">
        <v>87</v>
      </c>
      <c r="P161">
        <v>0.94670088874869396</v>
      </c>
      <c r="Q161">
        <v>0.90036475736490096</v>
      </c>
      <c r="R161">
        <v>0.111927837881533</v>
      </c>
      <c r="S161">
        <v>1.64452715412042E-2</v>
      </c>
      <c r="T161">
        <v>-0.51421114253398204</v>
      </c>
      <c r="U161">
        <v>0.51421114253398204</v>
      </c>
      <c r="V161">
        <v>-3</v>
      </c>
      <c r="W161">
        <v>0.63</v>
      </c>
      <c r="X161">
        <v>-201900</v>
      </c>
      <c r="Y161">
        <v>-11876</v>
      </c>
      <c r="Z161">
        <v>-0.71</v>
      </c>
      <c r="AA161">
        <v>17</v>
      </c>
      <c r="AB161">
        <v>8</v>
      </c>
      <c r="AC161">
        <v>9</v>
      </c>
      <c r="AD161">
        <v>47.06</v>
      </c>
      <c r="AE161">
        <v>12</v>
      </c>
      <c r="AF161">
        <v>4</v>
      </c>
      <c r="AG161">
        <v>6</v>
      </c>
      <c r="AH161">
        <v>7</v>
      </c>
    </row>
    <row r="162" spans="1:34">
      <c r="A162" s="110">
        <v>3</v>
      </c>
      <c r="B162">
        <v>6951</v>
      </c>
      <c r="C162" s="114" t="s">
        <v>374</v>
      </c>
      <c r="D162" s="114" t="s">
        <v>114</v>
      </c>
      <c r="E162">
        <v>3090</v>
      </c>
      <c r="F162">
        <v>3095</v>
      </c>
      <c r="G162">
        <v>200</v>
      </c>
      <c r="H162" s="114" t="s">
        <v>87</v>
      </c>
      <c r="I162">
        <v>8036</v>
      </c>
      <c r="J162" s="114" t="s">
        <v>370</v>
      </c>
      <c r="K162" s="114" t="s">
        <v>129</v>
      </c>
      <c r="L162">
        <v>7220</v>
      </c>
      <c r="M162">
        <v>7320</v>
      </c>
      <c r="N162">
        <v>100</v>
      </c>
      <c r="O162" s="114" t="s">
        <v>85</v>
      </c>
      <c r="P162">
        <v>0.92981659024563201</v>
      </c>
      <c r="Q162">
        <v>0.95989681683700601</v>
      </c>
      <c r="R162">
        <v>0.13692925642533799</v>
      </c>
      <c r="S162">
        <v>0.118028708277874</v>
      </c>
      <c r="T162">
        <v>0.126933603335984</v>
      </c>
      <c r="U162">
        <v>0.126933603335984</v>
      </c>
      <c r="V162">
        <v>0.46</v>
      </c>
      <c r="W162">
        <v>15.44</v>
      </c>
      <c r="X162">
        <v>-225555</v>
      </c>
      <c r="Y162">
        <v>-11278</v>
      </c>
      <c r="Z162">
        <v>-0.48</v>
      </c>
      <c r="AA162">
        <v>20</v>
      </c>
      <c r="AB162">
        <v>9</v>
      </c>
      <c r="AC162">
        <v>11</v>
      </c>
      <c r="AD162">
        <v>45</v>
      </c>
      <c r="AE162">
        <v>10</v>
      </c>
      <c r="AF162">
        <v>8</v>
      </c>
      <c r="AG162">
        <v>8</v>
      </c>
      <c r="AH162">
        <v>4</v>
      </c>
    </row>
    <row r="163" spans="1:34">
      <c r="A163" s="110">
        <v>162</v>
      </c>
      <c r="B163">
        <v>6471</v>
      </c>
      <c r="C163" s="114" t="s">
        <v>168</v>
      </c>
      <c r="D163" s="114" t="s">
        <v>127</v>
      </c>
      <c r="E163">
        <v>1045</v>
      </c>
      <c r="F163">
        <v>1047</v>
      </c>
      <c r="G163">
        <v>600</v>
      </c>
      <c r="H163" s="114" t="s">
        <v>85</v>
      </c>
      <c r="I163">
        <v>6988</v>
      </c>
      <c r="J163" s="114" t="s">
        <v>169</v>
      </c>
      <c r="K163" s="114" t="s">
        <v>86</v>
      </c>
      <c r="L163">
        <v>6060</v>
      </c>
      <c r="M163">
        <v>6060</v>
      </c>
      <c r="N163">
        <v>100</v>
      </c>
      <c r="O163" s="114" t="s">
        <v>87</v>
      </c>
      <c r="P163">
        <v>0.96818806408432601</v>
      </c>
      <c r="Q163">
        <v>0.90166794311641396</v>
      </c>
      <c r="R163">
        <v>6.96861151421228E-4</v>
      </c>
      <c r="S163" s="20">
        <v>0.12311640533917</v>
      </c>
      <c r="T163">
        <v>-0.35257618114457301</v>
      </c>
      <c r="U163">
        <v>0.35257618114457301</v>
      </c>
      <c r="V163">
        <v>-0.75</v>
      </c>
      <c r="W163">
        <v>3.66</v>
      </c>
      <c r="X163">
        <v>-260430</v>
      </c>
      <c r="Y163">
        <v>-14468</v>
      </c>
      <c r="Z163">
        <v>-0.98</v>
      </c>
      <c r="AA163">
        <v>18</v>
      </c>
      <c r="AB163">
        <v>5</v>
      </c>
      <c r="AC163">
        <v>13</v>
      </c>
      <c r="AD163">
        <v>27.78</v>
      </c>
      <c r="AE163">
        <v>14</v>
      </c>
      <c r="AF163">
        <v>3</v>
      </c>
      <c r="AG163">
        <v>4</v>
      </c>
      <c r="AH163">
        <v>11</v>
      </c>
    </row>
    <row r="164" spans="1:34">
      <c r="A164" s="110">
        <v>98</v>
      </c>
      <c r="B164">
        <v>1928</v>
      </c>
      <c r="C164" s="114" t="s">
        <v>350</v>
      </c>
      <c r="D164" s="114" t="s">
        <v>104</v>
      </c>
      <c r="E164">
        <v>2335.5</v>
      </c>
      <c r="F164">
        <v>2397</v>
      </c>
      <c r="G164">
        <v>400</v>
      </c>
      <c r="H164" s="114" t="s">
        <v>85</v>
      </c>
      <c r="I164">
        <v>6951</v>
      </c>
      <c r="J164" s="114" t="s">
        <v>374</v>
      </c>
      <c r="K164" s="114" t="s">
        <v>114</v>
      </c>
      <c r="L164">
        <v>3090</v>
      </c>
      <c r="M164">
        <v>3095</v>
      </c>
      <c r="N164">
        <v>300</v>
      </c>
      <c r="O164" s="114" t="s">
        <v>87</v>
      </c>
      <c r="P164">
        <v>0.93160633270694504</v>
      </c>
      <c r="Q164">
        <v>0.91563707930524496</v>
      </c>
      <c r="R164">
        <v>0.316399849846981</v>
      </c>
      <c r="S164">
        <v>0.37441571168169602</v>
      </c>
      <c r="T164">
        <v>-1.3748398327728599</v>
      </c>
      <c r="U164">
        <v>1.3748398327728599</v>
      </c>
      <c r="V164">
        <v>-4.28</v>
      </c>
      <c r="W164">
        <v>3.26</v>
      </c>
      <c r="X164">
        <v>-286170</v>
      </c>
      <c r="Y164">
        <v>-14308</v>
      </c>
      <c r="Z164">
        <v>-0.82</v>
      </c>
      <c r="AA164">
        <v>20</v>
      </c>
      <c r="AB164">
        <v>8</v>
      </c>
      <c r="AC164">
        <v>12</v>
      </c>
      <c r="AD164">
        <v>40</v>
      </c>
      <c r="AE164">
        <v>12</v>
      </c>
      <c r="AF164">
        <v>6</v>
      </c>
      <c r="AG164">
        <v>7</v>
      </c>
      <c r="AH164">
        <v>7</v>
      </c>
    </row>
    <row r="165" spans="1:34">
      <c r="A165" s="110">
        <v>114</v>
      </c>
      <c r="B165">
        <v>5110</v>
      </c>
      <c r="C165" s="114" t="s">
        <v>158</v>
      </c>
      <c r="D165" s="114" t="s">
        <v>159</v>
      </c>
      <c r="E165">
        <v>1386</v>
      </c>
      <c r="F165">
        <v>1392</v>
      </c>
      <c r="G165">
        <v>700</v>
      </c>
      <c r="H165" s="114" t="s">
        <v>85</v>
      </c>
      <c r="I165">
        <v>5803</v>
      </c>
      <c r="J165" s="114" t="s">
        <v>52</v>
      </c>
      <c r="K165" s="114" t="s">
        <v>162</v>
      </c>
      <c r="L165">
        <v>451</v>
      </c>
      <c r="M165">
        <v>459</v>
      </c>
      <c r="N165">
        <v>2100</v>
      </c>
      <c r="O165" s="114" t="s">
        <v>87</v>
      </c>
      <c r="P165">
        <v>0.94594225370050899</v>
      </c>
      <c r="Q165">
        <v>0.91199139134720597</v>
      </c>
      <c r="R165">
        <v>4.6071559419671698E-2</v>
      </c>
      <c r="S165">
        <v>5.3713502569898403E-2</v>
      </c>
      <c r="T165">
        <v>-0.53569428753521298</v>
      </c>
      <c r="U165">
        <v>0.53569428753521298</v>
      </c>
      <c r="V165">
        <v>-4</v>
      </c>
      <c r="W165">
        <v>1.08</v>
      </c>
      <c r="X165">
        <v>-308037</v>
      </c>
      <c r="Y165">
        <v>-17113</v>
      </c>
      <c r="Z165">
        <v>-0.84</v>
      </c>
      <c r="AA165">
        <v>18</v>
      </c>
      <c r="AB165">
        <v>6</v>
      </c>
      <c r="AC165">
        <v>12</v>
      </c>
      <c r="AD165">
        <v>33.33</v>
      </c>
      <c r="AE165">
        <v>12</v>
      </c>
      <c r="AF165">
        <v>5</v>
      </c>
      <c r="AG165">
        <v>6</v>
      </c>
      <c r="AH165">
        <v>7</v>
      </c>
    </row>
    <row r="166" spans="1:34">
      <c r="A166" s="110">
        <v>17</v>
      </c>
      <c r="B166">
        <v>4062</v>
      </c>
      <c r="C166" s="114" t="s">
        <v>378</v>
      </c>
      <c r="D166" s="114" t="s">
        <v>114</v>
      </c>
      <c r="E166">
        <v>2548</v>
      </c>
      <c r="F166">
        <v>2536</v>
      </c>
      <c r="G166">
        <v>400</v>
      </c>
      <c r="H166" s="114" t="s">
        <v>87</v>
      </c>
      <c r="I166">
        <v>4996</v>
      </c>
      <c r="J166" s="114" t="s">
        <v>382</v>
      </c>
      <c r="K166" s="114" t="s">
        <v>86</v>
      </c>
      <c r="L166">
        <v>1005</v>
      </c>
      <c r="M166">
        <v>1011</v>
      </c>
      <c r="N166">
        <v>1000</v>
      </c>
      <c r="O166" s="114" t="s">
        <v>85</v>
      </c>
      <c r="P166">
        <v>0.91279909198081</v>
      </c>
      <c r="Q166">
        <v>0.94626965417335895</v>
      </c>
      <c r="R166">
        <v>1.6155903598770601E-3</v>
      </c>
      <c r="S166">
        <v>1.93858921127987E-3</v>
      </c>
      <c r="T166">
        <v>1.5667383978729801</v>
      </c>
      <c r="U166">
        <v>1.5667383978729801</v>
      </c>
      <c r="V166">
        <v>5.71</v>
      </c>
      <c r="W166">
        <v>0.34</v>
      </c>
      <c r="X166">
        <v>-325553</v>
      </c>
      <c r="Y166">
        <v>-16278</v>
      </c>
      <c r="Z166">
        <v>-0.75</v>
      </c>
      <c r="AA166">
        <v>20</v>
      </c>
      <c r="AB166">
        <v>9</v>
      </c>
      <c r="AC166">
        <v>11</v>
      </c>
      <c r="AD166">
        <v>45</v>
      </c>
      <c r="AE166">
        <v>11</v>
      </c>
      <c r="AF166">
        <v>6</v>
      </c>
      <c r="AG166">
        <v>9</v>
      </c>
      <c r="AH166">
        <v>5</v>
      </c>
    </row>
    <row r="167" spans="1:34">
      <c r="A167" s="110">
        <v>158</v>
      </c>
      <c r="B167">
        <v>9003</v>
      </c>
      <c r="C167" s="114" t="s">
        <v>375</v>
      </c>
      <c r="D167" s="114" t="s">
        <v>147</v>
      </c>
      <c r="E167">
        <v>3000</v>
      </c>
      <c r="F167">
        <v>3030</v>
      </c>
      <c r="G167">
        <v>300</v>
      </c>
      <c r="H167" s="114" t="s">
        <v>85</v>
      </c>
      <c r="I167">
        <v>9956</v>
      </c>
      <c r="J167" s="114" t="s">
        <v>367</v>
      </c>
      <c r="K167" s="114" t="s">
        <v>123</v>
      </c>
      <c r="L167">
        <v>2025</v>
      </c>
      <c r="M167">
        <v>2038</v>
      </c>
      <c r="N167">
        <v>400</v>
      </c>
      <c r="O167" s="114" t="s">
        <v>87</v>
      </c>
      <c r="P167">
        <v>0.93291020555131998</v>
      </c>
      <c r="Q167">
        <v>0.90238875028210397</v>
      </c>
      <c r="R167">
        <v>1.7354770141897201E-2</v>
      </c>
      <c r="S167">
        <v>7.0142811392147397E-2</v>
      </c>
      <c r="T167">
        <v>-1.71036486786652</v>
      </c>
      <c r="U167">
        <v>1.71036486786652</v>
      </c>
      <c r="V167">
        <v>-4.12</v>
      </c>
      <c r="W167">
        <v>10.32</v>
      </c>
      <c r="X167">
        <v>-374023</v>
      </c>
      <c r="Y167">
        <v>-20779</v>
      </c>
      <c r="Z167">
        <v>-1.01</v>
      </c>
      <c r="AA167">
        <v>18</v>
      </c>
      <c r="AB167">
        <v>5</v>
      </c>
      <c r="AC167">
        <v>13</v>
      </c>
      <c r="AD167">
        <v>27.78</v>
      </c>
      <c r="AE167">
        <v>12</v>
      </c>
      <c r="AF167">
        <v>3</v>
      </c>
      <c r="AG167">
        <v>6</v>
      </c>
      <c r="AH167">
        <v>9</v>
      </c>
    </row>
    <row r="168" spans="1:34">
      <c r="C168" s="114"/>
      <c r="D168" s="114"/>
      <c r="H168" s="114"/>
      <c r="J168" s="114"/>
      <c r="K168" s="114"/>
      <c r="O168" s="114"/>
    </row>
    <row r="169" spans="1:34">
      <c r="C169" s="114"/>
      <c r="D169" s="114"/>
      <c r="H169" s="114"/>
      <c r="J169" s="114"/>
      <c r="K169" s="114"/>
      <c r="O169" s="114"/>
    </row>
    <row r="170" spans="1:34">
      <c r="C170" s="114"/>
      <c r="D170" s="114"/>
      <c r="H170" s="114"/>
      <c r="J170" s="114"/>
      <c r="K170" s="114"/>
      <c r="O170" s="114"/>
      <c r="R170" s="20"/>
    </row>
    <row r="171" spans="1:34">
      <c r="C171" s="114"/>
      <c r="D171" s="114"/>
      <c r="H171" s="114"/>
      <c r="J171" s="114"/>
      <c r="K171" s="114"/>
      <c r="O171" s="114"/>
    </row>
    <row r="172" spans="1:34">
      <c r="C172" s="114"/>
      <c r="D172" s="114"/>
      <c r="H172" s="114"/>
      <c r="J172" s="114"/>
      <c r="K172" s="114"/>
      <c r="O172" s="114"/>
    </row>
    <row r="173" spans="1:34">
      <c r="C173" s="114"/>
      <c r="D173" s="114"/>
      <c r="H173" s="114"/>
      <c r="J173" s="114"/>
      <c r="K173" s="114"/>
      <c r="O173" s="114"/>
    </row>
    <row r="174" spans="1:34">
      <c r="C174" s="114"/>
      <c r="D174" s="114"/>
      <c r="H174" s="114"/>
      <c r="J174" s="114"/>
      <c r="K174" s="114"/>
      <c r="O174" s="114"/>
      <c r="S174" s="20"/>
    </row>
    <row r="175" spans="1:34">
      <c r="C175" s="114"/>
      <c r="D175" s="114"/>
      <c r="H175" s="114"/>
      <c r="J175" s="114"/>
      <c r="K175" s="114"/>
      <c r="O175" s="114"/>
    </row>
    <row r="176" spans="1:34">
      <c r="C176" s="114"/>
      <c r="D176" s="114"/>
      <c r="H176" s="114"/>
      <c r="J176" s="114"/>
      <c r="K176" s="114"/>
      <c r="O176" s="114"/>
    </row>
    <row r="177" spans="3:19">
      <c r="C177" s="114"/>
      <c r="D177" s="114"/>
      <c r="H177" s="114"/>
      <c r="J177" s="114"/>
      <c r="K177" s="114"/>
      <c r="O177" s="114"/>
    </row>
    <row r="178" spans="3:19">
      <c r="C178" s="114"/>
      <c r="D178" s="114"/>
      <c r="H178" s="114"/>
      <c r="J178" s="114"/>
      <c r="K178" s="114"/>
      <c r="O178" s="114"/>
    </row>
    <row r="179" spans="3:19">
      <c r="C179" s="114"/>
      <c r="D179" s="114"/>
      <c r="H179" s="114"/>
      <c r="J179" s="114"/>
      <c r="K179" s="114"/>
      <c r="O179" s="114"/>
    </row>
    <row r="180" spans="3:19">
      <c r="C180" s="114"/>
      <c r="D180" s="114"/>
      <c r="H180" s="114"/>
      <c r="J180" s="114"/>
      <c r="K180" s="114"/>
      <c r="O180" s="114"/>
    </row>
    <row r="181" spans="3:19">
      <c r="C181" s="114"/>
      <c r="D181" s="114"/>
      <c r="H181" s="114"/>
      <c r="J181" s="114"/>
      <c r="K181" s="114"/>
      <c r="O181" s="114"/>
      <c r="S181" s="20"/>
    </row>
    <row r="182" spans="3:19">
      <c r="C182" s="114"/>
      <c r="D182" s="114"/>
      <c r="H182" s="114"/>
      <c r="J182" s="114"/>
      <c r="K182" s="114"/>
      <c r="O182" s="114"/>
      <c r="R182" s="20"/>
    </row>
    <row r="183" spans="3:19">
      <c r="C183" s="114"/>
      <c r="D183" s="114"/>
      <c r="H183" s="114"/>
      <c r="J183" s="114"/>
      <c r="K183" s="114"/>
      <c r="O183" s="114"/>
    </row>
    <row r="184" spans="3:19">
      <c r="C184" s="114"/>
      <c r="D184" s="114"/>
      <c r="H184" s="114"/>
      <c r="J184" s="114"/>
      <c r="K184" s="114"/>
      <c r="O184" s="114"/>
      <c r="R184" s="20"/>
    </row>
    <row r="185" spans="3:19">
      <c r="C185" s="114"/>
      <c r="D185" s="114"/>
      <c r="H185" s="114"/>
      <c r="J185" s="114"/>
      <c r="K185" s="114"/>
      <c r="O185" s="114"/>
    </row>
    <row r="186" spans="3:19">
      <c r="C186" s="114"/>
      <c r="D186" s="114"/>
      <c r="H186" s="114"/>
      <c r="J186" s="114"/>
      <c r="K186" s="114"/>
      <c r="O186" s="114"/>
    </row>
    <row r="187" spans="3:19">
      <c r="C187" s="114"/>
      <c r="D187" s="114"/>
      <c r="H187" s="114"/>
      <c r="J187" s="114"/>
      <c r="K187" s="114"/>
      <c r="O187" s="114"/>
    </row>
    <row r="188" spans="3:19">
      <c r="C188" s="114"/>
      <c r="D188" s="114"/>
      <c r="H188" s="114"/>
      <c r="J188" s="114"/>
      <c r="K188" s="114"/>
      <c r="O188" s="114"/>
    </row>
    <row r="189" spans="3:19">
      <c r="C189" s="114"/>
      <c r="D189" s="114"/>
      <c r="H189" s="114"/>
      <c r="J189" s="114"/>
      <c r="K189" s="114"/>
      <c r="O189" s="114"/>
    </row>
    <row r="190" spans="3:19">
      <c r="C190" s="114"/>
      <c r="D190" s="114"/>
      <c r="H190" s="114"/>
      <c r="J190" s="114"/>
      <c r="K190" s="114"/>
      <c r="O190" s="114"/>
      <c r="S190" s="20"/>
    </row>
    <row r="191" spans="3:19">
      <c r="C191" s="114"/>
      <c r="D191" s="114"/>
      <c r="H191" s="114"/>
      <c r="J191" s="114"/>
      <c r="K191" s="114"/>
      <c r="O191" s="114"/>
      <c r="S191" s="20"/>
    </row>
    <row r="192" spans="3:19">
      <c r="C192" s="114"/>
      <c r="D192" s="114"/>
      <c r="H192" s="114"/>
      <c r="J192" s="114"/>
      <c r="K192" s="114"/>
      <c r="O192" s="114"/>
    </row>
    <row r="193" spans="3:19">
      <c r="C193" s="114"/>
      <c r="D193" s="114"/>
      <c r="H193" s="114"/>
      <c r="J193" s="114"/>
      <c r="K193" s="114"/>
      <c r="O193" s="114"/>
    </row>
    <row r="194" spans="3:19">
      <c r="C194" s="114"/>
      <c r="D194" s="114"/>
      <c r="H194" s="114"/>
      <c r="J194" s="114"/>
      <c r="K194" s="114"/>
      <c r="O194" s="114"/>
    </row>
    <row r="195" spans="3:19">
      <c r="C195" s="114"/>
      <c r="D195" s="114"/>
      <c r="H195" s="114"/>
      <c r="J195" s="114"/>
      <c r="K195" s="114"/>
      <c r="O195" s="114"/>
    </row>
    <row r="196" spans="3:19">
      <c r="C196" s="114"/>
      <c r="D196" s="114"/>
      <c r="H196" s="114"/>
      <c r="J196" s="114"/>
      <c r="K196" s="114"/>
      <c r="O196" s="114"/>
    </row>
    <row r="197" spans="3:19">
      <c r="C197" s="114"/>
      <c r="D197" s="114"/>
      <c r="H197" s="114"/>
      <c r="J197" s="114"/>
      <c r="K197" s="114"/>
      <c r="O197" s="114"/>
      <c r="R197" s="20"/>
      <c r="S197" s="20"/>
    </row>
    <row r="198" spans="3:19">
      <c r="C198" s="114"/>
      <c r="D198" s="114"/>
      <c r="H198" s="114"/>
      <c r="J198" s="114"/>
      <c r="K198" s="114"/>
      <c r="O198" s="114"/>
    </row>
    <row r="199" spans="3:19">
      <c r="C199" s="114"/>
      <c r="D199" s="114"/>
      <c r="H199" s="114"/>
      <c r="J199" s="114"/>
      <c r="K199" s="114"/>
      <c r="O199" s="114"/>
    </row>
    <row r="200" spans="3:19">
      <c r="C200" s="114"/>
      <c r="D200" s="114"/>
      <c r="H200" s="114"/>
      <c r="J200" s="114"/>
      <c r="K200" s="114"/>
      <c r="O200" s="114"/>
    </row>
    <row r="201" spans="3:19">
      <c r="C201" s="114"/>
      <c r="D201" s="114"/>
      <c r="H201" s="114"/>
      <c r="J201" s="114"/>
      <c r="K201" s="114"/>
      <c r="O201" s="114"/>
    </row>
    <row r="202" spans="3:19">
      <c r="C202" s="114"/>
      <c r="D202" s="114"/>
      <c r="H202" s="114"/>
      <c r="J202" s="114"/>
      <c r="K202" s="114"/>
      <c r="O202" s="114"/>
    </row>
    <row r="203" spans="3:19">
      <c r="C203" s="114"/>
      <c r="D203" s="114"/>
      <c r="H203" s="114"/>
      <c r="J203" s="114"/>
      <c r="K203" s="114"/>
      <c r="O203" s="114"/>
    </row>
    <row r="204" spans="3:19">
      <c r="C204" s="114"/>
      <c r="D204" s="114"/>
      <c r="H204" s="114"/>
      <c r="J204" s="114"/>
      <c r="K204" s="114"/>
      <c r="O204" s="114"/>
    </row>
    <row r="205" spans="3:19">
      <c r="C205" s="114"/>
      <c r="D205" s="114"/>
      <c r="H205" s="114"/>
      <c r="J205" s="114"/>
      <c r="K205" s="114"/>
      <c r="O205" s="114"/>
    </row>
    <row r="206" spans="3:19">
      <c r="C206" s="114"/>
      <c r="D206" s="114"/>
      <c r="H206" s="114"/>
      <c r="J206" s="114"/>
      <c r="K206" s="114"/>
      <c r="O206" s="114"/>
      <c r="R206" s="20"/>
    </row>
    <row r="207" spans="3:19">
      <c r="C207" s="114"/>
      <c r="D207" s="114"/>
      <c r="H207" s="114"/>
      <c r="J207" s="114"/>
      <c r="K207" s="114"/>
      <c r="O207" s="114"/>
    </row>
    <row r="208" spans="3:19">
      <c r="C208" s="114"/>
      <c r="D208" s="114"/>
      <c r="H208" s="114"/>
      <c r="J208" s="114"/>
      <c r="K208" s="114"/>
      <c r="O208" s="114"/>
    </row>
    <row r="209" spans="3:19">
      <c r="C209" s="114"/>
      <c r="D209" s="114"/>
      <c r="H209" s="114"/>
      <c r="J209" s="114"/>
      <c r="K209" s="114"/>
      <c r="O209" s="114"/>
    </row>
    <row r="210" spans="3:19">
      <c r="C210" s="114"/>
      <c r="D210" s="114"/>
      <c r="H210" s="114"/>
      <c r="J210" s="114"/>
      <c r="K210" s="114"/>
      <c r="O210" s="114"/>
    </row>
    <row r="211" spans="3:19">
      <c r="C211" s="114"/>
      <c r="D211" s="114"/>
      <c r="H211" s="114"/>
      <c r="J211" s="114"/>
      <c r="K211" s="114"/>
      <c r="O211" s="114"/>
    </row>
    <row r="212" spans="3:19">
      <c r="C212" s="114"/>
      <c r="D212" s="114"/>
      <c r="H212" s="114"/>
      <c r="J212" s="114"/>
      <c r="K212" s="114"/>
      <c r="O212" s="114"/>
    </row>
    <row r="213" spans="3:19">
      <c r="C213" s="114"/>
      <c r="D213" s="114"/>
      <c r="H213" s="114"/>
      <c r="J213" s="114"/>
      <c r="K213" s="114"/>
      <c r="O213" s="114"/>
      <c r="S213" s="20"/>
    </row>
    <row r="214" spans="3:19">
      <c r="C214" s="114"/>
      <c r="D214" s="114"/>
      <c r="H214" s="114"/>
      <c r="J214" s="114"/>
      <c r="K214" s="114"/>
      <c r="O214" s="114"/>
    </row>
    <row r="215" spans="3:19">
      <c r="C215" s="114"/>
      <c r="D215" s="114"/>
      <c r="H215" s="114"/>
      <c r="J215" s="114"/>
      <c r="K215" s="114"/>
      <c r="O215" s="114"/>
      <c r="R215" s="20"/>
    </row>
    <row r="216" spans="3:19">
      <c r="C216" s="114"/>
      <c r="D216" s="114"/>
      <c r="H216" s="114"/>
      <c r="J216" s="114"/>
      <c r="K216" s="114"/>
      <c r="O216" s="114"/>
    </row>
    <row r="217" spans="3:19">
      <c r="C217" s="114"/>
      <c r="D217" s="114"/>
      <c r="H217" s="114"/>
      <c r="J217" s="114"/>
      <c r="K217" s="114"/>
      <c r="O217" s="114"/>
    </row>
    <row r="218" spans="3:19">
      <c r="C218" s="114"/>
      <c r="D218" s="114"/>
      <c r="H218" s="114"/>
      <c r="J218" s="114"/>
      <c r="K218" s="114"/>
      <c r="O218" s="114"/>
    </row>
    <row r="219" spans="3:19">
      <c r="C219" s="114"/>
      <c r="D219" s="114"/>
      <c r="H219" s="114"/>
      <c r="J219" s="114"/>
      <c r="K219" s="114"/>
      <c r="O219" s="114"/>
    </row>
    <row r="220" spans="3:19">
      <c r="C220" s="114"/>
      <c r="D220" s="114"/>
      <c r="H220" s="114"/>
      <c r="J220" s="114"/>
      <c r="K220" s="114"/>
      <c r="O220" s="114"/>
    </row>
    <row r="221" spans="3:19">
      <c r="C221" s="114"/>
      <c r="D221" s="114"/>
      <c r="H221" s="114"/>
      <c r="J221" s="114"/>
      <c r="K221" s="114"/>
      <c r="O221" s="114"/>
      <c r="R221" s="20"/>
    </row>
    <row r="222" spans="3:19">
      <c r="C222" s="114"/>
      <c r="D222" s="114"/>
      <c r="H222" s="114"/>
      <c r="J222" s="114"/>
      <c r="K222" s="114"/>
      <c r="O222" s="114"/>
      <c r="R222" s="20"/>
    </row>
    <row r="223" spans="3:19">
      <c r="C223" s="114"/>
      <c r="D223" s="114"/>
      <c r="H223" s="114"/>
      <c r="J223" s="114"/>
      <c r="K223" s="114"/>
      <c r="O223" s="114"/>
    </row>
    <row r="224" spans="3:19">
      <c r="C224" s="114"/>
      <c r="D224" s="114"/>
      <c r="H224" s="114"/>
      <c r="J224" s="114"/>
      <c r="K224" s="114"/>
      <c r="O224" s="114"/>
    </row>
    <row r="225" spans="3:19">
      <c r="C225" s="114"/>
      <c r="D225" s="114"/>
      <c r="H225" s="114"/>
      <c r="J225" s="114"/>
      <c r="K225" s="114"/>
      <c r="O225" s="114"/>
      <c r="R225" s="20"/>
    </row>
    <row r="226" spans="3:19">
      <c r="C226" s="114"/>
      <c r="D226" s="114"/>
      <c r="H226" s="114"/>
      <c r="J226" s="114"/>
      <c r="K226" s="114"/>
      <c r="O226" s="114"/>
    </row>
    <row r="227" spans="3:19">
      <c r="C227" s="114"/>
      <c r="D227" s="114"/>
      <c r="H227" s="114"/>
      <c r="J227" s="114"/>
      <c r="K227" s="114"/>
      <c r="O227" s="114"/>
    </row>
    <row r="228" spans="3:19">
      <c r="C228" s="114"/>
      <c r="D228" s="114"/>
      <c r="H228" s="114"/>
      <c r="J228" s="114"/>
      <c r="K228" s="114"/>
      <c r="O228" s="114"/>
    </row>
    <row r="229" spans="3:19">
      <c r="C229" s="114"/>
      <c r="D229" s="114"/>
      <c r="H229" s="114"/>
      <c r="J229" s="114"/>
      <c r="K229" s="114"/>
      <c r="O229" s="114"/>
    </row>
    <row r="230" spans="3:19">
      <c r="C230" s="114"/>
      <c r="D230" s="114"/>
      <c r="H230" s="114"/>
      <c r="J230" s="114"/>
      <c r="K230" s="114"/>
      <c r="O230" s="114"/>
    </row>
    <row r="231" spans="3:19">
      <c r="C231" s="114"/>
      <c r="D231" s="114"/>
      <c r="H231" s="114"/>
      <c r="J231" s="114"/>
      <c r="K231" s="114"/>
      <c r="O231" s="114"/>
    </row>
    <row r="232" spans="3:19">
      <c r="C232" s="114"/>
      <c r="D232" s="114"/>
      <c r="H232" s="114"/>
      <c r="J232" s="114"/>
      <c r="K232" s="114"/>
      <c r="O232" s="114"/>
    </row>
    <row r="233" spans="3:19">
      <c r="C233" s="114"/>
      <c r="D233" s="114"/>
      <c r="H233" s="114"/>
      <c r="J233" s="114"/>
      <c r="K233" s="114"/>
      <c r="O233" s="114"/>
      <c r="R233" s="20"/>
    </row>
    <row r="234" spans="3:19">
      <c r="C234" s="114"/>
      <c r="D234" s="114"/>
      <c r="H234" s="114"/>
      <c r="J234" s="114"/>
      <c r="K234" s="114"/>
      <c r="O234" s="114"/>
    </row>
    <row r="235" spans="3:19">
      <c r="C235" s="114"/>
      <c r="D235" s="114"/>
      <c r="H235" s="114"/>
      <c r="J235" s="114"/>
      <c r="K235" s="114"/>
      <c r="O235" s="114"/>
    </row>
    <row r="236" spans="3:19">
      <c r="C236" s="114"/>
      <c r="D236" s="114"/>
      <c r="H236" s="114"/>
      <c r="J236" s="114"/>
      <c r="K236" s="114"/>
      <c r="O236" s="114"/>
    </row>
    <row r="237" spans="3:19">
      <c r="C237" s="114"/>
      <c r="D237" s="114"/>
      <c r="H237" s="114"/>
      <c r="J237" s="114"/>
      <c r="K237" s="114"/>
      <c r="O237" s="114"/>
      <c r="R237" s="20"/>
      <c r="S237" s="20"/>
    </row>
    <row r="238" spans="3:19">
      <c r="C238" s="114"/>
      <c r="D238" s="114"/>
      <c r="H238" s="114"/>
      <c r="J238" s="114"/>
      <c r="K238" s="114"/>
      <c r="O238" s="114"/>
    </row>
    <row r="239" spans="3:19">
      <c r="C239" s="114"/>
      <c r="D239" s="114"/>
      <c r="H239" s="114"/>
      <c r="J239" s="114"/>
      <c r="K239" s="114"/>
      <c r="O239" s="114"/>
    </row>
    <row r="240" spans="3:19">
      <c r="C240" s="114"/>
      <c r="D240" s="114"/>
      <c r="H240" s="114"/>
      <c r="J240" s="114"/>
      <c r="K240" s="114"/>
      <c r="O240" s="114"/>
      <c r="R240" s="20"/>
    </row>
    <row r="241" spans="3:19">
      <c r="C241" s="114"/>
      <c r="D241" s="114"/>
      <c r="H241" s="114"/>
      <c r="J241" s="114"/>
      <c r="K241" s="114"/>
      <c r="O241" s="114"/>
    </row>
    <row r="242" spans="3:19">
      <c r="C242" s="114"/>
      <c r="D242" s="114"/>
      <c r="H242" s="114"/>
      <c r="J242" s="114"/>
      <c r="K242" s="114"/>
      <c r="O242" s="114"/>
    </row>
    <row r="243" spans="3:19">
      <c r="C243" s="114"/>
      <c r="D243" s="114"/>
      <c r="H243" s="114"/>
      <c r="J243" s="114"/>
      <c r="K243" s="114"/>
      <c r="O243" s="114"/>
      <c r="R243" s="20"/>
    </row>
    <row r="244" spans="3:19">
      <c r="C244" s="114"/>
      <c r="D244" s="114"/>
      <c r="H244" s="114"/>
      <c r="J244" s="114"/>
      <c r="K244" s="114"/>
      <c r="O244" s="114"/>
      <c r="R244" s="20"/>
      <c r="S244" s="20"/>
    </row>
    <row r="245" spans="3:19">
      <c r="C245" s="114"/>
      <c r="D245" s="114"/>
      <c r="H245" s="114"/>
      <c r="J245" s="114"/>
      <c r="K245" s="114"/>
      <c r="O245" s="114"/>
    </row>
    <row r="246" spans="3:19">
      <c r="C246" s="114"/>
      <c r="D246" s="114"/>
      <c r="H246" s="114"/>
      <c r="J246" s="114"/>
      <c r="K246" s="114"/>
      <c r="O246" s="114"/>
    </row>
    <row r="247" spans="3:19">
      <c r="C247" s="114"/>
      <c r="D247" s="114"/>
      <c r="H247" s="114"/>
      <c r="J247" s="114"/>
      <c r="K247" s="114"/>
      <c r="O247" s="114"/>
    </row>
    <row r="248" spans="3:19">
      <c r="C248" s="114"/>
      <c r="D248" s="114"/>
      <c r="H248" s="114"/>
      <c r="J248" s="114"/>
      <c r="K248" s="114"/>
      <c r="O248" s="114"/>
    </row>
    <row r="249" spans="3:19">
      <c r="C249" s="114"/>
      <c r="D249" s="114"/>
      <c r="H249" s="114"/>
      <c r="J249" s="114"/>
      <c r="K249" s="114"/>
      <c r="O249" s="114"/>
    </row>
    <row r="250" spans="3:19">
      <c r="C250" s="114"/>
      <c r="D250" s="114"/>
      <c r="H250" s="114"/>
      <c r="J250" s="114"/>
      <c r="K250" s="114"/>
      <c r="O250" s="114"/>
    </row>
    <row r="251" spans="3:19">
      <c r="C251" s="114"/>
      <c r="D251" s="114"/>
      <c r="H251" s="114"/>
      <c r="J251" s="114"/>
      <c r="K251" s="114"/>
      <c r="O251" s="114"/>
    </row>
    <row r="252" spans="3:19">
      <c r="C252" s="114"/>
      <c r="D252" s="114"/>
      <c r="H252" s="114"/>
      <c r="J252" s="114"/>
      <c r="K252" s="114"/>
      <c r="O252" s="114"/>
    </row>
    <row r="253" spans="3:19">
      <c r="C253" s="114"/>
      <c r="D253" s="114"/>
      <c r="H253" s="114"/>
      <c r="J253" s="114"/>
      <c r="K253" s="114"/>
      <c r="O253" s="114"/>
    </row>
    <row r="254" spans="3:19">
      <c r="C254" s="114"/>
      <c r="D254" s="114"/>
      <c r="H254" s="114"/>
      <c r="J254" s="114"/>
      <c r="K254" s="114"/>
      <c r="O254" s="114"/>
    </row>
    <row r="255" spans="3:19">
      <c r="C255" s="114"/>
      <c r="D255" s="114"/>
      <c r="H255" s="114"/>
      <c r="J255" s="114"/>
      <c r="K255" s="114"/>
      <c r="O255" s="114"/>
    </row>
    <row r="256" spans="3:19">
      <c r="C256" s="114"/>
      <c r="D256" s="114"/>
      <c r="H256" s="114"/>
      <c r="J256" s="114"/>
      <c r="K256" s="114"/>
      <c r="O256" s="114"/>
    </row>
    <row r="257" spans="3:18">
      <c r="C257" s="114"/>
      <c r="D257" s="114"/>
      <c r="H257" s="114"/>
      <c r="J257" s="114"/>
      <c r="K257" s="114"/>
      <c r="O257" s="114"/>
      <c r="R257" s="20"/>
    </row>
    <row r="258" spans="3:18">
      <c r="C258" s="114"/>
      <c r="D258" s="114"/>
      <c r="H258" s="114"/>
      <c r="J258" s="114"/>
      <c r="K258" s="114"/>
      <c r="O258" s="114"/>
    </row>
    <row r="259" spans="3:18">
      <c r="C259" s="114"/>
      <c r="D259" s="114"/>
      <c r="H259" s="114"/>
      <c r="J259" s="114"/>
      <c r="K259" s="114"/>
      <c r="O259" s="114"/>
      <c r="R259" s="20"/>
    </row>
    <row r="260" spans="3:18">
      <c r="C260" s="114"/>
      <c r="D260" s="114"/>
      <c r="H260" s="114"/>
      <c r="J260" s="114"/>
      <c r="K260" s="114"/>
      <c r="O260" s="114"/>
    </row>
    <row r="261" spans="3:18">
      <c r="C261" s="114"/>
      <c r="D261" s="114"/>
      <c r="H261" s="114"/>
      <c r="J261" s="114"/>
      <c r="K261" s="114"/>
      <c r="O261" s="114"/>
    </row>
    <row r="262" spans="3:18">
      <c r="C262" s="114"/>
      <c r="D262" s="114"/>
      <c r="H262" s="114"/>
      <c r="J262" s="114"/>
      <c r="K262" s="114"/>
      <c r="O262" s="114"/>
      <c r="R262" s="20"/>
    </row>
    <row r="263" spans="3:18">
      <c r="C263" s="114"/>
      <c r="D263" s="114"/>
      <c r="H263" s="114"/>
      <c r="J263" s="114"/>
      <c r="K263" s="114"/>
      <c r="O263" s="114"/>
    </row>
    <row r="264" spans="3:18">
      <c r="C264" s="114"/>
      <c r="D264" s="114"/>
      <c r="H264" s="114"/>
      <c r="J264" s="114"/>
      <c r="K264" s="114"/>
      <c r="O264" s="114"/>
    </row>
    <row r="265" spans="3:18">
      <c r="C265" s="114"/>
      <c r="D265" s="114"/>
      <c r="H265" s="114"/>
      <c r="J265" s="114"/>
      <c r="K265" s="114"/>
      <c r="O265" s="114"/>
    </row>
    <row r="266" spans="3:18">
      <c r="C266" s="114"/>
      <c r="D266" s="114"/>
      <c r="H266" s="114"/>
      <c r="J266" s="114"/>
      <c r="K266" s="114"/>
      <c r="O266" s="114"/>
    </row>
    <row r="267" spans="3:18">
      <c r="C267" s="114"/>
      <c r="D267" s="114"/>
      <c r="H267" s="114"/>
      <c r="J267" s="114"/>
      <c r="K267" s="114"/>
      <c r="O267" s="114"/>
    </row>
    <row r="268" spans="3:18">
      <c r="C268" s="114"/>
      <c r="D268" s="114"/>
      <c r="H268" s="114"/>
      <c r="J268" s="114"/>
      <c r="K268" s="114"/>
      <c r="O268" s="114"/>
    </row>
    <row r="269" spans="3:18">
      <c r="C269" s="114"/>
      <c r="D269" s="114"/>
      <c r="H269" s="114"/>
      <c r="J269" s="114"/>
      <c r="K269" s="114"/>
      <c r="O269" s="114"/>
    </row>
    <row r="270" spans="3:18">
      <c r="C270" s="114"/>
      <c r="D270" s="114"/>
      <c r="H270" s="114"/>
      <c r="J270" s="114"/>
      <c r="K270" s="114"/>
      <c r="O270" s="114"/>
    </row>
    <row r="271" spans="3:18">
      <c r="C271" s="114"/>
      <c r="D271" s="114"/>
      <c r="H271" s="114"/>
      <c r="J271" s="114"/>
      <c r="K271" s="114"/>
      <c r="O271" s="114"/>
    </row>
    <row r="272" spans="3:18">
      <c r="C272" s="114"/>
      <c r="D272" s="114"/>
      <c r="H272" s="114"/>
      <c r="J272" s="114"/>
      <c r="K272" s="114"/>
      <c r="O272" s="114"/>
    </row>
    <row r="273" spans="3:18">
      <c r="C273" s="114"/>
      <c r="D273" s="114"/>
      <c r="H273" s="114"/>
      <c r="J273" s="114"/>
      <c r="K273" s="114"/>
      <c r="O273" s="114"/>
    </row>
    <row r="274" spans="3:18">
      <c r="C274" s="114"/>
      <c r="D274" s="114"/>
      <c r="H274" s="114"/>
      <c r="J274" s="114"/>
      <c r="K274" s="114"/>
      <c r="O274" s="114"/>
    </row>
    <row r="275" spans="3:18">
      <c r="C275" s="114"/>
      <c r="D275" s="114"/>
      <c r="H275" s="114"/>
      <c r="J275" s="114"/>
      <c r="K275" s="114"/>
      <c r="O275" s="114"/>
    </row>
    <row r="276" spans="3:18">
      <c r="C276" s="114"/>
      <c r="D276" s="114"/>
      <c r="H276" s="114"/>
      <c r="J276" s="114"/>
      <c r="K276" s="114"/>
      <c r="O276" s="114"/>
    </row>
    <row r="277" spans="3:18">
      <c r="C277" s="114"/>
      <c r="D277" s="114"/>
      <c r="H277" s="114"/>
      <c r="J277" s="114"/>
      <c r="K277" s="114"/>
      <c r="O277" s="114"/>
    </row>
    <row r="278" spans="3:18">
      <c r="C278" s="114"/>
      <c r="D278" s="114"/>
      <c r="H278" s="114"/>
      <c r="J278" s="114"/>
      <c r="K278" s="114"/>
      <c r="O278" s="114"/>
    </row>
    <row r="279" spans="3:18">
      <c r="C279" s="114"/>
      <c r="D279" s="114"/>
      <c r="H279" s="114"/>
      <c r="J279" s="114"/>
      <c r="K279" s="114"/>
      <c r="O279" s="114"/>
    </row>
    <row r="280" spans="3:18">
      <c r="C280" s="114"/>
      <c r="D280" s="114"/>
      <c r="H280" s="114"/>
      <c r="J280" s="114"/>
      <c r="K280" s="114"/>
      <c r="O280" s="114"/>
    </row>
    <row r="281" spans="3:18">
      <c r="C281" s="114"/>
      <c r="D281" s="114"/>
      <c r="H281" s="114"/>
      <c r="J281" s="114"/>
      <c r="K281" s="114"/>
      <c r="O281" s="114"/>
      <c r="R281" s="20"/>
    </row>
    <row r="282" spans="3:18">
      <c r="C282" s="114"/>
      <c r="D282" s="114"/>
      <c r="H282" s="114"/>
      <c r="J282" s="114"/>
      <c r="K282" s="114"/>
      <c r="O282" s="114"/>
    </row>
    <row r="283" spans="3:18">
      <c r="C283" s="114"/>
      <c r="D283" s="114"/>
      <c r="H283" s="114"/>
      <c r="J283" s="114"/>
      <c r="K283" s="114"/>
      <c r="O283" s="114"/>
    </row>
    <row r="284" spans="3:18">
      <c r="C284" s="114"/>
      <c r="D284" s="114"/>
      <c r="H284" s="114"/>
      <c r="J284" s="114"/>
      <c r="K284" s="114"/>
      <c r="O284" s="114"/>
    </row>
    <row r="285" spans="3:18">
      <c r="C285" s="114"/>
      <c r="D285" s="114"/>
      <c r="H285" s="114"/>
      <c r="J285" s="114"/>
      <c r="K285" s="114"/>
      <c r="O285" s="114"/>
    </row>
    <row r="286" spans="3:18">
      <c r="C286" s="114"/>
      <c r="D286" s="114"/>
      <c r="H286" s="114"/>
      <c r="J286" s="114"/>
      <c r="K286" s="114"/>
      <c r="O286" s="114"/>
    </row>
    <row r="287" spans="3:18">
      <c r="C287" s="114"/>
      <c r="D287" s="114"/>
      <c r="H287" s="114"/>
      <c r="J287" s="114"/>
      <c r="K287" s="114"/>
      <c r="O287" s="114"/>
    </row>
    <row r="288" spans="3:18">
      <c r="C288" s="114"/>
      <c r="D288" s="114"/>
      <c r="H288" s="114"/>
      <c r="J288" s="114"/>
      <c r="K288" s="114"/>
      <c r="O288" s="114"/>
    </row>
    <row r="289" spans="3:19">
      <c r="C289" s="114"/>
      <c r="D289" s="114"/>
      <c r="H289" s="114"/>
      <c r="J289" s="114"/>
      <c r="K289" s="114"/>
      <c r="O289" s="114"/>
    </row>
    <row r="290" spans="3:19">
      <c r="C290" s="114"/>
      <c r="D290" s="114"/>
      <c r="H290" s="114"/>
      <c r="J290" s="114"/>
      <c r="K290" s="114"/>
      <c r="O290" s="114"/>
    </row>
    <row r="291" spans="3:19">
      <c r="C291" s="114"/>
      <c r="D291" s="114"/>
      <c r="H291" s="114"/>
      <c r="J291" s="114"/>
      <c r="K291" s="114"/>
      <c r="O291" s="114"/>
    </row>
    <row r="292" spans="3:19">
      <c r="C292" s="114"/>
      <c r="D292" s="114"/>
      <c r="H292" s="114"/>
      <c r="J292" s="114"/>
      <c r="K292" s="114"/>
      <c r="O292" s="114"/>
    </row>
    <row r="293" spans="3:19">
      <c r="C293" s="114"/>
      <c r="D293" s="114"/>
      <c r="H293" s="114"/>
      <c r="J293" s="114"/>
      <c r="K293" s="114"/>
      <c r="O293" s="114"/>
    </row>
    <row r="294" spans="3:19">
      <c r="C294" s="114"/>
      <c r="D294" s="114"/>
      <c r="H294" s="114"/>
      <c r="J294" s="114"/>
      <c r="K294" s="114"/>
      <c r="O294" s="114"/>
    </row>
    <row r="295" spans="3:19">
      <c r="C295" s="114"/>
      <c r="D295" s="114"/>
      <c r="H295" s="114"/>
      <c r="J295" s="114"/>
      <c r="K295" s="114"/>
      <c r="O295" s="114"/>
    </row>
    <row r="296" spans="3:19">
      <c r="C296" s="114"/>
      <c r="D296" s="114"/>
      <c r="H296" s="114"/>
      <c r="J296" s="114"/>
      <c r="K296" s="114"/>
      <c r="O296" s="114"/>
      <c r="R296" s="20"/>
    </row>
    <row r="297" spans="3:19">
      <c r="C297" s="114"/>
      <c r="D297" s="114"/>
      <c r="H297" s="114"/>
      <c r="J297" s="114"/>
      <c r="K297" s="114"/>
      <c r="O297" s="114"/>
      <c r="R297" s="20"/>
    </row>
    <row r="298" spans="3:19">
      <c r="C298" s="114"/>
      <c r="D298" s="114"/>
      <c r="H298" s="114"/>
      <c r="J298" s="114"/>
      <c r="K298" s="114"/>
      <c r="O298" s="114"/>
    </row>
    <row r="299" spans="3:19">
      <c r="C299" s="114"/>
      <c r="D299" s="114"/>
      <c r="H299" s="114"/>
      <c r="J299" s="114"/>
      <c r="K299" s="114"/>
      <c r="O299" s="114"/>
    </row>
    <row r="300" spans="3:19">
      <c r="C300" s="114"/>
      <c r="D300" s="114"/>
      <c r="H300" s="114"/>
      <c r="J300" s="114"/>
      <c r="K300" s="114"/>
      <c r="O300" s="114"/>
    </row>
    <row r="301" spans="3:19">
      <c r="C301" s="114"/>
      <c r="D301" s="114"/>
      <c r="H301" s="114"/>
      <c r="J301" s="114"/>
      <c r="K301" s="114"/>
      <c r="O301" s="114"/>
      <c r="S301" s="20"/>
    </row>
    <row r="302" spans="3:19">
      <c r="C302" s="114"/>
      <c r="D302" s="114"/>
      <c r="H302" s="114"/>
      <c r="J302" s="114"/>
      <c r="K302" s="114"/>
      <c r="O302" s="114"/>
    </row>
    <row r="303" spans="3:19">
      <c r="C303" s="114"/>
      <c r="D303" s="114"/>
      <c r="H303" s="114"/>
      <c r="J303" s="114"/>
      <c r="K303" s="114"/>
      <c r="O303" s="114"/>
    </row>
    <row r="304" spans="3:19">
      <c r="C304" s="114"/>
      <c r="D304" s="114"/>
      <c r="H304" s="114"/>
      <c r="J304" s="114"/>
      <c r="K304" s="114"/>
      <c r="O304" s="114"/>
    </row>
    <row r="305" spans="3:19">
      <c r="C305" s="114"/>
      <c r="D305" s="114"/>
      <c r="H305" s="114"/>
      <c r="J305" s="114"/>
      <c r="K305" s="114"/>
      <c r="O305" s="114"/>
    </row>
    <row r="306" spans="3:19">
      <c r="C306" s="114"/>
      <c r="D306" s="114"/>
      <c r="H306" s="114"/>
      <c r="J306" s="114"/>
      <c r="K306" s="114"/>
      <c r="O306" s="114"/>
      <c r="S306" s="20"/>
    </row>
    <row r="307" spans="3:19">
      <c r="C307" s="114"/>
      <c r="D307" s="114"/>
      <c r="H307" s="114"/>
      <c r="J307" s="114"/>
      <c r="K307" s="114"/>
      <c r="O307" s="114"/>
    </row>
    <row r="308" spans="3:19">
      <c r="C308" s="114"/>
      <c r="D308" s="114"/>
      <c r="H308" s="114"/>
      <c r="J308" s="114"/>
      <c r="K308" s="114"/>
      <c r="O308" s="114"/>
    </row>
    <row r="309" spans="3:19">
      <c r="C309" s="114"/>
      <c r="D309" s="114"/>
      <c r="H309" s="114"/>
      <c r="J309" s="114"/>
      <c r="K309" s="114"/>
      <c r="O309" s="114"/>
    </row>
    <row r="310" spans="3:19">
      <c r="C310" s="114"/>
      <c r="D310" s="114"/>
      <c r="H310" s="114"/>
      <c r="J310" s="114"/>
      <c r="K310" s="114"/>
      <c r="O310" s="114"/>
    </row>
    <row r="311" spans="3:19">
      <c r="C311" s="114"/>
      <c r="D311" s="114"/>
      <c r="H311" s="114"/>
      <c r="J311" s="114"/>
      <c r="K311" s="114"/>
      <c r="O311" s="114"/>
    </row>
    <row r="312" spans="3:19">
      <c r="C312" s="114"/>
      <c r="D312" s="114"/>
      <c r="H312" s="114"/>
      <c r="J312" s="114"/>
      <c r="K312" s="114"/>
      <c r="O312" s="114"/>
    </row>
    <row r="313" spans="3:19">
      <c r="C313" s="114"/>
      <c r="D313" s="114"/>
      <c r="H313" s="114"/>
      <c r="J313" s="114"/>
      <c r="K313" s="114"/>
      <c r="O313" s="114"/>
    </row>
    <row r="314" spans="3:19">
      <c r="C314" s="114"/>
      <c r="D314" s="114"/>
      <c r="H314" s="114"/>
      <c r="J314" s="114"/>
      <c r="K314" s="114"/>
      <c r="O314" s="114"/>
    </row>
    <row r="315" spans="3:19">
      <c r="C315" s="114"/>
      <c r="D315" s="114"/>
      <c r="H315" s="114"/>
      <c r="J315" s="114"/>
      <c r="K315" s="114"/>
      <c r="O315" s="114"/>
    </row>
    <row r="316" spans="3:19">
      <c r="C316" s="114"/>
      <c r="D316" s="114"/>
      <c r="H316" s="114"/>
      <c r="J316" s="114"/>
      <c r="K316" s="114"/>
      <c r="O316" s="114"/>
    </row>
    <row r="317" spans="3:19">
      <c r="C317" s="114"/>
      <c r="D317" s="114"/>
      <c r="H317" s="114"/>
      <c r="J317" s="114"/>
      <c r="K317" s="114"/>
      <c r="O317" s="114"/>
    </row>
    <row r="318" spans="3:19">
      <c r="C318" s="114"/>
      <c r="D318" s="114"/>
      <c r="H318" s="114"/>
      <c r="J318" s="114"/>
      <c r="K318" s="114"/>
      <c r="O318" s="114"/>
    </row>
    <row r="319" spans="3:19">
      <c r="C319" s="114"/>
      <c r="D319" s="114"/>
      <c r="H319" s="114"/>
      <c r="J319" s="114"/>
      <c r="K319" s="114"/>
      <c r="O319" s="114"/>
    </row>
    <row r="320" spans="3:19">
      <c r="C320" s="114"/>
      <c r="D320" s="114"/>
      <c r="H320" s="114"/>
      <c r="J320" s="114"/>
      <c r="K320" s="114"/>
      <c r="O320" s="114"/>
    </row>
    <row r="321" spans="3:18">
      <c r="C321" s="114"/>
      <c r="D321" s="114"/>
      <c r="H321" s="114"/>
      <c r="J321" s="114"/>
      <c r="K321" s="114"/>
      <c r="O321" s="114"/>
      <c r="R321" s="20"/>
    </row>
    <row r="322" spans="3:18">
      <c r="C322" s="114"/>
      <c r="D322" s="114"/>
      <c r="H322" s="114"/>
      <c r="J322" s="114"/>
      <c r="K322" s="114"/>
      <c r="O322" s="114"/>
    </row>
    <row r="323" spans="3:18">
      <c r="C323" s="114"/>
      <c r="D323" s="114"/>
      <c r="H323" s="114"/>
      <c r="J323" s="114"/>
      <c r="K323" s="114"/>
      <c r="O323" s="114"/>
    </row>
    <row r="324" spans="3:18">
      <c r="C324" s="114"/>
      <c r="D324" s="114"/>
      <c r="H324" s="114"/>
      <c r="J324" s="114"/>
      <c r="K324" s="114"/>
      <c r="O324" s="114"/>
    </row>
    <row r="325" spans="3:18">
      <c r="C325" s="114"/>
      <c r="D325" s="114"/>
      <c r="H325" s="114"/>
      <c r="J325" s="114"/>
      <c r="K325" s="114"/>
      <c r="O325" s="114"/>
    </row>
    <row r="326" spans="3:18">
      <c r="C326" s="114"/>
      <c r="D326" s="114"/>
      <c r="H326" s="114"/>
      <c r="J326" s="114"/>
      <c r="K326" s="114"/>
      <c r="O326" s="114"/>
    </row>
    <row r="327" spans="3:18">
      <c r="C327" s="114"/>
      <c r="D327" s="114"/>
      <c r="H327" s="114"/>
      <c r="J327" s="114"/>
      <c r="K327" s="114"/>
      <c r="O327" s="114"/>
    </row>
    <row r="328" spans="3:18">
      <c r="C328" s="114"/>
      <c r="D328" s="114"/>
      <c r="H328" s="114"/>
      <c r="J328" s="114"/>
      <c r="K328" s="114"/>
      <c r="O328" s="114"/>
    </row>
    <row r="329" spans="3:18">
      <c r="C329" s="114"/>
      <c r="D329" s="114"/>
      <c r="H329" s="114"/>
      <c r="J329" s="114"/>
      <c r="K329" s="114"/>
      <c r="O329" s="114"/>
    </row>
    <row r="330" spans="3:18">
      <c r="C330" s="114"/>
      <c r="D330" s="114"/>
      <c r="H330" s="114"/>
      <c r="J330" s="114"/>
      <c r="K330" s="114"/>
      <c r="O330" s="114"/>
    </row>
    <row r="331" spans="3:18">
      <c r="C331" s="114"/>
      <c r="D331" s="114"/>
      <c r="H331" s="114"/>
      <c r="J331" s="114"/>
      <c r="K331" s="114"/>
      <c r="O331" s="114"/>
    </row>
    <row r="332" spans="3:18">
      <c r="C332" s="114"/>
      <c r="D332" s="114"/>
      <c r="H332" s="114"/>
      <c r="J332" s="114"/>
      <c r="K332" s="114"/>
      <c r="O332" s="114"/>
    </row>
    <row r="333" spans="3:18">
      <c r="C333" s="114"/>
      <c r="D333" s="114"/>
      <c r="H333" s="114"/>
      <c r="J333" s="114"/>
      <c r="K333" s="114"/>
      <c r="O333" s="114"/>
    </row>
    <row r="334" spans="3:18">
      <c r="C334" s="114"/>
      <c r="D334" s="114"/>
      <c r="H334" s="114"/>
      <c r="J334" s="114"/>
      <c r="K334" s="114"/>
      <c r="O334" s="114"/>
    </row>
    <row r="335" spans="3:18">
      <c r="C335" s="114"/>
      <c r="D335" s="114"/>
      <c r="H335" s="114"/>
      <c r="J335" s="114"/>
      <c r="K335" s="114"/>
      <c r="O335" s="114"/>
    </row>
    <row r="336" spans="3:18">
      <c r="C336" s="114"/>
      <c r="D336" s="114"/>
      <c r="H336" s="114"/>
      <c r="J336" s="114"/>
      <c r="K336" s="114"/>
      <c r="O336" s="114"/>
      <c r="R336" s="20"/>
    </row>
    <row r="337" spans="3:18">
      <c r="C337" s="114"/>
      <c r="D337" s="114"/>
      <c r="H337" s="114"/>
      <c r="J337" s="114"/>
      <c r="K337" s="114"/>
      <c r="O337" s="114"/>
    </row>
    <row r="338" spans="3:18">
      <c r="C338" s="114"/>
      <c r="D338" s="114"/>
      <c r="H338" s="114"/>
      <c r="J338" s="114"/>
      <c r="K338" s="114"/>
      <c r="O338" s="114"/>
    </row>
    <row r="339" spans="3:18">
      <c r="C339" s="114"/>
      <c r="D339" s="114"/>
      <c r="H339" s="114"/>
      <c r="J339" s="114"/>
      <c r="K339" s="114"/>
      <c r="O339" s="114"/>
    </row>
    <row r="340" spans="3:18">
      <c r="C340" s="114"/>
      <c r="D340" s="114"/>
      <c r="H340" s="114"/>
      <c r="J340" s="114"/>
      <c r="K340" s="114"/>
      <c r="O340" s="114"/>
    </row>
    <row r="341" spans="3:18">
      <c r="C341" s="114"/>
      <c r="D341" s="114"/>
      <c r="H341" s="114"/>
      <c r="J341" s="114"/>
      <c r="K341" s="114"/>
      <c r="O341" s="114"/>
      <c r="R341" s="20"/>
    </row>
    <row r="342" spans="3:18">
      <c r="C342" s="114"/>
      <c r="D342" s="114"/>
      <c r="H342" s="114"/>
      <c r="J342" s="114"/>
      <c r="K342" s="114"/>
      <c r="O342" s="114"/>
    </row>
    <row r="343" spans="3:18">
      <c r="C343" s="114"/>
      <c r="D343" s="114"/>
      <c r="H343" s="114"/>
      <c r="J343" s="114"/>
      <c r="K343" s="114"/>
      <c r="O343" s="114"/>
    </row>
    <row r="344" spans="3:18">
      <c r="C344" s="114"/>
      <c r="D344" s="114"/>
      <c r="H344" s="114"/>
      <c r="J344" s="114"/>
      <c r="K344" s="114"/>
      <c r="O344" s="114"/>
    </row>
    <row r="345" spans="3:18">
      <c r="C345" s="114"/>
      <c r="D345" s="114"/>
      <c r="H345" s="114"/>
      <c r="J345" s="114"/>
      <c r="K345" s="114"/>
      <c r="O345" s="114"/>
    </row>
    <row r="346" spans="3:18">
      <c r="C346" s="114"/>
      <c r="D346" s="114"/>
      <c r="H346" s="114"/>
      <c r="J346" s="114"/>
      <c r="K346" s="114"/>
      <c r="O346" s="114"/>
    </row>
    <row r="347" spans="3:18">
      <c r="C347" s="114"/>
      <c r="D347" s="114"/>
      <c r="H347" s="114"/>
      <c r="J347" s="114"/>
      <c r="K347" s="114"/>
      <c r="O347" s="114"/>
    </row>
    <row r="348" spans="3:18">
      <c r="C348" s="114"/>
      <c r="D348" s="114"/>
      <c r="H348" s="114"/>
      <c r="J348" s="114"/>
      <c r="K348" s="114"/>
      <c r="O348" s="114"/>
    </row>
    <row r="349" spans="3:18">
      <c r="C349" s="114"/>
      <c r="D349" s="114"/>
      <c r="H349" s="114"/>
      <c r="J349" s="114"/>
      <c r="K349" s="114"/>
      <c r="O349" s="114"/>
    </row>
    <row r="350" spans="3:18">
      <c r="C350" s="114"/>
      <c r="D350" s="114"/>
      <c r="H350" s="114"/>
      <c r="J350" s="114"/>
      <c r="K350" s="114"/>
      <c r="O350" s="114"/>
    </row>
    <row r="351" spans="3:18">
      <c r="C351" s="114"/>
      <c r="D351" s="114"/>
      <c r="H351" s="114"/>
      <c r="J351" s="114"/>
      <c r="K351" s="114"/>
      <c r="O351" s="114"/>
    </row>
    <row r="352" spans="3:18">
      <c r="C352" s="114"/>
      <c r="D352" s="114"/>
      <c r="H352" s="114"/>
      <c r="J352" s="114"/>
      <c r="K352" s="114"/>
      <c r="O352" s="114"/>
    </row>
    <row r="353" spans="3:15">
      <c r="C353" s="114"/>
      <c r="D353" s="114"/>
      <c r="H353" s="114"/>
      <c r="J353" s="114"/>
      <c r="K353" s="114"/>
      <c r="O353" s="114"/>
    </row>
    <row r="354" spans="3:15">
      <c r="C354" s="114"/>
      <c r="D354" s="114"/>
      <c r="H354" s="114"/>
      <c r="J354" s="114"/>
      <c r="K354" s="114"/>
      <c r="O354" s="114"/>
    </row>
    <row r="355" spans="3:15">
      <c r="C355" s="114"/>
      <c r="D355" s="114"/>
      <c r="H355" s="114"/>
      <c r="J355" s="114"/>
      <c r="K355" s="114"/>
      <c r="O355" s="114"/>
    </row>
    <row r="356" spans="3:15">
      <c r="C356" s="114"/>
      <c r="D356" s="114"/>
      <c r="H356" s="114"/>
      <c r="J356" s="114"/>
      <c r="K356" s="114"/>
      <c r="O356" s="114"/>
    </row>
    <row r="357" spans="3:15">
      <c r="C357" s="114"/>
      <c r="D357" s="114"/>
      <c r="H357" s="114"/>
      <c r="J357" s="114"/>
      <c r="K357" s="114"/>
      <c r="O357" s="114"/>
    </row>
    <row r="358" spans="3:15">
      <c r="C358" s="114"/>
      <c r="D358" s="114"/>
      <c r="H358" s="114"/>
      <c r="J358" s="114"/>
      <c r="K358" s="114"/>
      <c r="O358" s="114"/>
    </row>
    <row r="359" spans="3:15">
      <c r="C359" s="114"/>
      <c r="D359" s="114"/>
      <c r="H359" s="114"/>
      <c r="J359" s="114"/>
      <c r="K359" s="114"/>
      <c r="O359" s="114"/>
    </row>
    <row r="360" spans="3:15">
      <c r="C360" s="114"/>
      <c r="D360" s="114"/>
      <c r="H360" s="114"/>
      <c r="J360" s="114"/>
      <c r="K360" s="114"/>
      <c r="O360" s="114"/>
    </row>
    <row r="361" spans="3:15">
      <c r="C361" s="114"/>
      <c r="D361" s="114"/>
      <c r="H361" s="114"/>
      <c r="J361" s="114"/>
      <c r="K361" s="114"/>
      <c r="O361" s="114"/>
    </row>
    <row r="362" spans="3:15">
      <c r="C362" s="114"/>
      <c r="D362" s="114"/>
      <c r="H362" s="114"/>
      <c r="J362" s="114"/>
      <c r="K362" s="114"/>
      <c r="O362" s="114"/>
    </row>
    <row r="363" spans="3:15">
      <c r="C363" s="114"/>
      <c r="D363" s="114"/>
      <c r="H363" s="114"/>
      <c r="J363" s="114"/>
      <c r="K363" s="114"/>
      <c r="O363" s="114"/>
    </row>
    <row r="364" spans="3:15">
      <c r="C364" s="114"/>
      <c r="D364" s="114"/>
      <c r="H364" s="114"/>
      <c r="J364" s="114"/>
      <c r="K364" s="114"/>
      <c r="O364" s="114"/>
    </row>
    <row r="365" spans="3:15">
      <c r="C365" s="114"/>
      <c r="D365" s="114"/>
      <c r="H365" s="114"/>
      <c r="J365" s="114"/>
      <c r="K365" s="114"/>
      <c r="O365" s="114"/>
    </row>
    <row r="366" spans="3:15">
      <c r="C366" s="114"/>
      <c r="D366" s="114"/>
      <c r="H366" s="114"/>
      <c r="J366" s="114"/>
      <c r="K366" s="114"/>
      <c r="O366" s="114"/>
    </row>
    <row r="367" spans="3:15">
      <c r="C367" s="114"/>
      <c r="D367" s="114"/>
      <c r="H367" s="114"/>
      <c r="J367" s="114"/>
      <c r="K367" s="114"/>
      <c r="O367" s="114"/>
    </row>
    <row r="368" spans="3:15">
      <c r="C368" s="114"/>
      <c r="D368" s="114"/>
      <c r="H368" s="114"/>
      <c r="J368" s="114"/>
      <c r="K368" s="114"/>
      <c r="O368" s="114"/>
    </row>
    <row r="369" spans="3:19">
      <c r="C369" s="114"/>
      <c r="D369" s="114"/>
      <c r="H369" s="114"/>
      <c r="J369" s="114"/>
      <c r="K369" s="114"/>
      <c r="O369" s="114"/>
    </row>
    <row r="370" spans="3:19">
      <c r="C370" s="114"/>
      <c r="D370" s="114"/>
      <c r="H370" s="114"/>
      <c r="J370" s="114"/>
      <c r="K370" s="114"/>
      <c r="O370" s="114"/>
    </row>
    <row r="371" spans="3:19">
      <c r="C371" s="114"/>
      <c r="D371" s="114"/>
      <c r="H371" s="114"/>
      <c r="J371" s="114"/>
      <c r="K371" s="114"/>
      <c r="O371" s="114"/>
    </row>
    <row r="372" spans="3:19">
      <c r="C372" s="114"/>
      <c r="D372" s="114"/>
      <c r="H372" s="114"/>
      <c r="J372" s="114"/>
      <c r="K372" s="114"/>
      <c r="O372" s="114"/>
    </row>
    <row r="373" spans="3:19">
      <c r="C373" s="114"/>
      <c r="D373" s="114"/>
      <c r="H373" s="114"/>
      <c r="J373" s="114"/>
      <c r="K373" s="114"/>
      <c r="O373" s="114"/>
    </row>
    <row r="374" spans="3:19">
      <c r="C374" s="114"/>
      <c r="D374" s="114"/>
      <c r="H374" s="114"/>
      <c r="J374" s="114"/>
      <c r="K374" s="114"/>
      <c r="O374" s="114"/>
    </row>
    <row r="375" spans="3:19">
      <c r="C375" s="114"/>
      <c r="D375" s="114"/>
      <c r="H375" s="114"/>
      <c r="J375" s="114"/>
      <c r="K375" s="114"/>
      <c r="O375" s="114"/>
    </row>
    <row r="376" spans="3:19">
      <c r="C376" s="114"/>
      <c r="D376" s="114"/>
      <c r="H376" s="114"/>
      <c r="J376" s="114"/>
      <c r="K376" s="114"/>
      <c r="O376" s="114"/>
    </row>
    <row r="377" spans="3:19">
      <c r="C377" s="114"/>
      <c r="D377" s="114"/>
      <c r="H377" s="114"/>
      <c r="J377" s="114"/>
      <c r="K377" s="114"/>
      <c r="O377" s="114"/>
      <c r="S377" s="20"/>
    </row>
    <row r="378" spans="3:19">
      <c r="C378" s="114"/>
      <c r="D378" s="114"/>
      <c r="H378" s="114"/>
      <c r="J378" s="114"/>
      <c r="K378" s="114"/>
      <c r="O378" s="114"/>
    </row>
    <row r="379" spans="3:19">
      <c r="C379" s="114"/>
      <c r="D379" s="114"/>
      <c r="H379" s="114"/>
      <c r="J379" s="114"/>
      <c r="K379" s="114"/>
      <c r="O379" s="114"/>
      <c r="R379" s="20"/>
    </row>
    <row r="380" spans="3:19">
      <c r="C380" s="114"/>
      <c r="D380" s="114"/>
      <c r="H380" s="114"/>
      <c r="J380" s="114"/>
      <c r="K380" s="114"/>
      <c r="O380" s="114"/>
    </row>
    <row r="381" spans="3:19">
      <c r="C381" s="114"/>
      <c r="D381" s="114"/>
      <c r="H381" s="114"/>
      <c r="J381" s="114"/>
      <c r="K381" s="114"/>
      <c r="O381" s="114"/>
    </row>
    <row r="382" spans="3:19">
      <c r="C382" s="114"/>
      <c r="D382" s="114"/>
      <c r="H382" s="114"/>
      <c r="J382" s="114"/>
      <c r="K382" s="114"/>
      <c r="O382" s="114"/>
    </row>
    <row r="383" spans="3:19">
      <c r="C383" s="114"/>
      <c r="D383" s="114"/>
      <c r="H383" s="114"/>
      <c r="J383" s="114"/>
      <c r="K383" s="114"/>
      <c r="O383" s="114"/>
    </row>
    <row r="384" spans="3:19">
      <c r="C384" s="114"/>
      <c r="D384" s="114"/>
      <c r="H384" s="114"/>
      <c r="J384" s="114"/>
      <c r="K384" s="114"/>
      <c r="O384" s="114"/>
    </row>
    <row r="385" spans="3:19">
      <c r="C385" s="114"/>
      <c r="D385" s="114"/>
      <c r="H385" s="114"/>
      <c r="J385" s="114"/>
      <c r="K385" s="114"/>
      <c r="O385" s="114"/>
    </row>
    <row r="386" spans="3:19">
      <c r="C386" s="114"/>
      <c r="D386" s="114"/>
      <c r="H386" s="114"/>
      <c r="J386" s="114"/>
      <c r="K386" s="114"/>
      <c r="O386" s="114"/>
    </row>
    <row r="387" spans="3:19">
      <c r="C387" s="114"/>
      <c r="D387" s="114"/>
      <c r="H387" s="114"/>
      <c r="J387" s="114"/>
      <c r="K387" s="114"/>
      <c r="O387" s="114"/>
    </row>
    <row r="388" spans="3:19">
      <c r="C388" s="114"/>
      <c r="D388" s="114"/>
      <c r="H388" s="114"/>
      <c r="J388" s="114"/>
      <c r="K388" s="114"/>
      <c r="O388" s="114"/>
    </row>
    <row r="389" spans="3:19">
      <c r="C389" s="114"/>
      <c r="D389" s="114"/>
      <c r="H389" s="114"/>
      <c r="J389" s="114"/>
      <c r="K389" s="114"/>
      <c r="O389" s="114"/>
    </row>
    <row r="390" spans="3:19">
      <c r="C390" s="114"/>
      <c r="D390" s="114"/>
      <c r="H390" s="114"/>
      <c r="J390" s="114"/>
      <c r="K390" s="114"/>
      <c r="O390" s="114"/>
      <c r="R390" s="20"/>
    </row>
    <row r="391" spans="3:19">
      <c r="C391" s="114"/>
      <c r="D391" s="114"/>
      <c r="H391" s="114"/>
      <c r="J391" s="114"/>
      <c r="K391" s="114"/>
      <c r="O391" s="114"/>
    </row>
    <row r="392" spans="3:19">
      <c r="C392" s="114"/>
      <c r="D392" s="114"/>
      <c r="H392" s="114"/>
      <c r="J392" s="114"/>
      <c r="K392" s="114"/>
      <c r="O392" s="114"/>
    </row>
    <row r="393" spans="3:19">
      <c r="C393" s="114"/>
      <c r="D393" s="114"/>
      <c r="H393" s="114"/>
      <c r="J393" s="114"/>
      <c r="K393" s="114"/>
      <c r="O393" s="114"/>
    </row>
    <row r="394" spans="3:19">
      <c r="C394" s="114"/>
      <c r="D394" s="114"/>
      <c r="H394" s="114"/>
      <c r="J394" s="114"/>
      <c r="K394" s="114"/>
      <c r="O394" s="114"/>
    </row>
    <row r="395" spans="3:19">
      <c r="C395" s="114"/>
      <c r="D395" s="114"/>
      <c r="H395" s="114"/>
      <c r="J395" s="114"/>
      <c r="K395" s="114"/>
      <c r="O395" s="114"/>
    </row>
    <row r="396" spans="3:19">
      <c r="C396" s="114"/>
      <c r="D396" s="114"/>
      <c r="H396" s="114"/>
      <c r="J396" s="114"/>
      <c r="K396" s="114"/>
      <c r="O396" s="114"/>
    </row>
    <row r="397" spans="3:19">
      <c r="C397" s="114"/>
      <c r="D397" s="114"/>
      <c r="H397" s="114"/>
      <c r="J397" s="114"/>
      <c r="K397" s="114"/>
      <c r="O397" s="114"/>
    </row>
    <row r="398" spans="3:19">
      <c r="C398" s="114"/>
      <c r="D398" s="114"/>
      <c r="H398" s="114"/>
      <c r="J398" s="114"/>
      <c r="K398" s="114"/>
      <c r="O398" s="114"/>
      <c r="S398" s="20"/>
    </row>
    <row r="399" spans="3:19">
      <c r="C399" s="114"/>
      <c r="D399" s="114"/>
      <c r="H399" s="114"/>
      <c r="J399" s="114"/>
      <c r="K399" s="114"/>
      <c r="O399" s="114"/>
    </row>
    <row r="400" spans="3:19">
      <c r="C400" s="114"/>
      <c r="D400" s="114"/>
      <c r="H400" s="114"/>
      <c r="J400" s="114"/>
      <c r="K400" s="114"/>
      <c r="O400" s="114"/>
    </row>
    <row r="401" spans="3:15">
      <c r="C401" s="114"/>
      <c r="D401" s="114"/>
      <c r="H401" s="114"/>
      <c r="J401" s="114"/>
      <c r="K401" s="114"/>
      <c r="O401" s="114"/>
    </row>
    <row r="402" spans="3:15">
      <c r="C402" s="114"/>
      <c r="D402" s="114"/>
      <c r="H402" s="114"/>
      <c r="J402" s="114"/>
      <c r="K402" s="114"/>
      <c r="O402" s="114"/>
    </row>
    <row r="403" spans="3:15">
      <c r="C403" s="114"/>
      <c r="D403" s="114"/>
      <c r="H403" s="114"/>
      <c r="J403" s="114"/>
      <c r="K403" s="114"/>
      <c r="O403" s="114"/>
    </row>
    <row r="404" spans="3:15">
      <c r="C404" s="114"/>
      <c r="D404" s="114"/>
      <c r="H404" s="114"/>
      <c r="J404" s="114"/>
      <c r="K404" s="114"/>
      <c r="O404" s="114"/>
    </row>
    <row r="405" spans="3:15">
      <c r="C405" s="114"/>
      <c r="D405" s="114"/>
      <c r="H405" s="114"/>
      <c r="J405" s="114"/>
      <c r="K405" s="114"/>
      <c r="O405" s="114"/>
    </row>
    <row r="406" spans="3:15">
      <c r="C406" s="114"/>
      <c r="D406" s="114"/>
      <c r="H406" s="114"/>
      <c r="J406" s="114"/>
      <c r="K406" s="114"/>
      <c r="O406" s="114"/>
    </row>
    <row r="407" spans="3:15">
      <c r="C407" s="114"/>
      <c r="D407" s="114"/>
      <c r="H407" s="114"/>
      <c r="J407" s="114"/>
      <c r="K407" s="114"/>
      <c r="O407" s="114"/>
    </row>
    <row r="408" spans="3:15">
      <c r="C408" s="114"/>
      <c r="D408" s="114"/>
      <c r="H408" s="114"/>
      <c r="J408" s="114"/>
      <c r="K408" s="114"/>
      <c r="O408" s="114"/>
    </row>
    <row r="409" spans="3:15">
      <c r="C409" s="114"/>
      <c r="D409" s="114"/>
      <c r="H409" s="114"/>
      <c r="J409" s="114"/>
      <c r="K409" s="114"/>
      <c r="O409" s="114"/>
    </row>
    <row r="410" spans="3:15">
      <c r="C410" s="114"/>
      <c r="D410" s="114"/>
      <c r="H410" s="114"/>
      <c r="J410" s="114"/>
      <c r="K410" s="114"/>
      <c r="O410" s="114"/>
    </row>
    <row r="411" spans="3:15">
      <c r="C411" s="114"/>
      <c r="D411" s="114"/>
      <c r="H411" s="114"/>
      <c r="J411" s="114"/>
      <c r="K411" s="114"/>
      <c r="O411" s="114"/>
    </row>
    <row r="412" spans="3:15">
      <c r="C412" s="114"/>
      <c r="D412" s="114"/>
      <c r="H412" s="114"/>
      <c r="J412" s="114"/>
      <c r="K412" s="114"/>
      <c r="O412" s="114"/>
    </row>
    <row r="413" spans="3:15">
      <c r="C413" s="114"/>
      <c r="D413" s="114"/>
      <c r="H413" s="114"/>
      <c r="J413" s="114"/>
      <c r="K413" s="114"/>
      <c r="O413" s="114"/>
    </row>
    <row r="414" spans="3:15">
      <c r="C414" s="114"/>
      <c r="D414" s="114"/>
      <c r="H414" s="114"/>
      <c r="J414" s="114"/>
      <c r="K414" s="114"/>
      <c r="O414" s="114"/>
    </row>
    <row r="415" spans="3:15">
      <c r="C415" s="114"/>
      <c r="D415" s="114"/>
      <c r="H415" s="114"/>
      <c r="J415" s="114"/>
      <c r="K415" s="114"/>
      <c r="O415" s="114"/>
    </row>
    <row r="416" spans="3:15">
      <c r="C416" s="114"/>
      <c r="D416" s="114"/>
      <c r="H416" s="114"/>
      <c r="J416" s="114"/>
      <c r="K416" s="114"/>
      <c r="O416" s="114"/>
    </row>
    <row r="417" spans="3:15">
      <c r="C417" s="114"/>
      <c r="D417" s="114"/>
      <c r="H417" s="114"/>
      <c r="J417" s="114"/>
      <c r="K417" s="114"/>
      <c r="O417" s="114"/>
    </row>
    <row r="418" spans="3:15">
      <c r="C418" s="114"/>
      <c r="D418" s="114"/>
      <c r="H418" s="114"/>
      <c r="J418" s="114"/>
      <c r="K418" s="114"/>
      <c r="O418" s="114"/>
    </row>
    <row r="419" spans="3:15">
      <c r="C419" s="114"/>
      <c r="D419" s="114"/>
      <c r="H419" s="114"/>
      <c r="J419" s="114"/>
      <c r="K419" s="114"/>
      <c r="O419" s="114"/>
    </row>
    <row r="420" spans="3:15">
      <c r="C420" s="114"/>
      <c r="D420" s="114"/>
      <c r="H420" s="114"/>
      <c r="J420" s="114"/>
      <c r="K420" s="114"/>
      <c r="O420" s="114"/>
    </row>
    <row r="421" spans="3:15">
      <c r="C421" s="114"/>
      <c r="D421" s="114"/>
      <c r="H421" s="114"/>
      <c r="J421" s="114"/>
      <c r="K421" s="114"/>
      <c r="O421" s="114"/>
    </row>
    <row r="422" spans="3:15">
      <c r="C422" s="114"/>
      <c r="D422" s="114"/>
      <c r="H422" s="114"/>
      <c r="J422" s="114"/>
      <c r="K422" s="114"/>
      <c r="O422" s="114"/>
    </row>
    <row r="423" spans="3:15">
      <c r="C423" s="114"/>
      <c r="D423" s="114"/>
      <c r="H423" s="114"/>
      <c r="J423" s="114"/>
      <c r="K423" s="114"/>
      <c r="O423" s="114"/>
    </row>
    <row r="424" spans="3:15">
      <c r="C424" s="114"/>
      <c r="D424" s="114"/>
      <c r="H424" s="114"/>
      <c r="J424" s="114"/>
      <c r="K424" s="114"/>
      <c r="O424" s="114"/>
    </row>
    <row r="425" spans="3:15">
      <c r="C425" s="114"/>
      <c r="D425" s="114"/>
      <c r="H425" s="114"/>
      <c r="J425" s="114"/>
      <c r="K425" s="114"/>
      <c r="O425" s="114"/>
    </row>
    <row r="426" spans="3:15">
      <c r="C426" s="114"/>
      <c r="D426" s="114"/>
      <c r="H426" s="114"/>
      <c r="J426" s="114"/>
      <c r="K426" s="114"/>
      <c r="O426" s="114"/>
    </row>
    <row r="427" spans="3:15">
      <c r="C427" s="114"/>
      <c r="D427" s="114"/>
      <c r="H427" s="114"/>
      <c r="J427" s="114"/>
      <c r="K427" s="114"/>
      <c r="O427" s="114"/>
    </row>
    <row r="428" spans="3:15">
      <c r="C428" s="114"/>
      <c r="D428" s="114"/>
      <c r="H428" s="114"/>
      <c r="J428" s="114"/>
      <c r="K428" s="114"/>
      <c r="O428" s="114"/>
    </row>
    <row r="429" spans="3:15">
      <c r="C429" s="114"/>
      <c r="D429" s="114"/>
      <c r="H429" s="114"/>
      <c r="J429" s="114"/>
      <c r="K429" s="114"/>
      <c r="O429" s="114"/>
    </row>
    <row r="430" spans="3:15">
      <c r="C430" s="114"/>
      <c r="D430" s="114"/>
      <c r="H430" s="114"/>
      <c r="J430" s="114"/>
      <c r="K430" s="114"/>
      <c r="O430" s="114"/>
    </row>
    <row r="431" spans="3:15">
      <c r="C431" s="114"/>
      <c r="D431" s="114"/>
      <c r="H431" s="114"/>
      <c r="J431" s="114"/>
      <c r="K431" s="114"/>
      <c r="O431" s="11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C4" sqref="C4"/>
    </sheetView>
  </sheetViews>
  <sheetFormatPr defaultRowHeight="14.25"/>
  <cols>
    <col min="1" max="1" width="27.125" customWidth="1"/>
    <col min="2" max="2" width="34.625" customWidth="1"/>
  </cols>
  <sheetData>
    <row r="1" spans="1:4" s="114" customFormat="1">
      <c r="C1" s="1" t="s">
        <v>1208</v>
      </c>
      <c r="D1" s="237">
        <v>0.1</v>
      </c>
    </row>
    <row r="2" spans="1:4" s="114" customFormat="1">
      <c r="A2" s="18" t="s">
        <v>1206</v>
      </c>
      <c r="B2" s="1" t="s">
        <v>1215</v>
      </c>
      <c r="C2" s="1" t="s">
        <v>1207</v>
      </c>
    </row>
    <row r="3" spans="1:4" s="114" customFormat="1">
      <c r="A3" s="114">
        <v>500000</v>
      </c>
      <c r="B3" s="114">
        <v>250</v>
      </c>
      <c r="C3" s="114">
        <f>B3*(1+$D$1)</f>
        <v>275</v>
      </c>
    </row>
    <row r="4" spans="1:4" s="114" customFormat="1">
      <c r="A4" s="114">
        <v>1000000</v>
      </c>
      <c r="B4" s="114">
        <v>487</v>
      </c>
      <c r="C4" s="114">
        <f t="shared" ref="C4:C6" si="0">B4*(1+$D$1)</f>
        <v>535.70000000000005</v>
      </c>
    </row>
    <row r="5" spans="1:4" s="114" customFormat="1">
      <c r="A5" s="114">
        <v>1500000</v>
      </c>
      <c r="B5" s="114">
        <v>582</v>
      </c>
      <c r="C5" s="114">
        <f t="shared" si="0"/>
        <v>640.20000000000005</v>
      </c>
    </row>
    <row r="6" spans="1:4" s="114" customFormat="1">
      <c r="A6" s="114">
        <v>30000000</v>
      </c>
      <c r="B6" s="114">
        <v>921</v>
      </c>
      <c r="C6" s="114">
        <f t="shared" si="0"/>
        <v>1013.1000000000001</v>
      </c>
    </row>
    <row r="7" spans="1:4" s="114" customFormat="1"/>
    <row r="8" spans="1:4" s="114" customFormat="1">
      <c r="A8" s="18" t="s">
        <v>1209</v>
      </c>
      <c r="B8" s="1" t="s">
        <v>1216</v>
      </c>
    </row>
    <row r="9" spans="1:4" s="114" customFormat="1">
      <c r="A9" s="238" t="s">
        <v>1210</v>
      </c>
      <c r="B9" s="240">
        <v>198</v>
      </c>
    </row>
    <row r="10" spans="1:4" s="114" customFormat="1">
      <c r="A10" s="238" t="s">
        <v>1211</v>
      </c>
      <c r="B10" s="240">
        <v>385</v>
      </c>
    </row>
    <row r="11" spans="1:4" s="114" customFormat="1">
      <c r="A11" s="1" t="s">
        <v>1212</v>
      </c>
      <c r="B11" s="241">
        <v>2.8000000000000001E-2</v>
      </c>
    </row>
    <row r="12" spans="1:4" s="114" customFormat="1">
      <c r="A12" s="1" t="s">
        <v>273</v>
      </c>
      <c r="B12" s="241">
        <v>1.0999999999999999E-2</v>
      </c>
    </row>
    <row r="15" spans="1:4" ht="15">
      <c r="A15" s="84" t="s">
        <v>205</v>
      </c>
    </row>
    <row r="16" spans="1:4">
      <c r="B16" s="1"/>
    </row>
    <row r="17" spans="1:2" ht="15.75" thickBot="1">
      <c r="A17" s="75" t="s">
        <v>206</v>
      </c>
    </row>
    <row r="18" spans="1:2" ht="15.75" thickBot="1">
      <c r="A18" s="77" t="s">
        <v>207</v>
      </c>
      <c r="B18" s="78" t="s">
        <v>208</v>
      </c>
    </row>
    <row r="19" spans="1:2" ht="15.75" thickBot="1">
      <c r="A19" s="79" t="s">
        <v>209</v>
      </c>
      <c r="B19" s="76" t="s">
        <v>210</v>
      </c>
    </row>
    <row r="20" spans="1:2" ht="15.75" thickBot="1">
      <c r="A20" s="79" t="s">
        <v>211</v>
      </c>
      <c r="B20" s="76" t="s">
        <v>212</v>
      </c>
    </row>
    <row r="21" spans="1:2" ht="15.75" thickBot="1">
      <c r="A21" s="79" t="s">
        <v>213</v>
      </c>
      <c r="B21" s="76" t="s">
        <v>214</v>
      </c>
    </row>
    <row r="22" spans="1:2" ht="15.75" thickBot="1">
      <c r="A22" s="79" t="s">
        <v>215</v>
      </c>
      <c r="B22" s="76" t="s">
        <v>216</v>
      </c>
    </row>
    <row r="23" spans="1:2" ht="15.75" thickBot="1">
      <c r="A23" s="80" t="s">
        <v>217</v>
      </c>
      <c r="B23" s="81" t="s">
        <v>218</v>
      </c>
    </row>
    <row r="24" spans="1:2" ht="15.75" thickBot="1">
      <c r="A24" s="82" t="s">
        <v>219</v>
      </c>
      <c r="B24" s="83" t="s">
        <v>220</v>
      </c>
    </row>
    <row r="25" spans="1:2" ht="15.75" thickBot="1">
      <c r="A25" s="79" t="s">
        <v>221</v>
      </c>
      <c r="B25" s="76" t="s">
        <v>222</v>
      </c>
    </row>
    <row r="26" spans="1:2" ht="15.75" thickBot="1">
      <c r="A26" s="79" t="s">
        <v>223</v>
      </c>
      <c r="B26" s="76" t="s">
        <v>224</v>
      </c>
    </row>
    <row r="27" spans="1:2" ht="15.75" thickBot="1">
      <c r="A27" s="75" t="s">
        <v>225</v>
      </c>
    </row>
    <row r="28" spans="1:2" ht="15.75" thickBot="1">
      <c r="A28" s="77" t="s">
        <v>207</v>
      </c>
      <c r="B28" s="78" t="s">
        <v>208</v>
      </c>
    </row>
    <row r="29" spans="1:2" ht="15.75" thickBot="1">
      <c r="A29" s="79" t="s">
        <v>211</v>
      </c>
      <c r="B29" s="76" t="s">
        <v>212</v>
      </c>
    </row>
    <row r="30" spans="1:2" ht="15.75" thickBot="1">
      <c r="A30" s="79" t="s">
        <v>213</v>
      </c>
      <c r="B30" s="76" t="s">
        <v>226</v>
      </c>
    </row>
    <row r="31" spans="1:2" ht="15.75" thickBot="1">
      <c r="A31" s="79" t="s">
        <v>215</v>
      </c>
      <c r="B31" s="76" t="s">
        <v>227</v>
      </c>
    </row>
    <row r="32" spans="1:2" ht="15.75" thickBot="1">
      <c r="A32" s="80" t="s">
        <v>228</v>
      </c>
      <c r="B32" s="81" t="s">
        <v>229</v>
      </c>
    </row>
    <row r="35" spans="1:8" ht="15">
      <c r="A35" s="84" t="s">
        <v>230</v>
      </c>
    </row>
    <row r="36" spans="1:8" ht="15" thickBot="1"/>
    <row r="37" spans="1:8" ht="15.75" thickBot="1">
      <c r="A37" s="77" t="s">
        <v>231</v>
      </c>
      <c r="B37" s="78" t="s">
        <v>197</v>
      </c>
    </row>
    <row r="38" spans="1:8" ht="15.75" thickBot="1">
      <c r="A38" s="79" t="s">
        <v>211</v>
      </c>
      <c r="B38" s="76" t="s">
        <v>232</v>
      </c>
    </row>
    <row r="39" spans="1:8" ht="15.75" thickBot="1">
      <c r="A39" s="79" t="s">
        <v>213</v>
      </c>
      <c r="B39" s="76" t="s">
        <v>233</v>
      </c>
    </row>
    <row r="40" spans="1:8" ht="15.75" thickBot="1">
      <c r="A40" s="79" t="s">
        <v>234</v>
      </c>
      <c r="B40" s="76" t="s">
        <v>235</v>
      </c>
    </row>
    <row r="41" spans="1:8" ht="15.75" thickBot="1">
      <c r="A41" s="79" t="s">
        <v>215</v>
      </c>
      <c r="B41" s="76" t="s">
        <v>236</v>
      </c>
    </row>
    <row r="42" spans="1:8" ht="15.75" thickBot="1">
      <c r="A42" s="79" t="s">
        <v>217</v>
      </c>
      <c r="B42" s="76" t="s">
        <v>237</v>
      </c>
    </row>
    <row r="43" spans="1:8" ht="15.75" thickBot="1">
      <c r="A43" s="79" t="s">
        <v>238</v>
      </c>
      <c r="B43" s="76" t="s">
        <v>239</v>
      </c>
    </row>
    <row r="44" spans="1:8" ht="15">
      <c r="A44" s="86" t="s">
        <v>240</v>
      </c>
      <c r="B44" s="203" t="s">
        <v>242</v>
      </c>
    </row>
    <row r="45" spans="1:8" ht="30.75" thickBot="1">
      <c r="A45" s="79" t="s">
        <v>241</v>
      </c>
      <c r="B45" s="204"/>
    </row>
    <row r="47" spans="1:8" ht="15" thickBot="1"/>
    <row r="48" spans="1:8" ht="15" thickBot="1">
      <c r="A48" s="205" t="s">
        <v>191</v>
      </c>
      <c r="B48" s="206"/>
      <c r="C48" s="209" t="s">
        <v>243</v>
      </c>
      <c r="D48" s="210"/>
      <c r="E48" s="210"/>
      <c r="F48" s="210"/>
      <c r="G48" s="211"/>
      <c r="H48" s="92"/>
    </row>
    <row r="49" spans="1:8" ht="15" thickBot="1">
      <c r="A49" s="207"/>
      <c r="B49" s="208"/>
      <c r="C49" s="212" t="s">
        <v>244</v>
      </c>
      <c r="D49" s="213"/>
      <c r="E49" s="87" t="s">
        <v>245</v>
      </c>
      <c r="F49" s="214" t="s">
        <v>246</v>
      </c>
      <c r="G49" s="215"/>
    </row>
    <row r="50" spans="1:8" ht="15" thickBot="1">
      <c r="A50" s="93" t="s">
        <v>247</v>
      </c>
      <c r="B50" s="88" t="s">
        <v>248</v>
      </c>
      <c r="C50" s="88" t="s">
        <v>249</v>
      </c>
      <c r="D50" s="89" t="s">
        <v>248</v>
      </c>
      <c r="E50" s="89" t="s">
        <v>249</v>
      </c>
      <c r="F50" s="87" t="s">
        <v>249</v>
      </c>
      <c r="G50" s="90" t="s">
        <v>248</v>
      </c>
      <c r="H50" s="90" t="s">
        <v>249</v>
      </c>
    </row>
    <row r="51" spans="1:8" ht="28.5" customHeight="1" thickBot="1">
      <c r="A51" s="94" t="s">
        <v>250</v>
      </c>
      <c r="B51" s="200" t="s">
        <v>251</v>
      </c>
      <c r="C51" s="201"/>
      <c r="D51" s="200" t="s">
        <v>252</v>
      </c>
      <c r="E51" s="202"/>
      <c r="F51" s="202"/>
      <c r="G51" s="202"/>
      <c r="H51" s="201"/>
    </row>
    <row r="52" spans="1:8" ht="43.5" thickBot="1">
      <c r="A52" s="94" t="s">
        <v>253</v>
      </c>
      <c r="B52" s="200" t="s">
        <v>254</v>
      </c>
      <c r="C52" s="201"/>
      <c r="D52" s="91" t="s">
        <v>255</v>
      </c>
      <c r="E52" s="91" t="s">
        <v>256</v>
      </c>
      <c r="F52" s="91" t="s">
        <v>256</v>
      </c>
      <c r="G52" s="91" t="s">
        <v>255</v>
      </c>
      <c r="H52" s="91" t="s">
        <v>256</v>
      </c>
    </row>
    <row r="53" spans="1:8" ht="15" thickBot="1">
      <c r="A53" s="94" t="s">
        <v>257</v>
      </c>
      <c r="B53" s="200" t="s">
        <v>258</v>
      </c>
      <c r="C53" s="201"/>
      <c r="D53" s="200" t="s">
        <v>244</v>
      </c>
      <c r="E53" s="201"/>
      <c r="F53" s="91" t="s">
        <v>259</v>
      </c>
      <c r="G53" s="200" t="s">
        <v>260</v>
      </c>
      <c r="H53" s="201"/>
    </row>
    <row r="54" spans="1:8" ht="15" thickBot="1">
      <c r="A54" s="94" t="s">
        <v>197</v>
      </c>
      <c r="B54" s="200" t="s">
        <v>261</v>
      </c>
      <c r="C54" s="202"/>
      <c r="D54" s="202"/>
      <c r="E54" s="202"/>
      <c r="F54" s="201"/>
      <c r="G54" s="200" t="s">
        <v>262</v>
      </c>
      <c r="H54" s="201"/>
    </row>
    <row r="55" spans="1:8" ht="42.75">
      <c r="A55" s="239" t="s">
        <v>1212</v>
      </c>
      <c r="B55" s="85" t="s">
        <v>264</v>
      </c>
      <c r="C55" s="203" t="s">
        <v>267</v>
      </c>
      <c r="D55" s="85" t="s">
        <v>264</v>
      </c>
      <c r="E55" s="203" t="s">
        <v>267</v>
      </c>
      <c r="F55" s="203" t="s">
        <v>267</v>
      </c>
      <c r="G55" s="85" t="s">
        <v>270</v>
      </c>
      <c r="H55" s="203" t="s">
        <v>267</v>
      </c>
    </row>
    <row r="56" spans="1:8" ht="42.75">
      <c r="A56" s="95" t="s">
        <v>263</v>
      </c>
      <c r="B56" s="96" t="s">
        <v>1214</v>
      </c>
      <c r="C56" s="216"/>
      <c r="D56" s="85" t="s">
        <v>268</v>
      </c>
      <c r="E56" s="216"/>
      <c r="F56" s="216"/>
      <c r="G56" s="85" t="s">
        <v>271</v>
      </c>
      <c r="H56" s="216"/>
    </row>
    <row r="57" spans="1:8" ht="42.75">
      <c r="A57" s="95"/>
      <c r="B57" s="85" t="s">
        <v>265</v>
      </c>
      <c r="C57" s="216"/>
      <c r="D57" s="85" t="s">
        <v>265</v>
      </c>
      <c r="E57" s="216"/>
      <c r="F57" s="216"/>
      <c r="G57" s="85" t="s">
        <v>272</v>
      </c>
      <c r="H57" s="216"/>
    </row>
    <row r="58" spans="1:8" ht="15" thickBot="1">
      <c r="A58" s="94"/>
      <c r="B58" s="91" t="s">
        <v>266</v>
      </c>
      <c r="C58" s="204"/>
      <c r="D58" s="91" t="s">
        <v>269</v>
      </c>
      <c r="E58" s="204"/>
      <c r="F58" s="204"/>
      <c r="G58" s="91"/>
      <c r="H58" s="204"/>
    </row>
    <row r="59" spans="1:8" ht="42.75">
      <c r="A59" s="239" t="s">
        <v>1213</v>
      </c>
      <c r="B59" s="203" t="s">
        <v>267</v>
      </c>
      <c r="C59" s="217">
        <v>1.0999999999999999E-2</v>
      </c>
      <c r="D59" s="203" t="s">
        <v>267</v>
      </c>
      <c r="E59" s="220">
        <v>1.0999999999999999E-2</v>
      </c>
      <c r="F59" s="220">
        <v>3.9E-2</v>
      </c>
      <c r="G59" s="203" t="s">
        <v>267</v>
      </c>
      <c r="H59" s="85" t="s">
        <v>270</v>
      </c>
    </row>
    <row r="60" spans="1:8" ht="42.75">
      <c r="A60" s="95" t="s">
        <v>263</v>
      </c>
      <c r="B60" s="216"/>
      <c r="C60" s="218"/>
      <c r="D60" s="216"/>
      <c r="E60" s="221"/>
      <c r="F60" s="221"/>
      <c r="G60" s="216"/>
      <c r="H60" s="85" t="s">
        <v>271</v>
      </c>
    </row>
    <row r="61" spans="1:8" ht="43.5" thickBot="1">
      <c r="A61" s="94"/>
      <c r="B61" s="204"/>
      <c r="C61" s="219"/>
      <c r="D61" s="204"/>
      <c r="E61" s="222"/>
      <c r="F61" s="222"/>
      <c r="G61" s="204"/>
      <c r="H61" s="91" t="s">
        <v>272</v>
      </c>
    </row>
    <row r="62" spans="1:8" ht="127.5" customHeight="1">
      <c r="A62" s="95" t="s">
        <v>274</v>
      </c>
      <c r="B62" s="203" t="s">
        <v>267</v>
      </c>
      <c r="C62" s="231" t="s">
        <v>276</v>
      </c>
      <c r="D62" s="203" t="s">
        <v>267</v>
      </c>
      <c r="E62" s="203" t="s">
        <v>267</v>
      </c>
      <c r="F62" s="203" t="s">
        <v>267</v>
      </c>
      <c r="G62" s="203" t="s">
        <v>267</v>
      </c>
      <c r="H62" s="203" t="s">
        <v>277</v>
      </c>
    </row>
    <row r="63" spans="1:8" ht="15" thickBot="1">
      <c r="A63" s="94" t="s">
        <v>275</v>
      </c>
      <c r="B63" s="204"/>
      <c r="C63" s="232"/>
      <c r="D63" s="204"/>
      <c r="E63" s="204"/>
      <c r="F63" s="204"/>
      <c r="G63" s="204"/>
      <c r="H63" s="204"/>
    </row>
    <row r="64" spans="1:8" ht="15" thickBot="1">
      <c r="A64" s="94" t="s">
        <v>278</v>
      </c>
      <c r="B64" s="200" t="s">
        <v>279</v>
      </c>
      <c r="C64" s="202"/>
      <c r="D64" s="202"/>
      <c r="E64" s="202"/>
      <c r="F64" s="202"/>
      <c r="G64" s="202"/>
      <c r="H64" s="201"/>
    </row>
    <row r="65" spans="1:8" ht="14.25" customHeight="1">
      <c r="A65" s="223" t="s">
        <v>280</v>
      </c>
      <c r="B65" s="225" t="s">
        <v>281</v>
      </c>
      <c r="C65" s="226"/>
      <c r="D65" s="226"/>
      <c r="E65" s="226"/>
      <c r="F65" s="226"/>
      <c r="G65" s="226"/>
      <c r="H65" s="227"/>
    </row>
    <row r="66" spans="1:8" ht="15" thickBot="1">
      <c r="A66" s="224"/>
      <c r="B66" s="228" t="s">
        <v>282</v>
      </c>
      <c r="C66" s="229"/>
      <c r="D66" s="229"/>
      <c r="E66" s="229"/>
      <c r="F66" s="229"/>
      <c r="G66" s="229"/>
      <c r="H66" s="230"/>
    </row>
    <row r="67" spans="1:8" ht="14.25" customHeight="1">
      <c r="A67" s="223" t="s">
        <v>283</v>
      </c>
      <c r="B67" s="225" t="s">
        <v>284</v>
      </c>
      <c r="C67" s="226"/>
      <c r="D67" s="226"/>
      <c r="E67" s="226"/>
      <c r="F67" s="226"/>
      <c r="G67" s="226"/>
      <c r="H67" s="227"/>
    </row>
    <row r="68" spans="1:8" ht="15" thickBot="1">
      <c r="A68" s="224"/>
      <c r="B68" s="228" t="s">
        <v>285</v>
      </c>
      <c r="C68" s="229"/>
      <c r="D68" s="229"/>
      <c r="E68" s="229"/>
      <c r="F68" s="229"/>
      <c r="G68" s="229"/>
      <c r="H68" s="230"/>
    </row>
    <row r="69" spans="1:8" ht="28.5" customHeight="1">
      <c r="A69" s="223" t="s">
        <v>286</v>
      </c>
      <c r="B69" s="225" t="s">
        <v>287</v>
      </c>
      <c r="C69" s="226"/>
      <c r="D69" s="227"/>
      <c r="E69" s="225" t="s">
        <v>288</v>
      </c>
      <c r="F69" s="226"/>
      <c r="G69" s="226"/>
      <c r="H69" s="227"/>
    </row>
    <row r="70" spans="1:8" ht="28.5" customHeight="1">
      <c r="A70" s="233"/>
      <c r="B70" s="234"/>
      <c r="C70" s="235"/>
      <c r="D70" s="236"/>
      <c r="E70" s="234" t="s">
        <v>289</v>
      </c>
      <c r="F70" s="235"/>
      <c r="G70" s="235"/>
      <c r="H70" s="236"/>
    </row>
    <row r="71" spans="1:8" ht="28.5" customHeight="1" thickBot="1">
      <c r="A71" s="224"/>
      <c r="B71" s="228"/>
      <c r="C71" s="229"/>
      <c r="D71" s="230"/>
      <c r="E71" s="228" t="s">
        <v>290</v>
      </c>
      <c r="F71" s="229"/>
      <c r="G71" s="229"/>
      <c r="H71" s="230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J532"/>
  <sheetViews>
    <sheetView showGridLines="0" zoomScaleNormal="100" workbookViewId="0">
      <selection activeCell="V15" sqref="V15"/>
    </sheetView>
  </sheetViews>
  <sheetFormatPr defaultRowHeight="14.25"/>
  <cols>
    <col min="5" max="5" width="7" customWidth="1"/>
    <col min="8" max="8" width="26.5" customWidth="1"/>
  </cols>
  <sheetData>
    <row r="1" spans="1:10">
      <c r="A1" s="114" t="s">
        <v>406</v>
      </c>
      <c r="B1" s="114" t="s">
        <v>407</v>
      </c>
      <c r="C1" s="114" t="s">
        <v>408</v>
      </c>
      <c r="D1" s="114" t="s">
        <v>409</v>
      </c>
      <c r="E1" s="114" t="s">
        <v>410</v>
      </c>
      <c r="F1" s="114" t="s">
        <v>411</v>
      </c>
      <c r="G1" s="114" t="s">
        <v>412</v>
      </c>
      <c r="H1" s="114" t="s">
        <v>413</v>
      </c>
      <c r="I1" s="114" t="s">
        <v>414</v>
      </c>
    </row>
    <row r="2" spans="1:10">
      <c r="A2" s="114" t="s">
        <v>420</v>
      </c>
      <c r="B2" s="114" t="s">
        <v>415</v>
      </c>
      <c r="C2" s="114" t="s">
        <v>421</v>
      </c>
      <c r="D2" s="114" t="s">
        <v>422</v>
      </c>
      <c r="E2">
        <v>2391</v>
      </c>
      <c r="F2" s="114" t="s">
        <v>423</v>
      </c>
      <c r="G2" s="114" t="s">
        <v>424</v>
      </c>
      <c r="H2" s="114" t="s">
        <v>425</v>
      </c>
      <c r="I2">
        <v>105</v>
      </c>
    </row>
    <row r="3" spans="1:10">
      <c r="A3" s="114" t="s">
        <v>420</v>
      </c>
      <c r="B3" s="114" t="s">
        <v>415</v>
      </c>
      <c r="C3" s="114" t="s">
        <v>416</v>
      </c>
      <c r="D3" s="114" t="s">
        <v>417</v>
      </c>
      <c r="E3">
        <v>7590</v>
      </c>
      <c r="F3" s="114" t="s">
        <v>426</v>
      </c>
      <c r="G3" s="114" t="s">
        <v>418</v>
      </c>
      <c r="H3" s="114" t="s">
        <v>427</v>
      </c>
      <c r="I3">
        <v>71</v>
      </c>
    </row>
    <row r="4" spans="1:10">
      <c r="A4" s="114" t="s">
        <v>428</v>
      </c>
      <c r="B4" s="114" t="s">
        <v>415</v>
      </c>
      <c r="C4" s="114" t="s">
        <v>429</v>
      </c>
      <c r="D4" s="114" t="s">
        <v>417</v>
      </c>
      <c r="E4">
        <v>2375</v>
      </c>
      <c r="F4" s="114" t="s">
        <v>430</v>
      </c>
      <c r="G4" s="114" t="s">
        <v>431</v>
      </c>
      <c r="H4" s="114" t="s">
        <v>425</v>
      </c>
      <c r="I4">
        <v>119</v>
      </c>
    </row>
    <row r="5" spans="1:10">
      <c r="A5" s="114" t="s">
        <v>428</v>
      </c>
      <c r="B5" s="114" t="s">
        <v>415</v>
      </c>
      <c r="C5" s="114" t="s">
        <v>416</v>
      </c>
      <c r="D5" s="114" t="s">
        <v>417</v>
      </c>
      <c r="E5">
        <v>8068</v>
      </c>
      <c r="F5" s="114" t="s">
        <v>432</v>
      </c>
      <c r="G5" s="114" t="s">
        <v>418</v>
      </c>
      <c r="H5" s="114" t="s">
        <v>427</v>
      </c>
      <c r="I5">
        <v>516</v>
      </c>
    </row>
    <row r="6" spans="1:10">
      <c r="A6" s="114" t="s">
        <v>433</v>
      </c>
      <c r="B6" s="114" t="s">
        <v>415</v>
      </c>
      <c r="C6" s="114" t="s">
        <v>434</v>
      </c>
      <c r="D6" s="114" t="s">
        <v>422</v>
      </c>
      <c r="E6">
        <v>3329</v>
      </c>
      <c r="F6" s="114" t="s">
        <v>435</v>
      </c>
      <c r="G6" s="114" t="s">
        <v>424</v>
      </c>
      <c r="H6" s="114" t="s">
        <v>436</v>
      </c>
      <c r="I6">
        <v>132</v>
      </c>
    </row>
    <row r="7" spans="1:10">
      <c r="A7" s="114" t="s">
        <v>433</v>
      </c>
      <c r="B7" s="114" t="s">
        <v>415</v>
      </c>
      <c r="C7" s="114" t="s">
        <v>421</v>
      </c>
      <c r="D7" s="114" t="s">
        <v>417</v>
      </c>
      <c r="E7">
        <v>3816</v>
      </c>
      <c r="F7" s="114" t="s">
        <v>437</v>
      </c>
      <c r="G7" s="114" t="s">
        <v>424</v>
      </c>
      <c r="H7" s="114" t="s">
        <v>438</v>
      </c>
      <c r="I7">
        <v>39</v>
      </c>
    </row>
    <row r="8" spans="1:10">
      <c r="A8" s="114" t="s">
        <v>433</v>
      </c>
      <c r="B8" s="114" t="s">
        <v>415</v>
      </c>
      <c r="C8" s="114" t="s">
        <v>421</v>
      </c>
      <c r="D8" s="114" t="s">
        <v>422</v>
      </c>
      <c r="E8">
        <v>3930</v>
      </c>
      <c r="F8" s="114" t="s">
        <v>439</v>
      </c>
      <c r="G8" s="114" t="s">
        <v>440</v>
      </c>
      <c r="H8" s="114" t="s">
        <v>438</v>
      </c>
      <c r="I8">
        <v>70</v>
      </c>
    </row>
    <row r="9" spans="1:10">
      <c r="A9" s="114" t="s">
        <v>433</v>
      </c>
      <c r="B9" s="114" t="s">
        <v>415</v>
      </c>
      <c r="C9" s="114" t="s">
        <v>416</v>
      </c>
      <c r="D9" s="114" t="s">
        <v>417</v>
      </c>
      <c r="E9">
        <v>4369</v>
      </c>
      <c r="F9" s="114" t="s">
        <v>441</v>
      </c>
      <c r="G9" s="114" t="s">
        <v>418</v>
      </c>
      <c r="H9" s="114" t="s">
        <v>442</v>
      </c>
      <c r="I9">
        <v>636</v>
      </c>
    </row>
    <row r="10" spans="1:10">
      <c r="A10" s="114" t="s">
        <v>433</v>
      </c>
      <c r="B10" s="114" t="s">
        <v>415</v>
      </c>
      <c r="C10" s="114" t="s">
        <v>421</v>
      </c>
      <c r="D10" s="114" t="s">
        <v>417</v>
      </c>
      <c r="E10">
        <v>4699</v>
      </c>
      <c r="F10" s="114" t="s">
        <v>443</v>
      </c>
      <c r="G10" s="114" t="s">
        <v>424</v>
      </c>
      <c r="H10" s="114" t="s">
        <v>425</v>
      </c>
      <c r="I10">
        <v>111</v>
      </c>
    </row>
    <row r="11" spans="1:10">
      <c r="A11" s="114" t="s">
        <v>433</v>
      </c>
      <c r="B11" s="114" t="s">
        <v>415</v>
      </c>
      <c r="C11" s="114" t="s">
        <v>429</v>
      </c>
      <c r="D11" s="114" t="s">
        <v>422</v>
      </c>
      <c r="E11">
        <v>4707</v>
      </c>
      <c r="F11" s="114" t="s">
        <v>444</v>
      </c>
      <c r="G11" s="114" t="s">
        <v>424</v>
      </c>
      <c r="H11" s="114" t="s">
        <v>425</v>
      </c>
      <c r="I11">
        <v>24</v>
      </c>
    </row>
    <row r="12" spans="1:10">
      <c r="A12" s="114" t="s">
        <v>433</v>
      </c>
      <c r="B12" s="114" t="s">
        <v>415</v>
      </c>
      <c r="C12" s="114" t="s">
        <v>434</v>
      </c>
      <c r="D12" s="114" t="s">
        <v>417</v>
      </c>
      <c r="E12">
        <v>4750</v>
      </c>
      <c r="F12" s="114" t="s">
        <v>445</v>
      </c>
      <c r="G12" s="114" t="s">
        <v>431</v>
      </c>
      <c r="H12" s="114" t="s">
        <v>425</v>
      </c>
      <c r="I12">
        <v>51</v>
      </c>
    </row>
    <row r="13" spans="1:10">
      <c r="A13" s="114" t="s">
        <v>433</v>
      </c>
      <c r="B13" s="114" t="s">
        <v>415</v>
      </c>
      <c r="C13" s="114" t="s">
        <v>416</v>
      </c>
      <c r="D13" s="114" t="s">
        <v>417</v>
      </c>
      <c r="E13">
        <v>4813</v>
      </c>
      <c r="F13" s="114" t="s">
        <v>446</v>
      </c>
      <c r="G13" s="114" t="s">
        <v>440</v>
      </c>
      <c r="H13" s="114" t="s">
        <v>438</v>
      </c>
      <c r="I13">
        <v>417</v>
      </c>
    </row>
    <row r="14" spans="1:10">
      <c r="A14" s="114" t="s">
        <v>433</v>
      </c>
      <c r="B14" s="114" t="s">
        <v>415</v>
      </c>
      <c r="C14" s="114" t="s">
        <v>434</v>
      </c>
      <c r="D14" s="114" t="s">
        <v>417</v>
      </c>
      <c r="E14">
        <v>5971</v>
      </c>
      <c r="F14" s="114" t="s">
        <v>447</v>
      </c>
      <c r="G14" s="114" t="s">
        <v>424</v>
      </c>
      <c r="H14" s="114" t="s">
        <v>448</v>
      </c>
      <c r="I14">
        <v>56</v>
      </c>
    </row>
    <row r="15" spans="1:10">
      <c r="A15" s="114" t="s">
        <v>433</v>
      </c>
      <c r="B15" s="114" t="s">
        <v>415</v>
      </c>
      <c r="C15" s="114" t="s">
        <v>421</v>
      </c>
      <c r="D15" s="114" t="s">
        <v>417</v>
      </c>
      <c r="E15">
        <v>8057</v>
      </c>
      <c r="F15" s="114" t="s">
        <v>449</v>
      </c>
      <c r="G15" s="114" t="s">
        <v>418</v>
      </c>
      <c r="H15" s="114" t="s">
        <v>427</v>
      </c>
      <c r="I15">
        <v>467</v>
      </c>
    </row>
    <row r="16" spans="1:10">
      <c r="A16" s="114" t="s">
        <v>450</v>
      </c>
      <c r="B16" s="114" t="s">
        <v>415</v>
      </c>
      <c r="C16" s="114" t="s">
        <v>434</v>
      </c>
      <c r="D16" s="114" t="s">
        <v>417</v>
      </c>
      <c r="E16">
        <v>2593</v>
      </c>
      <c r="F16" s="114" t="s">
        <v>451</v>
      </c>
      <c r="G16" s="114" t="s">
        <v>418</v>
      </c>
      <c r="H16" s="114" t="s">
        <v>419</v>
      </c>
      <c r="I16" s="114" t="s">
        <v>598</v>
      </c>
      <c r="J16" s="114" t="s">
        <v>1069</v>
      </c>
    </row>
    <row r="17" spans="1:10">
      <c r="A17" s="114" t="s">
        <v>450</v>
      </c>
      <c r="B17" s="114" t="s">
        <v>415</v>
      </c>
      <c r="C17" s="114" t="s">
        <v>434</v>
      </c>
      <c r="D17" s="114" t="s">
        <v>417</v>
      </c>
      <c r="E17">
        <v>2910</v>
      </c>
      <c r="F17" s="114" t="s">
        <v>453</v>
      </c>
      <c r="G17" s="114" t="s">
        <v>418</v>
      </c>
      <c r="H17" s="114" t="s">
        <v>419</v>
      </c>
      <c r="I17" s="114">
        <v>406</v>
      </c>
      <c r="J17" s="114"/>
    </row>
    <row r="18" spans="1:10">
      <c r="A18" s="114" t="s">
        <v>450</v>
      </c>
      <c r="B18" s="114" t="s">
        <v>415</v>
      </c>
      <c r="C18" s="114" t="s">
        <v>434</v>
      </c>
      <c r="D18" s="114" t="s">
        <v>417</v>
      </c>
      <c r="E18">
        <v>3770</v>
      </c>
      <c r="F18" s="114" t="s">
        <v>454</v>
      </c>
      <c r="G18" s="114" t="s">
        <v>418</v>
      </c>
      <c r="H18" s="114" t="s">
        <v>438</v>
      </c>
      <c r="I18">
        <v>53</v>
      </c>
    </row>
    <row r="19" spans="1:10">
      <c r="A19" s="114" t="s">
        <v>450</v>
      </c>
      <c r="B19" s="114" t="s">
        <v>415</v>
      </c>
      <c r="C19" s="114" t="s">
        <v>421</v>
      </c>
      <c r="D19" s="114" t="s">
        <v>417</v>
      </c>
      <c r="E19">
        <v>6267</v>
      </c>
      <c r="F19" s="114" t="s">
        <v>455</v>
      </c>
      <c r="G19" s="114" t="s">
        <v>424</v>
      </c>
      <c r="H19" s="114" t="s">
        <v>456</v>
      </c>
      <c r="I19">
        <v>36</v>
      </c>
    </row>
    <row r="20" spans="1:10">
      <c r="A20" s="114" t="s">
        <v>450</v>
      </c>
      <c r="B20" s="114" t="s">
        <v>415</v>
      </c>
      <c r="C20" s="114" t="s">
        <v>416</v>
      </c>
      <c r="D20" s="114" t="s">
        <v>417</v>
      </c>
      <c r="E20">
        <v>7865</v>
      </c>
      <c r="F20" s="114" t="s">
        <v>457</v>
      </c>
      <c r="G20" s="114" t="s">
        <v>424</v>
      </c>
      <c r="H20" s="114" t="s">
        <v>458</v>
      </c>
      <c r="I20">
        <v>61</v>
      </c>
    </row>
    <row r="21" spans="1:10">
      <c r="A21" s="114" t="s">
        <v>459</v>
      </c>
      <c r="B21" s="114" t="s">
        <v>415</v>
      </c>
      <c r="C21" s="114" t="s">
        <v>434</v>
      </c>
      <c r="D21" s="114" t="s">
        <v>417</v>
      </c>
      <c r="E21">
        <v>9627</v>
      </c>
      <c r="F21" s="114" t="s">
        <v>460</v>
      </c>
      <c r="G21" s="114" t="s">
        <v>418</v>
      </c>
      <c r="H21" s="114" t="s">
        <v>436</v>
      </c>
      <c r="I21" s="114" t="s">
        <v>461</v>
      </c>
      <c r="J21" s="114" t="s">
        <v>1070</v>
      </c>
    </row>
    <row r="22" spans="1:10">
      <c r="A22" s="114" t="s">
        <v>462</v>
      </c>
      <c r="B22" s="114" t="s">
        <v>463</v>
      </c>
      <c r="C22" s="114" t="s">
        <v>429</v>
      </c>
      <c r="D22" s="114" t="s">
        <v>417</v>
      </c>
      <c r="E22">
        <v>7959</v>
      </c>
      <c r="F22" s="114" t="s">
        <v>464</v>
      </c>
      <c r="G22" s="114" t="s">
        <v>418</v>
      </c>
      <c r="H22" s="114" t="s">
        <v>458</v>
      </c>
      <c r="I22" s="114">
        <v>516</v>
      </c>
      <c r="J22" s="114"/>
    </row>
    <row r="23" spans="1:10">
      <c r="A23" s="114" t="s">
        <v>462</v>
      </c>
      <c r="B23" s="114" t="s">
        <v>415</v>
      </c>
      <c r="C23" s="114" t="s">
        <v>416</v>
      </c>
      <c r="D23" s="114" t="s">
        <v>422</v>
      </c>
      <c r="E23">
        <v>2217</v>
      </c>
      <c r="F23" s="114" t="s">
        <v>465</v>
      </c>
      <c r="G23" s="114" t="s">
        <v>418</v>
      </c>
      <c r="H23" s="114" t="s">
        <v>419</v>
      </c>
      <c r="I23">
        <v>180</v>
      </c>
    </row>
    <row r="24" spans="1:10">
      <c r="A24" s="114" t="s">
        <v>462</v>
      </c>
      <c r="B24" s="114" t="s">
        <v>415</v>
      </c>
      <c r="C24" s="114" t="s">
        <v>421</v>
      </c>
      <c r="D24" s="114" t="s">
        <v>417</v>
      </c>
      <c r="E24">
        <v>3172</v>
      </c>
      <c r="F24" s="114" t="s">
        <v>466</v>
      </c>
      <c r="G24" s="114" t="s">
        <v>418</v>
      </c>
      <c r="H24" s="114" t="s">
        <v>436</v>
      </c>
      <c r="I24">
        <v>36</v>
      </c>
    </row>
    <row r="25" spans="1:10">
      <c r="A25" s="114" t="s">
        <v>462</v>
      </c>
      <c r="B25" s="114" t="s">
        <v>415</v>
      </c>
      <c r="C25" s="114" t="s">
        <v>421</v>
      </c>
      <c r="D25" s="114" t="s">
        <v>422</v>
      </c>
      <c r="E25">
        <v>4446</v>
      </c>
      <c r="F25" s="114" t="s">
        <v>467</v>
      </c>
      <c r="G25" s="114" t="s">
        <v>440</v>
      </c>
      <c r="H25" s="114" t="s">
        <v>438</v>
      </c>
      <c r="I25">
        <v>196</v>
      </c>
    </row>
    <row r="26" spans="1:10">
      <c r="A26" s="114" t="s">
        <v>462</v>
      </c>
      <c r="B26" s="114" t="s">
        <v>415</v>
      </c>
      <c r="C26" s="114" t="s">
        <v>416</v>
      </c>
      <c r="D26" s="114" t="s">
        <v>422</v>
      </c>
      <c r="E26">
        <v>6654</v>
      </c>
      <c r="F26" s="114" t="s">
        <v>468</v>
      </c>
      <c r="G26" s="114" t="s">
        <v>418</v>
      </c>
      <c r="H26" s="114" t="s">
        <v>469</v>
      </c>
      <c r="I26">
        <v>84</v>
      </c>
    </row>
    <row r="27" spans="1:10">
      <c r="A27" s="114" t="s">
        <v>462</v>
      </c>
      <c r="B27" s="114" t="s">
        <v>415</v>
      </c>
      <c r="C27" s="114" t="s">
        <v>416</v>
      </c>
      <c r="D27" s="114" t="s">
        <v>417</v>
      </c>
      <c r="E27">
        <v>8842</v>
      </c>
      <c r="F27" s="114" t="s">
        <v>470</v>
      </c>
      <c r="G27" s="114" t="s">
        <v>418</v>
      </c>
      <c r="H27" s="114" t="s">
        <v>471</v>
      </c>
      <c r="I27">
        <v>400</v>
      </c>
    </row>
    <row r="28" spans="1:10">
      <c r="A28" s="114" t="s">
        <v>472</v>
      </c>
      <c r="B28" s="114" t="s">
        <v>415</v>
      </c>
      <c r="C28" s="114" t="s">
        <v>421</v>
      </c>
      <c r="D28" s="114" t="s">
        <v>417</v>
      </c>
      <c r="E28">
        <v>2929</v>
      </c>
      <c r="F28" s="114" t="s">
        <v>473</v>
      </c>
      <c r="G28" s="114" t="s">
        <v>431</v>
      </c>
      <c r="H28" s="114" t="s">
        <v>419</v>
      </c>
      <c r="I28">
        <v>142</v>
      </c>
    </row>
    <row r="29" spans="1:10">
      <c r="A29" s="114" t="s">
        <v>472</v>
      </c>
      <c r="B29" s="114" t="s">
        <v>415</v>
      </c>
      <c r="C29" s="114" t="s">
        <v>434</v>
      </c>
      <c r="D29" s="114" t="s">
        <v>417</v>
      </c>
      <c r="E29">
        <v>3031</v>
      </c>
      <c r="F29" s="114" t="s">
        <v>474</v>
      </c>
      <c r="G29" s="114" t="s">
        <v>418</v>
      </c>
      <c r="H29" s="114" t="s">
        <v>427</v>
      </c>
      <c r="I29">
        <v>133</v>
      </c>
    </row>
    <row r="30" spans="1:10">
      <c r="A30" s="114" t="s">
        <v>472</v>
      </c>
      <c r="B30" s="114" t="s">
        <v>415</v>
      </c>
      <c r="C30" s="114" t="s">
        <v>421</v>
      </c>
      <c r="D30" s="114" t="s">
        <v>417</v>
      </c>
      <c r="E30">
        <v>6778</v>
      </c>
      <c r="F30" s="114" t="s">
        <v>475</v>
      </c>
      <c r="G30" s="114" t="s">
        <v>431</v>
      </c>
      <c r="H30" s="114" t="s">
        <v>469</v>
      </c>
      <c r="I30">
        <v>154</v>
      </c>
    </row>
    <row r="31" spans="1:10">
      <c r="A31" s="114" t="s">
        <v>472</v>
      </c>
      <c r="B31" s="114" t="s">
        <v>415</v>
      </c>
      <c r="C31" s="114" t="s">
        <v>416</v>
      </c>
      <c r="D31" s="114" t="s">
        <v>417</v>
      </c>
      <c r="E31">
        <v>9632</v>
      </c>
      <c r="F31" s="114" t="s">
        <v>476</v>
      </c>
      <c r="G31" s="114" t="s">
        <v>418</v>
      </c>
      <c r="H31" s="114" t="s">
        <v>425</v>
      </c>
      <c r="I31">
        <v>205</v>
      </c>
    </row>
    <row r="32" spans="1:10">
      <c r="A32" s="114" t="s">
        <v>477</v>
      </c>
      <c r="B32" s="114" t="s">
        <v>668</v>
      </c>
      <c r="C32" s="114" t="s">
        <v>421</v>
      </c>
      <c r="D32" s="114" t="s">
        <v>417</v>
      </c>
      <c r="E32">
        <v>3662</v>
      </c>
      <c r="F32" s="114" t="s">
        <v>486</v>
      </c>
      <c r="G32" s="114" t="s">
        <v>418</v>
      </c>
      <c r="H32" s="114" t="s">
        <v>438</v>
      </c>
      <c r="I32">
        <v>223</v>
      </c>
    </row>
    <row r="33" spans="1:10">
      <c r="A33" s="114" t="s">
        <v>477</v>
      </c>
      <c r="B33" s="114" t="s">
        <v>415</v>
      </c>
      <c r="C33" s="114" t="s">
        <v>416</v>
      </c>
      <c r="D33" s="114" t="s">
        <v>417</v>
      </c>
      <c r="E33">
        <v>1928</v>
      </c>
      <c r="F33" s="114" t="s">
        <v>478</v>
      </c>
      <c r="G33" s="114" t="s">
        <v>418</v>
      </c>
      <c r="H33" s="114" t="s">
        <v>479</v>
      </c>
      <c r="I33" s="114" t="s">
        <v>480</v>
      </c>
      <c r="J33" s="114" t="s">
        <v>1071</v>
      </c>
    </row>
    <row r="34" spans="1:10">
      <c r="A34" s="114" t="s">
        <v>477</v>
      </c>
      <c r="B34" s="114" t="s">
        <v>415</v>
      </c>
      <c r="C34" s="114" t="s">
        <v>421</v>
      </c>
      <c r="D34" s="114" t="s">
        <v>417</v>
      </c>
      <c r="E34">
        <v>2353</v>
      </c>
      <c r="F34" s="114" t="s">
        <v>482</v>
      </c>
      <c r="G34" s="114" t="s">
        <v>418</v>
      </c>
      <c r="H34" s="114" t="s">
        <v>471</v>
      </c>
      <c r="I34">
        <v>585</v>
      </c>
    </row>
    <row r="35" spans="1:10">
      <c r="A35" s="114" t="s">
        <v>477</v>
      </c>
      <c r="B35" s="114" t="s">
        <v>415</v>
      </c>
      <c r="C35" s="114" t="s">
        <v>429</v>
      </c>
      <c r="D35" s="114" t="s">
        <v>417</v>
      </c>
      <c r="E35">
        <v>2373</v>
      </c>
      <c r="F35" s="114" t="s">
        <v>483</v>
      </c>
      <c r="G35" s="114" t="s">
        <v>424</v>
      </c>
      <c r="H35" s="114" t="s">
        <v>425</v>
      </c>
      <c r="I35">
        <v>85</v>
      </c>
    </row>
    <row r="36" spans="1:10">
      <c r="A36" s="114" t="s">
        <v>477</v>
      </c>
      <c r="B36" s="114" t="s">
        <v>415</v>
      </c>
      <c r="C36" s="114" t="s">
        <v>421</v>
      </c>
      <c r="D36" s="114" t="s">
        <v>422</v>
      </c>
      <c r="E36">
        <v>3193</v>
      </c>
      <c r="F36" s="114" t="s">
        <v>484</v>
      </c>
      <c r="G36" s="114" t="s">
        <v>418</v>
      </c>
      <c r="H36" s="114" t="s">
        <v>436</v>
      </c>
      <c r="I36">
        <v>226</v>
      </c>
    </row>
    <row r="37" spans="1:10">
      <c r="A37" s="114" t="s">
        <v>477</v>
      </c>
      <c r="B37" s="114" t="s">
        <v>415</v>
      </c>
      <c r="C37" s="114" t="s">
        <v>416</v>
      </c>
      <c r="D37" s="114" t="s">
        <v>417</v>
      </c>
      <c r="E37">
        <v>3657</v>
      </c>
      <c r="F37" s="114" t="s">
        <v>485</v>
      </c>
      <c r="G37" s="114" t="s">
        <v>418</v>
      </c>
      <c r="H37" s="114" t="s">
        <v>438</v>
      </c>
      <c r="I37">
        <v>405</v>
      </c>
    </row>
    <row r="38" spans="1:10">
      <c r="A38" s="114" t="s">
        <v>477</v>
      </c>
      <c r="B38" s="114" t="s">
        <v>415</v>
      </c>
      <c r="C38" s="114" t="s">
        <v>429</v>
      </c>
      <c r="D38" s="114" t="s">
        <v>422</v>
      </c>
      <c r="E38">
        <v>3733</v>
      </c>
      <c r="F38" s="114" t="s">
        <v>487</v>
      </c>
      <c r="G38" s="114" t="s">
        <v>424</v>
      </c>
      <c r="H38" s="114" t="s">
        <v>438</v>
      </c>
      <c r="I38">
        <v>639</v>
      </c>
    </row>
    <row r="39" spans="1:10">
      <c r="A39" s="114" t="s">
        <v>477</v>
      </c>
      <c r="B39" s="114" t="s">
        <v>415</v>
      </c>
      <c r="C39" s="114" t="s">
        <v>421</v>
      </c>
      <c r="D39" s="114" t="s">
        <v>417</v>
      </c>
      <c r="E39">
        <v>3854</v>
      </c>
      <c r="F39" s="114" t="s">
        <v>488</v>
      </c>
      <c r="G39" s="114" t="s">
        <v>418</v>
      </c>
      <c r="H39" s="114" t="s">
        <v>438</v>
      </c>
      <c r="I39">
        <v>386</v>
      </c>
    </row>
    <row r="40" spans="1:10">
      <c r="A40" s="114" t="s">
        <v>477</v>
      </c>
      <c r="B40" s="114" t="s">
        <v>415</v>
      </c>
      <c r="C40" s="114" t="s">
        <v>434</v>
      </c>
      <c r="D40" s="114" t="s">
        <v>417</v>
      </c>
      <c r="E40">
        <v>3903</v>
      </c>
      <c r="F40" s="114" t="s">
        <v>489</v>
      </c>
      <c r="G40" s="114" t="s">
        <v>418</v>
      </c>
      <c r="H40" s="114" t="s">
        <v>438</v>
      </c>
      <c r="I40">
        <v>227</v>
      </c>
    </row>
    <row r="41" spans="1:10">
      <c r="A41" s="114" t="s">
        <v>477</v>
      </c>
      <c r="B41" s="114" t="s">
        <v>415</v>
      </c>
      <c r="C41" s="114" t="s">
        <v>416</v>
      </c>
      <c r="D41" s="114" t="s">
        <v>417</v>
      </c>
      <c r="E41">
        <v>4334</v>
      </c>
      <c r="F41" s="114" t="s">
        <v>490</v>
      </c>
      <c r="G41" s="114" t="s">
        <v>424</v>
      </c>
      <c r="H41" s="114" t="s">
        <v>438</v>
      </c>
      <c r="I41">
        <v>59</v>
      </c>
    </row>
    <row r="42" spans="1:10">
      <c r="A42" s="114" t="s">
        <v>477</v>
      </c>
      <c r="B42" s="114" t="s">
        <v>415</v>
      </c>
      <c r="C42" s="114" t="s">
        <v>434</v>
      </c>
      <c r="D42" s="114" t="s">
        <v>422</v>
      </c>
      <c r="E42">
        <v>4382</v>
      </c>
      <c r="F42" s="114" t="s">
        <v>491</v>
      </c>
      <c r="G42" s="114" t="s">
        <v>440</v>
      </c>
      <c r="H42" s="114" t="s">
        <v>438</v>
      </c>
      <c r="I42">
        <v>848</v>
      </c>
    </row>
    <row r="43" spans="1:10">
      <c r="A43" s="114" t="s">
        <v>477</v>
      </c>
      <c r="B43" s="114" t="s">
        <v>415</v>
      </c>
      <c r="C43" s="114" t="s">
        <v>421</v>
      </c>
      <c r="D43" s="114" t="s">
        <v>417</v>
      </c>
      <c r="E43">
        <v>6040</v>
      </c>
      <c r="F43" s="114" t="s">
        <v>492</v>
      </c>
      <c r="G43" s="114" t="s">
        <v>440</v>
      </c>
      <c r="H43" s="114" t="s">
        <v>425</v>
      </c>
      <c r="I43">
        <v>138</v>
      </c>
    </row>
    <row r="44" spans="1:10">
      <c r="A44" s="114" t="s">
        <v>477</v>
      </c>
      <c r="B44" s="114" t="s">
        <v>415</v>
      </c>
      <c r="C44" s="114" t="s">
        <v>429</v>
      </c>
      <c r="D44" s="114" t="s">
        <v>417</v>
      </c>
      <c r="E44">
        <v>6309</v>
      </c>
      <c r="F44" s="114" t="s">
        <v>493</v>
      </c>
      <c r="G44" s="114" t="s">
        <v>418</v>
      </c>
      <c r="H44" s="114" t="s">
        <v>456</v>
      </c>
      <c r="I44">
        <v>240</v>
      </c>
    </row>
    <row r="45" spans="1:10">
      <c r="A45" s="114" t="s">
        <v>477</v>
      </c>
      <c r="B45" s="114" t="s">
        <v>415</v>
      </c>
      <c r="C45" s="114" t="s">
        <v>434</v>
      </c>
      <c r="D45" s="114" t="s">
        <v>417</v>
      </c>
      <c r="E45">
        <v>6656</v>
      </c>
      <c r="F45" s="114" t="s">
        <v>494</v>
      </c>
      <c r="G45" s="114" t="s">
        <v>431</v>
      </c>
      <c r="H45" s="114" t="s">
        <v>469</v>
      </c>
      <c r="I45">
        <v>42</v>
      </c>
    </row>
    <row r="46" spans="1:10">
      <c r="A46" s="114" t="s">
        <v>477</v>
      </c>
      <c r="B46" s="114" t="s">
        <v>415</v>
      </c>
      <c r="C46" s="114" t="s">
        <v>416</v>
      </c>
      <c r="D46" s="114" t="s">
        <v>417</v>
      </c>
      <c r="E46">
        <v>6898</v>
      </c>
      <c r="F46" s="114" t="s">
        <v>495</v>
      </c>
      <c r="G46" s="114" t="s">
        <v>424</v>
      </c>
      <c r="H46" s="114" t="s">
        <v>469</v>
      </c>
      <c r="I46">
        <v>11</v>
      </c>
    </row>
    <row r="47" spans="1:10">
      <c r="A47" s="114" t="s">
        <v>477</v>
      </c>
      <c r="B47" s="114" t="s">
        <v>415</v>
      </c>
      <c r="C47" s="114" t="s">
        <v>429</v>
      </c>
      <c r="D47" s="114" t="s">
        <v>422</v>
      </c>
      <c r="E47">
        <v>7265</v>
      </c>
      <c r="F47" s="114" t="s">
        <v>496</v>
      </c>
      <c r="G47" s="114" t="s">
        <v>424</v>
      </c>
      <c r="H47" s="114" t="s">
        <v>497</v>
      </c>
      <c r="I47">
        <v>31</v>
      </c>
    </row>
    <row r="48" spans="1:10">
      <c r="A48" s="114" t="s">
        <v>477</v>
      </c>
      <c r="B48" s="114" t="s">
        <v>415</v>
      </c>
      <c r="C48" s="114" t="s">
        <v>429</v>
      </c>
      <c r="D48" s="114" t="s">
        <v>417</v>
      </c>
      <c r="E48">
        <v>7640</v>
      </c>
      <c r="F48" s="114" t="s">
        <v>498</v>
      </c>
      <c r="G48" s="114" t="s">
        <v>418</v>
      </c>
      <c r="H48" s="114" t="s">
        <v>436</v>
      </c>
      <c r="I48">
        <v>44</v>
      </c>
    </row>
    <row r="49" spans="1:10">
      <c r="A49" s="114" t="s">
        <v>477</v>
      </c>
      <c r="B49" s="114" t="s">
        <v>415</v>
      </c>
      <c r="C49" s="114" t="s">
        <v>416</v>
      </c>
      <c r="D49" s="114" t="s">
        <v>422</v>
      </c>
      <c r="E49">
        <v>7878</v>
      </c>
      <c r="F49" s="114" t="s">
        <v>499</v>
      </c>
      <c r="G49" s="114" t="s">
        <v>424</v>
      </c>
      <c r="H49" s="114" t="s">
        <v>458</v>
      </c>
      <c r="I49">
        <v>10</v>
      </c>
    </row>
    <row r="50" spans="1:10">
      <c r="A50" s="114" t="s">
        <v>477</v>
      </c>
      <c r="B50" s="114" t="s">
        <v>415</v>
      </c>
      <c r="C50" s="114" t="s">
        <v>429</v>
      </c>
      <c r="D50" s="114" t="s">
        <v>417</v>
      </c>
      <c r="E50">
        <v>9678</v>
      </c>
      <c r="F50" s="114" t="s">
        <v>500</v>
      </c>
      <c r="G50" s="114" t="s">
        <v>418</v>
      </c>
      <c r="H50" s="114" t="s">
        <v>425</v>
      </c>
      <c r="I50" s="114" t="s">
        <v>501</v>
      </c>
      <c r="J50" s="114" t="s">
        <v>1039</v>
      </c>
    </row>
    <row r="51" spans="1:10">
      <c r="A51" s="114" t="s">
        <v>477</v>
      </c>
      <c r="B51" s="114" t="s">
        <v>415</v>
      </c>
      <c r="C51" s="114" t="s">
        <v>416</v>
      </c>
      <c r="D51" s="114" t="s">
        <v>422</v>
      </c>
      <c r="E51">
        <v>9734</v>
      </c>
      <c r="F51" s="114" t="s">
        <v>502</v>
      </c>
      <c r="G51" s="114" t="s">
        <v>424</v>
      </c>
      <c r="H51" s="114" t="s">
        <v>425</v>
      </c>
      <c r="I51" s="114">
        <v>28</v>
      </c>
      <c r="J51" s="114"/>
    </row>
    <row r="52" spans="1:10">
      <c r="A52" s="114" t="s">
        <v>477</v>
      </c>
      <c r="B52" s="114" t="s">
        <v>415</v>
      </c>
      <c r="C52" s="114" t="s">
        <v>416</v>
      </c>
      <c r="D52" s="114" t="s">
        <v>417</v>
      </c>
      <c r="E52">
        <v>9743</v>
      </c>
      <c r="F52" s="114" t="s">
        <v>503</v>
      </c>
      <c r="G52" s="114" t="s">
        <v>418</v>
      </c>
      <c r="H52" s="114" t="s">
        <v>425</v>
      </c>
      <c r="I52">
        <v>578</v>
      </c>
    </row>
    <row r="53" spans="1:10">
      <c r="A53" s="114" t="s">
        <v>504</v>
      </c>
      <c r="B53" s="114" t="s">
        <v>505</v>
      </c>
      <c r="C53" s="114" t="s">
        <v>416</v>
      </c>
      <c r="D53" s="114" t="s">
        <v>422</v>
      </c>
      <c r="E53">
        <v>2163</v>
      </c>
      <c r="F53" s="114" t="s">
        <v>506</v>
      </c>
      <c r="G53" s="114" t="s">
        <v>418</v>
      </c>
      <c r="H53" s="114" t="s">
        <v>425</v>
      </c>
      <c r="I53">
        <v>78</v>
      </c>
    </row>
    <row r="54" spans="1:10">
      <c r="A54" s="114" t="s">
        <v>504</v>
      </c>
      <c r="B54" s="114" t="s">
        <v>415</v>
      </c>
      <c r="C54" s="114" t="s">
        <v>429</v>
      </c>
      <c r="D54" s="114" t="s">
        <v>422</v>
      </c>
      <c r="E54">
        <v>2301</v>
      </c>
      <c r="F54" s="114" t="s">
        <v>507</v>
      </c>
      <c r="G54" s="114" t="s">
        <v>418</v>
      </c>
      <c r="H54" s="114" t="s">
        <v>425</v>
      </c>
      <c r="I54">
        <v>257</v>
      </c>
    </row>
    <row r="55" spans="1:10">
      <c r="A55" s="114" t="s">
        <v>504</v>
      </c>
      <c r="B55" s="114" t="s">
        <v>415</v>
      </c>
      <c r="C55" s="114" t="s">
        <v>416</v>
      </c>
      <c r="D55" s="114" t="s">
        <v>417</v>
      </c>
      <c r="E55">
        <v>3071</v>
      </c>
      <c r="F55" s="114" t="s">
        <v>508</v>
      </c>
      <c r="G55" s="114" t="s">
        <v>431</v>
      </c>
      <c r="H55" s="114" t="s">
        <v>436</v>
      </c>
      <c r="I55">
        <v>24</v>
      </c>
    </row>
    <row r="56" spans="1:10">
      <c r="A56" s="114" t="s">
        <v>504</v>
      </c>
      <c r="B56" s="114" t="s">
        <v>415</v>
      </c>
      <c r="C56" s="114" t="s">
        <v>434</v>
      </c>
      <c r="D56" s="114" t="s">
        <v>417</v>
      </c>
      <c r="E56">
        <v>3180</v>
      </c>
      <c r="F56" s="114" t="s">
        <v>509</v>
      </c>
      <c r="G56" s="114" t="s">
        <v>418</v>
      </c>
      <c r="H56" s="114" t="s">
        <v>427</v>
      </c>
      <c r="I56">
        <v>131</v>
      </c>
    </row>
    <row r="57" spans="1:10">
      <c r="A57" s="114" t="s">
        <v>504</v>
      </c>
      <c r="B57" s="114" t="s">
        <v>415</v>
      </c>
      <c r="C57" s="114" t="s">
        <v>429</v>
      </c>
      <c r="D57" s="114" t="s">
        <v>417</v>
      </c>
      <c r="E57">
        <v>3491</v>
      </c>
      <c r="F57" s="114" t="s">
        <v>510</v>
      </c>
      <c r="G57" s="114" t="s">
        <v>440</v>
      </c>
      <c r="H57" s="114" t="s">
        <v>471</v>
      </c>
      <c r="I57">
        <v>371</v>
      </c>
    </row>
    <row r="58" spans="1:10">
      <c r="A58" s="114" t="s">
        <v>504</v>
      </c>
      <c r="B58" s="114" t="s">
        <v>415</v>
      </c>
      <c r="C58" s="114" t="s">
        <v>434</v>
      </c>
      <c r="D58" s="114" t="s">
        <v>417</v>
      </c>
      <c r="E58">
        <v>3524</v>
      </c>
      <c r="F58" s="114" t="s">
        <v>511</v>
      </c>
      <c r="G58" s="114" t="s">
        <v>418</v>
      </c>
      <c r="H58" s="114" t="s">
        <v>512</v>
      </c>
      <c r="I58">
        <v>42</v>
      </c>
    </row>
    <row r="59" spans="1:10">
      <c r="A59" s="114" t="s">
        <v>504</v>
      </c>
      <c r="B59" s="114" t="s">
        <v>415</v>
      </c>
      <c r="C59" s="114" t="s">
        <v>416</v>
      </c>
      <c r="D59" s="114" t="s">
        <v>417</v>
      </c>
      <c r="E59">
        <v>3955</v>
      </c>
      <c r="F59" s="114" t="s">
        <v>513</v>
      </c>
      <c r="G59" s="114" t="s">
        <v>431</v>
      </c>
      <c r="H59" s="114" t="s">
        <v>514</v>
      </c>
      <c r="I59">
        <v>61</v>
      </c>
    </row>
    <row r="60" spans="1:10">
      <c r="A60" s="114" t="s">
        <v>504</v>
      </c>
      <c r="B60" s="114" t="s">
        <v>415</v>
      </c>
      <c r="C60" s="114" t="s">
        <v>416</v>
      </c>
      <c r="D60" s="114" t="s">
        <v>417</v>
      </c>
      <c r="E60">
        <v>4238</v>
      </c>
      <c r="F60" s="114" t="s">
        <v>515</v>
      </c>
      <c r="G60" s="114" t="s">
        <v>418</v>
      </c>
      <c r="H60" s="114" t="s">
        <v>442</v>
      </c>
      <c r="I60">
        <v>135</v>
      </c>
    </row>
    <row r="61" spans="1:10">
      <c r="A61" s="114" t="s">
        <v>504</v>
      </c>
      <c r="B61" s="114" t="s">
        <v>415</v>
      </c>
      <c r="C61" s="114" t="s">
        <v>434</v>
      </c>
      <c r="D61" s="114" t="s">
        <v>417</v>
      </c>
      <c r="E61">
        <v>6065</v>
      </c>
      <c r="F61" s="114" t="s">
        <v>516</v>
      </c>
      <c r="G61" s="114" t="s">
        <v>418</v>
      </c>
      <c r="H61" s="114" t="s">
        <v>425</v>
      </c>
      <c r="I61">
        <v>90</v>
      </c>
    </row>
    <row r="62" spans="1:10">
      <c r="A62" s="114" t="s">
        <v>504</v>
      </c>
      <c r="B62" s="114" t="s">
        <v>415</v>
      </c>
      <c r="C62" s="114" t="s">
        <v>416</v>
      </c>
      <c r="D62" s="114" t="s">
        <v>417</v>
      </c>
      <c r="E62">
        <v>7196</v>
      </c>
      <c r="F62" s="114" t="s">
        <v>517</v>
      </c>
      <c r="G62" s="114" t="s">
        <v>418</v>
      </c>
      <c r="H62" s="114" t="s">
        <v>518</v>
      </c>
      <c r="I62">
        <v>138</v>
      </c>
    </row>
    <row r="63" spans="1:10">
      <c r="A63" s="114" t="s">
        <v>504</v>
      </c>
      <c r="B63" s="114" t="s">
        <v>415</v>
      </c>
      <c r="C63" s="114" t="s">
        <v>429</v>
      </c>
      <c r="D63" s="114" t="s">
        <v>422</v>
      </c>
      <c r="E63">
        <v>7804</v>
      </c>
      <c r="F63" s="114" t="s">
        <v>519</v>
      </c>
      <c r="G63" s="114" t="s">
        <v>440</v>
      </c>
      <c r="H63" s="114" t="s">
        <v>458</v>
      </c>
      <c r="I63">
        <v>42</v>
      </c>
    </row>
    <row r="64" spans="1:10">
      <c r="A64" s="114" t="s">
        <v>504</v>
      </c>
      <c r="B64" s="114" t="s">
        <v>415</v>
      </c>
      <c r="C64" s="114" t="s">
        <v>429</v>
      </c>
      <c r="D64" s="114" t="s">
        <v>417</v>
      </c>
      <c r="E64">
        <v>7856</v>
      </c>
      <c r="F64" s="114" t="s">
        <v>520</v>
      </c>
      <c r="G64" s="114" t="s">
        <v>418</v>
      </c>
      <c r="H64" s="114" t="s">
        <v>458</v>
      </c>
      <c r="I64">
        <v>242</v>
      </c>
    </row>
    <row r="65" spans="1:9">
      <c r="A65" s="114" t="s">
        <v>504</v>
      </c>
      <c r="B65" s="114" t="s">
        <v>415</v>
      </c>
      <c r="C65" s="114" t="s">
        <v>429</v>
      </c>
      <c r="D65" s="114" t="s">
        <v>417</v>
      </c>
      <c r="E65">
        <v>9824</v>
      </c>
      <c r="F65" s="114" t="s">
        <v>521</v>
      </c>
      <c r="G65" s="114" t="s">
        <v>418</v>
      </c>
      <c r="H65" s="114" t="s">
        <v>427</v>
      </c>
      <c r="I65">
        <v>313</v>
      </c>
    </row>
    <row r="66" spans="1:9">
      <c r="A66" s="114" t="s">
        <v>522</v>
      </c>
      <c r="B66" s="114" t="s">
        <v>415</v>
      </c>
      <c r="C66" s="114" t="s">
        <v>416</v>
      </c>
      <c r="D66" s="114" t="s">
        <v>417</v>
      </c>
      <c r="E66">
        <v>1433</v>
      </c>
      <c r="F66" s="114" t="s">
        <v>523</v>
      </c>
      <c r="G66" s="114" t="s">
        <v>418</v>
      </c>
      <c r="H66" s="114" t="s">
        <v>479</v>
      </c>
      <c r="I66">
        <v>106</v>
      </c>
    </row>
    <row r="67" spans="1:9">
      <c r="A67" s="114" t="s">
        <v>522</v>
      </c>
      <c r="B67" s="114" t="s">
        <v>415</v>
      </c>
      <c r="C67" s="114" t="s">
        <v>421</v>
      </c>
      <c r="D67" s="114" t="s">
        <v>417</v>
      </c>
      <c r="E67">
        <v>1844</v>
      </c>
      <c r="F67" s="114" t="s">
        <v>524</v>
      </c>
      <c r="G67" s="114" t="s">
        <v>431</v>
      </c>
      <c r="H67" s="114" t="s">
        <v>479</v>
      </c>
      <c r="I67">
        <v>32</v>
      </c>
    </row>
    <row r="68" spans="1:9">
      <c r="A68" s="114" t="s">
        <v>522</v>
      </c>
      <c r="B68" s="114" t="s">
        <v>415</v>
      </c>
      <c r="C68" s="114" t="s">
        <v>434</v>
      </c>
      <c r="D68" s="114" t="s">
        <v>422</v>
      </c>
      <c r="E68">
        <v>2438</v>
      </c>
      <c r="F68" s="114" t="s">
        <v>525</v>
      </c>
      <c r="G68" s="114" t="s">
        <v>440</v>
      </c>
      <c r="H68" s="114" t="s">
        <v>425</v>
      </c>
      <c r="I68">
        <v>252</v>
      </c>
    </row>
    <row r="69" spans="1:9">
      <c r="A69" s="114" t="s">
        <v>522</v>
      </c>
      <c r="B69" s="114" t="s">
        <v>415</v>
      </c>
      <c r="C69" s="114" t="s">
        <v>434</v>
      </c>
      <c r="D69" s="114" t="s">
        <v>417</v>
      </c>
      <c r="E69">
        <v>2751</v>
      </c>
      <c r="F69" s="114" t="s">
        <v>526</v>
      </c>
      <c r="G69" s="114" t="s">
        <v>424</v>
      </c>
      <c r="H69" s="114" t="s">
        <v>427</v>
      </c>
      <c r="I69">
        <v>316</v>
      </c>
    </row>
    <row r="70" spans="1:9">
      <c r="A70" s="114" t="s">
        <v>522</v>
      </c>
      <c r="B70" s="114" t="s">
        <v>415</v>
      </c>
      <c r="C70" s="114" t="s">
        <v>434</v>
      </c>
      <c r="D70" s="114" t="s">
        <v>417</v>
      </c>
      <c r="E70">
        <v>2923</v>
      </c>
      <c r="F70" s="114" t="s">
        <v>527</v>
      </c>
      <c r="G70" s="114" t="s">
        <v>431</v>
      </c>
      <c r="H70" s="114" t="s">
        <v>419</v>
      </c>
      <c r="I70">
        <v>183</v>
      </c>
    </row>
    <row r="71" spans="1:9">
      <c r="A71" s="114" t="s">
        <v>522</v>
      </c>
      <c r="B71" s="114" t="s">
        <v>415</v>
      </c>
      <c r="C71" s="114" t="s">
        <v>416</v>
      </c>
      <c r="D71" s="114" t="s">
        <v>417</v>
      </c>
      <c r="E71">
        <v>3070</v>
      </c>
      <c r="F71" s="114" t="s">
        <v>528</v>
      </c>
      <c r="G71" s="114" t="s">
        <v>424</v>
      </c>
      <c r="H71" s="114" t="s">
        <v>427</v>
      </c>
      <c r="I71">
        <v>7</v>
      </c>
    </row>
    <row r="72" spans="1:9">
      <c r="A72" s="114" t="s">
        <v>522</v>
      </c>
      <c r="B72" s="114" t="s">
        <v>415</v>
      </c>
      <c r="C72" s="114" t="s">
        <v>429</v>
      </c>
      <c r="D72" s="114" t="s">
        <v>417</v>
      </c>
      <c r="E72">
        <v>3248</v>
      </c>
      <c r="F72" s="114" t="s">
        <v>529</v>
      </c>
      <c r="G72" s="114" t="s">
        <v>431</v>
      </c>
      <c r="H72" s="114" t="s">
        <v>471</v>
      </c>
      <c r="I72">
        <v>21</v>
      </c>
    </row>
    <row r="73" spans="1:9">
      <c r="A73" s="114" t="s">
        <v>522</v>
      </c>
      <c r="B73" s="114" t="s">
        <v>415</v>
      </c>
      <c r="C73" s="114" t="s">
        <v>416</v>
      </c>
      <c r="D73" s="114" t="s">
        <v>422</v>
      </c>
      <c r="E73">
        <v>3399</v>
      </c>
      <c r="F73" s="114" t="s">
        <v>530</v>
      </c>
      <c r="G73" s="114" t="s">
        <v>424</v>
      </c>
      <c r="H73" s="114" t="s">
        <v>436</v>
      </c>
      <c r="I73">
        <v>51</v>
      </c>
    </row>
    <row r="74" spans="1:9">
      <c r="A74" s="114" t="s">
        <v>522</v>
      </c>
      <c r="B74" s="114" t="s">
        <v>415</v>
      </c>
      <c r="C74" s="114" t="s">
        <v>429</v>
      </c>
      <c r="D74" s="114" t="s">
        <v>417</v>
      </c>
      <c r="E74">
        <v>3475</v>
      </c>
      <c r="F74" s="114" t="s">
        <v>531</v>
      </c>
      <c r="G74" s="114" t="s">
        <v>418</v>
      </c>
      <c r="H74" s="114" t="s">
        <v>471</v>
      </c>
      <c r="I74">
        <v>136</v>
      </c>
    </row>
    <row r="75" spans="1:9">
      <c r="A75" s="114" t="s">
        <v>522</v>
      </c>
      <c r="B75" s="114" t="s">
        <v>415</v>
      </c>
      <c r="C75" s="114" t="s">
        <v>429</v>
      </c>
      <c r="D75" s="114" t="s">
        <v>422</v>
      </c>
      <c r="E75">
        <v>3476</v>
      </c>
      <c r="F75" s="114" t="s">
        <v>532</v>
      </c>
      <c r="G75" s="114" t="s">
        <v>533</v>
      </c>
      <c r="H75" s="114" t="s">
        <v>534</v>
      </c>
      <c r="I75">
        <v>966</v>
      </c>
    </row>
    <row r="76" spans="1:9">
      <c r="A76" s="114" t="s">
        <v>522</v>
      </c>
      <c r="B76" s="114" t="s">
        <v>415</v>
      </c>
      <c r="C76" s="114" t="s">
        <v>421</v>
      </c>
      <c r="D76" s="114" t="s">
        <v>417</v>
      </c>
      <c r="E76">
        <v>3988</v>
      </c>
      <c r="F76" s="114" t="s">
        <v>535</v>
      </c>
      <c r="G76" s="114" t="s">
        <v>424</v>
      </c>
      <c r="H76" s="114" t="s">
        <v>438</v>
      </c>
      <c r="I76">
        <v>31</v>
      </c>
    </row>
    <row r="77" spans="1:9">
      <c r="A77" s="114" t="s">
        <v>522</v>
      </c>
      <c r="B77" s="114" t="s">
        <v>415</v>
      </c>
      <c r="C77" s="114" t="s">
        <v>429</v>
      </c>
      <c r="D77" s="114" t="s">
        <v>422</v>
      </c>
      <c r="E77">
        <v>4441</v>
      </c>
      <c r="F77" s="114" t="s">
        <v>536</v>
      </c>
      <c r="G77" s="114" t="s">
        <v>440</v>
      </c>
      <c r="H77" s="114" t="s">
        <v>438</v>
      </c>
      <c r="I77">
        <v>203</v>
      </c>
    </row>
    <row r="78" spans="1:9">
      <c r="A78" s="114" t="s">
        <v>522</v>
      </c>
      <c r="B78" s="114" t="s">
        <v>415</v>
      </c>
      <c r="C78" s="114" t="s">
        <v>421</v>
      </c>
      <c r="D78" s="114" t="s">
        <v>422</v>
      </c>
      <c r="E78">
        <v>6387</v>
      </c>
      <c r="F78" s="114" t="s">
        <v>537</v>
      </c>
      <c r="G78" s="114" t="s">
        <v>418</v>
      </c>
      <c r="H78" s="114" t="s">
        <v>456</v>
      </c>
      <c r="I78">
        <v>92</v>
      </c>
    </row>
    <row r="79" spans="1:9">
      <c r="A79" s="114" t="s">
        <v>522</v>
      </c>
      <c r="B79" s="114" t="s">
        <v>415</v>
      </c>
      <c r="C79" s="114" t="s">
        <v>416</v>
      </c>
      <c r="D79" s="114" t="s">
        <v>417</v>
      </c>
      <c r="E79">
        <v>6696</v>
      </c>
      <c r="F79" s="114" t="s">
        <v>538</v>
      </c>
      <c r="G79" s="114" t="s">
        <v>440</v>
      </c>
      <c r="H79" s="114" t="s">
        <v>469</v>
      </c>
      <c r="I79">
        <v>40</v>
      </c>
    </row>
    <row r="80" spans="1:9">
      <c r="A80" s="114" t="s">
        <v>522</v>
      </c>
      <c r="B80" s="114" t="s">
        <v>415</v>
      </c>
      <c r="C80" s="114" t="s">
        <v>434</v>
      </c>
      <c r="D80" s="114" t="s">
        <v>422</v>
      </c>
      <c r="E80">
        <v>7901</v>
      </c>
      <c r="F80" s="114" t="s">
        <v>539</v>
      </c>
      <c r="G80" s="114" t="s">
        <v>424</v>
      </c>
      <c r="H80" s="114" t="s">
        <v>458</v>
      </c>
      <c r="I80">
        <v>9</v>
      </c>
    </row>
    <row r="81" spans="1:10">
      <c r="A81" s="114" t="s">
        <v>522</v>
      </c>
      <c r="B81" s="114" t="s">
        <v>415</v>
      </c>
      <c r="C81" s="114" t="s">
        <v>416</v>
      </c>
      <c r="D81" s="114" t="s">
        <v>417</v>
      </c>
      <c r="E81">
        <v>8142</v>
      </c>
      <c r="F81" s="114" t="s">
        <v>540</v>
      </c>
      <c r="G81" s="114" t="s">
        <v>418</v>
      </c>
      <c r="H81" s="114" t="s">
        <v>427</v>
      </c>
      <c r="I81">
        <v>201</v>
      </c>
    </row>
    <row r="82" spans="1:10">
      <c r="A82" s="114" t="s">
        <v>522</v>
      </c>
      <c r="B82" s="114" t="s">
        <v>415</v>
      </c>
      <c r="C82" s="114" t="s">
        <v>421</v>
      </c>
      <c r="D82" s="114" t="s">
        <v>422</v>
      </c>
      <c r="E82">
        <v>9262</v>
      </c>
      <c r="F82" s="114" t="s">
        <v>541</v>
      </c>
      <c r="G82" s="114" t="s">
        <v>440</v>
      </c>
      <c r="H82" s="114" t="s">
        <v>436</v>
      </c>
      <c r="I82">
        <v>333</v>
      </c>
    </row>
    <row r="83" spans="1:10">
      <c r="A83" s="114" t="s">
        <v>522</v>
      </c>
      <c r="B83" s="114" t="s">
        <v>415</v>
      </c>
      <c r="C83" s="114" t="s">
        <v>416</v>
      </c>
      <c r="D83" s="114" t="s">
        <v>422</v>
      </c>
      <c r="E83">
        <v>9636</v>
      </c>
      <c r="F83" s="114" t="s">
        <v>542</v>
      </c>
      <c r="G83" s="114" t="s">
        <v>431</v>
      </c>
      <c r="H83" s="114" t="s">
        <v>425</v>
      </c>
      <c r="I83">
        <v>97</v>
      </c>
    </row>
    <row r="84" spans="1:10">
      <c r="A84" s="114" t="s">
        <v>522</v>
      </c>
      <c r="B84" s="114" t="s">
        <v>415</v>
      </c>
      <c r="C84" s="114" t="s">
        <v>416</v>
      </c>
      <c r="D84" s="114" t="s">
        <v>417</v>
      </c>
      <c r="E84">
        <v>9692</v>
      </c>
      <c r="F84" s="114" t="s">
        <v>543</v>
      </c>
      <c r="G84" s="114" t="s">
        <v>418</v>
      </c>
      <c r="H84" s="114" t="s">
        <v>438</v>
      </c>
      <c r="I84">
        <v>824</v>
      </c>
    </row>
    <row r="85" spans="1:10">
      <c r="A85" s="114" t="s">
        <v>544</v>
      </c>
      <c r="B85" s="114" t="s">
        <v>415</v>
      </c>
      <c r="C85" s="114" t="s">
        <v>416</v>
      </c>
      <c r="D85" s="114" t="s">
        <v>422</v>
      </c>
      <c r="E85">
        <v>1758</v>
      </c>
      <c r="F85" s="114" t="s">
        <v>545</v>
      </c>
      <c r="G85" s="114" t="s">
        <v>424</v>
      </c>
      <c r="H85" s="114" t="s">
        <v>479</v>
      </c>
      <c r="I85">
        <v>45</v>
      </c>
    </row>
    <row r="86" spans="1:10">
      <c r="A86" s="114" t="s">
        <v>544</v>
      </c>
      <c r="B86" s="114" t="s">
        <v>415</v>
      </c>
      <c r="C86" s="114" t="s">
        <v>434</v>
      </c>
      <c r="D86" s="114" t="s">
        <v>417</v>
      </c>
      <c r="E86">
        <v>3134</v>
      </c>
      <c r="F86" s="114" t="s">
        <v>546</v>
      </c>
      <c r="G86" s="114" t="s">
        <v>418</v>
      </c>
      <c r="H86" s="114" t="s">
        <v>436</v>
      </c>
      <c r="I86">
        <v>211</v>
      </c>
    </row>
    <row r="87" spans="1:10">
      <c r="A87" s="114" t="s">
        <v>544</v>
      </c>
      <c r="B87" s="114" t="s">
        <v>415</v>
      </c>
      <c r="C87" s="114" t="s">
        <v>434</v>
      </c>
      <c r="D87" s="114" t="s">
        <v>417</v>
      </c>
      <c r="E87">
        <v>3161</v>
      </c>
      <c r="F87" s="114" t="s">
        <v>547</v>
      </c>
      <c r="G87" s="114" t="s">
        <v>431</v>
      </c>
      <c r="H87" s="114" t="s">
        <v>427</v>
      </c>
      <c r="I87">
        <v>37</v>
      </c>
    </row>
    <row r="88" spans="1:10">
      <c r="A88" s="114" t="s">
        <v>544</v>
      </c>
      <c r="B88" s="114" t="s">
        <v>415</v>
      </c>
      <c r="C88" s="114" t="s">
        <v>416</v>
      </c>
      <c r="D88" s="114" t="s">
        <v>417</v>
      </c>
      <c r="E88">
        <v>3320</v>
      </c>
      <c r="F88" s="114" t="s">
        <v>548</v>
      </c>
      <c r="G88" s="114" t="s">
        <v>431</v>
      </c>
      <c r="H88" s="114" t="s">
        <v>427</v>
      </c>
      <c r="I88">
        <v>55</v>
      </c>
    </row>
    <row r="89" spans="1:10">
      <c r="A89" s="114" t="s">
        <v>544</v>
      </c>
      <c r="B89" s="114" t="s">
        <v>415</v>
      </c>
      <c r="C89" s="114" t="s">
        <v>434</v>
      </c>
      <c r="D89" s="114" t="s">
        <v>417</v>
      </c>
      <c r="E89">
        <v>3444</v>
      </c>
      <c r="F89" s="114" t="s">
        <v>549</v>
      </c>
      <c r="G89" s="114" t="s">
        <v>424</v>
      </c>
      <c r="H89" s="114" t="s">
        <v>448</v>
      </c>
      <c r="I89">
        <v>92</v>
      </c>
    </row>
    <row r="90" spans="1:10">
      <c r="A90" s="114" t="s">
        <v>544</v>
      </c>
      <c r="B90" s="114" t="s">
        <v>415</v>
      </c>
      <c r="C90" s="114" t="s">
        <v>421</v>
      </c>
      <c r="D90" s="114" t="s">
        <v>417</v>
      </c>
      <c r="E90">
        <v>3458</v>
      </c>
      <c r="F90" s="114" t="s">
        <v>550</v>
      </c>
      <c r="G90" s="114" t="s">
        <v>418</v>
      </c>
      <c r="H90" s="114" t="s">
        <v>471</v>
      </c>
      <c r="I90">
        <v>277</v>
      </c>
    </row>
    <row r="91" spans="1:10">
      <c r="A91" s="114" t="s">
        <v>544</v>
      </c>
      <c r="B91" s="114" t="s">
        <v>415</v>
      </c>
      <c r="C91" s="114" t="s">
        <v>421</v>
      </c>
      <c r="D91" s="114" t="s">
        <v>417</v>
      </c>
      <c r="E91">
        <v>3539</v>
      </c>
      <c r="F91" s="114" t="s">
        <v>551</v>
      </c>
      <c r="G91" s="114" t="s">
        <v>418</v>
      </c>
      <c r="H91" s="114" t="s">
        <v>436</v>
      </c>
      <c r="I91">
        <v>561</v>
      </c>
    </row>
    <row r="92" spans="1:10">
      <c r="A92" s="114" t="s">
        <v>544</v>
      </c>
      <c r="B92" s="114" t="s">
        <v>415</v>
      </c>
      <c r="C92" s="114" t="s">
        <v>416</v>
      </c>
      <c r="D92" s="114" t="s">
        <v>422</v>
      </c>
      <c r="E92">
        <v>3565</v>
      </c>
      <c r="F92" s="114" t="s">
        <v>552</v>
      </c>
      <c r="G92" s="114" t="s">
        <v>418</v>
      </c>
      <c r="H92" s="114" t="s">
        <v>427</v>
      </c>
      <c r="I92">
        <v>128</v>
      </c>
    </row>
    <row r="93" spans="1:10">
      <c r="A93" s="114" t="s">
        <v>544</v>
      </c>
      <c r="B93" s="114" t="s">
        <v>415</v>
      </c>
      <c r="C93" s="114" t="s">
        <v>434</v>
      </c>
      <c r="D93" s="114" t="s">
        <v>422</v>
      </c>
      <c r="E93">
        <v>4026</v>
      </c>
      <c r="F93" s="114" t="s">
        <v>553</v>
      </c>
      <c r="G93" s="114" t="s">
        <v>431</v>
      </c>
      <c r="H93" s="114" t="s">
        <v>554</v>
      </c>
      <c r="I93">
        <v>78</v>
      </c>
    </row>
    <row r="94" spans="1:10">
      <c r="A94" s="114" t="s">
        <v>544</v>
      </c>
      <c r="B94" s="114" t="s">
        <v>415</v>
      </c>
      <c r="C94" s="114" t="s">
        <v>416</v>
      </c>
      <c r="D94" s="114" t="s">
        <v>422</v>
      </c>
      <c r="E94">
        <v>7064</v>
      </c>
      <c r="F94" s="114" t="s">
        <v>555</v>
      </c>
      <c r="G94" s="114" t="s">
        <v>440</v>
      </c>
      <c r="H94" s="114" t="s">
        <v>425</v>
      </c>
      <c r="I94">
        <v>39</v>
      </c>
    </row>
    <row r="95" spans="1:10">
      <c r="A95" s="114" t="s">
        <v>556</v>
      </c>
      <c r="B95" s="114" t="s">
        <v>415</v>
      </c>
      <c r="C95" s="114" t="s">
        <v>429</v>
      </c>
      <c r="D95" s="114" t="s">
        <v>417</v>
      </c>
      <c r="E95">
        <v>2695</v>
      </c>
      <c r="F95" s="114" t="s">
        <v>557</v>
      </c>
      <c r="G95" s="114" t="s">
        <v>418</v>
      </c>
      <c r="H95" s="114" t="s">
        <v>436</v>
      </c>
      <c r="I95" s="114" t="s">
        <v>501</v>
      </c>
      <c r="J95" s="114" t="s">
        <v>1072</v>
      </c>
    </row>
    <row r="96" spans="1:10">
      <c r="A96" s="114" t="s">
        <v>556</v>
      </c>
      <c r="B96" s="114" t="s">
        <v>415</v>
      </c>
      <c r="C96" s="114" t="s">
        <v>434</v>
      </c>
      <c r="D96" s="114" t="s">
        <v>422</v>
      </c>
      <c r="E96">
        <v>3075</v>
      </c>
      <c r="F96" s="114" t="s">
        <v>558</v>
      </c>
      <c r="G96" s="114" t="s">
        <v>424</v>
      </c>
      <c r="H96" s="114" t="s">
        <v>436</v>
      </c>
      <c r="I96">
        <v>186</v>
      </c>
    </row>
    <row r="97" spans="1:10">
      <c r="A97" s="114" t="s">
        <v>556</v>
      </c>
      <c r="B97" s="114" t="s">
        <v>415</v>
      </c>
      <c r="C97" s="114" t="s">
        <v>416</v>
      </c>
      <c r="D97" s="114" t="s">
        <v>417</v>
      </c>
      <c r="E97">
        <v>3169</v>
      </c>
      <c r="F97" s="114" t="s">
        <v>559</v>
      </c>
      <c r="G97" s="114" t="s">
        <v>418</v>
      </c>
      <c r="H97" s="114" t="s">
        <v>436</v>
      </c>
      <c r="I97">
        <v>59</v>
      </c>
    </row>
    <row r="98" spans="1:10">
      <c r="A98" s="114" t="s">
        <v>556</v>
      </c>
      <c r="B98" s="114" t="s">
        <v>415</v>
      </c>
      <c r="C98" s="114" t="s">
        <v>434</v>
      </c>
      <c r="D98" s="114" t="s">
        <v>417</v>
      </c>
      <c r="E98">
        <v>3361</v>
      </c>
      <c r="F98" s="114" t="s">
        <v>560</v>
      </c>
      <c r="G98" s="114" t="s">
        <v>418</v>
      </c>
      <c r="H98" s="114" t="s">
        <v>436</v>
      </c>
      <c r="I98">
        <v>161</v>
      </c>
    </row>
    <row r="99" spans="1:10">
      <c r="A99" s="114" t="s">
        <v>556</v>
      </c>
      <c r="B99" s="114" t="s">
        <v>415</v>
      </c>
      <c r="C99" s="114" t="s">
        <v>421</v>
      </c>
      <c r="D99" s="114" t="s">
        <v>417</v>
      </c>
      <c r="E99">
        <v>3418</v>
      </c>
      <c r="F99" s="114" t="s">
        <v>561</v>
      </c>
      <c r="G99" s="114" t="s">
        <v>440</v>
      </c>
      <c r="H99" s="114" t="s">
        <v>436</v>
      </c>
      <c r="I99">
        <v>102</v>
      </c>
    </row>
    <row r="100" spans="1:10">
      <c r="A100" s="114" t="s">
        <v>556</v>
      </c>
      <c r="B100" s="114" t="s">
        <v>415</v>
      </c>
      <c r="C100" s="114" t="s">
        <v>434</v>
      </c>
      <c r="D100" s="114" t="s">
        <v>417</v>
      </c>
      <c r="E100">
        <v>3549</v>
      </c>
      <c r="F100" s="114" t="s">
        <v>562</v>
      </c>
      <c r="G100" s="114" t="s">
        <v>418</v>
      </c>
      <c r="H100" s="114" t="s">
        <v>436</v>
      </c>
      <c r="I100" s="114" t="s">
        <v>461</v>
      </c>
      <c r="J100" s="114" t="s">
        <v>1073</v>
      </c>
    </row>
    <row r="101" spans="1:10">
      <c r="A101" s="114" t="s">
        <v>556</v>
      </c>
      <c r="B101" s="114" t="s">
        <v>415</v>
      </c>
      <c r="C101" s="114" t="s">
        <v>429</v>
      </c>
      <c r="D101" s="114" t="s">
        <v>417</v>
      </c>
      <c r="E101">
        <v>3974</v>
      </c>
      <c r="F101" s="114" t="s">
        <v>563</v>
      </c>
      <c r="G101" s="114" t="s">
        <v>424</v>
      </c>
      <c r="H101" s="114" t="s">
        <v>438</v>
      </c>
      <c r="I101" s="114">
        <v>23</v>
      </c>
      <c r="J101" s="114"/>
    </row>
    <row r="102" spans="1:10">
      <c r="A102" s="114" t="s">
        <v>556</v>
      </c>
      <c r="B102" s="114" t="s">
        <v>415</v>
      </c>
      <c r="C102" s="114" t="s">
        <v>429</v>
      </c>
      <c r="D102" s="114" t="s">
        <v>417</v>
      </c>
      <c r="E102">
        <v>3976</v>
      </c>
      <c r="F102" s="114" t="s">
        <v>564</v>
      </c>
      <c r="G102" s="114" t="s">
        <v>440</v>
      </c>
      <c r="H102" s="114" t="s">
        <v>438</v>
      </c>
      <c r="I102">
        <v>19</v>
      </c>
    </row>
    <row r="103" spans="1:10">
      <c r="A103" s="114" t="s">
        <v>556</v>
      </c>
      <c r="B103" s="114" t="s">
        <v>415</v>
      </c>
      <c r="C103" s="114" t="s">
        <v>421</v>
      </c>
      <c r="D103" s="114" t="s">
        <v>422</v>
      </c>
      <c r="E103">
        <v>4384</v>
      </c>
      <c r="F103" s="114" t="s">
        <v>565</v>
      </c>
      <c r="G103" s="114" t="s">
        <v>418</v>
      </c>
      <c r="H103" s="114" t="s">
        <v>438</v>
      </c>
      <c r="I103" s="114" t="s">
        <v>501</v>
      </c>
      <c r="J103" s="114" t="s">
        <v>1074</v>
      </c>
    </row>
    <row r="104" spans="1:10">
      <c r="A104" s="114" t="s">
        <v>556</v>
      </c>
      <c r="B104" s="114" t="s">
        <v>415</v>
      </c>
      <c r="C104" s="114" t="s">
        <v>421</v>
      </c>
      <c r="D104" s="114" t="s">
        <v>417</v>
      </c>
      <c r="E104">
        <v>4422</v>
      </c>
      <c r="F104" s="114" t="s">
        <v>566</v>
      </c>
      <c r="G104" s="114" t="s">
        <v>440</v>
      </c>
      <c r="H104" s="114" t="s">
        <v>438</v>
      </c>
      <c r="I104" s="114">
        <v>66</v>
      </c>
      <c r="J104" s="114"/>
    </row>
    <row r="105" spans="1:10">
      <c r="A105" s="114" t="s">
        <v>556</v>
      </c>
      <c r="B105" s="114" t="s">
        <v>415</v>
      </c>
      <c r="C105" s="114" t="s">
        <v>429</v>
      </c>
      <c r="D105" s="114" t="s">
        <v>422</v>
      </c>
      <c r="E105">
        <v>4880</v>
      </c>
      <c r="F105" s="114" t="s">
        <v>567</v>
      </c>
      <c r="G105" s="114" t="s">
        <v>440</v>
      </c>
      <c r="H105" s="114" t="s">
        <v>568</v>
      </c>
      <c r="I105">
        <v>166</v>
      </c>
    </row>
    <row r="106" spans="1:10">
      <c r="A106" s="114" t="s">
        <v>556</v>
      </c>
      <c r="B106" s="114" t="s">
        <v>415</v>
      </c>
      <c r="C106" s="114" t="s">
        <v>429</v>
      </c>
      <c r="D106" s="114" t="s">
        <v>417</v>
      </c>
      <c r="E106">
        <v>5218</v>
      </c>
      <c r="F106" s="114" t="s">
        <v>569</v>
      </c>
      <c r="G106" s="114" t="s">
        <v>418</v>
      </c>
      <c r="H106" s="114" t="s">
        <v>554</v>
      </c>
      <c r="I106">
        <v>373</v>
      </c>
    </row>
    <row r="107" spans="1:10">
      <c r="A107" s="114" t="s">
        <v>556</v>
      </c>
      <c r="B107" s="114" t="s">
        <v>415</v>
      </c>
      <c r="C107" s="114" t="s">
        <v>421</v>
      </c>
      <c r="D107" s="114" t="s">
        <v>422</v>
      </c>
      <c r="E107">
        <v>6037</v>
      </c>
      <c r="F107" s="114" t="s">
        <v>570</v>
      </c>
      <c r="G107" s="114" t="s">
        <v>418</v>
      </c>
      <c r="H107" s="114" t="s">
        <v>425</v>
      </c>
      <c r="I107">
        <v>77</v>
      </c>
    </row>
    <row r="108" spans="1:10">
      <c r="A108" s="114" t="s">
        <v>556</v>
      </c>
      <c r="B108" s="114" t="s">
        <v>415</v>
      </c>
      <c r="C108" s="114" t="s">
        <v>416</v>
      </c>
      <c r="D108" s="114" t="s">
        <v>417</v>
      </c>
      <c r="E108">
        <v>6184</v>
      </c>
      <c r="F108" s="114" t="s">
        <v>571</v>
      </c>
      <c r="G108" s="114" t="s">
        <v>418</v>
      </c>
      <c r="H108" s="114" t="s">
        <v>425</v>
      </c>
      <c r="I108">
        <v>672</v>
      </c>
    </row>
    <row r="109" spans="1:10">
      <c r="A109" s="114" t="s">
        <v>556</v>
      </c>
      <c r="B109" s="114" t="s">
        <v>415</v>
      </c>
      <c r="C109" s="114" t="s">
        <v>416</v>
      </c>
      <c r="D109" s="114" t="s">
        <v>417</v>
      </c>
      <c r="E109">
        <v>6336</v>
      </c>
      <c r="F109" s="114" t="s">
        <v>572</v>
      </c>
      <c r="G109" s="114" t="s">
        <v>431</v>
      </c>
      <c r="H109" s="114" t="s">
        <v>456</v>
      </c>
      <c r="I109">
        <v>61</v>
      </c>
    </row>
    <row r="110" spans="1:10">
      <c r="A110" s="114" t="s">
        <v>556</v>
      </c>
      <c r="B110" s="114" t="s">
        <v>415</v>
      </c>
      <c r="C110" s="114" t="s">
        <v>421</v>
      </c>
      <c r="D110" s="114" t="s">
        <v>417</v>
      </c>
      <c r="E110">
        <v>6535</v>
      </c>
      <c r="F110" s="114" t="s">
        <v>573</v>
      </c>
      <c r="G110" s="114" t="s">
        <v>418</v>
      </c>
      <c r="H110" s="114" t="s">
        <v>425</v>
      </c>
      <c r="I110">
        <v>174</v>
      </c>
    </row>
    <row r="111" spans="1:10">
      <c r="A111" s="114" t="s">
        <v>556</v>
      </c>
      <c r="B111" s="114" t="s">
        <v>415</v>
      </c>
      <c r="C111" s="114" t="s">
        <v>416</v>
      </c>
      <c r="D111" s="114" t="s">
        <v>417</v>
      </c>
      <c r="E111">
        <v>6966</v>
      </c>
      <c r="F111" s="114" t="s">
        <v>574</v>
      </c>
      <c r="G111" s="114" t="s">
        <v>418</v>
      </c>
      <c r="H111" s="114" t="s">
        <v>469</v>
      </c>
      <c r="I111">
        <v>801</v>
      </c>
    </row>
    <row r="112" spans="1:10">
      <c r="A112" s="114" t="s">
        <v>556</v>
      </c>
      <c r="B112" s="114" t="s">
        <v>415</v>
      </c>
      <c r="C112" s="114" t="s">
        <v>434</v>
      </c>
      <c r="D112" s="114" t="s">
        <v>417</v>
      </c>
      <c r="E112">
        <v>7050</v>
      </c>
      <c r="F112" s="114" t="s">
        <v>575</v>
      </c>
      <c r="G112" s="114" t="s">
        <v>440</v>
      </c>
      <c r="H112" s="114" t="s">
        <v>425</v>
      </c>
      <c r="I112">
        <v>103</v>
      </c>
    </row>
    <row r="113" spans="1:10">
      <c r="A113" s="114" t="s">
        <v>556</v>
      </c>
      <c r="B113" s="114" t="s">
        <v>415</v>
      </c>
      <c r="C113" s="114" t="s">
        <v>416</v>
      </c>
      <c r="D113" s="114" t="s">
        <v>417</v>
      </c>
      <c r="E113">
        <v>7614</v>
      </c>
      <c r="F113" s="114" t="s">
        <v>576</v>
      </c>
      <c r="G113" s="114" t="s">
        <v>424</v>
      </c>
      <c r="H113" s="114" t="s">
        <v>436</v>
      </c>
      <c r="I113">
        <v>85</v>
      </c>
    </row>
    <row r="114" spans="1:10">
      <c r="A114" s="114" t="s">
        <v>556</v>
      </c>
      <c r="B114" s="114" t="s">
        <v>415</v>
      </c>
      <c r="C114" s="114" t="s">
        <v>434</v>
      </c>
      <c r="D114" s="114" t="s">
        <v>417</v>
      </c>
      <c r="E114">
        <v>7623</v>
      </c>
      <c r="F114" s="114" t="s">
        <v>577</v>
      </c>
      <c r="G114" s="114" t="s">
        <v>424</v>
      </c>
      <c r="H114" s="114" t="s">
        <v>436</v>
      </c>
      <c r="I114">
        <v>11</v>
      </c>
    </row>
    <row r="115" spans="1:10">
      <c r="A115" s="114" t="s">
        <v>556</v>
      </c>
      <c r="B115" s="114" t="s">
        <v>415</v>
      </c>
      <c r="C115" s="114" t="s">
        <v>429</v>
      </c>
      <c r="D115" s="114" t="s">
        <v>417</v>
      </c>
      <c r="E115">
        <v>8077</v>
      </c>
      <c r="F115" s="114" t="s">
        <v>578</v>
      </c>
      <c r="G115" s="114" t="s">
        <v>418</v>
      </c>
      <c r="H115" s="114" t="s">
        <v>427</v>
      </c>
      <c r="I115">
        <v>88</v>
      </c>
    </row>
    <row r="116" spans="1:10">
      <c r="A116" s="114" t="s">
        <v>556</v>
      </c>
      <c r="B116" s="114" t="s">
        <v>415</v>
      </c>
      <c r="C116" s="114" t="s">
        <v>429</v>
      </c>
      <c r="D116" s="114" t="s">
        <v>422</v>
      </c>
      <c r="E116">
        <v>8894</v>
      </c>
      <c r="F116" s="114" t="s">
        <v>579</v>
      </c>
      <c r="G116" s="114" t="s">
        <v>431</v>
      </c>
      <c r="H116" s="114" t="s">
        <v>471</v>
      </c>
      <c r="I116">
        <v>95</v>
      </c>
    </row>
    <row r="117" spans="1:10">
      <c r="A117" s="114" t="s">
        <v>556</v>
      </c>
      <c r="B117" s="114" t="s">
        <v>415</v>
      </c>
      <c r="C117" s="114" t="s">
        <v>434</v>
      </c>
      <c r="D117" s="114" t="s">
        <v>422</v>
      </c>
      <c r="E117">
        <v>9425</v>
      </c>
      <c r="F117" s="114" t="s">
        <v>580</v>
      </c>
      <c r="G117" s="114" t="s">
        <v>424</v>
      </c>
      <c r="H117" s="114" t="s">
        <v>438</v>
      </c>
      <c r="I117">
        <v>18</v>
      </c>
    </row>
    <row r="118" spans="1:10">
      <c r="A118" s="114" t="s">
        <v>556</v>
      </c>
      <c r="B118" s="114" t="s">
        <v>415</v>
      </c>
      <c r="C118" s="114" t="s">
        <v>429</v>
      </c>
      <c r="D118" s="114" t="s">
        <v>417</v>
      </c>
      <c r="E118">
        <v>9603</v>
      </c>
      <c r="F118" s="114" t="s">
        <v>581</v>
      </c>
      <c r="G118" s="114" t="s">
        <v>418</v>
      </c>
      <c r="H118" s="114" t="s">
        <v>425</v>
      </c>
      <c r="I118" s="114" t="s">
        <v>461</v>
      </c>
      <c r="J118" s="114" t="s">
        <v>653</v>
      </c>
    </row>
    <row r="119" spans="1:10">
      <c r="A119" s="114" t="s">
        <v>556</v>
      </c>
      <c r="B119" s="114" t="s">
        <v>415</v>
      </c>
      <c r="C119" s="114" t="s">
        <v>416</v>
      </c>
      <c r="D119" s="114" t="s">
        <v>417</v>
      </c>
      <c r="E119">
        <v>9681</v>
      </c>
      <c r="F119" s="114" t="s">
        <v>583</v>
      </c>
      <c r="G119" s="114" t="s">
        <v>418</v>
      </c>
      <c r="H119" s="114" t="s">
        <v>425</v>
      </c>
      <c r="I119" s="114">
        <v>966</v>
      </c>
      <c r="J119" s="114"/>
    </row>
    <row r="120" spans="1:10">
      <c r="A120" s="114" t="s">
        <v>584</v>
      </c>
      <c r="B120" s="114" t="s">
        <v>463</v>
      </c>
      <c r="C120" s="114" t="s">
        <v>416</v>
      </c>
      <c r="D120" s="114" t="s">
        <v>422</v>
      </c>
      <c r="E120">
        <v>4380</v>
      </c>
      <c r="F120" s="114" t="s">
        <v>585</v>
      </c>
      <c r="G120" s="114" t="s">
        <v>440</v>
      </c>
      <c r="H120" s="114" t="s">
        <v>438</v>
      </c>
      <c r="I120">
        <v>41</v>
      </c>
    </row>
    <row r="121" spans="1:10">
      <c r="A121" s="114" t="s">
        <v>584</v>
      </c>
      <c r="B121" s="114" t="s">
        <v>415</v>
      </c>
      <c r="C121" s="114" t="s">
        <v>429</v>
      </c>
      <c r="D121" s="114" t="s">
        <v>417</v>
      </c>
      <c r="E121">
        <v>1383</v>
      </c>
      <c r="F121" s="114" t="s">
        <v>586</v>
      </c>
      <c r="G121" s="114" t="s">
        <v>424</v>
      </c>
      <c r="H121" s="114" t="s">
        <v>587</v>
      </c>
      <c r="I121">
        <v>30</v>
      </c>
    </row>
    <row r="122" spans="1:10">
      <c r="A122" s="114" t="s">
        <v>584</v>
      </c>
      <c r="B122" s="114" t="s">
        <v>415</v>
      </c>
      <c r="C122" s="114" t="s">
        <v>434</v>
      </c>
      <c r="D122" s="114" t="s">
        <v>422</v>
      </c>
      <c r="E122">
        <v>1436</v>
      </c>
      <c r="F122" s="114" t="s">
        <v>588</v>
      </c>
      <c r="G122" s="114" t="s">
        <v>440</v>
      </c>
      <c r="H122" s="114" t="s">
        <v>479</v>
      </c>
      <c r="I122">
        <v>27</v>
      </c>
    </row>
    <row r="123" spans="1:10">
      <c r="A123" s="114" t="s">
        <v>584</v>
      </c>
      <c r="B123" s="114" t="s">
        <v>415</v>
      </c>
      <c r="C123" s="114" t="s">
        <v>429</v>
      </c>
      <c r="D123" s="114" t="s">
        <v>417</v>
      </c>
      <c r="E123">
        <v>1840</v>
      </c>
      <c r="F123" s="114" t="s">
        <v>589</v>
      </c>
      <c r="G123" s="114" t="s">
        <v>431</v>
      </c>
      <c r="H123" s="114" t="s">
        <v>479</v>
      </c>
      <c r="I123">
        <v>41</v>
      </c>
    </row>
    <row r="124" spans="1:10">
      <c r="A124" s="114" t="s">
        <v>584</v>
      </c>
      <c r="B124" s="114" t="s">
        <v>415</v>
      </c>
      <c r="C124" s="114" t="s">
        <v>429</v>
      </c>
      <c r="D124" s="114" t="s">
        <v>417</v>
      </c>
      <c r="E124">
        <v>1873</v>
      </c>
      <c r="F124" s="114" t="s">
        <v>590</v>
      </c>
      <c r="G124" s="114" t="s">
        <v>418</v>
      </c>
      <c r="H124" s="114" t="s">
        <v>479</v>
      </c>
      <c r="I124">
        <v>228</v>
      </c>
    </row>
    <row r="125" spans="1:10">
      <c r="A125" s="114" t="s">
        <v>584</v>
      </c>
      <c r="B125" s="114" t="s">
        <v>415</v>
      </c>
      <c r="C125" s="114" t="s">
        <v>434</v>
      </c>
      <c r="D125" s="114" t="s">
        <v>417</v>
      </c>
      <c r="E125">
        <v>2159</v>
      </c>
      <c r="F125" s="114" t="s">
        <v>591</v>
      </c>
      <c r="G125" s="114" t="s">
        <v>431</v>
      </c>
      <c r="H125" s="114" t="s">
        <v>425</v>
      </c>
      <c r="I125">
        <v>86</v>
      </c>
    </row>
    <row r="126" spans="1:10">
      <c r="A126" s="114" t="s">
        <v>584</v>
      </c>
      <c r="B126" s="114" t="s">
        <v>415</v>
      </c>
      <c r="C126" s="114" t="s">
        <v>429</v>
      </c>
      <c r="D126" s="114" t="s">
        <v>417</v>
      </c>
      <c r="E126">
        <v>2198</v>
      </c>
      <c r="F126" s="114" t="s">
        <v>592</v>
      </c>
      <c r="G126" s="114" t="s">
        <v>418</v>
      </c>
      <c r="H126" s="114" t="s">
        <v>425</v>
      </c>
      <c r="I126">
        <v>214</v>
      </c>
    </row>
    <row r="127" spans="1:10">
      <c r="A127" s="114" t="s">
        <v>584</v>
      </c>
      <c r="B127" s="114" t="s">
        <v>415</v>
      </c>
      <c r="C127" s="114" t="s">
        <v>429</v>
      </c>
      <c r="D127" s="114" t="s">
        <v>422</v>
      </c>
      <c r="E127">
        <v>2345</v>
      </c>
      <c r="F127" s="114" t="s">
        <v>593</v>
      </c>
      <c r="G127" s="114" t="s">
        <v>431</v>
      </c>
      <c r="H127" s="114" t="s">
        <v>438</v>
      </c>
      <c r="I127">
        <v>33</v>
      </c>
    </row>
    <row r="128" spans="1:10">
      <c r="A128" s="114" t="s">
        <v>584</v>
      </c>
      <c r="B128" s="114" t="s">
        <v>415</v>
      </c>
      <c r="C128" s="114" t="s">
        <v>421</v>
      </c>
      <c r="D128" s="114" t="s">
        <v>422</v>
      </c>
      <c r="E128">
        <v>2424</v>
      </c>
      <c r="F128" s="114" t="s">
        <v>594</v>
      </c>
      <c r="G128" s="114" t="s">
        <v>418</v>
      </c>
      <c r="H128" s="114" t="s">
        <v>425</v>
      </c>
      <c r="I128">
        <v>38</v>
      </c>
    </row>
    <row r="129" spans="1:10">
      <c r="A129" s="114" t="s">
        <v>584</v>
      </c>
      <c r="B129" s="114" t="s">
        <v>415</v>
      </c>
      <c r="C129" s="114" t="s">
        <v>416</v>
      </c>
      <c r="D129" s="114" t="s">
        <v>417</v>
      </c>
      <c r="E129">
        <v>2776</v>
      </c>
      <c r="F129" s="114" t="s">
        <v>595</v>
      </c>
      <c r="G129" s="114" t="s">
        <v>424</v>
      </c>
      <c r="H129" s="114" t="s">
        <v>427</v>
      </c>
      <c r="I129">
        <v>22</v>
      </c>
    </row>
    <row r="130" spans="1:10">
      <c r="A130" s="114" t="s">
        <v>584</v>
      </c>
      <c r="B130" s="114" t="s">
        <v>415</v>
      </c>
      <c r="C130" s="114" t="s">
        <v>421</v>
      </c>
      <c r="D130" s="114" t="s">
        <v>422</v>
      </c>
      <c r="E130">
        <v>2978</v>
      </c>
      <c r="F130" s="114" t="s">
        <v>596</v>
      </c>
      <c r="G130" s="114" t="s">
        <v>440</v>
      </c>
      <c r="H130" s="114" t="s">
        <v>471</v>
      </c>
      <c r="I130">
        <v>137</v>
      </c>
    </row>
    <row r="131" spans="1:10">
      <c r="A131" s="114" t="s">
        <v>584</v>
      </c>
      <c r="B131" s="114" t="s">
        <v>415</v>
      </c>
      <c r="C131" s="114" t="s">
        <v>429</v>
      </c>
      <c r="D131" s="114" t="s">
        <v>417</v>
      </c>
      <c r="E131">
        <v>3038</v>
      </c>
      <c r="F131" s="114" t="s">
        <v>597</v>
      </c>
      <c r="G131" s="114" t="s">
        <v>418</v>
      </c>
      <c r="H131" s="114" t="s">
        <v>427</v>
      </c>
      <c r="I131" s="114" t="s">
        <v>598</v>
      </c>
      <c r="J131" s="114" t="s">
        <v>1075</v>
      </c>
    </row>
    <row r="132" spans="1:10">
      <c r="A132" s="114" t="s">
        <v>584</v>
      </c>
      <c r="B132" s="114" t="s">
        <v>415</v>
      </c>
      <c r="C132" s="114" t="s">
        <v>416</v>
      </c>
      <c r="D132" s="114" t="s">
        <v>417</v>
      </c>
      <c r="E132">
        <v>3159</v>
      </c>
      <c r="F132" s="114" t="s">
        <v>599</v>
      </c>
      <c r="G132" s="114" t="s">
        <v>418</v>
      </c>
      <c r="H132" s="114" t="s">
        <v>436</v>
      </c>
      <c r="I132" s="114">
        <v>348</v>
      </c>
      <c r="J132" s="114"/>
    </row>
    <row r="133" spans="1:10">
      <c r="A133" s="114" t="s">
        <v>584</v>
      </c>
      <c r="B133" s="114" t="s">
        <v>415</v>
      </c>
      <c r="C133" s="114" t="s">
        <v>429</v>
      </c>
      <c r="D133" s="114" t="s">
        <v>417</v>
      </c>
      <c r="E133">
        <v>3195</v>
      </c>
      <c r="F133" s="114" t="s">
        <v>600</v>
      </c>
      <c r="G133" s="114" t="s">
        <v>440</v>
      </c>
      <c r="H133" s="114" t="s">
        <v>436</v>
      </c>
      <c r="I133">
        <v>49</v>
      </c>
    </row>
    <row r="134" spans="1:10">
      <c r="A134" s="114" t="s">
        <v>584</v>
      </c>
      <c r="B134" s="114" t="s">
        <v>415</v>
      </c>
      <c r="C134" s="114" t="s">
        <v>429</v>
      </c>
      <c r="D134" s="114" t="s">
        <v>422</v>
      </c>
      <c r="E134">
        <v>3309</v>
      </c>
      <c r="F134" s="114" t="s">
        <v>601</v>
      </c>
      <c r="G134" s="114" t="s">
        <v>533</v>
      </c>
      <c r="H134" s="114" t="s">
        <v>534</v>
      </c>
      <c r="I134" s="114" t="s">
        <v>598</v>
      </c>
      <c r="J134" s="114" t="s">
        <v>1076</v>
      </c>
    </row>
    <row r="135" spans="1:10">
      <c r="A135" s="114" t="s">
        <v>584</v>
      </c>
      <c r="B135" s="114" t="s">
        <v>415</v>
      </c>
      <c r="C135" s="114" t="s">
        <v>421</v>
      </c>
      <c r="D135" s="114" t="s">
        <v>417</v>
      </c>
      <c r="E135">
        <v>3421</v>
      </c>
      <c r="F135" s="114" t="s">
        <v>602</v>
      </c>
      <c r="G135" s="114" t="s">
        <v>418</v>
      </c>
      <c r="H135" s="114" t="s">
        <v>448</v>
      </c>
      <c r="I135" s="114">
        <v>259</v>
      </c>
      <c r="J135" s="114"/>
    </row>
    <row r="136" spans="1:10">
      <c r="A136" s="114" t="s">
        <v>584</v>
      </c>
      <c r="B136" s="114" t="s">
        <v>415</v>
      </c>
      <c r="C136" s="114" t="s">
        <v>429</v>
      </c>
      <c r="D136" s="114" t="s">
        <v>417</v>
      </c>
      <c r="E136">
        <v>3480</v>
      </c>
      <c r="F136" s="114" t="s">
        <v>603</v>
      </c>
      <c r="G136" s="114" t="s">
        <v>418</v>
      </c>
      <c r="H136" s="114" t="s">
        <v>471</v>
      </c>
      <c r="I136">
        <v>221</v>
      </c>
    </row>
    <row r="137" spans="1:10">
      <c r="A137" s="114" t="s">
        <v>584</v>
      </c>
      <c r="B137" s="114" t="s">
        <v>415</v>
      </c>
      <c r="C137" s="114" t="s">
        <v>421</v>
      </c>
      <c r="D137" s="114" t="s">
        <v>422</v>
      </c>
      <c r="E137">
        <v>3497</v>
      </c>
      <c r="F137" s="114" t="s">
        <v>604</v>
      </c>
      <c r="G137" s="114" t="s">
        <v>440</v>
      </c>
      <c r="H137" s="114" t="s">
        <v>471</v>
      </c>
      <c r="I137">
        <v>35</v>
      </c>
    </row>
    <row r="138" spans="1:10">
      <c r="A138" s="114" t="s">
        <v>584</v>
      </c>
      <c r="B138" s="114" t="s">
        <v>415</v>
      </c>
      <c r="C138" s="114" t="s">
        <v>429</v>
      </c>
      <c r="D138" s="114" t="s">
        <v>417</v>
      </c>
      <c r="E138">
        <v>3653</v>
      </c>
      <c r="F138" s="114" t="s">
        <v>605</v>
      </c>
      <c r="G138" s="114" t="s">
        <v>440</v>
      </c>
      <c r="H138" s="114" t="s">
        <v>438</v>
      </c>
      <c r="I138">
        <v>165</v>
      </c>
    </row>
    <row r="139" spans="1:10">
      <c r="A139" s="114" t="s">
        <v>584</v>
      </c>
      <c r="B139" s="114" t="s">
        <v>415</v>
      </c>
      <c r="C139" s="114" t="s">
        <v>416</v>
      </c>
      <c r="D139" s="114" t="s">
        <v>422</v>
      </c>
      <c r="E139">
        <v>3665</v>
      </c>
      <c r="F139" s="114" t="s">
        <v>606</v>
      </c>
      <c r="G139" s="114" t="s">
        <v>418</v>
      </c>
      <c r="H139" s="114" t="s">
        <v>438</v>
      </c>
      <c r="I139">
        <v>444</v>
      </c>
    </row>
    <row r="140" spans="1:10">
      <c r="A140" s="114" t="s">
        <v>584</v>
      </c>
      <c r="B140" s="114" t="s">
        <v>415</v>
      </c>
      <c r="C140" s="114" t="s">
        <v>434</v>
      </c>
      <c r="D140" s="114" t="s">
        <v>417</v>
      </c>
      <c r="E140">
        <v>3843</v>
      </c>
      <c r="F140" s="114" t="s">
        <v>607</v>
      </c>
      <c r="G140" s="114" t="s">
        <v>418</v>
      </c>
      <c r="H140" s="114" t="s">
        <v>438</v>
      </c>
      <c r="I140">
        <v>211</v>
      </c>
    </row>
    <row r="141" spans="1:10">
      <c r="A141" s="114" t="s">
        <v>584</v>
      </c>
      <c r="B141" s="114" t="s">
        <v>415</v>
      </c>
      <c r="C141" s="114" t="s">
        <v>416</v>
      </c>
      <c r="D141" s="114" t="s">
        <v>422</v>
      </c>
      <c r="E141">
        <v>3921</v>
      </c>
      <c r="F141" s="114" t="s">
        <v>608</v>
      </c>
      <c r="G141" s="114" t="s">
        <v>418</v>
      </c>
      <c r="H141" s="114" t="s">
        <v>438</v>
      </c>
      <c r="I141">
        <v>149</v>
      </c>
    </row>
    <row r="142" spans="1:10">
      <c r="A142" s="114" t="s">
        <v>584</v>
      </c>
      <c r="B142" s="114" t="s">
        <v>415</v>
      </c>
      <c r="C142" s="114" t="s">
        <v>416</v>
      </c>
      <c r="D142" s="114" t="s">
        <v>417</v>
      </c>
      <c r="E142">
        <v>3931</v>
      </c>
      <c r="F142" s="114" t="s">
        <v>609</v>
      </c>
      <c r="G142" s="114" t="s">
        <v>440</v>
      </c>
      <c r="H142" s="114" t="s">
        <v>438</v>
      </c>
      <c r="I142">
        <v>23</v>
      </c>
    </row>
    <row r="143" spans="1:10">
      <c r="A143" s="114" t="s">
        <v>584</v>
      </c>
      <c r="B143" s="114" t="s">
        <v>415</v>
      </c>
      <c r="C143" s="114" t="s">
        <v>416</v>
      </c>
      <c r="D143" s="114" t="s">
        <v>417</v>
      </c>
      <c r="E143">
        <v>3995</v>
      </c>
      <c r="F143" s="114" t="s">
        <v>610</v>
      </c>
      <c r="G143" s="114" t="s">
        <v>440</v>
      </c>
      <c r="H143" s="114" t="s">
        <v>438</v>
      </c>
      <c r="I143">
        <v>72</v>
      </c>
    </row>
    <row r="144" spans="1:10">
      <c r="A144" s="114" t="s">
        <v>584</v>
      </c>
      <c r="B144" s="114" t="s">
        <v>415</v>
      </c>
      <c r="C144" s="114" t="s">
        <v>416</v>
      </c>
      <c r="D144" s="114" t="s">
        <v>417</v>
      </c>
      <c r="E144">
        <v>4287</v>
      </c>
      <c r="F144" s="114" t="s">
        <v>611</v>
      </c>
      <c r="G144" s="114" t="s">
        <v>424</v>
      </c>
      <c r="H144" s="114" t="s">
        <v>438</v>
      </c>
      <c r="I144">
        <v>66</v>
      </c>
    </row>
    <row r="145" spans="1:10">
      <c r="A145" s="114" t="s">
        <v>584</v>
      </c>
      <c r="B145" s="114" t="s">
        <v>415</v>
      </c>
      <c r="C145" s="114" t="s">
        <v>434</v>
      </c>
      <c r="D145" s="114" t="s">
        <v>422</v>
      </c>
      <c r="E145">
        <v>4431</v>
      </c>
      <c r="F145" s="114" t="s">
        <v>612</v>
      </c>
      <c r="G145" s="114" t="s">
        <v>440</v>
      </c>
      <c r="H145" s="114" t="s">
        <v>438</v>
      </c>
      <c r="I145">
        <v>242</v>
      </c>
    </row>
    <row r="146" spans="1:10">
      <c r="A146" s="114" t="s">
        <v>584</v>
      </c>
      <c r="B146" s="114" t="s">
        <v>415</v>
      </c>
      <c r="C146" s="114" t="s">
        <v>416</v>
      </c>
      <c r="D146" s="114" t="s">
        <v>417</v>
      </c>
      <c r="E146">
        <v>4592</v>
      </c>
      <c r="F146" s="114" t="s">
        <v>613</v>
      </c>
      <c r="G146" s="114" t="s">
        <v>440</v>
      </c>
      <c r="H146" s="114" t="s">
        <v>568</v>
      </c>
      <c r="I146" s="114" t="s">
        <v>461</v>
      </c>
      <c r="J146" s="114" t="s">
        <v>1077</v>
      </c>
    </row>
    <row r="147" spans="1:10">
      <c r="A147" s="114" t="s">
        <v>584</v>
      </c>
      <c r="B147" s="114" t="s">
        <v>415</v>
      </c>
      <c r="C147" s="114" t="s">
        <v>421</v>
      </c>
      <c r="D147" s="114" t="s">
        <v>422</v>
      </c>
      <c r="E147">
        <v>4599</v>
      </c>
      <c r="F147" s="114" t="s">
        <v>614</v>
      </c>
      <c r="G147" s="114" t="s">
        <v>440</v>
      </c>
      <c r="H147" s="114" t="s">
        <v>568</v>
      </c>
      <c r="I147" s="114">
        <v>508</v>
      </c>
      <c r="J147" s="114"/>
    </row>
    <row r="148" spans="1:10">
      <c r="A148" s="114" t="s">
        <v>584</v>
      </c>
      <c r="B148" s="114" t="s">
        <v>415</v>
      </c>
      <c r="C148" s="114" t="s">
        <v>429</v>
      </c>
      <c r="D148" s="114" t="s">
        <v>417</v>
      </c>
      <c r="E148">
        <v>4627</v>
      </c>
      <c r="F148" s="114" t="s">
        <v>615</v>
      </c>
      <c r="G148" s="114" t="s">
        <v>424</v>
      </c>
      <c r="H148" s="114" t="s">
        <v>442</v>
      </c>
      <c r="I148">
        <v>101</v>
      </c>
    </row>
    <row r="149" spans="1:10">
      <c r="A149" s="114" t="s">
        <v>584</v>
      </c>
      <c r="B149" s="114" t="s">
        <v>415</v>
      </c>
      <c r="C149" s="114" t="s">
        <v>429</v>
      </c>
      <c r="D149" s="114" t="s">
        <v>417</v>
      </c>
      <c r="E149">
        <v>4996</v>
      </c>
      <c r="F149" s="114" t="s">
        <v>616</v>
      </c>
      <c r="G149" s="114" t="s">
        <v>418</v>
      </c>
      <c r="H149" s="114" t="s">
        <v>442</v>
      </c>
      <c r="I149" s="114" t="s">
        <v>501</v>
      </c>
      <c r="J149" s="114" t="s">
        <v>1078</v>
      </c>
    </row>
    <row r="150" spans="1:10">
      <c r="A150" s="114" t="s">
        <v>584</v>
      </c>
      <c r="B150" s="114" t="s">
        <v>415</v>
      </c>
      <c r="C150" s="114" t="s">
        <v>429</v>
      </c>
      <c r="D150" s="114" t="s">
        <v>422</v>
      </c>
      <c r="E150">
        <v>6049</v>
      </c>
      <c r="F150" s="114" t="s">
        <v>617</v>
      </c>
      <c r="G150" s="114" t="s">
        <v>440</v>
      </c>
      <c r="H150" s="114" t="s">
        <v>425</v>
      </c>
      <c r="I150" s="114">
        <v>413</v>
      </c>
      <c r="J150" s="114"/>
    </row>
    <row r="151" spans="1:10">
      <c r="A151" s="114" t="s">
        <v>584</v>
      </c>
      <c r="B151" s="114" t="s">
        <v>415</v>
      </c>
      <c r="C151" s="114" t="s">
        <v>421</v>
      </c>
      <c r="D151" s="114" t="s">
        <v>417</v>
      </c>
      <c r="E151">
        <v>6091</v>
      </c>
      <c r="F151" s="114" t="s">
        <v>618</v>
      </c>
      <c r="G151" s="114" t="s">
        <v>431</v>
      </c>
      <c r="H151" s="114" t="s">
        <v>425</v>
      </c>
      <c r="I151">
        <v>70</v>
      </c>
    </row>
    <row r="152" spans="1:10">
      <c r="A152" s="114" t="s">
        <v>584</v>
      </c>
      <c r="B152" s="114" t="s">
        <v>415</v>
      </c>
      <c r="C152" s="114" t="s">
        <v>434</v>
      </c>
      <c r="D152" s="114" t="s">
        <v>417</v>
      </c>
      <c r="E152">
        <v>6192</v>
      </c>
      <c r="F152" s="114" t="s">
        <v>619</v>
      </c>
      <c r="G152" s="114" t="s">
        <v>440</v>
      </c>
      <c r="H152" s="114" t="s">
        <v>425</v>
      </c>
      <c r="I152">
        <v>80</v>
      </c>
    </row>
    <row r="153" spans="1:10">
      <c r="A153" s="114" t="s">
        <v>584</v>
      </c>
      <c r="B153" s="114" t="s">
        <v>415</v>
      </c>
      <c r="C153" s="114" t="s">
        <v>421</v>
      </c>
      <c r="D153" s="114" t="s">
        <v>417</v>
      </c>
      <c r="E153">
        <v>6577</v>
      </c>
      <c r="F153" s="114" t="s">
        <v>620</v>
      </c>
      <c r="G153" s="114" t="s">
        <v>440</v>
      </c>
      <c r="H153" s="114" t="s">
        <v>425</v>
      </c>
      <c r="I153">
        <v>41</v>
      </c>
    </row>
    <row r="154" spans="1:10">
      <c r="A154" s="114" t="s">
        <v>584</v>
      </c>
      <c r="B154" s="114" t="s">
        <v>415</v>
      </c>
      <c r="C154" s="114" t="s">
        <v>434</v>
      </c>
      <c r="D154" s="114" t="s">
        <v>417</v>
      </c>
      <c r="E154">
        <v>6630</v>
      </c>
      <c r="F154" s="114" t="s">
        <v>621</v>
      </c>
      <c r="G154" s="114" t="s">
        <v>418</v>
      </c>
      <c r="H154" s="114" t="s">
        <v>469</v>
      </c>
      <c r="I154">
        <v>414</v>
      </c>
    </row>
    <row r="155" spans="1:10">
      <c r="A155" s="114" t="s">
        <v>584</v>
      </c>
      <c r="B155" s="114" t="s">
        <v>415</v>
      </c>
      <c r="C155" s="114" t="s">
        <v>421</v>
      </c>
      <c r="D155" s="114" t="s">
        <v>417</v>
      </c>
      <c r="E155">
        <v>6721</v>
      </c>
      <c r="F155" s="114" t="s">
        <v>622</v>
      </c>
      <c r="G155" s="114" t="s">
        <v>431</v>
      </c>
      <c r="H155" s="114" t="s">
        <v>469</v>
      </c>
      <c r="I155">
        <v>84</v>
      </c>
    </row>
    <row r="156" spans="1:10">
      <c r="A156" s="114" t="s">
        <v>584</v>
      </c>
      <c r="B156" s="114" t="s">
        <v>415</v>
      </c>
      <c r="C156" s="114" t="s">
        <v>429</v>
      </c>
      <c r="D156" s="114" t="s">
        <v>417</v>
      </c>
      <c r="E156">
        <v>7033</v>
      </c>
      <c r="F156" s="114" t="s">
        <v>623</v>
      </c>
      <c r="G156" s="114" t="s">
        <v>418</v>
      </c>
      <c r="H156" s="114" t="s">
        <v>425</v>
      </c>
      <c r="I156">
        <v>123</v>
      </c>
    </row>
    <row r="157" spans="1:10">
      <c r="A157" s="114" t="s">
        <v>584</v>
      </c>
      <c r="B157" s="114" t="s">
        <v>415</v>
      </c>
      <c r="C157" s="114" t="s">
        <v>416</v>
      </c>
      <c r="D157" s="114" t="s">
        <v>417</v>
      </c>
      <c r="E157">
        <v>7073</v>
      </c>
      <c r="F157" s="114" t="s">
        <v>624</v>
      </c>
      <c r="G157" s="114" t="s">
        <v>440</v>
      </c>
      <c r="H157" s="114" t="s">
        <v>425</v>
      </c>
      <c r="I157">
        <v>70</v>
      </c>
    </row>
    <row r="158" spans="1:10">
      <c r="A158" s="114" t="s">
        <v>584</v>
      </c>
      <c r="B158" s="114" t="s">
        <v>415</v>
      </c>
      <c r="C158" s="114" t="s">
        <v>429</v>
      </c>
      <c r="D158" s="114" t="s">
        <v>417</v>
      </c>
      <c r="E158">
        <v>7279</v>
      </c>
      <c r="F158" s="114" t="s">
        <v>625</v>
      </c>
      <c r="G158" s="114" t="s">
        <v>431</v>
      </c>
      <c r="H158" s="114" t="s">
        <v>497</v>
      </c>
      <c r="I158">
        <v>701</v>
      </c>
    </row>
    <row r="159" spans="1:10">
      <c r="A159" s="114" t="s">
        <v>584</v>
      </c>
      <c r="B159" s="114" t="s">
        <v>415</v>
      </c>
      <c r="C159" s="114" t="s">
        <v>434</v>
      </c>
      <c r="D159" s="114" t="s">
        <v>417</v>
      </c>
      <c r="E159">
        <v>7604</v>
      </c>
      <c r="F159" s="114" t="s">
        <v>626</v>
      </c>
      <c r="G159" s="114" t="s">
        <v>431</v>
      </c>
      <c r="H159" s="114" t="s">
        <v>436</v>
      </c>
      <c r="I159">
        <v>206</v>
      </c>
    </row>
    <row r="160" spans="1:10">
      <c r="A160" s="114" t="s">
        <v>584</v>
      </c>
      <c r="B160" s="114" t="s">
        <v>415</v>
      </c>
      <c r="C160" s="114" t="s">
        <v>429</v>
      </c>
      <c r="D160" s="114" t="s">
        <v>422</v>
      </c>
      <c r="E160">
        <v>7605</v>
      </c>
      <c r="F160" s="114" t="s">
        <v>627</v>
      </c>
      <c r="G160" s="114" t="s">
        <v>418</v>
      </c>
      <c r="H160" s="114" t="s">
        <v>436</v>
      </c>
      <c r="I160">
        <v>232</v>
      </c>
    </row>
    <row r="161" spans="1:10">
      <c r="A161" s="114" t="s">
        <v>584</v>
      </c>
      <c r="B161" s="114" t="s">
        <v>415</v>
      </c>
      <c r="C161" s="114" t="s">
        <v>421</v>
      </c>
      <c r="D161" s="114" t="s">
        <v>422</v>
      </c>
      <c r="E161">
        <v>7682</v>
      </c>
      <c r="F161" s="114" t="s">
        <v>628</v>
      </c>
      <c r="G161" s="114" t="s">
        <v>424</v>
      </c>
      <c r="H161" s="114" t="s">
        <v>436</v>
      </c>
      <c r="I161">
        <v>27</v>
      </c>
    </row>
    <row r="162" spans="1:10">
      <c r="A162" s="114" t="s">
        <v>584</v>
      </c>
      <c r="B162" s="114" t="s">
        <v>415</v>
      </c>
      <c r="C162" s="114" t="s">
        <v>416</v>
      </c>
      <c r="D162" s="114" t="s">
        <v>417</v>
      </c>
      <c r="E162">
        <v>7683</v>
      </c>
      <c r="F162" s="114" t="s">
        <v>629</v>
      </c>
      <c r="G162" s="114" t="s">
        <v>440</v>
      </c>
      <c r="H162" s="114" t="s">
        <v>436</v>
      </c>
      <c r="I162">
        <v>203</v>
      </c>
    </row>
    <row r="163" spans="1:10">
      <c r="A163" s="114" t="s">
        <v>584</v>
      </c>
      <c r="B163" s="114" t="s">
        <v>415</v>
      </c>
      <c r="C163" s="114" t="s">
        <v>421</v>
      </c>
      <c r="D163" s="114" t="s">
        <v>417</v>
      </c>
      <c r="E163">
        <v>7803</v>
      </c>
      <c r="F163" s="114" t="s">
        <v>630</v>
      </c>
      <c r="G163" s="114" t="s">
        <v>440</v>
      </c>
      <c r="H163" s="114" t="s">
        <v>458</v>
      </c>
      <c r="I163">
        <v>651</v>
      </c>
    </row>
    <row r="164" spans="1:10">
      <c r="A164" s="114" t="s">
        <v>584</v>
      </c>
      <c r="B164" s="114" t="s">
        <v>415</v>
      </c>
      <c r="C164" s="114" t="s">
        <v>429</v>
      </c>
      <c r="D164" s="114" t="s">
        <v>422</v>
      </c>
      <c r="E164">
        <v>7805</v>
      </c>
      <c r="F164" s="114" t="s">
        <v>631</v>
      </c>
      <c r="G164" s="114" t="s">
        <v>424</v>
      </c>
      <c r="H164" s="114" t="s">
        <v>458</v>
      </c>
      <c r="I164">
        <v>28</v>
      </c>
    </row>
    <row r="165" spans="1:10">
      <c r="A165" s="114" t="s">
        <v>584</v>
      </c>
      <c r="B165" s="114" t="s">
        <v>415</v>
      </c>
      <c r="C165" s="114" t="s">
        <v>421</v>
      </c>
      <c r="D165" s="114" t="s">
        <v>417</v>
      </c>
      <c r="E165">
        <v>7810</v>
      </c>
      <c r="F165" s="114" t="s">
        <v>632</v>
      </c>
      <c r="G165" s="114" t="s">
        <v>424</v>
      </c>
      <c r="H165" s="114" t="s">
        <v>458</v>
      </c>
      <c r="I165">
        <v>60</v>
      </c>
    </row>
    <row r="166" spans="1:10">
      <c r="A166" s="114" t="s">
        <v>584</v>
      </c>
      <c r="B166" s="114" t="s">
        <v>415</v>
      </c>
      <c r="C166" s="114" t="s">
        <v>429</v>
      </c>
      <c r="D166" s="114" t="s">
        <v>422</v>
      </c>
      <c r="E166">
        <v>7827</v>
      </c>
      <c r="F166" s="114" t="s">
        <v>633</v>
      </c>
      <c r="G166" s="114" t="s">
        <v>424</v>
      </c>
      <c r="H166" s="114" t="s">
        <v>458</v>
      </c>
      <c r="I166">
        <v>14</v>
      </c>
    </row>
    <row r="167" spans="1:10">
      <c r="A167" s="114" t="s">
        <v>584</v>
      </c>
      <c r="B167" s="114" t="s">
        <v>415</v>
      </c>
      <c r="C167" s="114" t="s">
        <v>421</v>
      </c>
      <c r="D167" s="114" t="s">
        <v>417</v>
      </c>
      <c r="E167">
        <v>7850</v>
      </c>
      <c r="F167" s="114" t="s">
        <v>634</v>
      </c>
      <c r="G167" s="114" t="s">
        <v>424</v>
      </c>
      <c r="H167" s="114" t="s">
        <v>458</v>
      </c>
      <c r="I167">
        <v>22</v>
      </c>
    </row>
    <row r="168" spans="1:10">
      <c r="A168" s="114" t="s">
        <v>584</v>
      </c>
      <c r="B168" s="114" t="s">
        <v>415</v>
      </c>
      <c r="C168" s="114" t="s">
        <v>434</v>
      </c>
      <c r="D168" s="114" t="s">
        <v>417</v>
      </c>
      <c r="E168">
        <v>7899</v>
      </c>
      <c r="F168" s="114" t="s">
        <v>635</v>
      </c>
      <c r="G168" s="114" t="s">
        <v>424</v>
      </c>
      <c r="H168" s="114" t="s">
        <v>442</v>
      </c>
      <c r="I168">
        <v>19</v>
      </c>
    </row>
    <row r="169" spans="1:10">
      <c r="A169" s="114" t="s">
        <v>584</v>
      </c>
      <c r="B169" s="114" t="s">
        <v>415</v>
      </c>
      <c r="C169" s="114" t="s">
        <v>429</v>
      </c>
      <c r="D169" s="114" t="s">
        <v>417</v>
      </c>
      <c r="E169">
        <v>7983</v>
      </c>
      <c r="F169" s="114" t="s">
        <v>636</v>
      </c>
      <c r="G169" s="114" t="s">
        <v>431</v>
      </c>
      <c r="H169" s="114" t="s">
        <v>458</v>
      </c>
      <c r="I169">
        <v>61</v>
      </c>
    </row>
    <row r="170" spans="1:10">
      <c r="A170" s="114" t="s">
        <v>584</v>
      </c>
      <c r="B170" s="114" t="s">
        <v>415</v>
      </c>
      <c r="C170" s="114" t="s">
        <v>416</v>
      </c>
      <c r="D170" s="114" t="s">
        <v>417</v>
      </c>
      <c r="E170">
        <v>8013</v>
      </c>
      <c r="F170" s="114" t="s">
        <v>637</v>
      </c>
      <c r="G170" s="114" t="s">
        <v>418</v>
      </c>
      <c r="H170" s="114" t="s">
        <v>512</v>
      </c>
      <c r="I170">
        <v>36</v>
      </c>
    </row>
    <row r="171" spans="1:10">
      <c r="A171" s="114" t="s">
        <v>584</v>
      </c>
      <c r="B171" s="114" t="s">
        <v>415</v>
      </c>
      <c r="C171" s="114" t="s">
        <v>429</v>
      </c>
      <c r="D171" s="114" t="s">
        <v>417</v>
      </c>
      <c r="E171">
        <v>8079</v>
      </c>
      <c r="F171" s="114" t="s">
        <v>638</v>
      </c>
      <c r="G171" s="114" t="s">
        <v>418</v>
      </c>
      <c r="H171" s="114" t="s">
        <v>427</v>
      </c>
      <c r="I171">
        <v>571</v>
      </c>
    </row>
    <row r="172" spans="1:10">
      <c r="A172" s="114" t="s">
        <v>584</v>
      </c>
      <c r="B172" s="114" t="s">
        <v>415</v>
      </c>
      <c r="C172" s="114" t="s">
        <v>429</v>
      </c>
      <c r="D172" s="114" t="s">
        <v>417</v>
      </c>
      <c r="E172">
        <v>8917</v>
      </c>
      <c r="F172" s="114" t="s">
        <v>639</v>
      </c>
      <c r="G172" s="114" t="s">
        <v>418</v>
      </c>
      <c r="H172" s="114" t="s">
        <v>471</v>
      </c>
      <c r="I172">
        <v>221</v>
      </c>
    </row>
    <row r="173" spans="1:10">
      <c r="A173" s="114" t="s">
        <v>584</v>
      </c>
      <c r="B173" s="114" t="s">
        <v>415</v>
      </c>
      <c r="C173" s="114" t="s">
        <v>421</v>
      </c>
      <c r="D173" s="114" t="s">
        <v>417</v>
      </c>
      <c r="E173">
        <v>8925</v>
      </c>
      <c r="F173" s="114" t="s">
        <v>640</v>
      </c>
      <c r="G173" s="114" t="s">
        <v>431</v>
      </c>
      <c r="H173" s="114" t="s">
        <v>471</v>
      </c>
      <c r="I173">
        <v>206</v>
      </c>
    </row>
    <row r="174" spans="1:10">
      <c r="A174" s="114" t="s">
        <v>584</v>
      </c>
      <c r="B174" s="114" t="s">
        <v>415</v>
      </c>
      <c r="C174" s="114" t="s">
        <v>421</v>
      </c>
      <c r="D174" s="114" t="s">
        <v>417</v>
      </c>
      <c r="E174">
        <v>8927</v>
      </c>
      <c r="F174" s="114" t="s">
        <v>641</v>
      </c>
      <c r="G174" s="114" t="s">
        <v>424</v>
      </c>
      <c r="H174" s="114" t="s">
        <v>471</v>
      </c>
      <c r="I174">
        <v>66</v>
      </c>
    </row>
    <row r="175" spans="1:10">
      <c r="A175" s="114" t="s">
        <v>584</v>
      </c>
      <c r="B175" s="114" t="s">
        <v>415</v>
      </c>
      <c r="C175" s="114" t="s">
        <v>429</v>
      </c>
      <c r="D175" s="114" t="s">
        <v>422</v>
      </c>
      <c r="E175">
        <v>8975</v>
      </c>
      <c r="F175" s="114" t="s">
        <v>642</v>
      </c>
      <c r="G175" s="114" t="s">
        <v>533</v>
      </c>
      <c r="H175" s="114" t="s">
        <v>534</v>
      </c>
      <c r="I175" s="114" t="s">
        <v>501</v>
      </c>
      <c r="J175" s="114" t="s">
        <v>1079</v>
      </c>
    </row>
    <row r="176" spans="1:10">
      <c r="A176" s="114" t="s">
        <v>584</v>
      </c>
      <c r="B176" s="114" t="s">
        <v>415</v>
      </c>
      <c r="C176" s="114" t="s">
        <v>429</v>
      </c>
      <c r="D176" s="114" t="s">
        <v>422</v>
      </c>
      <c r="E176">
        <v>8979</v>
      </c>
      <c r="F176" s="114" t="s">
        <v>643</v>
      </c>
      <c r="G176" s="114" t="s">
        <v>533</v>
      </c>
      <c r="H176" s="114" t="s">
        <v>534</v>
      </c>
      <c r="I176" s="114">
        <v>512</v>
      </c>
      <c r="J176" s="114"/>
    </row>
    <row r="177" spans="1:10">
      <c r="A177" s="114" t="s">
        <v>584</v>
      </c>
      <c r="B177" s="114" t="s">
        <v>415</v>
      </c>
      <c r="C177" s="114" t="s">
        <v>429</v>
      </c>
      <c r="D177" s="114" t="s">
        <v>417</v>
      </c>
      <c r="E177">
        <v>9279</v>
      </c>
      <c r="F177" s="114" t="s">
        <v>644</v>
      </c>
      <c r="G177" s="114" t="s">
        <v>440</v>
      </c>
      <c r="H177" s="114" t="s">
        <v>436</v>
      </c>
      <c r="I177">
        <v>225</v>
      </c>
    </row>
    <row r="178" spans="1:10">
      <c r="A178" s="114" t="s">
        <v>584</v>
      </c>
      <c r="B178" s="114" t="s">
        <v>415</v>
      </c>
      <c r="C178" s="114" t="s">
        <v>416</v>
      </c>
      <c r="D178" s="114" t="s">
        <v>417</v>
      </c>
      <c r="E178">
        <v>9637</v>
      </c>
      <c r="F178" s="114" t="s">
        <v>645</v>
      </c>
      <c r="G178" s="114" t="s">
        <v>431</v>
      </c>
      <c r="H178" s="114" t="s">
        <v>425</v>
      </c>
      <c r="I178">
        <v>113</v>
      </c>
    </row>
    <row r="179" spans="1:10">
      <c r="A179" s="114" t="s">
        <v>646</v>
      </c>
      <c r="B179" s="114" t="s">
        <v>505</v>
      </c>
      <c r="C179" s="114" t="s">
        <v>429</v>
      </c>
      <c r="D179" s="114" t="s">
        <v>422</v>
      </c>
      <c r="E179">
        <v>7034</v>
      </c>
      <c r="F179" s="114" t="s">
        <v>647</v>
      </c>
      <c r="G179" s="114" t="s">
        <v>440</v>
      </c>
      <c r="H179" s="114" t="s">
        <v>425</v>
      </c>
      <c r="I179">
        <v>488</v>
      </c>
    </row>
    <row r="180" spans="1:10">
      <c r="A180" s="114" t="s">
        <v>646</v>
      </c>
      <c r="B180" s="114" t="s">
        <v>415</v>
      </c>
      <c r="C180" s="114" t="s">
        <v>429</v>
      </c>
      <c r="D180" s="114" t="s">
        <v>422</v>
      </c>
      <c r="E180">
        <v>3287</v>
      </c>
      <c r="F180" s="114" t="s">
        <v>648</v>
      </c>
      <c r="G180" s="114" t="s">
        <v>533</v>
      </c>
      <c r="H180" s="114" t="s">
        <v>534</v>
      </c>
      <c r="I180" s="114" t="s">
        <v>501</v>
      </c>
      <c r="J180" s="114" t="s">
        <v>1080</v>
      </c>
    </row>
    <row r="181" spans="1:10">
      <c r="A181" s="114" t="s">
        <v>646</v>
      </c>
      <c r="B181" s="114" t="s">
        <v>415</v>
      </c>
      <c r="C181" s="114" t="s">
        <v>429</v>
      </c>
      <c r="D181" s="114" t="s">
        <v>422</v>
      </c>
      <c r="E181">
        <v>3298</v>
      </c>
      <c r="F181" s="114" t="s">
        <v>649</v>
      </c>
      <c r="G181" s="114" t="s">
        <v>533</v>
      </c>
      <c r="H181" s="114" t="s">
        <v>534</v>
      </c>
      <c r="I181" s="114" t="s">
        <v>501</v>
      </c>
      <c r="J181" s="114" t="s">
        <v>1081</v>
      </c>
    </row>
    <row r="182" spans="1:10">
      <c r="A182" s="114" t="s">
        <v>646</v>
      </c>
      <c r="B182" s="114" t="s">
        <v>415</v>
      </c>
      <c r="C182" s="114" t="s">
        <v>429</v>
      </c>
      <c r="D182" s="114" t="s">
        <v>422</v>
      </c>
      <c r="E182">
        <v>3451</v>
      </c>
      <c r="F182" s="114" t="s">
        <v>650</v>
      </c>
      <c r="G182" s="114" t="s">
        <v>533</v>
      </c>
      <c r="H182" s="114" t="s">
        <v>534</v>
      </c>
      <c r="I182" s="114">
        <v>447</v>
      </c>
      <c r="J182" s="114"/>
    </row>
    <row r="183" spans="1:10">
      <c r="A183" s="114" t="s">
        <v>646</v>
      </c>
      <c r="B183" s="114" t="s">
        <v>415</v>
      </c>
      <c r="C183" s="114" t="s">
        <v>429</v>
      </c>
      <c r="D183" s="114" t="s">
        <v>417</v>
      </c>
      <c r="E183">
        <v>3804</v>
      </c>
      <c r="F183" s="114" t="s">
        <v>651</v>
      </c>
      <c r="G183" s="114" t="s">
        <v>424</v>
      </c>
      <c r="H183" s="114" t="s">
        <v>438</v>
      </c>
      <c r="I183">
        <v>50</v>
      </c>
    </row>
    <row r="184" spans="1:10">
      <c r="A184" s="114" t="s">
        <v>646</v>
      </c>
      <c r="B184" s="114" t="s">
        <v>415</v>
      </c>
      <c r="C184" s="114" t="s">
        <v>429</v>
      </c>
      <c r="D184" s="114" t="s">
        <v>417</v>
      </c>
      <c r="E184">
        <v>4666</v>
      </c>
      <c r="F184" s="114" t="s">
        <v>652</v>
      </c>
      <c r="G184" s="114" t="s">
        <v>418</v>
      </c>
      <c r="H184" s="114" t="s">
        <v>471</v>
      </c>
      <c r="I184" s="114" t="s">
        <v>598</v>
      </c>
      <c r="J184" s="114" t="s">
        <v>582</v>
      </c>
    </row>
    <row r="185" spans="1:10">
      <c r="A185" s="114" t="s">
        <v>646</v>
      </c>
      <c r="B185" s="114" t="s">
        <v>415</v>
      </c>
      <c r="C185" s="114" t="s">
        <v>429</v>
      </c>
      <c r="D185" s="114" t="s">
        <v>417</v>
      </c>
      <c r="E185">
        <v>7831</v>
      </c>
      <c r="F185" s="114" t="s">
        <v>654</v>
      </c>
      <c r="G185" s="114" t="s">
        <v>431</v>
      </c>
      <c r="H185" s="114" t="s">
        <v>458</v>
      </c>
      <c r="I185" s="114">
        <v>37</v>
      </c>
      <c r="J185" s="114"/>
    </row>
    <row r="186" spans="1:10">
      <c r="A186" s="114" t="s">
        <v>655</v>
      </c>
      <c r="B186" s="114" t="s">
        <v>415</v>
      </c>
      <c r="C186" s="114" t="s">
        <v>434</v>
      </c>
      <c r="D186" s="114" t="s">
        <v>417</v>
      </c>
      <c r="E186">
        <v>2678</v>
      </c>
      <c r="F186" s="114" t="s">
        <v>656</v>
      </c>
      <c r="G186" s="114" t="s">
        <v>418</v>
      </c>
      <c r="H186" s="114" t="s">
        <v>436</v>
      </c>
      <c r="I186" s="114" t="s">
        <v>501</v>
      </c>
      <c r="J186" s="114" t="s">
        <v>1082</v>
      </c>
    </row>
    <row r="187" spans="1:10">
      <c r="A187" s="114" t="s">
        <v>655</v>
      </c>
      <c r="B187" s="114" t="s">
        <v>415</v>
      </c>
      <c r="C187" s="114" t="s">
        <v>434</v>
      </c>
      <c r="D187" s="114" t="s">
        <v>417</v>
      </c>
      <c r="E187">
        <v>3391</v>
      </c>
      <c r="F187" s="114" t="s">
        <v>657</v>
      </c>
      <c r="G187" s="114" t="s">
        <v>418</v>
      </c>
      <c r="H187" s="114" t="s">
        <v>436</v>
      </c>
      <c r="I187" s="114" t="s">
        <v>658</v>
      </c>
      <c r="J187" s="114" t="s">
        <v>1083</v>
      </c>
    </row>
    <row r="188" spans="1:10">
      <c r="A188" s="114" t="s">
        <v>655</v>
      </c>
      <c r="B188" s="114" t="s">
        <v>415</v>
      </c>
      <c r="C188" s="114" t="s">
        <v>429</v>
      </c>
      <c r="D188" s="114" t="s">
        <v>422</v>
      </c>
      <c r="E188">
        <v>8956</v>
      </c>
      <c r="F188" s="114" t="s">
        <v>659</v>
      </c>
      <c r="G188" s="114" t="s">
        <v>533</v>
      </c>
      <c r="H188" s="114" t="s">
        <v>534</v>
      </c>
      <c r="I188" s="114" t="s">
        <v>461</v>
      </c>
      <c r="J188" s="114" t="s">
        <v>1084</v>
      </c>
    </row>
    <row r="189" spans="1:10">
      <c r="A189" s="114" t="s">
        <v>660</v>
      </c>
      <c r="B189" s="114" t="s">
        <v>415</v>
      </c>
      <c r="C189" s="114" t="s">
        <v>429</v>
      </c>
      <c r="D189" s="114" t="s">
        <v>417</v>
      </c>
      <c r="E189">
        <v>2315</v>
      </c>
      <c r="F189" s="114" t="s">
        <v>661</v>
      </c>
      <c r="G189" s="114" t="s">
        <v>424</v>
      </c>
      <c r="H189" s="114" t="s">
        <v>438</v>
      </c>
      <c r="I189" s="114">
        <v>101</v>
      </c>
      <c r="J189" s="114"/>
    </row>
    <row r="190" spans="1:10">
      <c r="A190" s="114" t="s">
        <v>662</v>
      </c>
      <c r="B190" s="114" t="s">
        <v>415</v>
      </c>
      <c r="C190" s="114" t="s">
        <v>429</v>
      </c>
      <c r="D190" s="114" t="s">
        <v>422</v>
      </c>
      <c r="E190">
        <v>3308</v>
      </c>
      <c r="F190" s="114" t="s">
        <v>663</v>
      </c>
      <c r="G190" s="114" t="s">
        <v>533</v>
      </c>
      <c r="H190" s="114" t="s">
        <v>534</v>
      </c>
      <c r="I190">
        <v>164</v>
      </c>
    </row>
    <row r="191" spans="1:10">
      <c r="A191" s="114" t="s">
        <v>664</v>
      </c>
      <c r="B191" s="114" t="s">
        <v>463</v>
      </c>
      <c r="C191" s="114" t="s">
        <v>429</v>
      </c>
      <c r="D191" s="114" t="s">
        <v>417</v>
      </c>
      <c r="E191">
        <v>7965</v>
      </c>
      <c r="F191" s="114" t="s">
        <v>1085</v>
      </c>
      <c r="G191" s="114" t="s">
        <v>418</v>
      </c>
      <c r="H191" s="114" t="s">
        <v>469</v>
      </c>
      <c r="I191" s="114" t="s">
        <v>501</v>
      </c>
      <c r="J191" s="114" t="s">
        <v>1086</v>
      </c>
    </row>
    <row r="192" spans="1:10">
      <c r="A192" s="114" t="s">
        <v>664</v>
      </c>
      <c r="B192" s="114" t="s">
        <v>415</v>
      </c>
      <c r="C192" s="114" t="s">
        <v>421</v>
      </c>
      <c r="D192" s="114" t="s">
        <v>417</v>
      </c>
      <c r="E192">
        <v>3035</v>
      </c>
      <c r="F192" s="114" t="s">
        <v>665</v>
      </c>
      <c r="G192" s="114" t="s">
        <v>424</v>
      </c>
      <c r="H192" s="114" t="s">
        <v>427</v>
      </c>
      <c r="I192">
        <v>21</v>
      </c>
    </row>
    <row r="193" spans="1:10">
      <c r="A193" s="114" t="s">
        <v>664</v>
      </c>
      <c r="B193" s="114" t="s">
        <v>415</v>
      </c>
      <c r="C193" s="114" t="s">
        <v>416</v>
      </c>
      <c r="D193" s="114" t="s">
        <v>417</v>
      </c>
      <c r="E193">
        <v>7624</v>
      </c>
      <c r="F193" s="114" t="s">
        <v>666</v>
      </c>
      <c r="G193" s="114" t="s">
        <v>424</v>
      </c>
      <c r="H193" s="114" t="s">
        <v>427</v>
      </c>
      <c r="I193">
        <v>118</v>
      </c>
    </row>
    <row r="194" spans="1:10">
      <c r="A194" s="114" t="s">
        <v>667</v>
      </c>
      <c r="B194" s="114" t="s">
        <v>668</v>
      </c>
      <c r="C194" s="114" t="s">
        <v>429</v>
      </c>
      <c r="D194" s="114" t="s">
        <v>417</v>
      </c>
      <c r="E194">
        <v>6664</v>
      </c>
      <c r="F194" s="114" t="s">
        <v>669</v>
      </c>
      <c r="G194" s="114" t="s">
        <v>424</v>
      </c>
      <c r="H194" s="114" t="s">
        <v>469</v>
      </c>
      <c r="I194">
        <v>43</v>
      </c>
    </row>
    <row r="195" spans="1:10">
      <c r="A195" s="114" t="s">
        <v>667</v>
      </c>
      <c r="B195" s="114" t="s">
        <v>668</v>
      </c>
      <c r="C195" s="114" t="s">
        <v>416</v>
      </c>
      <c r="D195" s="114" t="s">
        <v>422</v>
      </c>
      <c r="E195">
        <v>7611</v>
      </c>
      <c r="F195" s="114" t="s">
        <v>670</v>
      </c>
      <c r="G195" s="114" t="s">
        <v>418</v>
      </c>
      <c r="H195" s="114" t="s">
        <v>436</v>
      </c>
      <c r="I195">
        <v>833</v>
      </c>
    </row>
    <row r="196" spans="1:10">
      <c r="A196" s="114" t="s">
        <v>667</v>
      </c>
      <c r="B196" s="114" t="s">
        <v>415</v>
      </c>
      <c r="C196" s="114" t="s">
        <v>416</v>
      </c>
      <c r="D196" s="114" t="s">
        <v>417</v>
      </c>
      <c r="E196">
        <v>6279</v>
      </c>
      <c r="F196" s="114" t="s">
        <v>671</v>
      </c>
      <c r="G196" s="114" t="s">
        <v>431</v>
      </c>
      <c r="H196" s="114" t="s">
        <v>456</v>
      </c>
      <c r="I196">
        <v>279</v>
      </c>
    </row>
    <row r="197" spans="1:10">
      <c r="A197" s="114" t="s">
        <v>667</v>
      </c>
      <c r="B197" s="114" t="s">
        <v>415</v>
      </c>
      <c r="C197" s="114" t="s">
        <v>434</v>
      </c>
      <c r="D197" s="114" t="s">
        <v>422</v>
      </c>
      <c r="E197">
        <v>7068</v>
      </c>
      <c r="F197" s="114" t="s">
        <v>672</v>
      </c>
      <c r="G197" s="114" t="s">
        <v>440</v>
      </c>
      <c r="H197" s="114" t="s">
        <v>425</v>
      </c>
      <c r="I197">
        <v>106</v>
      </c>
    </row>
    <row r="198" spans="1:10">
      <c r="A198" s="114" t="s">
        <v>667</v>
      </c>
      <c r="B198" s="114" t="s">
        <v>415</v>
      </c>
      <c r="C198" s="114" t="s">
        <v>434</v>
      </c>
      <c r="D198" s="114" t="s">
        <v>417</v>
      </c>
      <c r="E198">
        <v>7921</v>
      </c>
      <c r="F198" s="114" t="s">
        <v>673</v>
      </c>
      <c r="G198" s="114" t="s">
        <v>418</v>
      </c>
      <c r="H198" s="114" t="s">
        <v>458</v>
      </c>
      <c r="I198">
        <v>223</v>
      </c>
    </row>
    <row r="199" spans="1:10">
      <c r="A199" s="114" t="s">
        <v>667</v>
      </c>
      <c r="B199" s="114" t="s">
        <v>415</v>
      </c>
      <c r="C199" s="114" t="s">
        <v>416</v>
      </c>
      <c r="D199" s="114" t="s">
        <v>417</v>
      </c>
      <c r="E199">
        <v>9982</v>
      </c>
      <c r="F199" s="114" t="s">
        <v>674</v>
      </c>
      <c r="G199" s="114" t="s">
        <v>418</v>
      </c>
      <c r="H199" s="114" t="s">
        <v>427</v>
      </c>
      <c r="I199">
        <v>185</v>
      </c>
    </row>
    <row r="200" spans="1:10">
      <c r="A200" s="114" t="s">
        <v>675</v>
      </c>
      <c r="B200" s="114" t="s">
        <v>415</v>
      </c>
      <c r="C200" s="114" t="s">
        <v>416</v>
      </c>
      <c r="D200" s="114" t="s">
        <v>417</v>
      </c>
      <c r="E200">
        <v>2186</v>
      </c>
      <c r="F200" s="114" t="s">
        <v>676</v>
      </c>
      <c r="G200" s="114" t="s">
        <v>424</v>
      </c>
      <c r="H200" s="114" t="s">
        <v>425</v>
      </c>
      <c r="I200">
        <v>95</v>
      </c>
    </row>
    <row r="201" spans="1:10">
      <c r="A201" s="114" t="s">
        <v>675</v>
      </c>
      <c r="B201" s="114" t="s">
        <v>415</v>
      </c>
      <c r="C201" s="114" t="s">
        <v>416</v>
      </c>
      <c r="D201" s="114" t="s">
        <v>417</v>
      </c>
      <c r="E201">
        <v>2685</v>
      </c>
      <c r="F201" s="114" t="s">
        <v>677</v>
      </c>
      <c r="G201" s="114" t="s">
        <v>418</v>
      </c>
      <c r="H201" s="114" t="s">
        <v>436</v>
      </c>
      <c r="I201" s="114" t="s">
        <v>501</v>
      </c>
      <c r="J201" s="114" t="s">
        <v>1087</v>
      </c>
    </row>
    <row r="202" spans="1:10">
      <c r="A202" s="114" t="s">
        <v>675</v>
      </c>
      <c r="B202" s="114" t="s">
        <v>415</v>
      </c>
      <c r="C202" s="114" t="s">
        <v>416</v>
      </c>
      <c r="D202" s="114" t="s">
        <v>417</v>
      </c>
      <c r="E202">
        <v>3919</v>
      </c>
      <c r="F202" s="114" t="s">
        <v>678</v>
      </c>
      <c r="G202" s="114" t="s">
        <v>418</v>
      </c>
      <c r="H202" s="114" t="s">
        <v>438</v>
      </c>
      <c r="I202">
        <v>158</v>
      </c>
    </row>
    <row r="203" spans="1:10">
      <c r="A203" s="114" t="s">
        <v>675</v>
      </c>
      <c r="B203" s="114" t="s">
        <v>415</v>
      </c>
      <c r="C203" s="114" t="s">
        <v>421</v>
      </c>
      <c r="D203" s="114" t="s">
        <v>417</v>
      </c>
      <c r="E203">
        <v>7514</v>
      </c>
      <c r="F203" s="114" t="s">
        <v>1088</v>
      </c>
      <c r="G203" s="114" t="s">
        <v>418</v>
      </c>
      <c r="H203" s="114" t="s">
        <v>436</v>
      </c>
      <c r="I203">
        <v>103</v>
      </c>
    </row>
    <row r="204" spans="1:10">
      <c r="A204" s="114" t="s">
        <v>675</v>
      </c>
      <c r="B204" s="114" t="s">
        <v>415</v>
      </c>
      <c r="C204" s="114" t="s">
        <v>434</v>
      </c>
      <c r="D204" s="114" t="s">
        <v>417</v>
      </c>
      <c r="E204">
        <v>9651</v>
      </c>
      <c r="F204" s="114" t="s">
        <v>679</v>
      </c>
      <c r="G204" s="114" t="s">
        <v>424</v>
      </c>
      <c r="H204" s="114" t="s">
        <v>438</v>
      </c>
      <c r="I204">
        <v>90</v>
      </c>
    </row>
    <row r="205" spans="1:10">
      <c r="A205" s="114" t="s">
        <v>680</v>
      </c>
      <c r="B205" s="114" t="s">
        <v>415</v>
      </c>
      <c r="C205" s="114" t="s">
        <v>416</v>
      </c>
      <c r="D205" s="114" t="s">
        <v>417</v>
      </c>
      <c r="E205">
        <v>1712</v>
      </c>
      <c r="F205" s="114" t="s">
        <v>681</v>
      </c>
      <c r="G205" s="114" t="s">
        <v>418</v>
      </c>
      <c r="H205" s="114" t="s">
        <v>479</v>
      </c>
      <c r="I205" s="114">
        <v>174</v>
      </c>
      <c r="J205" s="114"/>
    </row>
    <row r="206" spans="1:10">
      <c r="A206" s="114" t="s">
        <v>680</v>
      </c>
      <c r="B206" s="114" t="s">
        <v>415</v>
      </c>
      <c r="C206" s="114" t="s">
        <v>416</v>
      </c>
      <c r="D206" s="114" t="s">
        <v>417</v>
      </c>
      <c r="E206">
        <v>9793</v>
      </c>
      <c r="F206" s="114" t="s">
        <v>682</v>
      </c>
      <c r="G206" s="114" t="s">
        <v>418</v>
      </c>
      <c r="H206" s="114" t="s">
        <v>425</v>
      </c>
      <c r="I206" s="114" t="s">
        <v>501</v>
      </c>
      <c r="J206" s="114" t="s">
        <v>1089</v>
      </c>
    </row>
    <row r="207" spans="1:10">
      <c r="A207" s="114" t="s">
        <v>683</v>
      </c>
      <c r="B207" s="114" t="s">
        <v>415</v>
      </c>
      <c r="C207" s="114" t="s">
        <v>434</v>
      </c>
      <c r="D207" s="114" t="s">
        <v>417</v>
      </c>
      <c r="E207">
        <v>2792</v>
      </c>
      <c r="F207" s="114" t="s">
        <v>684</v>
      </c>
      <c r="G207" s="114" t="s">
        <v>418</v>
      </c>
      <c r="H207" s="114" t="s">
        <v>436</v>
      </c>
      <c r="I207">
        <v>390</v>
      </c>
    </row>
    <row r="208" spans="1:10">
      <c r="A208" s="114" t="s">
        <v>685</v>
      </c>
      <c r="B208" s="114" t="s">
        <v>415</v>
      </c>
      <c r="C208" s="114" t="s">
        <v>416</v>
      </c>
      <c r="D208" s="114" t="s">
        <v>417</v>
      </c>
      <c r="E208">
        <v>4714</v>
      </c>
      <c r="F208" s="114" t="s">
        <v>686</v>
      </c>
      <c r="G208" s="114" t="s">
        <v>418</v>
      </c>
      <c r="H208" s="114" t="s">
        <v>425</v>
      </c>
      <c r="I208" s="114">
        <v>645</v>
      </c>
      <c r="J208" s="114"/>
    </row>
    <row r="209" spans="1:10">
      <c r="A209" s="114" t="s">
        <v>687</v>
      </c>
      <c r="B209" s="114" t="s">
        <v>415</v>
      </c>
      <c r="C209" s="114" t="s">
        <v>429</v>
      </c>
      <c r="D209" s="114" t="s">
        <v>417</v>
      </c>
      <c r="E209">
        <v>2809</v>
      </c>
      <c r="F209" s="114" t="s">
        <v>688</v>
      </c>
      <c r="G209" s="114" t="s">
        <v>418</v>
      </c>
      <c r="H209" s="114" t="s">
        <v>419</v>
      </c>
      <c r="I209" s="114" t="s">
        <v>689</v>
      </c>
      <c r="J209" s="114" t="s">
        <v>1090</v>
      </c>
    </row>
    <row r="210" spans="1:10">
      <c r="A210" s="114" t="s">
        <v>687</v>
      </c>
      <c r="B210" s="114" t="s">
        <v>415</v>
      </c>
      <c r="C210" s="114" t="s">
        <v>421</v>
      </c>
      <c r="D210" s="114" t="s">
        <v>417</v>
      </c>
      <c r="E210">
        <v>2927</v>
      </c>
      <c r="F210" s="114" t="s">
        <v>690</v>
      </c>
      <c r="G210" s="114" t="s">
        <v>424</v>
      </c>
      <c r="H210" s="114" t="s">
        <v>419</v>
      </c>
      <c r="I210">
        <v>94</v>
      </c>
    </row>
    <row r="211" spans="1:10">
      <c r="A211" s="114" t="s">
        <v>687</v>
      </c>
      <c r="B211" s="114" t="s">
        <v>415</v>
      </c>
      <c r="C211" s="114" t="s">
        <v>416</v>
      </c>
      <c r="D211" s="114" t="s">
        <v>417</v>
      </c>
      <c r="E211">
        <v>3396</v>
      </c>
      <c r="F211" s="114" t="s">
        <v>691</v>
      </c>
      <c r="G211" s="114" t="s">
        <v>418</v>
      </c>
      <c r="H211" s="114" t="s">
        <v>436</v>
      </c>
      <c r="I211">
        <v>105</v>
      </c>
    </row>
    <row r="212" spans="1:10">
      <c r="A212" s="114" t="s">
        <v>687</v>
      </c>
      <c r="B212" s="114" t="s">
        <v>415</v>
      </c>
      <c r="C212" s="114" t="s">
        <v>434</v>
      </c>
      <c r="D212" s="114" t="s">
        <v>417</v>
      </c>
      <c r="E212">
        <v>8908</v>
      </c>
      <c r="F212" s="114" t="s">
        <v>692</v>
      </c>
      <c r="G212" s="114" t="s">
        <v>418</v>
      </c>
      <c r="H212" s="114" t="s">
        <v>471</v>
      </c>
      <c r="I212" s="114">
        <v>148</v>
      </c>
      <c r="J212" s="114"/>
    </row>
    <row r="213" spans="1:10">
      <c r="A213" s="114" t="s">
        <v>687</v>
      </c>
      <c r="B213" s="114" t="s">
        <v>415</v>
      </c>
      <c r="C213" s="114" t="s">
        <v>421</v>
      </c>
      <c r="D213" s="114" t="s">
        <v>417</v>
      </c>
      <c r="E213">
        <v>9983</v>
      </c>
      <c r="F213" s="114" t="s">
        <v>693</v>
      </c>
      <c r="G213" s="114" t="s">
        <v>418</v>
      </c>
      <c r="H213" s="114" t="s">
        <v>436</v>
      </c>
      <c r="I213" s="114" t="s">
        <v>694</v>
      </c>
      <c r="J213" s="114" t="s">
        <v>1091</v>
      </c>
    </row>
    <row r="214" spans="1:10">
      <c r="A214" s="114" t="s">
        <v>695</v>
      </c>
      <c r="B214" s="114" t="s">
        <v>668</v>
      </c>
      <c r="C214" s="114" t="s">
        <v>434</v>
      </c>
      <c r="D214" s="114" t="s">
        <v>417</v>
      </c>
      <c r="E214">
        <v>6567</v>
      </c>
      <c r="F214" s="114" t="s">
        <v>696</v>
      </c>
      <c r="G214" s="114" t="s">
        <v>440</v>
      </c>
      <c r="H214" s="114" t="s">
        <v>425</v>
      </c>
      <c r="I214">
        <v>22</v>
      </c>
    </row>
    <row r="215" spans="1:10">
      <c r="A215" s="114" t="s">
        <v>695</v>
      </c>
      <c r="B215" s="114" t="s">
        <v>415</v>
      </c>
      <c r="C215" s="114" t="s">
        <v>416</v>
      </c>
      <c r="D215" s="114" t="s">
        <v>417</v>
      </c>
      <c r="E215">
        <v>2338</v>
      </c>
      <c r="F215" s="114" t="s">
        <v>697</v>
      </c>
      <c r="G215" s="114" t="s">
        <v>431</v>
      </c>
      <c r="H215" s="114" t="s">
        <v>438</v>
      </c>
      <c r="I215" s="114">
        <v>26</v>
      </c>
      <c r="J215" s="114"/>
    </row>
    <row r="216" spans="1:10">
      <c r="A216" s="114" t="s">
        <v>695</v>
      </c>
      <c r="B216" s="114" t="s">
        <v>415</v>
      </c>
      <c r="C216" s="114" t="s">
        <v>416</v>
      </c>
      <c r="D216" s="114" t="s">
        <v>417</v>
      </c>
      <c r="E216">
        <v>2651</v>
      </c>
      <c r="F216" s="114" t="s">
        <v>698</v>
      </c>
      <c r="G216" s="114" t="s">
        <v>418</v>
      </c>
      <c r="H216" s="114" t="s">
        <v>436</v>
      </c>
      <c r="I216" s="114" t="s">
        <v>658</v>
      </c>
      <c r="J216" s="114" t="s">
        <v>1092</v>
      </c>
    </row>
    <row r="217" spans="1:10">
      <c r="A217" s="114" t="s">
        <v>695</v>
      </c>
      <c r="B217" s="114" t="s">
        <v>415</v>
      </c>
      <c r="C217" s="114" t="s">
        <v>416</v>
      </c>
      <c r="D217" s="114" t="s">
        <v>422</v>
      </c>
      <c r="E217">
        <v>2706</v>
      </c>
      <c r="F217" s="114" t="s">
        <v>699</v>
      </c>
      <c r="G217" s="114" t="s">
        <v>424</v>
      </c>
      <c r="H217" s="114" t="s">
        <v>458</v>
      </c>
      <c r="I217">
        <v>118</v>
      </c>
    </row>
    <row r="218" spans="1:10">
      <c r="A218" s="114" t="s">
        <v>695</v>
      </c>
      <c r="B218" s="114" t="s">
        <v>415</v>
      </c>
      <c r="C218" s="114" t="s">
        <v>416</v>
      </c>
      <c r="D218" s="114" t="s">
        <v>417</v>
      </c>
      <c r="E218">
        <v>3546</v>
      </c>
      <c r="F218" s="114" t="s">
        <v>700</v>
      </c>
      <c r="G218" s="114" t="s">
        <v>418</v>
      </c>
      <c r="H218" s="114" t="s">
        <v>436</v>
      </c>
      <c r="I218">
        <v>259</v>
      </c>
    </row>
    <row r="219" spans="1:10">
      <c r="A219" s="114" t="s">
        <v>695</v>
      </c>
      <c r="B219" s="114" t="s">
        <v>415</v>
      </c>
      <c r="C219" s="114" t="s">
        <v>416</v>
      </c>
      <c r="D219" s="114" t="s">
        <v>417</v>
      </c>
      <c r="E219">
        <v>3922</v>
      </c>
      <c r="F219" s="114" t="s">
        <v>701</v>
      </c>
      <c r="G219" s="114" t="s">
        <v>418</v>
      </c>
      <c r="H219" s="114" t="s">
        <v>438</v>
      </c>
      <c r="I219">
        <v>167</v>
      </c>
    </row>
    <row r="220" spans="1:10">
      <c r="A220" s="114" t="s">
        <v>695</v>
      </c>
      <c r="B220" s="114" t="s">
        <v>415</v>
      </c>
      <c r="C220" s="114" t="s">
        <v>434</v>
      </c>
      <c r="D220" s="114" t="s">
        <v>417</v>
      </c>
      <c r="E220">
        <v>4829</v>
      </c>
      <c r="F220" s="114" t="s">
        <v>702</v>
      </c>
      <c r="G220" s="114" t="s">
        <v>418</v>
      </c>
      <c r="H220" s="114" t="s">
        <v>438</v>
      </c>
      <c r="I220">
        <v>93</v>
      </c>
    </row>
    <row r="221" spans="1:10">
      <c r="A221" s="114" t="s">
        <v>695</v>
      </c>
      <c r="B221" s="114" t="s">
        <v>415</v>
      </c>
      <c r="C221" s="114" t="s">
        <v>416</v>
      </c>
      <c r="D221" s="114" t="s">
        <v>417</v>
      </c>
      <c r="E221">
        <v>6058</v>
      </c>
      <c r="F221" s="114" t="s">
        <v>703</v>
      </c>
      <c r="G221" s="114" t="s">
        <v>418</v>
      </c>
      <c r="H221" s="114" t="s">
        <v>425</v>
      </c>
      <c r="I221">
        <v>493</v>
      </c>
    </row>
    <row r="222" spans="1:10">
      <c r="A222" s="114" t="s">
        <v>695</v>
      </c>
      <c r="B222" s="114" t="s">
        <v>415</v>
      </c>
      <c r="C222" s="114" t="s">
        <v>429</v>
      </c>
      <c r="D222" s="114" t="s">
        <v>417</v>
      </c>
      <c r="E222">
        <v>6492</v>
      </c>
      <c r="F222" s="114" t="s">
        <v>704</v>
      </c>
      <c r="G222" s="114" t="s">
        <v>431</v>
      </c>
      <c r="H222" s="114" t="s">
        <v>456</v>
      </c>
      <c r="I222">
        <v>35</v>
      </c>
    </row>
    <row r="223" spans="1:10">
      <c r="A223" s="114" t="s">
        <v>695</v>
      </c>
      <c r="B223" s="114" t="s">
        <v>415</v>
      </c>
      <c r="C223" s="114" t="s">
        <v>416</v>
      </c>
      <c r="D223" s="114" t="s">
        <v>422</v>
      </c>
      <c r="E223">
        <v>6532</v>
      </c>
      <c r="F223" s="114" t="s">
        <v>705</v>
      </c>
      <c r="G223" s="114" t="s">
        <v>418</v>
      </c>
      <c r="H223" s="114" t="s">
        <v>425</v>
      </c>
      <c r="I223">
        <v>923</v>
      </c>
    </row>
    <row r="224" spans="1:10">
      <c r="A224" s="114" t="s">
        <v>695</v>
      </c>
      <c r="B224" s="114" t="s">
        <v>415</v>
      </c>
      <c r="C224" s="114" t="s">
        <v>429</v>
      </c>
      <c r="D224" s="114" t="s">
        <v>417</v>
      </c>
      <c r="E224">
        <v>8923</v>
      </c>
      <c r="F224" s="114" t="s">
        <v>706</v>
      </c>
      <c r="G224" s="114" t="s">
        <v>418</v>
      </c>
      <c r="H224" s="114" t="s">
        <v>471</v>
      </c>
      <c r="I224">
        <v>684</v>
      </c>
    </row>
    <row r="225" spans="1:10">
      <c r="A225" s="114" t="s">
        <v>707</v>
      </c>
      <c r="B225" s="114" t="s">
        <v>415</v>
      </c>
      <c r="C225" s="114" t="s">
        <v>429</v>
      </c>
      <c r="D225" s="114" t="s">
        <v>417</v>
      </c>
      <c r="E225">
        <v>2471</v>
      </c>
      <c r="F225" s="114" t="s">
        <v>708</v>
      </c>
      <c r="G225" s="114" t="s">
        <v>418</v>
      </c>
      <c r="H225" s="114" t="s">
        <v>425</v>
      </c>
      <c r="I225">
        <v>524</v>
      </c>
    </row>
    <row r="226" spans="1:10">
      <c r="A226" s="114" t="s">
        <v>707</v>
      </c>
      <c r="B226" s="114" t="s">
        <v>415</v>
      </c>
      <c r="C226" s="114" t="s">
        <v>416</v>
      </c>
      <c r="D226" s="114" t="s">
        <v>422</v>
      </c>
      <c r="E226">
        <v>2930</v>
      </c>
      <c r="F226" s="114" t="s">
        <v>709</v>
      </c>
      <c r="G226" s="114" t="s">
        <v>418</v>
      </c>
      <c r="H226" s="114" t="s">
        <v>419</v>
      </c>
      <c r="I226">
        <v>958</v>
      </c>
    </row>
    <row r="227" spans="1:10">
      <c r="A227" s="114" t="s">
        <v>707</v>
      </c>
      <c r="B227" s="114" t="s">
        <v>415</v>
      </c>
      <c r="C227" s="114" t="s">
        <v>416</v>
      </c>
      <c r="D227" s="114" t="s">
        <v>422</v>
      </c>
      <c r="E227">
        <v>3030</v>
      </c>
      <c r="F227" s="114" t="s">
        <v>710</v>
      </c>
      <c r="G227" s="114" t="s">
        <v>418</v>
      </c>
      <c r="H227" s="114" t="s">
        <v>436</v>
      </c>
      <c r="I227" s="114">
        <v>114</v>
      </c>
      <c r="J227" s="114"/>
    </row>
    <row r="228" spans="1:10">
      <c r="A228" s="114" t="s">
        <v>707</v>
      </c>
      <c r="B228" s="114" t="s">
        <v>415</v>
      </c>
      <c r="C228" s="114" t="s">
        <v>416</v>
      </c>
      <c r="D228" s="114" t="s">
        <v>417</v>
      </c>
      <c r="E228">
        <v>3479</v>
      </c>
      <c r="F228" s="114" t="s">
        <v>711</v>
      </c>
      <c r="G228" s="114" t="s">
        <v>440</v>
      </c>
      <c r="H228" s="114" t="s">
        <v>471</v>
      </c>
      <c r="I228" s="114" t="s">
        <v>501</v>
      </c>
      <c r="J228" s="114" t="s">
        <v>1093</v>
      </c>
    </row>
    <row r="229" spans="1:10">
      <c r="A229" s="114" t="s">
        <v>707</v>
      </c>
      <c r="B229" s="114" t="s">
        <v>415</v>
      </c>
      <c r="C229" s="114" t="s">
        <v>416</v>
      </c>
      <c r="D229" s="114" t="s">
        <v>417</v>
      </c>
      <c r="E229">
        <v>3562</v>
      </c>
      <c r="F229" s="114" t="s">
        <v>712</v>
      </c>
      <c r="G229" s="114" t="s">
        <v>424</v>
      </c>
      <c r="H229" s="114" t="s">
        <v>427</v>
      </c>
      <c r="I229">
        <v>34</v>
      </c>
    </row>
    <row r="230" spans="1:10">
      <c r="A230" s="114" t="s">
        <v>707</v>
      </c>
      <c r="B230" s="114" t="s">
        <v>415</v>
      </c>
      <c r="C230" s="114" t="s">
        <v>416</v>
      </c>
      <c r="D230" s="114" t="s">
        <v>417</v>
      </c>
      <c r="E230">
        <v>3678</v>
      </c>
      <c r="F230" s="114" t="s">
        <v>713</v>
      </c>
      <c r="G230" s="114" t="s">
        <v>418</v>
      </c>
      <c r="H230" s="114" t="s">
        <v>438</v>
      </c>
      <c r="I230">
        <v>489</v>
      </c>
    </row>
    <row r="231" spans="1:10">
      <c r="A231" s="114" t="s">
        <v>707</v>
      </c>
      <c r="B231" s="114" t="s">
        <v>415</v>
      </c>
      <c r="C231" s="114" t="s">
        <v>421</v>
      </c>
      <c r="D231" s="114" t="s">
        <v>417</v>
      </c>
      <c r="E231">
        <v>4668</v>
      </c>
      <c r="F231" s="114" t="s">
        <v>714</v>
      </c>
      <c r="G231" s="114" t="s">
        <v>418</v>
      </c>
      <c r="H231" s="114" t="s">
        <v>425</v>
      </c>
      <c r="I231">
        <v>289</v>
      </c>
    </row>
    <row r="232" spans="1:10">
      <c r="A232" s="114" t="s">
        <v>707</v>
      </c>
      <c r="B232" s="114" t="s">
        <v>415</v>
      </c>
      <c r="C232" s="114" t="s">
        <v>416</v>
      </c>
      <c r="D232" s="114" t="s">
        <v>417</v>
      </c>
      <c r="E232">
        <v>6814</v>
      </c>
      <c r="F232" s="114" t="s">
        <v>715</v>
      </c>
      <c r="G232" s="114" t="s">
        <v>418</v>
      </c>
      <c r="H232" s="114" t="s">
        <v>469</v>
      </c>
      <c r="I232">
        <v>427</v>
      </c>
    </row>
    <row r="233" spans="1:10">
      <c r="A233" s="114" t="s">
        <v>707</v>
      </c>
      <c r="B233" s="114" t="s">
        <v>415</v>
      </c>
      <c r="C233" s="114" t="s">
        <v>416</v>
      </c>
      <c r="D233" s="114" t="s">
        <v>417</v>
      </c>
      <c r="E233">
        <v>7719</v>
      </c>
      <c r="F233" s="114" t="s">
        <v>716</v>
      </c>
      <c r="G233" s="114" t="s">
        <v>431</v>
      </c>
      <c r="H233" s="114" t="s">
        <v>717</v>
      </c>
      <c r="I233" s="114">
        <v>18</v>
      </c>
      <c r="J233" s="114"/>
    </row>
    <row r="234" spans="1:10">
      <c r="A234" s="114" t="s">
        <v>707</v>
      </c>
      <c r="B234" s="114" t="s">
        <v>415</v>
      </c>
      <c r="C234" s="114" t="s">
        <v>416</v>
      </c>
      <c r="D234" s="114" t="s">
        <v>417</v>
      </c>
      <c r="E234">
        <v>9602</v>
      </c>
      <c r="F234" s="114" t="s">
        <v>718</v>
      </c>
      <c r="G234" s="114" t="s">
        <v>418</v>
      </c>
      <c r="H234" s="114" t="s">
        <v>438</v>
      </c>
      <c r="I234" s="114" t="s">
        <v>719</v>
      </c>
      <c r="J234" s="114" t="s">
        <v>1094</v>
      </c>
    </row>
    <row r="235" spans="1:10">
      <c r="A235" s="114" t="s">
        <v>720</v>
      </c>
      <c r="B235" s="114" t="s">
        <v>415</v>
      </c>
      <c r="C235" s="114" t="s">
        <v>429</v>
      </c>
      <c r="D235" s="114" t="s">
        <v>417</v>
      </c>
      <c r="E235">
        <v>3907</v>
      </c>
      <c r="F235" s="114" t="s">
        <v>721</v>
      </c>
      <c r="G235" s="114" t="s">
        <v>440</v>
      </c>
      <c r="H235" s="114" t="s">
        <v>438</v>
      </c>
      <c r="I235">
        <v>54</v>
      </c>
    </row>
    <row r="236" spans="1:10">
      <c r="A236" s="114" t="s">
        <v>720</v>
      </c>
      <c r="B236" s="114" t="s">
        <v>415</v>
      </c>
      <c r="C236" s="114" t="s">
        <v>416</v>
      </c>
      <c r="D236" s="114" t="s">
        <v>417</v>
      </c>
      <c r="E236">
        <v>6578</v>
      </c>
      <c r="F236" s="114" t="s">
        <v>722</v>
      </c>
      <c r="G236" s="114" t="s">
        <v>431</v>
      </c>
      <c r="H236" s="114" t="s">
        <v>425</v>
      </c>
      <c r="I236">
        <v>29</v>
      </c>
    </row>
    <row r="237" spans="1:10">
      <c r="A237" s="114" t="s">
        <v>720</v>
      </c>
      <c r="B237" s="114" t="s">
        <v>415</v>
      </c>
      <c r="C237" s="114" t="s">
        <v>416</v>
      </c>
      <c r="D237" s="114" t="s">
        <v>422</v>
      </c>
      <c r="E237">
        <v>7610</v>
      </c>
      <c r="F237" s="114" t="s">
        <v>723</v>
      </c>
      <c r="G237" s="114" t="s">
        <v>424</v>
      </c>
      <c r="H237" s="114" t="s">
        <v>436</v>
      </c>
      <c r="I237" s="114">
        <v>24</v>
      </c>
      <c r="J237" s="114"/>
    </row>
    <row r="238" spans="1:10">
      <c r="A238" s="114" t="s">
        <v>724</v>
      </c>
      <c r="B238" s="114" t="s">
        <v>415</v>
      </c>
      <c r="C238" s="114" t="s">
        <v>429</v>
      </c>
      <c r="D238" s="114" t="s">
        <v>422</v>
      </c>
      <c r="E238">
        <v>3279</v>
      </c>
      <c r="F238" s="114" t="s">
        <v>725</v>
      </c>
      <c r="G238" s="114" t="s">
        <v>533</v>
      </c>
      <c r="H238" s="114" t="s">
        <v>534</v>
      </c>
      <c r="I238" s="114" t="s">
        <v>598</v>
      </c>
      <c r="J238" s="114" t="s">
        <v>1095</v>
      </c>
    </row>
    <row r="239" spans="1:10">
      <c r="A239" s="114" t="s">
        <v>724</v>
      </c>
      <c r="B239" s="114" t="s">
        <v>415</v>
      </c>
      <c r="C239" s="114" t="s">
        <v>429</v>
      </c>
      <c r="D239" s="114" t="s">
        <v>417</v>
      </c>
      <c r="E239">
        <v>6634</v>
      </c>
      <c r="F239" s="114" t="s">
        <v>726</v>
      </c>
      <c r="G239" s="114" t="s">
        <v>424</v>
      </c>
      <c r="H239" s="114" t="s">
        <v>469</v>
      </c>
      <c r="I239">
        <v>31</v>
      </c>
    </row>
    <row r="240" spans="1:10">
      <c r="A240" s="114" t="s">
        <v>724</v>
      </c>
      <c r="B240" s="114" t="s">
        <v>415</v>
      </c>
      <c r="C240" s="114" t="s">
        <v>429</v>
      </c>
      <c r="D240" s="114" t="s">
        <v>422</v>
      </c>
      <c r="E240">
        <v>7501</v>
      </c>
      <c r="F240" s="114" t="s">
        <v>727</v>
      </c>
      <c r="G240" s="114" t="s">
        <v>424</v>
      </c>
      <c r="H240" s="114" t="s">
        <v>427</v>
      </c>
      <c r="I240" s="114">
        <v>19</v>
      </c>
      <c r="J240" s="114"/>
    </row>
    <row r="241" spans="1:10">
      <c r="A241" s="114" t="s">
        <v>728</v>
      </c>
      <c r="B241" s="114" t="s">
        <v>415</v>
      </c>
      <c r="C241" s="114" t="s">
        <v>416</v>
      </c>
      <c r="D241" s="114" t="s">
        <v>417</v>
      </c>
      <c r="E241">
        <v>6146</v>
      </c>
      <c r="F241" s="114" t="s">
        <v>729</v>
      </c>
      <c r="G241" s="114" t="s">
        <v>418</v>
      </c>
      <c r="H241" s="114" t="s">
        <v>456</v>
      </c>
      <c r="I241" s="114" t="s">
        <v>719</v>
      </c>
      <c r="J241" s="114" t="s">
        <v>1096</v>
      </c>
    </row>
    <row r="242" spans="1:10">
      <c r="A242" s="114" t="s">
        <v>730</v>
      </c>
      <c r="B242" s="114" t="s">
        <v>415</v>
      </c>
      <c r="C242" s="114" t="s">
        <v>416</v>
      </c>
      <c r="D242" s="114" t="s">
        <v>417</v>
      </c>
      <c r="E242">
        <v>9433</v>
      </c>
      <c r="F242" s="114" t="s">
        <v>731</v>
      </c>
      <c r="G242" s="114" t="s">
        <v>418</v>
      </c>
      <c r="H242" s="114" t="s">
        <v>438</v>
      </c>
      <c r="I242" s="114" t="s">
        <v>732</v>
      </c>
      <c r="J242" s="114" t="s">
        <v>1097</v>
      </c>
    </row>
    <row r="243" spans="1:10">
      <c r="A243" s="114" t="s">
        <v>733</v>
      </c>
      <c r="B243" s="114" t="s">
        <v>668</v>
      </c>
      <c r="C243" s="114" t="s">
        <v>416</v>
      </c>
      <c r="D243" s="114" t="s">
        <v>422</v>
      </c>
      <c r="E243">
        <v>4973</v>
      </c>
      <c r="F243" s="114" t="s">
        <v>734</v>
      </c>
      <c r="G243" s="114" t="s">
        <v>418</v>
      </c>
      <c r="H243" s="114" t="s">
        <v>442</v>
      </c>
      <c r="I243">
        <v>168</v>
      </c>
    </row>
    <row r="244" spans="1:10">
      <c r="A244" s="114" t="s">
        <v>735</v>
      </c>
      <c r="B244" s="114" t="s">
        <v>415</v>
      </c>
      <c r="C244" s="114" t="s">
        <v>416</v>
      </c>
      <c r="D244" s="114" t="s">
        <v>417</v>
      </c>
      <c r="E244">
        <v>4462</v>
      </c>
      <c r="F244" s="114" t="s">
        <v>736</v>
      </c>
      <c r="G244" s="114" t="s">
        <v>418</v>
      </c>
      <c r="H244" s="114" t="s">
        <v>442</v>
      </c>
      <c r="I244" s="114">
        <v>149</v>
      </c>
      <c r="J244" s="114"/>
    </row>
    <row r="245" spans="1:10">
      <c r="A245" s="114" t="s">
        <v>737</v>
      </c>
      <c r="B245" s="114" t="s">
        <v>415</v>
      </c>
      <c r="C245" s="114" t="s">
        <v>416</v>
      </c>
      <c r="D245" s="114" t="s">
        <v>417</v>
      </c>
      <c r="E245">
        <v>9039</v>
      </c>
      <c r="F245" s="114" t="s">
        <v>738</v>
      </c>
      <c r="G245" s="114" t="s">
        <v>418</v>
      </c>
      <c r="H245" s="114" t="s">
        <v>739</v>
      </c>
      <c r="I245" s="114" t="s">
        <v>501</v>
      </c>
      <c r="J245" s="114" t="s">
        <v>1098</v>
      </c>
    </row>
    <row r="246" spans="1:10">
      <c r="A246" s="114" t="s">
        <v>740</v>
      </c>
      <c r="B246" s="114" t="s">
        <v>415</v>
      </c>
      <c r="C246" s="114" t="s">
        <v>416</v>
      </c>
      <c r="D246" s="114" t="s">
        <v>417</v>
      </c>
      <c r="E246">
        <v>1878</v>
      </c>
      <c r="F246" s="114" t="s">
        <v>741</v>
      </c>
      <c r="G246" s="114" t="s">
        <v>418</v>
      </c>
      <c r="H246" s="114" t="s">
        <v>479</v>
      </c>
      <c r="I246" s="114" t="s">
        <v>742</v>
      </c>
      <c r="J246" s="114" t="s">
        <v>1099</v>
      </c>
    </row>
    <row r="247" spans="1:10">
      <c r="A247" s="114" t="s">
        <v>740</v>
      </c>
      <c r="B247" s="114" t="s">
        <v>415</v>
      </c>
      <c r="C247" s="114" t="s">
        <v>416</v>
      </c>
      <c r="D247" s="114" t="s">
        <v>417</v>
      </c>
      <c r="E247">
        <v>2127</v>
      </c>
      <c r="F247" s="114" t="s">
        <v>1100</v>
      </c>
      <c r="G247" s="114" t="s">
        <v>418</v>
      </c>
      <c r="H247" s="114" t="s">
        <v>425</v>
      </c>
      <c r="I247" s="114" t="s">
        <v>452</v>
      </c>
      <c r="J247" s="114" t="s">
        <v>1101</v>
      </c>
    </row>
    <row r="248" spans="1:10">
      <c r="A248" s="114" t="s">
        <v>740</v>
      </c>
      <c r="B248" s="114" t="s">
        <v>415</v>
      </c>
      <c r="C248" s="114" t="s">
        <v>416</v>
      </c>
      <c r="D248" s="114" t="s">
        <v>417</v>
      </c>
      <c r="E248">
        <v>2412</v>
      </c>
      <c r="F248" s="114" t="s">
        <v>1102</v>
      </c>
      <c r="G248" s="114" t="s">
        <v>418</v>
      </c>
      <c r="H248" s="114" t="s">
        <v>425</v>
      </c>
      <c r="I248" s="114" t="s">
        <v>689</v>
      </c>
      <c r="J248" s="114" t="s">
        <v>1103</v>
      </c>
    </row>
    <row r="249" spans="1:10">
      <c r="A249" s="114" t="s">
        <v>740</v>
      </c>
      <c r="B249" s="114" t="s">
        <v>415</v>
      </c>
      <c r="C249" s="114" t="s">
        <v>416</v>
      </c>
      <c r="D249" s="114" t="s">
        <v>417</v>
      </c>
      <c r="E249">
        <v>2737</v>
      </c>
      <c r="F249" s="114" t="s">
        <v>743</v>
      </c>
      <c r="G249" s="114" t="s">
        <v>418</v>
      </c>
      <c r="H249" s="114" t="s">
        <v>427</v>
      </c>
      <c r="I249">
        <v>189</v>
      </c>
    </row>
    <row r="250" spans="1:10">
      <c r="A250" s="114" t="s">
        <v>740</v>
      </c>
      <c r="B250" s="114" t="s">
        <v>415</v>
      </c>
      <c r="C250" s="114" t="s">
        <v>416</v>
      </c>
      <c r="D250" s="114" t="s">
        <v>417</v>
      </c>
      <c r="E250">
        <v>8771</v>
      </c>
      <c r="F250" s="114" t="s">
        <v>744</v>
      </c>
      <c r="G250" s="114" t="s">
        <v>418</v>
      </c>
      <c r="H250" s="114" t="s">
        <v>518</v>
      </c>
      <c r="I250">
        <v>644</v>
      </c>
    </row>
    <row r="251" spans="1:10">
      <c r="A251" s="114" t="s">
        <v>740</v>
      </c>
      <c r="B251" s="114" t="s">
        <v>415</v>
      </c>
      <c r="C251" s="114" t="s">
        <v>416</v>
      </c>
      <c r="D251" s="114" t="s">
        <v>417</v>
      </c>
      <c r="E251">
        <v>9037</v>
      </c>
      <c r="F251" s="114" t="s">
        <v>745</v>
      </c>
      <c r="G251" s="114" t="s">
        <v>418</v>
      </c>
      <c r="H251" s="114" t="s">
        <v>739</v>
      </c>
      <c r="I251">
        <v>712</v>
      </c>
    </row>
    <row r="252" spans="1:10">
      <c r="A252" s="114" t="s">
        <v>740</v>
      </c>
      <c r="B252" s="114" t="s">
        <v>415</v>
      </c>
      <c r="C252" s="114" t="s">
        <v>416</v>
      </c>
      <c r="D252" s="114" t="s">
        <v>417</v>
      </c>
      <c r="E252">
        <v>9995</v>
      </c>
      <c r="F252" s="114" t="s">
        <v>746</v>
      </c>
      <c r="G252" s="114" t="s">
        <v>418</v>
      </c>
      <c r="H252" s="114" t="s">
        <v>427</v>
      </c>
      <c r="I252">
        <v>120</v>
      </c>
    </row>
    <row r="253" spans="1:10">
      <c r="A253" s="114" t="s">
        <v>747</v>
      </c>
      <c r="B253" s="114" t="s">
        <v>415</v>
      </c>
      <c r="C253" s="114" t="s">
        <v>416</v>
      </c>
      <c r="D253" s="114" t="s">
        <v>417</v>
      </c>
      <c r="E253">
        <v>2175</v>
      </c>
      <c r="F253" s="114" t="s">
        <v>1104</v>
      </c>
      <c r="G253" s="114" t="s">
        <v>418</v>
      </c>
      <c r="H253" s="114" t="s">
        <v>425</v>
      </c>
      <c r="I253" s="114" t="s">
        <v>461</v>
      </c>
      <c r="J253" s="114" t="s">
        <v>883</v>
      </c>
    </row>
    <row r="254" spans="1:10">
      <c r="A254" s="114" t="s">
        <v>747</v>
      </c>
      <c r="B254" s="114" t="s">
        <v>415</v>
      </c>
      <c r="C254" s="114" t="s">
        <v>416</v>
      </c>
      <c r="D254" s="114" t="s">
        <v>417</v>
      </c>
      <c r="E254">
        <v>2220</v>
      </c>
      <c r="F254" s="114" t="s">
        <v>1105</v>
      </c>
      <c r="G254" s="114" t="s">
        <v>418</v>
      </c>
      <c r="H254" s="114" t="s">
        <v>419</v>
      </c>
      <c r="I254" s="114" t="s">
        <v>501</v>
      </c>
      <c r="J254" s="114" t="s">
        <v>1106</v>
      </c>
    </row>
    <row r="255" spans="1:10">
      <c r="A255" s="114" t="s">
        <v>747</v>
      </c>
      <c r="B255" s="114" t="s">
        <v>415</v>
      </c>
      <c r="C255" s="114" t="s">
        <v>416</v>
      </c>
      <c r="D255" s="114" t="s">
        <v>417</v>
      </c>
      <c r="E255">
        <v>2331</v>
      </c>
      <c r="F255" s="114" t="s">
        <v>1107</v>
      </c>
      <c r="G255" s="114" t="s">
        <v>418</v>
      </c>
      <c r="H255" s="114" t="s">
        <v>425</v>
      </c>
      <c r="I255" s="114" t="s">
        <v>452</v>
      </c>
      <c r="J255" s="114" t="s">
        <v>1108</v>
      </c>
    </row>
    <row r="256" spans="1:10">
      <c r="A256" s="114" t="s">
        <v>747</v>
      </c>
      <c r="B256" s="114" t="s">
        <v>415</v>
      </c>
      <c r="C256" s="114" t="s">
        <v>416</v>
      </c>
      <c r="D256" s="114" t="s">
        <v>417</v>
      </c>
      <c r="E256">
        <v>2715</v>
      </c>
      <c r="F256" s="114" t="s">
        <v>748</v>
      </c>
      <c r="G256" s="114" t="s">
        <v>418</v>
      </c>
      <c r="H256" s="114" t="s">
        <v>427</v>
      </c>
      <c r="I256" s="114">
        <v>437</v>
      </c>
      <c r="J256" s="114"/>
    </row>
    <row r="257" spans="1:10">
      <c r="A257" s="114" t="s">
        <v>747</v>
      </c>
      <c r="B257" s="114" t="s">
        <v>415</v>
      </c>
      <c r="C257" s="114" t="s">
        <v>416</v>
      </c>
      <c r="D257" s="114" t="s">
        <v>422</v>
      </c>
      <c r="E257">
        <v>2892</v>
      </c>
      <c r="F257" s="114" t="s">
        <v>749</v>
      </c>
      <c r="G257" s="114" t="s">
        <v>431</v>
      </c>
      <c r="H257" s="114" t="s">
        <v>419</v>
      </c>
      <c r="I257">
        <v>85</v>
      </c>
    </row>
    <row r="258" spans="1:10">
      <c r="A258" s="114" t="s">
        <v>747</v>
      </c>
      <c r="B258" s="114" t="s">
        <v>415</v>
      </c>
      <c r="C258" s="114" t="s">
        <v>416</v>
      </c>
      <c r="D258" s="114" t="s">
        <v>417</v>
      </c>
      <c r="E258">
        <v>3023</v>
      </c>
      <c r="F258" s="114" t="s">
        <v>750</v>
      </c>
      <c r="G258" s="114" t="s">
        <v>418</v>
      </c>
      <c r="H258" s="114" t="s">
        <v>427</v>
      </c>
      <c r="I258">
        <v>115</v>
      </c>
    </row>
    <row r="259" spans="1:10">
      <c r="A259" s="114" t="s">
        <v>747</v>
      </c>
      <c r="B259" s="114" t="s">
        <v>415</v>
      </c>
      <c r="C259" s="114" t="s">
        <v>416</v>
      </c>
      <c r="D259" s="114" t="s">
        <v>417</v>
      </c>
      <c r="E259">
        <v>3762</v>
      </c>
      <c r="F259" s="114" t="s">
        <v>751</v>
      </c>
      <c r="G259" s="114" t="s">
        <v>418</v>
      </c>
      <c r="H259" s="114" t="s">
        <v>438</v>
      </c>
      <c r="I259">
        <v>488</v>
      </c>
    </row>
    <row r="260" spans="1:10">
      <c r="A260" s="114" t="s">
        <v>747</v>
      </c>
      <c r="B260" s="114" t="s">
        <v>415</v>
      </c>
      <c r="C260" s="114" t="s">
        <v>416</v>
      </c>
      <c r="D260" s="114" t="s">
        <v>422</v>
      </c>
      <c r="E260">
        <v>3841</v>
      </c>
      <c r="F260" s="114" t="s">
        <v>752</v>
      </c>
      <c r="G260" s="114" t="s">
        <v>424</v>
      </c>
      <c r="H260" s="114" t="s">
        <v>438</v>
      </c>
      <c r="I260" s="114">
        <v>22</v>
      </c>
      <c r="J260" s="114"/>
    </row>
    <row r="261" spans="1:10">
      <c r="A261" s="114" t="s">
        <v>747</v>
      </c>
      <c r="B261" s="114" t="s">
        <v>415</v>
      </c>
      <c r="C261" s="114" t="s">
        <v>416</v>
      </c>
      <c r="D261" s="114" t="s">
        <v>417</v>
      </c>
      <c r="E261">
        <v>4310</v>
      </c>
      <c r="F261" s="114" t="s">
        <v>753</v>
      </c>
      <c r="G261" s="114" t="s">
        <v>418</v>
      </c>
      <c r="H261" s="114" t="s">
        <v>425</v>
      </c>
      <c r="I261" s="114">
        <v>173</v>
      </c>
      <c r="J261" s="114"/>
    </row>
    <row r="262" spans="1:10">
      <c r="A262" s="114" t="s">
        <v>747</v>
      </c>
      <c r="B262" s="114" t="s">
        <v>415</v>
      </c>
      <c r="C262" s="114" t="s">
        <v>416</v>
      </c>
      <c r="D262" s="114" t="s">
        <v>417</v>
      </c>
      <c r="E262">
        <v>4368</v>
      </c>
      <c r="F262" s="114" t="s">
        <v>754</v>
      </c>
      <c r="G262" s="114" t="s">
        <v>418</v>
      </c>
      <c r="H262" s="114" t="s">
        <v>442</v>
      </c>
      <c r="I262" s="114" t="s">
        <v>501</v>
      </c>
      <c r="J262" s="114" t="s">
        <v>1109</v>
      </c>
    </row>
    <row r="263" spans="1:10">
      <c r="A263" s="114" t="s">
        <v>747</v>
      </c>
      <c r="B263" s="114" t="s">
        <v>415</v>
      </c>
      <c r="C263" s="114" t="s">
        <v>416</v>
      </c>
      <c r="D263" s="114" t="s">
        <v>417</v>
      </c>
      <c r="E263">
        <v>5727</v>
      </c>
      <c r="F263" s="114" t="s">
        <v>755</v>
      </c>
      <c r="G263" s="114" t="s">
        <v>418</v>
      </c>
      <c r="H263" s="114" t="s">
        <v>756</v>
      </c>
      <c r="I263">
        <v>686</v>
      </c>
    </row>
    <row r="264" spans="1:10">
      <c r="A264" s="114" t="s">
        <v>747</v>
      </c>
      <c r="B264" s="114" t="s">
        <v>415</v>
      </c>
      <c r="C264" s="114" t="s">
        <v>434</v>
      </c>
      <c r="D264" s="114" t="s">
        <v>417</v>
      </c>
      <c r="E264">
        <v>6028</v>
      </c>
      <c r="F264" s="114" t="s">
        <v>1110</v>
      </c>
      <c r="G264" s="114" t="s">
        <v>418</v>
      </c>
      <c r="H264" s="114" t="s">
        <v>425</v>
      </c>
      <c r="I264" s="114" t="s">
        <v>461</v>
      </c>
      <c r="J264" s="114" t="s">
        <v>1111</v>
      </c>
    </row>
    <row r="265" spans="1:10">
      <c r="A265" s="114" t="s">
        <v>747</v>
      </c>
      <c r="B265" s="114" t="s">
        <v>415</v>
      </c>
      <c r="C265" s="114" t="s">
        <v>416</v>
      </c>
      <c r="D265" s="114" t="s">
        <v>417</v>
      </c>
      <c r="E265">
        <v>6322</v>
      </c>
      <c r="F265" s="114" t="s">
        <v>757</v>
      </c>
      <c r="G265" s="114" t="s">
        <v>431</v>
      </c>
      <c r="H265" s="114" t="s">
        <v>456</v>
      </c>
      <c r="I265">
        <v>124</v>
      </c>
    </row>
    <row r="266" spans="1:10">
      <c r="A266" s="114" t="s">
        <v>747</v>
      </c>
      <c r="B266" s="114" t="s">
        <v>415</v>
      </c>
      <c r="C266" s="114" t="s">
        <v>416</v>
      </c>
      <c r="D266" s="114" t="s">
        <v>417</v>
      </c>
      <c r="E266">
        <v>6659</v>
      </c>
      <c r="F266" s="114" t="s">
        <v>758</v>
      </c>
      <c r="G266" s="114" t="s">
        <v>424</v>
      </c>
      <c r="H266" s="114" t="s">
        <v>469</v>
      </c>
      <c r="I266" s="114">
        <v>19</v>
      </c>
      <c r="J266" s="114"/>
    </row>
    <row r="267" spans="1:10">
      <c r="A267" s="114" t="s">
        <v>747</v>
      </c>
      <c r="B267" s="114" t="s">
        <v>415</v>
      </c>
      <c r="C267" s="114" t="s">
        <v>416</v>
      </c>
      <c r="D267" s="114" t="s">
        <v>417</v>
      </c>
      <c r="E267">
        <v>6925</v>
      </c>
      <c r="F267" s="114" t="s">
        <v>759</v>
      </c>
      <c r="G267" s="114" t="s">
        <v>418</v>
      </c>
      <c r="H267" s="114" t="s">
        <v>469</v>
      </c>
      <c r="I267" s="114" t="s">
        <v>461</v>
      </c>
      <c r="J267" s="114" t="s">
        <v>1112</v>
      </c>
    </row>
    <row r="268" spans="1:10">
      <c r="A268" s="114" t="s">
        <v>747</v>
      </c>
      <c r="B268" s="114" t="s">
        <v>415</v>
      </c>
      <c r="C268" s="114" t="s">
        <v>416</v>
      </c>
      <c r="D268" s="114" t="s">
        <v>417</v>
      </c>
      <c r="E268">
        <v>7282</v>
      </c>
      <c r="F268" s="114" t="s">
        <v>760</v>
      </c>
      <c r="G268" s="114" t="s">
        <v>418</v>
      </c>
      <c r="H268" s="114" t="s">
        <v>497</v>
      </c>
      <c r="I268" s="114" t="s">
        <v>689</v>
      </c>
      <c r="J268" s="114" t="s">
        <v>875</v>
      </c>
    </row>
    <row r="269" spans="1:10">
      <c r="A269" s="114" t="s">
        <v>747</v>
      </c>
      <c r="B269" s="114" t="s">
        <v>415</v>
      </c>
      <c r="C269" s="114" t="s">
        <v>416</v>
      </c>
      <c r="D269" s="114" t="s">
        <v>417</v>
      </c>
      <c r="E269">
        <v>7510</v>
      </c>
      <c r="F269" s="114" t="s">
        <v>761</v>
      </c>
      <c r="G269" s="114" t="s">
        <v>418</v>
      </c>
      <c r="H269" s="114" t="s">
        <v>427</v>
      </c>
      <c r="I269">
        <v>217</v>
      </c>
    </row>
    <row r="270" spans="1:10">
      <c r="A270" s="114" t="s">
        <v>747</v>
      </c>
      <c r="B270" s="114" t="s">
        <v>415</v>
      </c>
      <c r="C270" s="114" t="s">
        <v>416</v>
      </c>
      <c r="D270" s="114" t="s">
        <v>417</v>
      </c>
      <c r="E270">
        <v>7600</v>
      </c>
      <c r="F270" s="114" t="s">
        <v>762</v>
      </c>
      <c r="G270" s="114" t="s">
        <v>418</v>
      </c>
      <c r="H270" s="114" t="s">
        <v>717</v>
      </c>
      <c r="I270">
        <v>586</v>
      </c>
    </row>
    <row r="271" spans="1:10">
      <c r="A271" s="114" t="s">
        <v>747</v>
      </c>
      <c r="B271" s="114" t="s">
        <v>415</v>
      </c>
      <c r="C271" s="114" t="s">
        <v>416</v>
      </c>
      <c r="D271" s="114" t="s">
        <v>417</v>
      </c>
      <c r="E271">
        <v>7838</v>
      </c>
      <c r="F271" s="114" t="s">
        <v>763</v>
      </c>
      <c r="G271" s="114" t="s">
        <v>418</v>
      </c>
      <c r="H271" s="114" t="s">
        <v>458</v>
      </c>
      <c r="I271">
        <v>80</v>
      </c>
    </row>
    <row r="272" spans="1:10">
      <c r="A272" s="114" t="s">
        <v>747</v>
      </c>
      <c r="B272" s="114" t="s">
        <v>415</v>
      </c>
      <c r="C272" s="114" t="s">
        <v>416</v>
      </c>
      <c r="D272" s="114" t="s">
        <v>417</v>
      </c>
      <c r="E272">
        <v>7925</v>
      </c>
      <c r="F272" s="114" t="s">
        <v>764</v>
      </c>
      <c r="G272" s="114" t="s">
        <v>418</v>
      </c>
      <c r="H272" s="114" t="s">
        <v>442</v>
      </c>
      <c r="I272" s="114">
        <v>191</v>
      </c>
      <c r="J272" s="114"/>
    </row>
    <row r="273" spans="1:10">
      <c r="A273" s="114" t="s">
        <v>747</v>
      </c>
      <c r="B273" s="114" t="s">
        <v>415</v>
      </c>
      <c r="C273" s="114" t="s">
        <v>416</v>
      </c>
      <c r="D273" s="114" t="s">
        <v>417</v>
      </c>
      <c r="E273">
        <v>8806</v>
      </c>
      <c r="F273" s="114" t="s">
        <v>765</v>
      </c>
      <c r="G273" s="114" t="s">
        <v>418</v>
      </c>
      <c r="H273" s="114" t="s">
        <v>471</v>
      </c>
      <c r="I273" s="114" t="s">
        <v>501</v>
      </c>
      <c r="J273" s="114" t="s">
        <v>1113</v>
      </c>
    </row>
    <row r="274" spans="1:10">
      <c r="A274" s="114" t="s">
        <v>766</v>
      </c>
      <c r="B274" s="114" t="s">
        <v>415</v>
      </c>
      <c r="C274" s="114" t="s">
        <v>416</v>
      </c>
      <c r="D274" s="114" t="s">
        <v>422</v>
      </c>
      <c r="E274">
        <v>1379</v>
      </c>
      <c r="F274" s="114" t="s">
        <v>767</v>
      </c>
      <c r="G274" s="114" t="s">
        <v>418</v>
      </c>
      <c r="H274" s="114" t="s">
        <v>587</v>
      </c>
      <c r="I274">
        <v>655</v>
      </c>
    </row>
    <row r="275" spans="1:10">
      <c r="A275" s="114" t="s">
        <v>766</v>
      </c>
      <c r="B275" s="114" t="s">
        <v>415</v>
      </c>
      <c r="C275" s="114" t="s">
        <v>416</v>
      </c>
      <c r="D275" s="114" t="s">
        <v>417</v>
      </c>
      <c r="E275">
        <v>2907</v>
      </c>
      <c r="F275" s="114" t="s">
        <v>768</v>
      </c>
      <c r="G275" s="114" t="s">
        <v>431</v>
      </c>
      <c r="H275" s="114" t="s">
        <v>419</v>
      </c>
      <c r="I275" s="114">
        <v>62</v>
      </c>
      <c r="J275" s="114"/>
    </row>
    <row r="276" spans="1:10">
      <c r="A276" s="114" t="s">
        <v>766</v>
      </c>
      <c r="B276" s="114" t="s">
        <v>415</v>
      </c>
      <c r="C276" s="114" t="s">
        <v>416</v>
      </c>
      <c r="D276" s="114" t="s">
        <v>417</v>
      </c>
      <c r="E276">
        <v>3612</v>
      </c>
      <c r="F276" s="114" t="s">
        <v>769</v>
      </c>
      <c r="G276" s="114" t="s">
        <v>418</v>
      </c>
      <c r="H276" s="114" t="s">
        <v>512</v>
      </c>
      <c r="I276">
        <v>986</v>
      </c>
    </row>
    <row r="277" spans="1:10">
      <c r="A277" s="114" t="s">
        <v>766</v>
      </c>
      <c r="B277" s="114" t="s">
        <v>415</v>
      </c>
      <c r="C277" s="114" t="s">
        <v>434</v>
      </c>
      <c r="D277" s="114" t="s">
        <v>417</v>
      </c>
      <c r="E277">
        <v>6920</v>
      </c>
      <c r="F277" s="114" t="s">
        <v>1114</v>
      </c>
      <c r="G277" s="114" t="s">
        <v>418</v>
      </c>
      <c r="H277" s="114" t="s">
        <v>469</v>
      </c>
      <c r="I277" s="114" t="s">
        <v>598</v>
      </c>
      <c r="J277" s="114" t="s">
        <v>1115</v>
      </c>
    </row>
    <row r="278" spans="1:10">
      <c r="A278" s="114" t="s">
        <v>766</v>
      </c>
      <c r="B278" s="114" t="s">
        <v>415</v>
      </c>
      <c r="C278" s="114" t="s">
        <v>416</v>
      </c>
      <c r="D278" s="114" t="s">
        <v>422</v>
      </c>
      <c r="E278">
        <v>7506</v>
      </c>
      <c r="F278" s="114" t="s">
        <v>770</v>
      </c>
      <c r="G278" s="114" t="s">
        <v>418</v>
      </c>
      <c r="H278" s="114" t="s">
        <v>436</v>
      </c>
      <c r="I278">
        <v>78</v>
      </c>
    </row>
    <row r="279" spans="1:10">
      <c r="A279" s="114" t="s">
        <v>766</v>
      </c>
      <c r="B279" s="114" t="s">
        <v>415</v>
      </c>
      <c r="C279" s="114" t="s">
        <v>416</v>
      </c>
      <c r="D279" s="114" t="s">
        <v>417</v>
      </c>
      <c r="E279">
        <v>7859</v>
      </c>
      <c r="F279" s="114" t="s">
        <v>771</v>
      </c>
      <c r="G279" s="114" t="s">
        <v>431</v>
      </c>
      <c r="H279" s="114" t="s">
        <v>458</v>
      </c>
      <c r="I279">
        <v>26</v>
      </c>
    </row>
    <row r="280" spans="1:10">
      <c r="A280" s="114" t="s">
        <v>772</v>
      </c>
      <c r="B280" s="114" t="s">
        <v>668</v>
      </c>
      <c r="C280" s="114" t="s">
        <v>416</v>
      </c>
      <c r="D280" s="114" t="s">
        <v>417</v>
      </c>
      <c r="E280">
        <v>4502</v>
      </c>
      <c r="F280" s="114" t="s">
        <v>773</v>
      </c>
      <c r="G280" s="114" t="s">
        <v>418</v>
      </c>
      <c r="H280" s="114" t="s">
        <v>568</v>
      </c>
      <c r="I280" s="114" t="s">
        <v>694</v>
      </c>
      <c r="J280" s="114" t="s">
        <v>888</v>
      </c>
    </row>
    <row r="281" spans="1:10">
      <c r="A281" s="114" t="s">
        <v>772</v>
      </c>
      <c r="B281" s="114" t="s">
        <v>415</v>
      </c>
      <c r="C281" s="114" t="s">
        <v>416</v>
      </c>
      <c r="D281" s="114" t="s">
        <v>417</v>
      </c>
      <c r="E281">
        <v>2117</v>
      </c>
      <c r="F281" s="114" t="s">
        <v>1116</v>
      </c>
      <c r="G281" s="114" t="s">
        <v>418</v>
      </c>
      <c r="H281" s="114" t="s">
        <v>419</v>
      </c>
      <c r="I281" s="114">
        <v>453</v>
      </c>
      <c r="J281" s="114"/>
    </row>
    <row r="282" spans="1:10">
      <c r="A282" s="114" t="s">
        <v>772</v>
      </c>
      <c r="B282" s="114" t="s">
        <v>415</v>
      </c>
      <c r="C282" s="114" t="s">
        <v>429</v>
      </c>
      <c r="D282" s="114" t="s">
        <v>422</v>
      </c>
      <c r="E282">
        <v>2268</v>
      </c>
      <c r="F282" s="114" t="s">
        <v>774</v>
      </c>
      <c r="G282" s="114" t="s">
        <v>424</v>
      </c>
      <c r="H282" s="114" t="s">
        <v>419</v>
      </c>
      <c r="I282">
        <v>387</v>
      </c>
    </row>
    <row r="283" spans="1:10">
      <c r="A283" s="114" t="s">
        <v>772</v>
      </c>
      <c r="B283" s="114" t="s">
        <v>415</v>
      </c>
      <c r="C283" s="114" t="s">
        <v>416</v>
      </c>
      <c r="D283" s="114" t="s">
        <v>417</v>
      </c>
      <c r="E283">
        <v>6151</v>
      </c>
      <c r="F283" s="114" t="s">
        <v>775</v>
      </c>
      <c r="G283" s="114" t="s">
        <v>418</v>
      </c>
      <c r="H283" s="114" t="s">
        <v>456</v>
      </c>
      <c r="I283">
        <v>493</v>
      </c>
    </row>
    <row r="284" spans="1:10">
      <c r="A284" s="114" t="s">
        <v>772</v>
      </c>
      <c r="B284" s="114" t="s">
        <v>415</v>
      </c>
      <c r="C284" s="114" t="s">
        <v>416</v>
      </c>
      <c r="D284" s="114" t="s">
        <v>417</v>
      </c>
      <c r="E284">
        <v>7419</v>
      </c>
      <c r="F284" s="114" t="s">
        <v>776</v>
      </c>
      <c r="G284" s="114" t="s">
        <v>418</v>
      </c>
      <c r="H284" s="114" t="s">
        <v>436</v>
      </c>
      <c r="I284" s="114" t="s">
        <v>501</v>
      </c>
      <c r="J284" s="114" t="s">
        <v>1117</v>
      </c>
    </row>
    <row r="285" spans="1:10">
      <c r="A285" s="114" t="s">
        <v>772</v>
      </c>
      <c r="B285" s="114" t="s">
        <v>415</v>
      </c>
      <c r="C285" s="114" t="s">
        <v>434</v>
      </c>
      <c r="D285" s="114" t="s">
        <v>417</v>
      </c>
      <c r="E285">
        <v>8945</v>
      </c>
      <c r="F285" s="114" t="s">
        <v>1118</v>
      </c>
      <c r="G285" s="114" t="s">
        <v>418</v>
      </c>
      <c r="H285" s="114" t="s">
        <v>471</v>
      </c>
      <c r="I285" s="114">
        <v>116</v>
      </c>
      <c r="J285" s="114"/>
    </row>
    <row r="286" spans="1:10">
      <c r="A286" s="114" t="s">
        <v>777</v>
      </c>
      <c r="B286" s="114" t="s">
        <v>415</v>
      </c>
      <c r="C286" s="114" t="s">
        <v>416</v>
      </c>
      <c r="D286" s="114" t="s">
        <v>417</v>
      </c>
      <c r="E286">
        <v>2130</v>
      </c>
      <c r="F286" s="114" t="s">
        <v>778</v>
      </c>
      <c r="G286" s="114" t="s">
        <v>418</v>
      </c>
      <c r="H286" s="114" t="s">
        <v>425</v>
      </c>
      <c r="I286">
        <v>325</v>
      </c>
    </row>
    <row r="287" spans="1:10">
      <c r="A287" s="114" t="s">
        <v>777</v>
      </c>
      <c r="B287" s="114" t="s">
        <v>415</v>
      </c>
      <c r="C287" s="114" t="s">
        <v>416</v>
      </c>
      <c r="D287" s="114" t="s">
        <v>422</v>
      </c>
      <c r="E287">
        <v>6678</v>
      </c>
      <c r="F287" s="114" t="s">
        <v>779</v>
      </c>
      <c r="G287" s="114" t="s">
        <v>418</v>
      </c>
      <c r="H287" s="114" t="s">
        <v>469</v>
      </c>
      <c r="I287" s="114">
        <v>182</v>
      </c>
      <c r="J287" s="114"/>
    </row>
    <row r="288" spans="1:10">
      <c r="A288" s="114" t="s">
        <v>777</v>
      </c>
      <c r="B288" s="114" t="s">
        <v>415</v>
      </c>
      <c r="C288" s="114" t="s">
        <v>416</v>
      </c>
      <c r="D288" s="114" t="s">
        <v>417</v>
      </c>
      <c r="E288">
        <v>6875</v>
      </c>
      <c r="F288" s="114" t="s">
        <v>780</v>
      </c>
      <c r="G288" s="114" t="s">
        <v>418</v>
      </c>
      <c r="H288" s="114" t="s">
        <v>469</v>
      </c>
      <c r="I288">
        <v>570</v>
      </c>
    </row>
    <row r="289" spans="1:10">
      <c r="A289" s="114" t="s">
        <v>777</v>
      </c>
      <c r="B289" s="114" t="s">
        <v>415</v>
      </c>
      <c r="C289" s="114" t="s">
        <v>434</v>
      </c>
      <c r="D289" s="114" t="s">
        <v>417</v>
      </c>
      <c r="E289">
        <v>7532</v>
      </c>
      <c r="F289" s="114" t="s">
        <v>1119</v>
      </c>
      <c r="G289" s="114" t="s">
        <v>418</v>
      </c>
      <c r="H289" s="114" t="s">
        <v>436</v>
      </c>
      <c r="I289" s="114" t="s">
        <v>882</v>
      </c>
      <c r="J289" s="114" t="s">
        <v>1120</v>
      </c>
    </row>
    <row r="290" spans="1:10">
      <c r="A290" s="114" t="s">
        <v>781</v>
      </c>
      <c r="B290" s="114" t="s">
        <v>668</v>
      </c>
      <c r="C290" s="114" t="s">
        <v>429</v>
      </c>
      <c r="D290" s="114" t="s">
        <v>417</v>
      </c>
      <c r="E290">
        <v>2914</v>
      </c>
      <c r="F290" s="114" t="s">
        <v>1121</v>
      </c>
      <c r="G290" s="114" t="s">
        <v>418</v>
      </c>
      <c r="H290" s="114" t="s">
        <v>419</v>
      </c>
      <c r="I290" s="114" t="s">
        <v>1122</v>
      </c>
      <c r="J290" s="114" t="s">
        <v>1123</v>
      </c>
    </row>
    <row r="291" spans="1:10">
      <c r="A291" s="114" t="s">
        <v>781</v>
      </c>
      <c r="B291" s="114" t="s">
        <v>415</v>
      </c>
      <c r="C291" s="114" t="s">
        <v>416</v>
      </c>
      <c r="D291" s="114" t="s">
        <v>417</v>
      </c>
      <c r="E291">
        <v>2372</v>
      </c>
      <c r="F291" s="114" t="s">
        <v>782</v>
      </c>
      <c r="G291" s="114" t="s">
        <v>418</v>
      </c>
      <c r="H291" s="114" t="s">
        <v>425</v>
      </c>
      <c r="I291" s="114">
        <v>178</v>
      </c>
      <c r="J291" s="114"/>
    </row>
    <row r="292" spans="1:10">
      <c r="A292" s="114" t="s">
        <v>781</v>
      </c>
      <c r="B292" s="114" t="s">
        <v>415</v>
      </c>
      <c r="C292" s="114" t="s">
        <v>434</v>
      </c>
      <c r="D292" s="114" t="s">
        <v>417</v>
      </c>
      <c r="E292">
        <v>3242</v>
      </c>
      <c r="F292" s="114" t="s">
        <v>783</v>
      </c>
      <c r="G292" s="114" t="s">
        <v>424</v>
      </c>
      <c r="H292" s="114" t="s">
        <v>471</v>
      </c>
      <c r="I292" s="114">
        <v>92</v>
      </c>
      <c r="J292" s="114"/>
    </row>
    <row r="293" spans="1:10">
      <c r="A293" s="114" t="s">
        <v>781</v>
      </c>
      <c r="B293" s="114" t="s">
        <v>415</v>
      </c>
      <c r="C293" s="114" t="s">
        <v>416</v>
      </c>
      <c r="D293" s="114" t="s">
        <v>417</v>
      </c>
      <c r="E293">
        <v>4626</v>
      </c>
      <c r="F293" s="114" t="s">
        <v>784</v>
      </c>
      <c r="G293" s="114" t="s">
        <v>418</v>
      </c>
      <c r="H293" s="114" t="s">
        <v>442</v>
      </c>
      <c r="I293" s="114" t="s">
        <v>501</v>
      </c>
      <c r="J293" s="114" t="s">
        <v>1124</v>
      </c>
    </row>
    <row r="294" spans="1:10">
      <c r="A294" s="114" t="s">
        <v>781</v>
      </c>
      <c r="B294" s="114" t="s">
        <v>415</v>
      </c>
      <c r="C294" s="114" t="s">
        <v>416</v>
      </c>
      <c r="D294" s="114" t="s">
        <v>417</v>
      </c>
      <c r="E294">
        <v>6569</v>
      </c>
      <c r="F294" s="114" t="s">
        <v>785</v>
      </c>
      <c r="G294" s="114" t="s">
        <v>418</v>
      </c>
      <c r="H294" s="114" t="s">
        <v>425</v>
      </c>
      <c r="I294">
        <v>384</v>
      </c>
    </row>
    <row r="295" spans="1:10">
      <c r="A295" s="114" t="s">
        <v>781</v>
      </c>
      <c r="B295" s="114" t="s">
        <v>415</v>
      </c>
      <c r="C295" s="114" t="s">
        <v>416</v>
      </c>
      <c r="D295" s="114" t="s">
        <v>417</v>
      </c>
      <c r="E295">
        <v>7703</v>
      </c>
      <c r="F295" s="114" t="s">
        <v>786</v>
      </c>
      <c r="G295" s="114" t="s">
        <v>431</v>
      </c>
      <c r="H295" s="114" t="s">
        <v>717</v>
      </c>
      <c r="I295" s="114">
        <v>199</v>
      </c>
      <c r="J295" s="114"/>
    </row>
    <row r="296" spans="1:10">
      <c r="A296" s="114" t="s">
        <v>781</v>
      </c>
      <c r="B296" s="114" t="s">
        <v>415</v>
      </c>
      <c r="C296" s="114" t="s">
        <v>416</v>
      </c>
      <c r="D296" s="114" t="s">
        <v>417</v>
      </c>
      <c r="E296">
        <v>7952</v>
      </c>
      <c r="F296" s="114" t="s">
        <v>787</v>
      </c>
      <c r="G296" s="114" t="s">
        <v>418</v>
      </c>
      <c r="H296" s="114" t="s">
        <v>458</v>
      </c>
      <c r="I296">
        <v>335</v>
      </c>
    </row>
    <row r="297" spans="1:10">
      <c r="A297" s="114" t="s">
        <v>788</v>
      </c>
      <c r="B297" s="114" t="s">
        <v>415</v>
      </c>
      <c r="C297" s="114" t="s">
        <v>416</v>
      </c>
      <c r="D297" s="114" t="s">
        <v>417</v>
      </c>
      <c r="E297">
        <v>1801</v>
      </c>
      <c r="F297" s="114" t="s">
        <v>789</v>
      </c>
      <c r="G297" s="114" t="s">
        <v>418</v>
      </c>
      <c r="H297" s="114" t="s">
        <v>479</v>
      </c>
      <c r="I297" s="114" t="s">
        <v>790</v>
      </c>
      <c r="J297" s="114" t="s">
        <v>1125</v>
      </c>
    </row>
    <row r="298" spans="1:10">
      <c r="A298" s="114" t="s">
        <v>788</v>
      </c>
      <c r="B298" s="114" t="s">
        <v>415</v>
      </c>
      <c r="C298" s="114" t="s">
        <v>416</v>
      </c>
      <c r="D298" s="114" t="s">
        <v>417</v>
      </c>
      <c r="E298">
        <v>1813</v>
      </c>
      <c r="F298" s="114" t="s">
        <v>791</v>
      </c>
      <c r="G298" s="114" t="s">
        <v>418</v>
      </c>
      <c r="H298" s="114" t="s">
        <v>479</v>
      </c>
      <c r="I298" s="114">
        <v>250</v>
      </c>
      <c r="J298" s="114"/>
    </row>
    <row r="299" spans="1:10">
      <c r="A299" s="114" t="s">
        <v>788</v>
      </c>
      <c r="B299" s="114" t="s">
        <v>415</v>
      </c>
      <c r="C299" s="114" t="s">
        <v>416</v>
      </c>
      <c r="D299" s="114" t="s">
        <v>417</v>
      </c>
      <c r="E299">
        <v>1835</v>
      </c>
      <c r="F299" s="114" t="s">
        <v>792</v>
      </c>
      <c r="G299" s="114" t="s">
        <v>418</v>
      </c>
      <c r="H299" s="114" t="s">
        <v>479</v>
      </c>
      <c r="I299" s="114" t="s">
        <v>501</v>
      </c>
      <c r="J299" s="114" t="s">
        <v>1126</v>
      </c>
    </row>
    <row r="300" spans="1:10">
      <c r="A300" s="114" t="s">
        <v>788</v>
      </c>
      <c r="B300" s="114" t="s">
        <v>415</v>
      </c>
      <c r="C300" s="114" t="s">
        <v>416</v>
      </c>
      <c r="D300" s="114" t="s">
        <v>422</v>
      </c>
      <c r="E300">
        <v>1853</v>
      </c>
      <c r="F300" s="114" t="s">
        <v>793</v>
      </c>
      <c r="G300" s="114" t="s">
        <v>431</v>
      </c>
      <c r="H300" s="114" t="s">
        <v>479</v>
      </c>
      <c r="I300">
        <v>101</v>
      </c>
    </row>
    <row r="301" spans="1:10">
      <c r="A301" s="114" t="s">
        <v>788</v>
      </c>
      <c r="B301" s="114" t="s">
        <v>415</v>
      </c>
      <c r="C301" s="114" t="s">
        <v>416</v>
      </c>
      <c r="D301" s="114" t="s">
        <v>417</v>
      </c>
      <c r="E301">
        <v>1909</v>
      </c>
      <c r="F301" s="114" t="s">
        <v>794</v>
      </c>
      <c r="G301" s="114" t="s">
        <v>418</v>
      </c>
      <c r="H301" s="114" t="s">
        <v>456</v>
      </c>
      <c r="I301">
        <v>101</v>
      </c>
    </row>
    <row r="302" spans="1:10">
      <c r="A302" s="114" t="s">
        <v>788</v>
      </c>
      <c r="B302" s="114" t="s">
        <v>415</v>
      </c>
      <c r="C302" s="114" t="s">
        <v>416</v>
      </c>
      <c r="D302" s="114" t="s">
        <v>417</v>
      </c>
      <c r="E302">
        <v>1961</v>
      </c>
      <c r="F302" s="114" t="s">
        <v>795</v>
      </c>
      <c r="G302" s="114" t="s">
        <v>418</v>
      </c>
      <c r="H302" s="114" t="s">
        <v>479</v>
      </c>
      <c r="I302">
        <v>869</v>
      </c>
    </row>
    <row r="303" spans="1:10">
      <c r="A303" s="114" t="s">
        <v>788</v>
      </c>
      <c r="B303" s="114" t="s">
        <v>415</v>
      </c>
      <c r="C303" s="114" t="s">
        <v>416</v>
      </c>
      <c r="D303" s="114" t="s">
        <v>417</v>
      </c>
      <c r="E303">
        <v>1969</v>
      </c>
      <c r="F303" s="114" t="s">
        <v>796</v>
      </c>
      <c r="G303" s="114" t="s">
        <v>418</v>
      </c>
      <c r="H303" s="114" t="s">
        <v>479</v>
      </c>
      <c r="I303" s="114" t="s">
        <v>501</v>
      </c>
      <c r="J303" s="114" t="s">
        <v>1127</v>
      </c>
    </row>
    <row r="304" spans="1:10">
      <c r="A304" s="114" t="s">
        <v>788</v>
      </c>
      <c r="B304" s="114" t="s">
        <v>415</v>
      </c>
      <c r="C304" s="114" t="s">
        <v>416</v>
      </c>
      <c r="D304" s="114" t="s">
        <v>417</v>
      </c>
      <c r="E304">
        <v>2815</v>
      </c>
      <c r="F304" s="114" t="s">
        <v>798</v>
      </c>
      <c r="G304" s="114" t="s">
        <v>418</v>
      </c>
      <c r="H304" s="114" t="s">
        <v>419</v>
      </c>
      <c r="I304" s="114" t="s">
        <v>461</v>
      </c>
      <c r="J304" s="114" t="s">
        <v>1128</v>
      </c>
    </row>
    <row r="305" spans="1:10">
      <c r="A305" s="114" t="s">
        <v>788</v>
      </c>
      <c r="B305" s="114" t="s">
        <v>415</v>
      </c>
      <c r="C305" s="114" t="s">
        <v>416</v>
      </c>
      <c r="D305" s="114" t="s">
        <v>417</v>
      </c>
      <c r="E305">
        <v>3109</v>
      </c>
      <c r="F305" s="114" t="s">
        <v>799</v>
      </c>
      <c r="G305" s="114" t="s">
        <v>418</v>
      </c>
      <c r="H305" s="114" t="s">
        <v>512</v>
      </c>
      <c r="I305">
        <v>111</v>
      </c>
    </row>
    <row r="306" spans="1:10">
      <c r="A306" s="114" t="s">
        <v>788</v>
      </c>
      <c r="B306" s="114" t="s">
        <v>415</v>
      </c>
      <c r="C306" s="114" t="s">
        <v>416</v>
      </c>
      <c r="D306" s="114" t="s">
        <v>417</v>
      </c>
      <c r="E306">
        <v>3766</v>
      </c>
      <c r="F306" s="114" t="s">
        <v>800</v>
      </c>
      <c r="G306" s="114" t="s">
        <v>424</v>
      </c>
      <c r="H306" s="114" t="s">
        <v>438</v>
      </c>
      <c r="I306" s="114">
        <v>24</v>
      </c>
      <c r="J306" s="114"/>
    </row>
    <row r="307" spans="1:10">
      <c r="A307" s="114" t="s">
        <v>788</v>
      </c>
      <c r="B307" s="114" t="s">
        <v>415</v>
      </c>
      <c r="C307" s="114" t="s">
        <v>416</v>
      </c>
      <c r="D307" s="114" t="s">
        <v>417</v>
      </c>
      <c r="E307">
        <v>4540</v>
      </c>
      <c r="F307" s="114" t="s">
        <v>801</v>
      </c>
      <c r="G307" s="114" t="s">
        <v>418</v>
      </c>
      <c r="H307" s="114" t="s">
        <v>568</v>
      </c>
      <c r="I307" s="114" t="s">
        <v>461</v>
      </c>
      <c r="J307" s="114" t="s">
        <v>1129</v>
      </c>
    </row>
    <row r="308" spans="1:10">
      <c r="A308" s="114" t="s">
        <v>788</v>
      </c>
      <c r="B308" s="114" t="s">
        <v>415</v>
      </c>
      <c r="C308" s="114" t="s">
        <v>429</v>
      </c>
      <c r="D308" s="114" t="s">
        <v>422</v>
      </c>
      <c r="E308">
        <v>4588</v>
      </c>
      <c r="F308" s="114" t="s">
        <v>802</v>
      </c>
      <c r="G308" s="114" t="s">
        <v>440</v>
      </c>
      <c r="H308" s="114" t="s">
        <v>568</v>
      </c>
      <c r="I308">
        <v>280</v>
      </c>
    </row>
    <row r="309" spans="1:10">
      <c r="A309" s="114" t="s">
        <v>788</v>
      </c>
      <c r="B309" s="114" t="s">
        <v>415</v>
      </c>
      <c r="C309" s="114" t="s">
        <v>416</v>
      </c>
      <c r="D309" s="114" t="s">
        <v>417</v>
      </c>
      <c r="E309">
        <v>4777</v>
      </c>
      <c r="F309" s="114" t="s">
        <v>803</v>
      </c>
      <c r="G309" s="114" t="s">
        <v>424</v>
      </c>
      <c r="H309" s="114" t="s">
        <v>438</v>
      </c>
      <c r="I309" s="114">
        <v>53</v>
      </c>
      <c r="J309" s="114"/>
    </row>
    <row r="310" spans="1:10">
      <c r="A310" s="114" t="s">
        <v>788</v>
      </c>
      <c r="B310" s="114" t="s">
        <v>415</v>
      </c>
      <c r="C310" s="114" t="s">
        <v>416</v>
      </c>
      <c r="D310" s="114" t="s">
        <v>417</v>
      </c>
      <c r="E310">
        <v>5713</v>
      </c>
      <c r="F310" s="114" t="s">
        <v>804</v>
      </c>
      <c r="G310" s="114" t="s">
        <v>418</v>
      </c>
      <c r="H310" s="114" t="s">
        <v>756</v>
      </c>
      <c r="I310" s="114" t="s">
        <v>790</v>
      </c>
      <c r="J310" s="114" t="s">
        <v>1130</v>
      </c>
    </row>
    <row r="311" spans="1:10">
      <c r="A311" s="114" t="s">
        <v>788</v>
      </c>
      <c r="B311" s="114" t="s">
        <v>415</v>
      </c>
      <c r="C311" s="114" t="s">
        <v>416</v>
      </c>
      <c r="D311" s="114" t="s">
        <v>417</v>
      </c>
      <c r="E311">
        <v>6485</v>
      </c>
      <c r="F311" s="114" t="s">
        <v>805</v>
      </c>
      <c r="G311" s="114" t="s">
        <v>418</v>
      </c>
      <c r="H311" s="114" t="s">
        <v>456</v>
      </c>
      <c r="I311">
        <v>257</v>
      </c>
    </row>
    <row r="312" spans="1:10">
      <c r="A312" s="114" t="s">
        <v>788</v>
      </c>
      <c r="B312" s="114" t="s">
        <v>415</v>
      </c>
      <c r="C312" s="114" t="s">
        <v>429</v>
      </c>
      <c r="D312" s="114" t="s">
        <v>417</v>
      </c>
      <c r="E312">
        <v>6929</v>
      </c>
      <c r="F312" s="114" t="s">
        <v>806</v>
      </c>
      <c r="G312" s="114" t="s">
        <v>418</v>
      </c>
      <c r="H312" s="114" t="s">
        <v>469</v>
      </c>
      <c r="I312">
        <v>754</v>
      </c>
    </row>
    <row r="313" spans="1:10">
      <c r="A313" s="114" t="s">
        <v>788</v>
      </c>
      <c r="B313" s="114" t="s">
        <v>415</v>
      </c>
      <c r="C313" s="114" t="s">
        <v>416</v>
      </c>
      <c r="D313" s="114" t="s">
        <v>417</v>
      </c>
      <c r="E313">
        <v>7480</v>
      </c>
      <c r="F313" s="114" t="s">
        <v>807</v>
      </c>
      <c r="G313" s="114" t="s">
        <v>418</v>
      </c>
      <c r="H313" s="114" t="s">
        <v>427</v>
      </c>
      <c r="I313">
        <v>212</v>
      </c>
    </row>
    <row r="314" spans="1:10">
      <c r="A314" s="114" t="s">
        <v>788</v>
      </c>
      <c r="B314" s="114" t="s">
        <v>415</v>
      </c>
      <c r="C314" s="114" t="s">
        <v>416</v>
      </c>
      <c r="D314" s="114" t="s">
        <v>417</v>
      </c>
      <c r="E314">
        <v>9880</v>
      </c>
      <c r="F314" s="114" t="s">
        <v>808</v>
      </c>
      <c r="G314" s="114" t="s">
        <v>418</v>
      </c>
      <c r="H314" s="114" t="s">
        <v>427</v>
      </c>
      <c r="I314">
        <v>165</v>
      </c>
    </row>
    <row r="315" spans="1:10">
      <c r="A315" s="114" t="s">
        <v>788</v>
      </c>
      <c r="B315" s="114" t="s">
        <v>415</v>
      </c>
      <c r="C315" s="114" t="s">
        <v>416</v>
      </c>
      <c r="D315" s="114" t="s">
        <v>417</v>
      </c>
      <c r="E315">
        <v>9994</v>
      </c>
      <c r="F315" s="114" t="s">
        <v>809</v>
      </c>
      <c r="G315" s="114" t="s">
        <v>418</v>
      </c>
      <c r="H315" s="114" t="s">
        <v>436</v>
      </c>
      <c r="I315">
        <v>242</v>
      </c>
    </row>
    <row r="316" spans="1:10">
      <c r="A316" s="114" t="s">
        <v>810</v>
      </c>
      <c r="B316" s="114" t="s">
        <v>415</v>
      </c>
      <c r="C316" s="114" t="s">
        <v>416</v>
      </c>
      <c r="D316" s="114" t="s">
        <v>417</v>
      </c>
      <c r="E316">
        <v>1979</v>
      </c>
      <c r="F316" s="114" t="s">
        <v>811</v>
      </c>
      <c r="G316" s="114" t="s">
        <v>418</v>
      </c>
      <c r="H316" s="114" t="s">
        <v>479</v>
      </c>
      <c r="I316" s="114" t="s">
        <v>501</v>
      </c>
      <c r="J316" s="114" t="s">
        <v>1131</v>
      </c>
    </row>
    <row r="317" spans="1:10">
      <c r="A317" s="114" t="s">
        <v>810</v>
      </c>
      <c r="B317" s="114" t="s">
        <v>415</v>
      </c>
      <c r="C317" s="114" t="s">
        <v>416</v>
      </c>
      <c r="D317" s="114" t="s">
        <v>417</v>
      </c>
      <c r="E317">
        <v>2201</v>
      </c>
      <c r="F317" s="114" t="s">
        <v>1132</v>
      </c>
      <c r="G317" s="114" t="s">
        <v>418</v>
      </c>
      <c r="H317" s="114" t="s">
        <v>419</v>
      </c>
      <c r="I317" s="114" t="s">
        <v>689</v>
      </c>
      <c r="J317" s="114" t="s">
        <v>878</v>
      </c>
    </row>
    <row r="318" spans="1:10">
      <c r="A318" s="114" t="s">
        <v>810</v>
      </c>
      <c r="B318" s="114" t="s">
        <v>415</v>
      </c>
      <c r="C318" s="114" t="s">
        <v>429</v>
      </c>
      <c r="D318" s="114" t="s">
        <v>417</v>
      </c>
      <c r="E318">
        <v>2384</v>
      </c>
      <c r="F318" s="114" t="s">
        <v>1133</v>
      </c>
      <c r="G318" s="114" t="s">
        <v>418</v>
      </c>
      <c r="H318" s="114" t="s">
        <v>739</v>
      </c>
      <c r="I318">
        <v>784</v>
      </c>
    </row>
    <row r="319" spans="1:10">
      <c r="A319" s="114" t="s">
        <v>810</v>
      </c>
      <c r="B319" s="114" t="s">
        <v>415</v>
      </c>
      <c r="C319" s="114" t="s">
        <v>416</v>
      </c>
      <c r="D319" s="114" t="s">
        <v>417</v>
      </c>
      <c r="E319">
        <v>2398</v>
      </c>
      <c r="F319" s="114" t="s">
        <v>1134</v>
      </c>
      <c r="G319" s="114" t="s">
        <v>418</v>
      </c>
      <c r="H319" s="114" t="s">
        <v>425</v>
      </c>
      <c r="I319" s="114">
        <v>414</v>
      </c>
      <c r="J319" s="114"/>
    </row>
    <row r="320" spans="1:10">
      <c r="A320" s="114" t="s">
        <v>810</v>
      </c>
      <c r="B320" s="114" t="s">
        <v>415</v>
      </c>
      <c r="C320" s="114" t="s">
        <v>434</v>
      </c>
      <c r="D320" s="114" t="s">
        <v>417</v>
      </c>
      <c r="E320">
        <v>7320</v>
      </c>
      <c r="F320" s="114" t="s">
        <v>1135</v>
      </c>
      <c r="G320" s="114" t="s">
        <v>440</v>
      </c>
      <c r="H320" s="114" t="s">
        <v>518</v>
      </c>
      <c r="I320">
        <v>61</v>
      </c>
    </row>
    <row r="321" spans="1:10">
      <c r="A321" s="114" t="s">
        <v>810</v>
      </c>
      <c r="B321" s="114" t="s">
        <v>415</v>
      </c>
      <c r="C321" s="114" t="s">
        <v>416</v>
      </c>
      <c r="D321" s="114" t="s">
        <v>417</v>
      </c>
      <c r="E321">
        <v>8108</v>
      </c>
      <c r="F321" s="114" t="s">
        <v>812</v>
      </c>
      <c r="G321" s="114" t="s">
        <v>813</v>
      </c>
      <c r="H321" s="114" t="s">
        <v>427</v>
      </c>
      <c r="I321">
        <v>271</v>
      </c>
    </row>
    <row r="322" spans="1:10">
      <c r="A322" s="114" t="s">
        <v>814</v>
      </c>
      <c r="B322" s="114" t="s">
        <v>415</v>
      </c>
      <c r="C322" s="114" t="s">
        <v>416</v>
      </c>
      <c r="D322" s="114" t="s">
        <v>417</v>
      </c>
      <c r="E322">
        <v>1762</v>
      </c>
      <c r="F322" s="114" t="s">
        <v>815</v>
      </c>
      <c r="G322" s="114" t="s">
        <v>418</v>
      </c>
      <c r="H322" s="114" t="s">
        <v>479</v>
      </c>
      <c r="I322" s="114" t="s">
        <v>501</v>
      </c>
      <c r="J322" s="114" t="s">
        <v>1136</v>
      </c>
    </row>
    <row r="323" spans="1:10">
      <c r="A323" s="114" t="s">
        <v>814</v>
      </c>
      <c r="B323" s="114" t="s">
        <v>415</v>
      </c>
      <c r="C323" s="114" t="s">
        <v>416</v>
      </c>
      <c r="D323" s="114" t="s">
        <v>417</v>
      </c>
      <c r="E323">
        <v>1821</v>
      </c>
      <c r="F323" s="114" t="s">
        <v>817</v>
      </c>
      <c r="G323" s="114" t="s">
        <v>418</v>
      </c>
      <c r="H323" s="114" t="s">
        <v>479</v>
      </c>
      <c r="I323" s="114">
        <v>994</v>
      </c>
      <c r="J323" s="114"/>
    </row>
    <row r="324" spans="1:10">
      <c r="A324" s="114" t="s">
        <v>814</v>
      </c>
      <c r="B324" s="114" t="s">
        <v>415</v>
      </c>
      <c r="C324" s="114" t="s">
        <v>416</v>
      </c>
      <c r="D324" s="114" t="s">
        <v>417</v>
      </c>
      <c r="E324">
        <v>2196</v>
      </c>
      <c r="F324" s="114" t="s">
        <v>1137</v>
      </c>
      <c r="G324" s="114" t="s">
        <v>418</v>
      </c>
      <c r="H324" s="114" t="s">
        <v>425</v>
      </c>
      <c r="I324">
        <v>100</v>
      </c>
    </row>
    <row r="325" spans="1:10">
      <c r="A325" s="114" t="s">
        <v>814</v>
      </c>
      <c r="B325" s="114" t="s">
        <v>415</v>
      </c>
      <c r="C325" s="114" t="s">
        <v>429</v>
      </c>
      <c r="D325" s="114" t="s">
        <v>417</v>
      </c>
      <c r="E325">
        <v>2436</v>
      </c>
      <c r="F325" s="114" t="s">
        <v>1138</v>
      </c>
      <c r="G325" s="114" t="s">
        <v>424</v>
      </c>
      <c r="H325" s="114" t="s">
        <v>425</v>
      </c>
      <c r="I325">
        <v>54</v>
      </c>
    </row>
    <row r="326" spans="1:10">
      <c r="A326" s="114" t="s">
        <v>814</v>
      </c>
      <c r="B326" s="114" t="s">
        <v>415</v>
      </c>
      <c r="C326" s="114" t="s">
        <v>416</v>
      </c>
      <c r="D326" s="114" t="s">
        <v>417</v>
      </c>
      <c r="E326">
        <v>2705</v>
      </c>
      <c r="F326" s="114" t="s">
        <v>818</v>
      </c>
      <c r="G326" s="114" t="s">
        <v>424</v>
      </c>
      <c r="H326" s="114" t="s">
        <v>436</v>
      </c>
      <c r="I326">
        <v>176</v>
      </c>
    </row>
    <row r="327" spans="1:10">
      <c r="A327" s="114" t="s">
        <v>814</v>
      </c>
      <c r="B327" s="114" t="s">
        <v>415</v>
      </c>
      <c r="C327" s="114" t="s">
        <v>416</v>
      </c>
      <c r="D327" s="114" t="s">
        <v>417</v>
      </c>
      <c r="E327">
        <v>5714</v>
      </c>
      <c r="F327" s="114" t="s">
        <v>819</v>
      </c>
      <c r="G327" s="114" t="s">
        <v>418</v>
      </c>
      <c r="H327" s="114" t="s">
        <v>756</v>
      </c>
      <c r="I327" s="114" t="s">
        <v>461</v>
      </c>
      <c r="J327" s="114" t="s">
        <v>901</v>
      </c>
    </row>
    <row r="328" spans="1:10">
      <c r="A328" s="114" t="s">
        <v>814</v>
      </c>
      <c r="B328" s="114" t="s">
        <v>415</v>
      </c>
      <c r="C328" s="114" t="s">
        <v>416</v>
      </c>
      <c r="D328" s="114" t="s">
        <v>417</v>
      </c>
      <c r="E328">
        <v>7294</v>
      </c>
      <c r="F328" s="114" t="s">
        <v>820</v>
      </c>
      <c r="G328" s="114" t="s">
        <v>418</v>
      </c>
      <c r="H328" s="114" t="s">
        <v>497</v>
      </c>
      <c r="I328">
        <v>357</v>
      </c>
    </row>
    <row r="329" spans="1:10">
      <c r="A329" s="114" t="s">
        <v>814</v>
      </c>
      <c r="B329" s="114" t="s">
        <v>415</v>
      </c>
      <c r="C329" s="114" t="s">
        <v>416</v>
      </c>
      <c r="D329" s="114" t="s">
        <v>417</v>
      </c>
      <c r="E329">
        <v>9964</v>
      </c>
      <c r="F329" s="114" t="s">
        <v>821</v>
      </c>
      <c r="G329" s="114" t="s">
        <v>424</v>
      </c>
      <c r="H329" s="114" t="s">
        <v>427</v>
      </c>
      <c r="I329">
        <v>223</v>
      </c>
    </row>
    <row r="330" spans="1:10">
      <c r="A330" s="114" t="s">
        <v>822</v>
      </c>
      <c r="B330" s="114" t="s">
        <v>415</v>
      </c>
      <c r="C330" s="114" t="s">
        <v>416</v>
      </c>
      <c r="D330" s="114" t="s">
        <v>417</v>
      </c>
      <c r="E330">
        <v>1384</v>
      </c>
      <c r="F330" s="114" t="s">
        <v>823</v>
      </c>
      <c r="G330" s="114" t="s">
        <v>418</v>
      </c>
      <c r="H330" s="114" t="s">
        <v>587</v>
      </c>
      <c r="I330" s="114">
        <v>59</v>
      </c>
      <c r="J330" s="114"/>
    </row>
    <row r="331" spans="1:10">
      <c r="A331" s="114" t="s">
        <v>822</v>
      </c>
      <c r="B331" s="114" t="s">
        <v>415</v>
      </c>
      <c r="C331" s="114" t="s">
        <v>429</v>
      </c>
      <c r="D331" s="114" t="s">
        <v>417</v>
      </c>
      <c r="E331">
        <v>2150</v>
      </c>
      <c r="F331" s="114" t="s">
        <v>824</v>
      </c>
      <c r="G331" s="114" t="s">
        <v>440</v>
      </c>
      <c r="H331" s="114" t="s">
        <v>425</v>
      </c>
      <c r="I331">
        <v>87</v>
      </c>
    </row>
    <row r="332" spans="1:10">
      <c r="A332" s="114" t="s">
        <v>822</v>
      </c>
      <c r="B332" s="114" t="s">
        <v>415</v>
      </c>
      <c r="C332" s="114" t="s">
        <v>429</v>
      </c>
      <c r="D332" s="114" t="s">
        <v>417</v>
      </c>
      <c r="E332">
        <v>2170</v>
      </c>
      <c r="F332" s="114" t="s">
        <v>825</v>
      </c>
      <c r="G332" s="114" t="s">
        <v>418</v>
      </c>
      <c r="H332" s="114" t="s">
        <v>425</v>
      </c>
      <c r="I332" s="114">
        <v>834</v>
      </c>
      <c r="J332" s="114"/>
    </row>
    <row r="333" spans="1:10">
      <c r="A333" s="114" t="s">
        <v>822</v>
      </c>
      <c r="B333" s="114" t="s">
        <v>415</v>
      </c>
      <c r="C333" s="114" t="s">
        <v>421</v>
      </c>
      <c r="D333" s="114" t="s">
        <v>417</v>
      </c>
      <c r="E333">
        <v>2185</v>
      </c>
      <c r="F333" s="114" t="s">
        <v>1139</v>
      </c>
      <c r="G333" s="114" t="s">
        <v>424</v>
      </c>
      <c r="H333" s="114" t="s">
        <v>425</v>
      </c>
      <c r="I333">
        <v>175</v>
      </c>
    </row>
    <row r="334" spans="1:10">
      <c r="A334" s="114" t="s">
        <v>822</v>
      </c>
      <c r="B334" s="114" t="s">
        <v>415</v>
      </c>
      <c r="C334" s="114" t="s">
        <v>416</v>
      </c>
      <c r="D334" s="114" t="s">
        <v>417</v>
      </c>
      <c r="E334">
        <v>2323</v>
      </c>
      <c r="F334" s="114" t="s">
        <v>1140</v>
      </c>
      <c r="G334" s="114" t="s">
        <v>424</v>
      </c>
      <c r="H334" s="114" t="s">
        <v>438</v>
      </c>
      <c r="I334" s="114">
        <v>15</v>
      </c>
      <c r="J334" s="114"/>
    </row>
    <row r="335" spans="1:10">
      <c r="A335" s="114" t="s">
        <v>822</v>
      </c>
      <c r="B335" s="114" t="s">
        <v>415</v>
      </c>
      <c r="C335" s="114" t="s">
        <v>416</v>
      </c>
      <c r="D335" s="114" t="s">
        <v>417</v>
      </c>
      <c r="E335">
        <v>2654</v>
      </c>
      <c r="F335" s="114" t="s">
        <v>826</v>
      </c>
      <c r="G335" s="114" t="s">
        <v>431</v>
      </c>
      <c r="H335" s="114" t="s">
        <v>436</v>
      </c>
      <c r="I335">
        <v>82</v>
      </c>
    </row>
    <row r="336" spans="1:10">
      <c r="A336" s="114" t="s">
        <v>822</v>
      </c>
      <c r="B336" s="114" t="s">
        <v>415</v>
      </c>
      <c r="C336" s="114" t="s">
        <v>416</v>
      </c>
      <c r="D336" s="114" t="s">
        <v>417</v>
      </c>
      <c r="E336">
        <v>3182</v>
      </c>
      <c r="F336" s="114" t="s">
        <v>827</v>
      </c>
      <c r="G336" s="114" t="s">
        <v>440</v>
      </c>
      <c r="H336" s="114" t="s">
        <v>436</v>
      </c>
      <c r="I336">
        <v>466</v>
      </c>
    </row>
    <row r="337" spans="1:10">
      <c r="A337" s="114" t="s">
        <v>822</v>
      </c>
      <c r="B337" s="114" t="s">
        <v>415</v>
      </c>
      <c r="C337" s="114" t="s">
        <v>416</v>
      </c>
      <c r="D337" s="114" t="s">
        <v>417</v>
      </c>
      <c r="E337">
        <v>3934</v>
      </c>
      <c r="F337" s="114" t="s">
        <v>828</v>
      </c>
      <c r="G337" s="114" t="s">
        <v>418</v>
      </c>
      <c r="H337" s="114" t="s">
        <v>438</v>
      </c>
      <c r="I337" s="114">
        <v>89</v>
      </c>
      <c r="J337" s="114"/>
    </row>
    <row r="338" spans="1:10">
      <c r="A338" s="114" t="s">
        <v>822</v>
      </c>
      <c r="B338" s="114" t="s">
        <v>415</v>
      </c>
      <c r="C338" s="114" t="s">
        <v>434</v>
      </c>
      <c r="D338" s="114" t="s">
        <v>417</v>
      </c>
      <c r="E338">
        <v>3960</v>
      </c>
      <c r="F338" s="114" t="s">
        <v>829</v>
      </c>
      <c r="G338" s="114" t="s">
        <v>440</v>
      </c>
      <c r="H338" s="114" t="s">
        <v>438</v>
      </c>
      <c r="I338">
        <v>26</v>
      </c>
    </row>
    <row r="339" spans="1:10">
      <c r="A339" s="114" t="s">
        <v>822</v>
      </c>
      <c r="B339" s="114" t="s">
        <v>415</v>
      </c>
      <c r="C339" s="114" t="s">
        <v>429</v>
      </c>
      <c r="D339" s="114" t="s">
        <v>417</v>
      </c>
      <c r="E339">
        <v>4755</v>
      </c>
      <c r="F339" s="114" t="s">
        <v>830</v>
      </c>
      <c r="G339" s="114" t="s">
        <v>418</v>
      </c>
      <c r="H339" s="114" t="s">
        <v>425</v>
      </c>
      <c r="I339" s="114" t="s">
        <v>831</v>
      </c>
      <c r="J339" s="114" t="s">
        <v>1141</v>
      </c>
    </row>
    <row r="340" spans="1:10">
      <c r="A340" s="114" t="s">
        <v>822</v>
      </c>
      <c r="B340" s="114" t="s">
        <v>415</v>
      </c>
      <c r="C340" s="114" t="s">
        <v>416</v>
      </c>
      <c r="D340" s="114" t="s">
        <v>417</v>
      </c>
      <c r="E340">
        <v>5304</v>
      </c>
      <c r="F340" s="114" t="s">
        <v>832</v>
      </c>
      <c r="G340" s="114" t="s">
        <v>431</v>
      </c>
      <c r="H340" s="114" t="s">
        <v>554</v>
      </c>
      <c r="I340">
        <v>372</v>
      </c>
    </row>
    <row r="341" spans="1:10">
      <c r="A341" s="114" t="s">
        <v>822</v>
      </c>
      <c r="B341" s="114" t="s">
        <v>415</v>
      </c>
      <c r="C341" s="114" t="s">
        <v>416</v>
      </c>
      <c r="D341" s="114" t="s">
        <v>417</v>
      </c>
      <c r="E341">
        <v>6033</v>
      </c>
      <c r="F341" s="114" t="s">
        <v>833</v>
      </c>
      <c r="G341" s="114" t="s">
        <v>440</v>
      </c>
      <c r="H341" s="114" t="s">
        <v>425</v>
      </c>
      <c r="I341" s="114">
        <v>109</v>
      </c>
      <c r="J341" s="114"/>
    </row>
    <row r="342" spans="1:10">
      <c r="A342" s="114" t="s">
        <v>822</v>
      </c>
      <c r="B342" s="114" t="s">
        <v>415</v>
      </c>
      <c r="C342" s="114" t="s">
        <v>416</v>
      </c>
      <c r="D342" s="114" t="s">
        <v>417</v>
      </c>
      <c r="E342">
        <v>6125</v>
      </c>
      <c r="F342" s="114" t="s">
        <v>1142</v>
      </c>
      <c r="G342" s="114" t="s">
        <v>431</v>
      </c>
      <c r="H342" s="114" t="s">
        <v>456</v>
      </c>
      <c r="I342" s="114">
        <v>134</v>
      </c>
      <c r="J342" s="114"/>
    </row>
    <row r="343" spans="1:10">
      <c r="A343" s="114" t="s">
        <v>822</v>
      </c>
      <c r="B343" s="114" t="s">
        <v>415</v>
      </c>
      <c r="C343" s="114" t="s">
        <v>416</v>
      </c>
      <c r="D343" s="114" t="s">
        <v>417</v>
      </c>
      <c r="E343">
        <v>7070</v>
      </c>
      <c r="F343" s="114" t="s">
        <v>834</v>
      </c>
      <c r="G343" s="114" t="s">
        <v>424</v>
      </c>
      <c r="H343" s="114" t="s">
        <v>425</v>
      </c>
      <c r="I343">
        <v>44</v>
      </c>
    </row>
    <row r="344" spans="1:10">
      <c r="A344" s="114" t="s">
        <v>822</v>
      </c>
      <c r="B344" s="114" t="s">
        <v>415</v>
      </c>
      <c r="C344" s="114" t="s">
        <v>416</v>
      </c>
      <c r="D344" s="114" t="s">
        <v>417</v>
      </c>
      <c r="E344">
        <v>7780</v>
      </c>
      <c r="F344" s="114" t="s">
        <v>835</v>
      </c>
      <c r="G344" s="114" t="s">
        <v>418</v>
      </c>
      <c r="H344" s="114" t="s">
        <v>717</v>
      </c>
      <c r="I344" s="114" t="s">
        <v>501</v>
      </c>
      <c r="J344" s="114" t="s">
        <v>1143</v>
      </c>
    </row>
    <row r="345" spans="1:10">
      <c r="A345" s="114" t="s">
        <v>822</v>
      </c>
      <c r="B345" s="114" t="s">
        <v>415</v>
      </c>
      <c r="C345" s="114" t="s">
        <v>416</v>
      </c>
      <c r="D345" s="114" t="s">
        <v>417</v>
      </c>
      <c r="E345">
        <v>9707</v>
      </c>
      <c r="F345" s="114" t="s">
        <v>836</v>
      </c>
      <c r="G345" s="114" t="s">
        <v>424</v>
      </c>
      <c r="H345" s="114" t="s">
        <v>425</v>
      </c>
      <c r="I345" s="114">
        <v>132</v>
      </c>
      <c r="J345" s="114"/>
    </row>
    <row r="346" spans="1:10">
      <c r="A346" s="114" t="s">
        <v>837</v>
      </c>
      <c r="B346" s="114" t="s">
        <v>415</v>
      </c>
      <c r="C346" s="114" t="s">
        <v>416</v>
      </c>
      <c r="D346" s="114" t="s">
        <v>417</v>
      </c>
      <c r="E346">
        <v>2181</v>
      </c>
      <c r="F346" s="114" t="s">
        <v>1144</v>
      </c>
      <c r="G346" s="114" t="s">
        <v>418</v>
      </c>
      <c r="H346" s="114" t="s">
        <v>425</v>
      </c>
      <c r="I346" s="114" t="s">
        <v>598</v>
      </c>
      <c r="J346" s="114" t="s">
        <v>1071</v>
      </c>
    </row>
    <row r="347" spans="1:10">
      <c r="A347" s="114" t="s">
        <v>837</v>
      </c>
      <c r="B347" s="114" t="s">
        <v>415</v>
      </c>
      <c r="C347" s="114" t="s">
        <v>416</v>
      </c>
      <c r="D347" s="114" t="s">
        <v>422</v>
      </c>
      <c r="E347">
        <v>2334</v>
      </c>
      <c r="F347" s="114" t="s">
        <v>1145</v>
      </c>
      <c r="G347" s="114" t="s">
        <v>440</v>
      </c>
      <c r="H347" s="114" t="s">
        <v>425</v>
      </c>
      <c r="I347" s="114">
        <v>55</v>
      </c>
      <c r="J347" s="114"/>
    </row>
    <row r="348" spans="1:10">
      <c r="A348" s="114" t="s">
        <v>837</v>
      </c>
      <c r="B348" s="114" t="s">
        <v>415</v>
      </c>
      <c r="C348" s="114" t="s">
        <v>434</v>
      </c>
      <c r="D348" s="114" t="s">
        <v>417</v>
      </c>
      <c r="E348">
        <v>3135</v>
      </c>
      <c r="F348" s="114" t="s">
        <v>838</v>
      </c>
      <c r="G348" s="114" t="s">
        <v>440</v>
      </c>
      <c r="H348" s="114" t="s">
        <v>436</v>
      </c>
      <c r="I348">
        <v>156</v>
      </c>
    </row>
    <row r="349" spans="1:10">
      <c r="A349" s="114" t="s">
        <v>837</v>
      </c>
      <c r="B349" s="114" t="s">
        <v>415</v>
      </c>
      <c r="C349" s="114" t="s">
        <v>416</v>
      </c>
      <c r="D349" s="114" t="s">
        <v>417</v>
      </c>
      <c r="E349">
        <v>4620</v>
      </c>
      <c r="F349" s="114" t="s">
        <v>839</v>
      </c>
      <c r="G349" s="114" t="s">
        <v>418</v>
      </c>
      <c r="H349" s="114" t="s">
        <v>442</v>
      </c>
      <c r="I349" s="114">
        <v>186</v>
      </c>
      <c r="J349" s="114"/>
    </row>
    <row r="350" spans="1:10">
      <c r="A350" s="114" t="s">
        <v>837</v>
      </c>
      <c r="B350" s="114" t="s">
        <v>415</v>
      </c>
      <c r="C350" s="114" t="s">
        <v>429</v>
      </c>
      <c r="D350" s="114" t="s">
        <v>417</v>
      </c>
      <c r="E350">
        <v>6141</v>
      </c>
      <c r="F350" s="114" t="s">
        <v>840</v>
      </c>
      <c r="G350" s="114" t="s">
        <v>418</v>
      </c>
      <c r="H350" s="114" t="s">
        <v>456</v>
      </c>
      <c r="I350" s="114" t="s">
        <v>461</v>
      </c>
      <c r="J350" s="114" t="s">
        <v>1146</v>
      </c>
    </row>
    <row r="351" spans="1:10">
      <c r="A351" s="114" t="s">
        <v>837</v>
      </c>
      <c r="B351" s="114" t="s">
        <v>415</v>
      </c>
      <c r="C351" s="114" t="s">
        <v>416</v>
      </c>
      <c r="D351" s="114" t="s">
        <v>417</v>
      </c>
      <c r="E351">
        <v>6247</v>
      </c>
      <c r="F351" s="114" t="s">
        <v>841</v>
      </c>
      <c r="G351" s="114" t="s">
        <v>418</v>
      </c>
      <c r="H351" s="114" t="s">
        <v>456</v>
      </c>
      <c r="I351" s="114">
        <v>326</v>
      </c>
      <c r="J351" s="114"/>
    </row>
    <row r="352" spans="1:10">
      <c r="A352" s="114" t="s">
        <v>837</v>
      </c>
      <c r="B352" s="114" t="s">
        <v>415</v>
      </c>
      <c r="C352" s="114" t="s">
        <v>416</v>
      </c>
      <c r="D352" s="114" t="s">
        <v>417</v>
      </c>
      <c r="E352">
        <v>7199</v>
      </c>
      <c r="F352" s="114" t="s">
        <v>842</v>
      </c>
      <c r="G352" s="114" t="s">
        <v>418</v>
      </c>
      <c r="H352" s="114" t="s">
        <v>518</v>
      </c>
      <c r="I352" s="114">
        <v>321</v>
      </c>
      <c r="J352" s="114"/>
    </row>
    <row r="353" spans="1:10">
      <c r="A353" s="114" t="s">
        <v>843</v>
      </c>
      <c r="B353" s="114" t="s">
        <v>415</v>
      </c>
      <c r="C353" s="114" t="s">
        <v>429</v>
      </c>
      <c r="D353" s="114" t="s">
        <v>422</v>
      </c>
      <c r="E353">
        <v>8985</v>
      </c>
      <c r="F353" s="114" t="s">
        <v>844</v>
      </c>
      <c r="G353" s="114" t="s">
        <v>533</v>
      </c>
      <c r="H353" s="114" t="s">
        <v>534</v>
      </c>
      <c r="I353" s="114" t="s">
        <v>689</v>
      </c>
      <c r="J353" s="114" t="s">
        <v>1147</v>
      </c>
    </row>
    <row r="354" spans="1:10">
      <c r="A354" s="114" t="s">
        <v>845</v>
      </c>
      <c r="B354" s="114" t="s">
        <v>415</v>
      </c>
      <c r="C354" s="114" t="s">
        <v>416</v>
      </c>
      <c r="D354" s="114" t="s">
        <v>422</v>
      </c>
      <c r="E354">
        <v>1723</v>
      </c>
      <c r="F354" s="114" t="s">
        <v>846</v>
      </c>
      <c r="G354" s="114" t="s">
        <v>424</v>
      </c>
      <c r="H354" s="114" t="s">
        <v>479</v>
      </c>
      <c r="I354" s="114">
        <v>249</v>
      </c>
      <c r="J354" s="114"/>
    </row>
    <row r="355" spans="1:10">
      <c r="A355" s="114" t="s">
        <v>845</v>
      </c>
      <c r="B355" s="114" t="s">
        <v>415</v>
      </c>
      <c r="C355" s="114" t="s">
        <v>416</v>
      </c>
      <c r="D355" s="114" t="s">
        <v>417</v>
      </c>
      <c r="E355">
        <v>1941</v>
      </c>
      <c r="F355" s="114" t="s">
        <v>847</v>
      </c>
      <c r="G355" s="114" t="s">
        <v>418</v>
      </c>
      <c r="H355" s="114" t="s">
        <v>479</v>
      </c>
      <c r="I355" s="114" t="s">
        <v>501</v>
      </c>
      <c r="J355" s="114" t="s">
        <v>481</v>
      </c>
    </row>
    <row r="356" spans="1:10">
      <c r="A356" s="114" t="s">
        <v>845</v>
      </c>
      <c r="B356" s="114" t="s">
        <v>415</v>
      </c>
      <c r="C356" s="114" t="s">
        <v>416</v>
      </c>
      <c r="D356" s="114" t="s">
        <v>417</v>
      </c>
      <c r="E356">
        <v>1946</v>
      </c>
      <c r="F356" s="114" t="s">
        <v>848</v>
      </c>
      <c r="G356" s="114" t="s">
        <v>418</v>
      </c>
      <c r="H356" s="114" t="s">
        <v>479</v>
      </c>
      <c r="I356" s="114">
        <v>707</v>
      </c>
      <c r="J356" s="114"/>
    </row>
    <row r="357" spans="1:10">
      <c r="A357" s="114" t="s">
        <v>845</v>
      </c>
      <c r="B357" s="114" t="s">
        <v>415</v>
      </c>
      <c r="C357" s="114" t="s">
        <v>416</v>
      </c>
      <c r="D357" s="114" t="s">
        <v>417</v>
      </c>
      <c r="E357">
        <v>1959</v>
      </c>
      <c r="F357" s="114" t="s">
        <v>849</v>
      </c>
      <c r="G357" s="114" t="s">
        <v>418</v>
      </c>
      <c r="H357" s="114" t="s">
        <v>479</v>
      </c>
      <c r="I357" s="114" t="s">
        <v>461</v>
      </c>
      <c r="J357" s="114" t="s">
        <v>1148</v>
      </c>
    </row>
    <row r="358" spans="1:10">
      <c r="A358" s="114" t="s">
        <v>845</v>
      </c>
      <c r="B358" s="114" t="s">
        <v>415</v>
      </c>
      <c r="C358" s="114" t="s">
        <v>416</v>
      </c>
      <c r="D358" s="114" t="s">
        <v>417</v>
      </c>
      <c r="E358">
        <v>2148</v>
      </c>
      <c r="F358" s="114" t="s">
        <v>1149</v>
      </c>
      <c r="G358" s="114" t="s">
        <v>418</v>
      </c>
      <c r="H358" s="114" t="s">
        <v>425</v>
      </c>
      <c r="I358" s="114">
        <v>164</v>
      </c>
      <c r="J358" s="114"/>
    </row>
    <row r="359" spans="1:10">
      <c r="A359" s="114" t="s">
        <v>845</v>
      </c>
      <c r="B359" s="114" t="s">
        <v>415</v>
      </c>
      <c r="C359" s="114" t="s">
        <v>416</v>
      </c>
      <c r="D359" s="114" t="s">
        <v>417</v>
      </c>
      <c r="E359">
        <v>2326</v>
      </c>
      <c r="F359" s="114" t="s">
        <v>1150</v>
      </c>
      <c r="G359" s="114" t="s">
        <v>418</v>
      </c>
      <c r="H359" s="114" t="s">
        <v>438</v>
      </c>
      <c r="I359" s="114">
        <v>858</v>
      </c>
      <c r="J359" s="114"/>
    </row>
    <row r="360" spans="1:10">
      <c r="A360" s="114" t="s">
        <v>845</v>
      </c>
      <c r="B360" s="114" t="s">
        <v>415</v>
      </c>
      <c r="C360" s="114" t="s">
        <v>416</v>
      </c>
      <c r="D360" s="114" t="s">
        <v>422</v>
      </c>
      <c r="E360">
        <v>2332</v>
      </c>
      <c r="F360" s="114" t="s">
        <v>850</v>
      </c>
      <c r="G360" s="114" t="s">
        <v>424</v>
      </c>
      <c r="H360" s="114" t="s">
        <v>438</v>
      </c>
      <c r="I360">
        <v>62</v>
      </c>
    </row>
    <row r="361" spans="1:10">
      <c r="A361" s="114" t="s">
        <v>845</v>
      </c>
      <c r="B361" s="114" t="s">
        <v>415</v>
      </c>
      <c r="C361" s="114" t="s">
        <v>416</v>
      </c>
      <c r="D361" s="114" t="s">
        <v>422</v>
      </c>
      <c r="E361">
        <v>3177</v>
      </c>
      <c r="F361" s="114" t="s">
        <v>851</v>
      </c>
      <c r="G361" s="114" t="s">
        <v>424</v>
      </c>
      <c r="H361" s="114" t="s">
        <v>436</v>
      </c>
      <c r="I361">
        <v>22</v>
      </c>
    </row>
    <row r="362" spans="1:10">
      <c r="A362" s="114" t="s">
        <v>845</v>
      </c>
      <c r="B362" s="114" t="s">
        <v>415</v>
      </c>
      <c r="C362" s="114" t="s">
        <v>416</v>
      </c>
      <c r="D362" s="114" t="s">
        <v>417</v>
      </c>
      <c r="E362">
        <v>3231</v>
      </c>
      <c r="F362" s="114" t="s">
        <v>852</v>
      </c>
      <c r="G362" s="114" t="s">
        <v>418</v>
      </c>
      <c r="H362" s="114" t="s">
        <v>471</v>
      </c>
      <c r="I362" s="114" t="s">
        <v>452</v>
      </c>
      <c r="J362" s="114" t="s">
        <v>1151</v>
      </c>
    </row>
    <row r="363" spans="1:10">
      <c r="A363" s="114" t="s">
        <v>845</v>
      </c>
      <c r="B363" s="114" t="s">
        <v>415</v>
      </c>
      <c r="C363" s="114" t="s">
        <v>416</v>
      </c>
      <c r="D363" s="114" t="s">
        <v>422</v>
      </c>
      <c r="E363">
        <v>4333</v>
      </c>
      <c r="F363" s="114" t="s">
        <v>853</v>
      </c>
      <c r="G363" s="114" t="s">
        <v>418</v>
      </c>
      <c r="H363" s="114" t="s">
        <v>438</v>
      </c>
      <c r="I363">
        <v>129</v>
      </c>
    </row>
    <row r="364" spans="1:10">
      <c r="A364" s="114" t="s">
        <v>845</v>
      </c>
      <c r="B364" s="114" t="s">
        <v>415</v>
      </c>
      <c r="C364" s="114" t="s">
        <v>421</v>
      </c>
      <c r="D364" s="114" t="s">
        <v>422</v>
      </c>
      <c r="E364">
        <v>4393</v>
      </c>
      <c r="F364" s="114" t="s">
        <v>854</v>
      </c>
      <c r="G364" s="114" t="s">
        <v>440</v>
      </c>
      <c r="H364" s="114" t="s">
        <v>438</v>
      </c>
      <c r="I364">
        <v>116</v>
      </c>
    </row>
    <row r="365" spans="1:10">
      <c r="A365" s="114" t="s">
        <v>845</v>
      </c>
      <c r="B365" s="114" t="s">
        <v>415</v>
      </c>
      <c r="C365" s="114" t="s">
        <v>416</v>
      </c>
      <c r="D365" s="114" t="s">
        <v>417</v>
      </c>
      <c r="E365">
        <v>4557</v>
      </c>
      <c r="F365" s="114" t="s">
        <v>855</v>
      </c>
      <c r="G365" s="114" t="s">
        <v>424</v>
      </c>
      <c r="H365" s="114" t="s">
        <v>568</v>
      </c>
      <c r="I365" s="114">
        <v>205</v>
      </c>
      <c r="J365" s="114"/>
    </row>
    <row r="366" spans="1:10">
      <c r="A366" s="114" t="s">
        <v>845</v>
      </c>
      <c r="B366" s="114" t="s">
        <v>415</v>
      </c>
      <c r="C366" s="114" t="s">
        <v>416</v>
      </c>
      <c r="D366" s="114" t="s">
        <v>417</v>
      </c>
      <c r="E366">
        <v>4684</v>
      </c>
      <c r="F366" s="114" t="s">
        <v>856</v>
      </c>
      <c r="G366" s="114" t="s">
        <v>418</v>
      </c>
      <c r="H366" s="114" t="s">
        <v>438</v>
      </c>
      <c r="I366" s="114" t="s">
        <v>857</v>
      </c>
      <c r="J366" s="114" t="s">
        <v>797</v>
      </c>
    </row>
    <row r="367" spans="1:10">
      <c r="A367" s="114" t="s">
        <v>845</v>
      </c>
      <c r="B367" s="114" t="s">
        <v>415</v>
      </c>
      <c r="C367" s="114" t="s">
        <v>416</v>
      </c>
      <c r="D367" s="114" t="s">
        <v>417</v>
      </c>
      <c r="E367">
        <v>4689</v>
      </c>
      <c r="F367" s="114" t="s">
        <v>858</v>
      </c>
      <c r="G367" s="114" t="s">
        <v>418</v>
      </c>
      <c r="H367" s="114" t="s">
        <v>438</v>
      </c>
      <c r="I367" s="114" t="s">
        <v>859</v>
      </c>
      <c r="J367" s="114" t="s">
        <v>1152</v>
      </c>
    </row>
    <row r="368" spans="1:10">
      <c r="A368" s="114" t="s">
        <v>845</v>
      </c>
      <c r="B368" s="114" t="s">
        <v>415</v>
      </c>
      <c r="C368" s="114" t="s">
        <v>416</v>
      </c>
      <c r="D368" s="114" t="s">
        <v>422</v>
      </c>
      <c r="E368">
        <v>6022</v>
      </c>
      <c r="F368" s="114" t="s">
        <v>860</v>
      </c>
      <c r="G368" s="114" t="s">
        <v>431</v>
      </c>
      <c r="H368" s="114" t="s">
        <v>456</v>
      </c>
      <c r="I368">
        <v>27</v>
      </c>
    </row>
    <row r="369" spans="1:10">
      <c r="A369" s="114" t="s">
        <v>845</v>
      </c>
      <c r="B369" s="114" t="s">
        <v>415</v>
      </c>
      <c r="C369" s="114" t="s">
        <v>416</v>
      </c>
      <c r="D369" s="114" t="s">
        <v>417</v>
      </c>
      <c r="E369">
        <v>6201</v>
      </c>
      <c r="F369" s="114" t="s">
        <v>861</v>
      </c>
      <c r="G369" s="114" t="s">
        <v>418</v>
      </c>
      <c r="H369" s="114" t="s">
        <v>497</v>
      </c>
      <c r="I369" s="114" t="s">
        <v>862</v>
      </c>
      <c r="J369" s="114" t="s">
        <v>865</v>
      </c>
    </row>
    <row r="370" spans="1:10">
      <c r="A370" s="114" t="s">
        <v>845</v>
      </c>
      <c r="B370" s="114" t="s">
        <v>415</v>
      </c>
      <c r="C370" s="114" t="s">
        <v>416</v>
      </c>
      <c r="D370" s="114" t="s">
        <v>417</v>
      </c>
      <c r="E370">
        <v>6301</v>
      </c>
      <c r="F370" s="114" t="s">
        <v>863</v>
      </c>
      <c r="G370" s="114" t="s">
        <v>418</v>
      </c>
      <c r="H370" s="114" t="s">
        <v>456</v>
      </c>
      <c r="I370" s="114" t="s">
        <v>864</v>
      </c>
      <c r="J370" s="114" t="s">
        <v>1153</v>
      </c>
    </row>
    <row r="371" spans="1:10">
      <c r="A371" s="114" t="s">
        <v>845</v>
      </c>
      <c r="B371" s="114" t="s">
        <v>415</v>
      </c>
      <c r="C371" s="114" t="s">
        <v>416</v>
      </c>
      <c r="D371" s="114" t="s">
        <v>417</v>
      </c>
      <c r="E371">
        <v>6395</v>
      </c>
      <c r="F371" s="114" t="s">
        <v>866</v>
      </c>
      <c r="G371" s="114" t="s">
        <v>418</v>
      </c>
      <c r="H371" s="114" t="s">
        <v>456</v>
      </c>
      <c r="I371" s="114" t="s">
        <v>501</v>
      </c>
      <c r="J371" s="114" t="s">
        <v>1154</v>
      </c>
    </row>
    <row r="372" spans="1:10">
      <c r="A372" s="114" t="s">
        <v>845</v>
      </c>
      <c r="B372" s="114" t="s">
        <v>415</v>
      </c>
      <c r="C372" s="114" t="s">
        <v>416</v>
      </c>
      <c r="D372" s="114" t="s">
        <v>417</v>
      </c>
      <c r="E372">
        <v>6645</v>
      </c>
      <c r="F372" s="114" t="s">
        <v>868</v>
      </c>
      <c r="G372" s="114" t="s">
        <v>418</v>
      </c>
      <c r="H372" s="114" t="s">
        <v>469</v>
      </c>
      <c r="I372" s="114" t="s">
        <v>831</v>
      </c>
      <c r="J372" s="114" t="s">
        <v>1155</v>
      </c>
    </row>
    <row r="373" spans="1:10">
      <c r="A373" s="114" t="s">
        <v>845</v>
      </c>
      <c r="B373" s="114" t="s">
        <v>415</v>
      </c>
      <c r="C373" s="114" t="s">
        <v>416</v>
      </c>
      <c r="D373" s="114" t="s">
        <v>417</v>
      </c>
      <c r="E373">
        <v>6788</v>
      </c>
      <c r="F373" s="114" t="s">
        <v>869</v>
      </c>
      <c r="G373" s="114" t="s">
        <v>418</v>
      </c>
      <c r="H373" s="114" t="s">
        <v>469</v>
      </c>
      <c r="I373">
        <v>435</v>
      </c>
    </row>
    <row r="374" spans="1:10">
      <c r="A374" s="114" t="s">
        <v>845</v>
      </c>
      <c r="B374" s="114" t="s">
        <v>415</v>
      </c>
      <c r="C374" s="114" t="s">
        <v>416</v>
      </c>
      <c r="D374" s="114" t="s">
        <v>417</v>
      </c>
      <c r="E374">
        <v>7278</v>
      </c>
      <c r="F374" s="114" t="s">
        <v>870</v>
      </c>
      <c r="G374" s="114" t="s">
        <v>418</v>
      </c>
      <c r="H374" s="114" t="s">
        <v>497</v>
      </c>
      <c r="I374" s="114" t="s">
        <v>501</v>
      </c>
      <c r="J374" s="114" t="s">
        <v>1156</v>
      </c>
    </row>
    <row r="375" spans="1:10">
      <c r="A375" s="114" t="s">
        <v>845</v>
      </c>
      <c r="B375" s="114" t="s">
        <v>415</v>
      </c>
      <c r="C375" s="114" t="s">
        <v>416</v>
      </c>
      <c r="D375" s="114" t="s">
        <v>417</v>
      </c>
      <c r="E375">
        <v>7995</v>
      </c>
      <c r="F375" s="114" t="s">
        <v>871</v>
      </c>
      <c r="G375" s="114" t="s">
        <v>418</v>
      </c>
      <c r="H375" s="114" t="s">
        <v>442</v>
      </c>
      <c r="I375">
        <v>490</v>
      </c>
    </row>
    <row r="376" spans="1:10">
      <c r="A376" s="114" t="s">
        <v>845</v>
      </c>
      <c r="B376" s="114" t="s">
        <v>415</v>
      </c>
      <c r="C376" s="114" t="s">
        <v>416</v>
      </c>
      <c r="D376" s="114" t="s">
        <v>417</v>
      </c>
      <c r="E376">
        <v>8242</v>
      </c>
      <c r="F376" s="114" t="s">
        <v>872</v>
      </c>
      <c r="G376" s="114" t="s">
        <v>418</v>
      </c>
      <c r="H376" s="114" t="s">
        <v>436</v>
      </c>
      <c r="I376" s="114" t="s">
        <v>501</v>
      </c>
      <c r="J376" s="114" t="s">
        <v>797</v>
      </c>
    </row>
    <row r="377" spans="1:10">
      <c r="A377" s="114" t="s">
        <v>845</v>
      </c>
      <c r="B377" s="114" t="s">
        <v>415</v>
      </c>
      <c r="C377" s="114" t="s">
        <v>416</v>
      </c>
      <c r="D377" s="114" t="s">
        <v>417</v>
      </c>
      <c r="E377">
        <v>8304</v>
      </c>
      <c r="F377" s="114" t="s">
        <v>873</v>
      </c>
      <c r="G377" s="114" t="s">
        <v>418</v>
      </c>
      <c r="H377" s="114" t="s">
        <v>874</v>
      </c>
      <c r="I377" s="114" t="s">
        <v>689</v>
      </c>
      <c r="J377" s="114" t="s">
        <v>1157</v>
      </c>
    </row>
    <row r="378" spans="1:10">
      <c r="A378" s="114" t="s">
        <v>845</v>
      </c>
      <c r="B378" s="114" t="s">
        <v>415</v>
      </c>
      <c r="C378" s="114" t="s">
        <v>416</v>
      </c>
      <c r="D378" s="114" t="s">
        <v>417</v>
      </c>
      <c r="E378">
        <v>9202</v>
      </c>
      <c r="F378" s="114" t="s">
        <v>876</v>
      </c>
      <c r="G378" s="114" t="s">
        <v>418</v>
      </c>
      <c r="H378" s="114" t="s">
        <v>877</v>
      </c>
      <c r="I378" s="114" t="s">
        <v>962</v>
      </c>
      <c r="J378" s="114" t="s">
        <v>1158</v>
      </c>
    </row>
    <row r="379" spans="1:10">
      <c r="A379" s="114" t="s">
        <v>845</v>
      </c>
      <c r="B379" s="114" t="s">
        <v>415</v>
      </c>
      <c r="C379" s="114" t="s">
        <v>416</v>
      </c>
      <c r="D379" s="114" t="s">
        <v>417</v>
      </c>
      <c r="E379">
        <v>9474</v>
      </c>
      <c r="F379" s="114" t="s">
        <v>879</v>
      </c>
      <c r="G379" s="114" t="s">
        <v>418</v>
      </c>
      <c r="H379" s="114" t="s">
        <v>438</v>
      </c>
      <c r="I379" s="114" t="s">
        <v>501</v>
      </c>
      <c r="J379" s="114" t="s">
        <v>816</v>
      </c>
    </row>
    <row r="380" spans="1:10">
      <c r="A380" s="114" t="s">
        <v>845</v>
      </c>
      <c r="B380" s="114" t="s">
        <v>415</v>
      </c>
      <c r="C380" s="114" t="s">
        <v>416</v>
      </c>
      <c r="D380" s="114" t="s">
        <v>417</v>
      </c>
      <c r="E380">
        <v>9502</v>
      </c>
      <c r="F380" s="114" t="s">
        <v>880</v>
      </c>
      <c r="G380" s="114" t="s">
        <v>418</v>
      </c>
      <c r="H380" s="114" t="s">
        <v>881</v>
      </c>
      <c r="I380" s="114" t="s">
        <v>882</v>
      </c>
      <c r="J380" s="114" t="s">
        <v>1159</v>
      </c>
    </row>
    <row r="381" spans="1:10">
      <c r="A381" s="114" t="s">
        <v>845</v>
      </c>
      <c r="B381" s="114" t="s">
        <v>415</v>
      </c>
      <c r="C381" s="114" t="s">
        <v>416</v>
      </c>
      <c r="D381" s="114" t="s">
        <v>417</v>
      </c>
      <c r="E381">
        <v>9504</v>
      </c>
      <c r="F381" s="114" t="s">
        <v>884</v>
      </c>
      <c r="G381" s="114" t="s">
        <v>418</v>
      </c>
      <c r="H381" s="114" t="s">
        <v>881</v>
      </c>
      <c r="I381" s="114" t="s">
        <v>452</v>
      </c>
      <c r="J381" s="114" t="s">
        <v>867</v>
      </c>
    </row>
    <row r="382" spans="1:10">
      <c r="A382" s="114" t="s">
        <v>845</v>
      </c>
      <c r="B382" s="114" t="s">
        <v>415</v>
      </c>
      <c r="C382" s="114" t="s">
        <v>416</v>
      </c>
      <c r="D382" s="114" t="s">
        <v>417</v>
      </c>
      <c r="E382">
        <v>9531</v>
      </c>
      <c r="F382" s="114" t="s">
        <v>885</v>
      </c>
      <c r="G382" s="114" t="s">
        <v>418</v>
      </c>
      <c r="H382" s="114" t="s">
        <v>881</v>
      </c>
      <c r="I382" s="114" t="s">
        <v>882</v>
      </c>
      <c r="J382" s="114" t="s">
        <v>1160</v>
      </c>
    </row>
    <row r="383" spans="1:10">
      <c r="A383" s="114" t="s">
        <v>845</v>
      </c>
      <c r="B383" s="114" t="s">
        <v>415</v>
      </c>
      <c r="C383" s="114" t="s">
        <v>416</v>
      </c>
      <c r="D383" s="114" t="s">
        <v>417</v>
      </c>
      <c r="E383">
        <v>9719</v>
      </c>
      <c r="F383" s="114" t="s">
        <v>886</v>
      </c>
      <c r="G383" s="114" t="s">
        <v>418</v>
      </c>
      <c r="H383" s="114" t="s">
        <v>438</v>
      </c>
      <c r="I383" s="114" t="s">
        <v>452</v>
      </c>
      <c r="J383" s="114" t="s">
        <v>1161</v>
      </c>
    </row>
    <row r="384" spans="1:10">
      <c r="A384" s="114" t="s">
        <v>845</v>
      </c>
      <c r="B384" s="114" t="s">
        <v>415</v>
      </c>
      <c r="C384" s="114" t="s">
        <v>416</v>
      </c>
      <c r="D384" s="114" t="s">
        <v>417</v>
      </c>
      <c r="E384">
        <v>9936</v>
      </c>
      <c r="F384" s="114" t="s">
        <v>887</v>
      </c>
      <c r="G384" s="114" t="s">
        <v>418</v>
      </c>
      <c r="H384" s="114" t="s">
        <v>436</v>
      </c>
      <c r="I384" s="114" t="s">
        <v>501</v>
      </c>
      <c r="J384" s="114" t="s">
        <v>888</v>
      </c>
    </row>
    <row r="385" spans="1:10">
      <c r="A385" s="114" t="s">
        <v>889</v>
      </c>
      <c r="B385" s="114" t="s">
        <v>415</v>
      </c>
      <c r="C385" s="114" t="s">
        <v>434</v>
      </c>
      <c r="D385" s="114" t="s">
        <v>422</v>
      </c>
      <c r="E385">
        <v>1430</v>
      </c>
      <c r="F385" s="114" t="s">
        <v>890</v>
      </c>
      <c r="G385" s="114" t="s">
        <v>418</v>
      </c>
      <c r="H385" s="114" t="s">
        <v>479</v>
      </c>
      <c r="I385">
        <v>94</v>
      </c>
    </row>
    <row r="386" spans="1:10">
      <c r="A386" s="114" t="s">
        <v>889</v>
      </c>
      <c r="B386" s="114" t="s">
        <v>415</v>
      </c>
      <c r="C386" s="114" t="s">
        <v>429</v>
      </c>
      <c r="D386" s="114" t="s">
        <v>417</v>
      </c>
      <c r="E386">
        <v>2734</v>
      </c>
      <c r="F386" s="114" t="s">
        <v>891</v>
      </c>
      <c r="G386" s="114" t="s">
        <v>418</v>
      </c>
      <c r="H386" s="114" t="s">
        <v>436</v>
      </c>
      <c r="I386">
        <v>423</v>
      </c>
    </row>
    <row r="387" spans="1:10">
      <c r="A387" s="114" t="s">
        <v>889</v>
      </c>
      <c r="B387" s="114" t="s">
        <v>415</v>
      </c>
      <c r="C387" s="114" t="s">
        <v>421</v>
      </c>
      <c r="D387" s="114" t="s">
        <v>417</v>
      </c>
      <c r="E387">
        <v>3168</v>
      </c>
      <c r="F387" s="114" t="s">
        <v>892</v>
      </c>
      <c r="G387" s="114" t="s">
        <v>418</v>
      </c>
      <c r="H387" s="114" t="s">
        <v>427</v>
      </c>
      <c r="I387">
        <v>65</v>
      </c>
    </row>
    <row r="388" spans="1:10">
      <c r="A388" s="114" t="s">
        <v>889</v>
      </c>
      <c r="B388" s="114" t="s">
        <v>415</v>
      </c>
      <c r="C388" s="114" t="s">
        <v>429</v>
      </c>
      <c r="D388" s="114" t="s">
        <v>417</v>
      </c>
      <c r="E388">
        <v>3186</v>
      </c>
      <c r="F388" s="114" t="s">
        <v>893</v>
      </c>
      <c r="G388" s="114" t="s">
        <v>418</v>
      </c>
      <c r="H388" s="114" t="s">
        <v>436</v>
      </c>
      <c r="I388">
        <v>879</v>
      </c>
    </row>
    <row r="389" spans="1:10">
      <c r="A389" s="114" t="s">
        <v>889</v>
      </c>
      <c r="B389" s="114" t="s">
        <v>415</v>
      </c>
      <c r="C389" s="114" t="s">
        <v>416</v>
      </c>
      <c r="D389" s="114" t="s">
        <v>417</v>
      </c>
      <c r="E389">
        <v>3353</v>
      </c>
      <c r="F389" s="114" t="s">
        <v>894</v>
      </c>
      <c r="G389" s="114" t="s">
        <v>424</v>
      </c>
      <c r="H389" s="114" t="s">
        <v>436</v>
      </c>
      <c r="I389">
        <v>176</v>
      </c>
    </row>
    <row r="390" spans="1:10">
      <c r="A390" s="114" t="s">
        <v>889</v>
      </c>
      <c r="B390" s="114" t="s">
        <v>415</v>
      </c>
      <c r="C390" s="114" t="s">
        <v>416</v>
      </c>
      <c r="D390" s="114" t="s">
        <v>417</v>
      </c>
      <c r="E390">
        <v>3382</v>
      </c>
      <c r="F390" s="114" t="s">
        <v>895</v>
      </c>
      <c r="G390" s="114" t="s">
        <v>418</v>
      </c>
      <c r="H390" s="114" t="s">
        <v>436</v>
      </c>
      <c r="I390" s="114" t="s">
        <v>896</v>
      </c>
      <c r="J390" s="114" t="s">
        <v>1162</v>
      </c>
    </row>
    <row r="391" spans="1:10">
      <c r="A391" s="114" t="s">
        <v>889</v>
      </c>
      <c r="B391" s="114" t="s">
        <v>415</v>
      </c>
      <c r="C391" s="114" t="s">
        <v>429</v>
      </c>
      <c r="D391" s="114" t="s">
        <v>417</v>
      </c>
      <c r="E391">
        <v>3454</v>
      </c>
      <c r="F391" s="114" t="s">
        <v>897</v>
      </c>
      <c r="G391" s="114" t="s">
        <v>418</v>
      </c>
      <c r="H391" s="114" t="s">
        <v>471</v>
      </c>
      <c r="I391">
        <v>186</v>
      </c>
    </row>
    <row r="392" spans="1:10">
      <c r="A392" s="114" t="s">
        <v>889</v>
      </c>
      <c r="B392" s="114" t="s">
        <v>415</v>
      </c>
      <c r="C392" s="114" t="s">
        <v>416</v>
      </c>
      <c r="D392" s="114" t="s">
        <v>417</v>
      </c>
      <c r="E392">
        <v>4429</v>
      </c>
      <c r="F392" s="114" t="s">
        <v>898</v>
      </c>
      <c r="G392" s="114" t="s">
        <v>440</v>
      </c>
      <c r="H392" s="114" t="s">
        <v>438</v>
      </c>
      <c r="I392">
        <v>233</v>
      </c>
    </row>
    <row r="393" spans="1:10">
      <c r="A393" s="114" t="s">
        <v>889</v>
      </c>
      <c r="B393" s="114" t="s">
        <v>415</v>
      </c>
      <c r="C393" s="114" t="s">
        <v>434</v>
      </c>
      <c r="D393" s="114" t="s">
        <v>422</v>
      </c>
      <c r="E393">
        <v>4430</v>
      </c>
      <c r="F393" s="114" t="s">
        <v>899</v>
      </c>
      <c r="G393" s="114" t="s">
        <v>431</v>
      </c>
      <c r="H393" s="114" t="s">
        <v>438</v>
      </c>
      <c r="I393">
        <v>49</v>
      </c>
    </row>
    <row r="394" spans="1:10">
      <c r="A394" s="114" t="s">
        <v>889</v>
      </c>
      <c r="B394" s="114" t="s">
        <v>415</v>
      </c>
      <c r="C394" s="114" t="s">
        <v>434</v>
      </c>
      <c r="D394" s="114" t="s">
        <v>417</v>
      </c>
      <c r="E394">
        <v>4443</v>
      </c>
      <c r="F394" s="114" t="s">
        <v>900</v>
      </c>
      <c r="G394" s="114" t="s">
        <v>440</v>
      </c>
      <c r="H394" s="114" t="s">
        <v>438</v>
      </c>
      <c r="I394" s="114" t="s">
        <v>501</v>
      </c>
      <c r="J394" s="114" t="s">
        <v>1163</v>
      </c>
    </row>
    <row r="395" spans="1:10">
      <c r="A395" s="114" t="s">
        <v>889</v>
      </c>
      <c r="B395" s="114" t="s">
        <v>415</v>
      </c>
      <c r="C395" s="114" t="s">
        <v>421</v>
      </c>
      <c r="D395" s="114" t="s">
        <v>422</v>
      </c>
      <c r="E395">
        <v>6264</v>
      </c>
      <c r="F395" s="114" t="s">
        <v>902</v>
      </c>
      <c r="G395" s="114" t="s">
        <v>418</v>
      </c>
      <c r="H395" s="114" t="s">
        <v>456</v>
      </c>
      <c r="I395">
        <v>138</v>
      </c>
    </row>
    <row r="396" spans="1:10">
      <c r="A396" s="114" t="s">
        <v>889</v>
      </c>
      <c r="B396" s="114" t="s">
        <v>415</v>
      </c>
      <c r="C396" s="114" t="s">
        <v>434</v>
      </c>
      <c r="D396" s="114" t="s">
        <v>422</v>
      </c>
      <c r="E396">
        <v>6496</v>
      </c>
      <c r="F396" s="114" t="s">
        <v>903</v>
      </c>
      <c r="G396" s="114" t="s">
        <v>431</v>
      </c>
      <c r="H396" s="114" t="s">
        <v>456</v>
      </c>
      <c r="I396">
        <v>108</v>
      </c>
    </row>
    <row r="397" spans="1:10">
      <c r="A397" s="114" t="s">
        <v>889</v>
      </c>
      <c r="B397" s="114" t="s">
        <v>415</v>
      </c>
      <c r="C397" s="114" t="s">
        <v>416</v>
      </c>
      <c r="D397" s="114" t="s">
        <v>417</v>
      </c>
      <c r="E397">
        <v>8008</v>
      </c>
      <c r="F397" s="114" t="s">
        <v>904</v>
      </c>
      <c r="G397" s="114" t="s">
        <v>418</v>
      </c>
      <c r="H397" s="114" t="s">
        <v>436</v>
      </c>
      <c r="I397">
        <v>628</v>
      </c>
    </row>
    <row r="398" spans="1:10">
      <c r="A398" s="114" t="s">
        <v>889</v>
      </c>
      <c r="B398" s="114" t="s">
        <v>415</v>
      </c>
      <c r="C398" s="114" t="s">
        <v>416</v>
      </c>
      <c r="D398" s="114" t="s">
        <v>417</v>
      </c>
      <c r="E398">
        <v>8125</v>
      </c>
      <c r="F398" s="114" t="s">
        <v>905</v>
      </c>
      <c r="G398" s="114" t="s">
        <v>418</v>
      </c>
      <c r="H398" s="114" t="s">
        <v>427</v>
      </c>
      <c r="I398" s="114">
        <v>569</v>
      </c>
      <c r="J398" s="114"/>
    </row>
    <row r="399" spans="1:10">
      <c r="A399" s="114" t="s">
        <v>906</v>
      </c>
      <c r="B399" s="114" t="s">
        <v>415</v>
      </c>
      <c r="C399" s="114" t="s">
        <v>434</v>
      </c>
      <c r="D399" s="114" t="s">
        <v>417</v>
      </c>
      <c r="E399">
        <v>1377</v>
      </c>
      <c r="F399" s="114" t="s">
        <v>907</v>
      </c>
      <c r="G399" s="114" t="s">
        <v>418</v>
      </c>
      <c r="H399" s="114" t="s">
        <v>587</v>
      </c>
      <c r="I399" s="114" t="s">
        <v>501</v>
      </c>
      <c r="J399" s="114" t="s">
        <v>1079</v>
      </c>
    </row>
    <row r="400" spans="1:10">
      <c r="A400" s="114" t="s">
        <v>906</v>
      </c>
      <c r="B400" s="114" t="s">
        <v>415</v>
      </c>
      <c r="C400" s="114" t="s">
        <v>434</v>
      </c>
      <c r="D400" s="114" t="s">
        <v>417</v>
      </c>
      <c r="E400">
        <v>1887</v>
      </c>
      <c r="F400" s="114" t="s">
        <v>908</v>
      </c>
      <c r="G400" s="114" t="s">
        <v>418</v>
      </c>
      <c r="H400" s="114" t="s">
        <v>479</v>
      </c>
      <c r="I400" s="114">
        <v>622</v>
      </c>
      <c r="J400" s="114"/>
    </row>
    <row r="401" spans="1:10">
      <c r="A401" s="114" t="s">
        <v>906</v>
      </c>
      <c r="B401" s="114" t="s">
        <v>415</v>
      </c>
      <c r="C401" s="114" t="s">
        <v>416</v>
      </c>
      <c r="D401" s="114" t="s">
        <v>422</v>
      </c>
      <c r="E401">
        <v>2294</v>
      </c>
      <c r="F401" s="114" t="s">
        <v>909</v>
      </c>
      <c r="G401" s="114" t="s">
        <v>424</v>
      </c>
      <c r="H401" s="114" t="s">
        <v>419</v>
      </c>
      <c r="I401" s="114">
        <v>316</v>
      </c>
      <c r="J401" s="114"/>
    </row>
    <row r="402" spans="1:10">
      <c r="A402" s="114" t="s">
        <v>906</v>
      </c>
      <c r="B402" s="114" t="s">
        <v>415</v>
      </c>
      <c r="C402" s="114" t="s">
        <v>434</v>
      </c>
      <c r="D402" s="114" t="s">
        <v>422</v>
      </c>
      <c r="E402">
        <v>2303</v>
      </c>
      <c r="F402" s="114" t="s">
        <v>910</v>
      </c>
      <c r="G402" s="114" t="s">
        <v>424</v>
      </c>
      <c r="H402" s="114" t="s">
        <v>438</v>
      </c>
      <c r="I402">
        <v>49</v>
      </c>
    </row>
    <row r="403" spans="1:10">
      <c r="A403" s="114" t="s">
        <v>906</v>
      </c>
      <c r="B403" s="114" t="s">
        <v>415</v>
      </c>
      <c r="C403" s="114" t="s">
        <v>434</v>
      </c>
      <c r="D403" s="114" t="s">
        <v>417</v>
      </c>
      <c r="E403">
        <v>2462</v>
      </c>
      <c r="F403" s="114" t="s">
        <v>911</v>
      </c>
      <c r="G403" s="114" t="s">
        <v>418</v>
      </c>
      <c r="H403" s="114" t="s">
        <v>425</v>
      </c>
      <c r="I403">
        <v>354</v>
      </c>
    </row>
    <row r="404" spans="1:10">
      <c r="A404" s="114" t="s">
        <v>906</v>
      </c>
      <c r="B404" s="114" t="s">
        <v>415</v>
      </c>
      <c r="C404" s="114" t="s">
        <v>429</v>
      </c>
      <c r="D404" s="114" t="s">
        <v>417</v>
      </c>
      <c r="E404">
        <v>2698</v>
      </c>
      <c r="F404" s="114" t="s">
        <v>912</v>
      </c>
      <c r="G404" s="114" t="s">
        <v>418</v>
      </c>
      <c r="H404" s="114" t="s">
        <v>436</v>
      </c>
      <c r="I404">
        <v>276</v>
      </c>
    </row>
    <row r="405" spans="1:10">
      <c r="A405" s="114" t="s">
        <v>906</v>
      </c>
      <c r="B405" s="114" t="s">
        <v>415</v>
      </c>
      <c r="C405" s="114" t="s">
        <v>434</v>
      </c>
      <c r="D405" s="114" t="s">
        <v>422</v>
      </c>
      <c r="E405">
        <v>3297</v>
      </c>
      <c r="F405" s="114" t="s">
        <v>913</v>
      </c>
      <c r="G405" s="114" t="s">
        <v>424</v>
      </c>
      <c r="H405" s="114" t="s">
        <v>471</v>
      </c>
      <c r="I405">
        <v>29</v>
      </c>
    </row>
    <row r="406" spans="1:10">
      <c r="A406" s="114" t="s">
        <v>906</v>
      </c>
      <c r="B406" s="114" t="s">
        <v>415</v>
      </c>
      <c r="C406" s="114" t="s">
        <v>429</v>
      </c>
      <c r="D406" s="114" t="s">
        <v>422</v>
      </c>
      <c r="E406">
        <v>3377</v>
      </c>
      <c r="F406" s="114" t="s">
        <v>914</v>
      </c>
      <c r="G406" s="114" t="s">
        <v>431</v>
      </c>
      <c r="H406" s="114" t="s">
        <v>427</v>
      </c>
      <c r="I406">
        <v>29</v>
      </c>
    </row>
    <row r="407" spans="1:10">
      <c r="A407" s="114" t="s">
        <v>906</v>
      </c>
      <c r="B407" s="114" t="s">
        <v>415</v>
      </c>
      <c r="C407" s="114" t="s">
        <v>416</v>
      </c>
      <c r="D407" s="114" t="s">
        <v>417</v>
      </c>
      <c r="E407">
        <v>3387</v>
      </c>
      <c r="F407" s="114" t="s">
        <v>915</v>
      </c>
      <c r="G407" s="114" t="s">
        <v>418</v>
      </c>
      <c r="H407" s="114" t="s">
        <v>436</v>
      </c>
      <c r="I407" s="114" t="s">
        <v>501</v>
      </c>
      <c r="J407" s="114" t="s">
        <v>1164</v>
      </c>
    </row>
    <row r="408" spans="1:10">
      <c r="A408" s="114" t="s">
        <v>906</v>
      </c>
      <c r="B408" s="114" t="s">
        <v>415</v>
      </c>
      <c r="C408" s="114" t="s">
        <v>416</v>
      </c>
      <c r="D408" s="114" t="s">
        <v>417</v>
      </c>
      <c r="E408">
        <v>3548</v>
      </c>
      <c r="F408" s="114" t="s">
        <v>916</v>
      </c>
      <c r="G408" s="114" t="s">
        <v>418</v>
      </c>
      <c r="H408" s="114" t="s">
        <v>436</v>
      </c>
      <c r="I408">
        <v>339</v>
      </c>
    </row>
    <row r="409" spans="1:10">
      <c r="A409" s="114" t="s">
        <v>906</v>
      </c>
      <c r="B409" s="114" t="s">
        <v>415</v>
      </c>
      <c r="C409" s="114" t="s">
        <v>416</v>
      </c>
      <c r="D409" s="114" t="s">
        <v>422</v>
      </c>
      <c r="E409">
        <v>3557</v>
      </c>
      <c r="F409" s="114" t="s">
        <v>917</v>
      </c>
      <c r="G409" s="114" t="s">
        <v>440</v>
      </c>
      <c r="H409" s="114" t="s">
        <v>436</v>
      </c>
      <c r="I409">
        <v>46</v>
      </c>
    </row>
    <row r="410" spans="1:10">
      <c r="A410" s="114" t="s">
        <v>906</v>
      </c>
      <c r="B410" s="114" t="s">
        <v>415</v>
      </c>
      <c r="C410" s="114" t="s">
        <v>416</v>
      </c>
      <c r="D410" s="114" t="s">
        <v>422</v>
      </c>
      <c r="E410">
        <v>3996</v>
      </c>
      <c r="F410" s="114" t="s">
        <v>918</v>
      </c>
      <c r="G410" s="114" t="s">
        <v>418</v>
      </c>
      <c r="H410" s="114" t="s">
        <v>438</v>
      </c>
      <c r="I410">
        <v>196</v>
      </c>
    </row>
    <row r="411" spans="1:10">
      <c r="A411" s="114" t="s">
        <v>906</v>
      </c>
      <c r="B411" s="114" t="s">
        <v>415</v>
      </c>
      <c r="C411" s="114" t="s">
        <v>421</v>
      </c>
      <c r="D411" s="114" t="s">
        <v>417</v>
      </c>
      <c r="E411">
        <v>4433</v>
      </c>
      <c r="F411" s="114" t="s">
        <v>919</v>
      </c>
      <c r="G411" s="114" t="s">
        <v>418</v>
      </c>
      <c r="H411" s="114" t="s">
        <v>438</v>
      </c>
      <c r="I411">
        <v>286</v>
      </c>
    </row>
    <row r="412" spans="1:10">
      <c r="A412" s="114" t="s">
        <v>906</v>
      </c>
      <c r="B412" s="114" t="s">
        <v>415</v>
      </c>
      <c r="C412" s="114" t="s">
        <v>416</v>
      </c>
      <c r="D412" s="114" t="s">
        <v>422</v>
      </c>
      <c r="E412">
        <v>4434</v>
      </c>
      <c r="F412" s="114" t="s">
        <v>920</v>
      </c>
      <c r="G412" s="114" t="s">
        <v>440</v>
      </c>
      <c r="H412" s="114" t="s">
        <v>438</v>
      </c>
      <c r="I412">
        <v>271</v>
      </c>
    </row>
    <row r="413" spans="1:10">
      <c r="A413" s="114" t="s">
        <v>906</v>
      </c>
      <c r="B413" s="114" t="s">
        <v>415</v>
      </c>
      <c r="C413" s="114" t="s">
        <v>421</v>
      </c>
      <c r="D413" s="114" t="s">
        <v>417</v>
      </c>
      <c r="E413">
        <v>4440</v>
      </c>
      <c r="F413" s="114" t="s">
        <v>921</v>
      </c>
      <c r="G413" s="114" t="s">
        <v>440</v>
      </c>
      <c r="H413" s="114" t="s">
        <v>438</v>
      </c>
      <c r="I413">
        <v>78</v>
      </c>
    </row>
    <row r="414" spans="1:10">
      <c r="A414" s="114" t="s">
        <v>906</v>
      </c>
      <c r="B414" s="114" t="s">
        <v>415</v>
      </c>
      <c r="C414" s="114" t="s">
        <v>434</v>
      </c>
      <c r="D414" s="114" t="s">
        <v>417</v>
      </c>
      <c r="E414">
        <v>5967</v>
      </c>
      <c r="F414" s="114" t="s">
        <v>922</v>
      </c>
      <c r="G414" s="114" t="s">
        <v>431</v>
      </c>
      <c r="H414" s="114" t="s">
        <v>448</v>
      </c>
      <c r="I414">
        <v>63</v>
      </c>
    </row>
    <row r="415" spans="1:10">
      <c r="A415" s="114" t="s">
        <v>906</v>
      </c>
      <c r="B415" s="114" t="s">
        <v>415</v>
      </c>
      <c r="C415" s="114" t="s">
        <v>416</v>
      </c>
      <c r="D415" s="114" t="s">
        <v>417</v>
      </c>
      <c r="E415">
        <v>6173</v>
      </c>
      <c r="F415" s="114" t="s">
        <v>923</v>
      </c>
      <c r="G415" s="114" t="s">
        <v>440</v>
      </c>
      <c r="H415" s="114" t="s">
        <v>425</v>
      </c>
      <c r="I415">
        <v>25</v>
      </c>
    </row>
    <row r="416" spans="1:10">
      <c r="A416" s="114" t="s">
        <v>906</v>
      </c>
      <c r="B416" s="114" t="s">
        <v>415</v>
      </c>
      <c r="C416" s="114" t="s">
        <v>434</v>
      </c>
      <c r="D416" s="114" t="s">
        <v>417</v>
      </c>
      <c r="E416">
        <v>6489</v>
      </c>
      <c r="F416" s="114" t="s">
        <v>924</v>
      </c>
      <c r="G416" s="114" t="s">
        <v>418</v>
      </c>
      <c r="H416" s="114" t="s">
        <v>456</v>
      </c>
      <c r="I416">
        <v>84</v>
      </c>
    </row>
    <row r="417" spans="1:10">
      <c r="A417" s="114" t="s">
        <v>906</v>
      </c>
      <c r="B417" s="114" t="s">
        <v>415</v>
      </c>
      <c r="C417" s="114" t="s">
        <v>416</v>
      </c>
      <c r="D417" s="114" t="s">
        <v>417</v>
      </c>
      <c r="E417">
        <v>6543</v>
      </c>
      <c r="F417" s="114" t="s">
        <v>925</v>
      </c>
      <c r="G417" s="114" t="s">
        <v>424</v>
      </c>
      <c r="H417" s="114" t="s">
        <v>425</v>
      </c>
      <c r="I417">
        <v>26</v>
      </c>
    </row>
    <row r="418" spans="1:10">
      <c r="A418" s="114" t="s">
        <v>906</v>
      </c>
      <c r="B418" s="114" t="s">
        <v>415</v>
      </c>
      <c r="C418" s="114" t="s">
        <v>416</v>
      </c>
      <c r="D418" s="114" t="s">
        <v>417</v>
      </c>
      <c r="E418">
        <v>7049</v>
      </c>
      <c r="F418" s="114" t="s">
        <v>926</v>
      </c>
      <c r="G418" s="114" t="s">
        <v>440</v>
      </c>
      <c r="H418" s="114" t="s">
        <v>425</v>
      </c>
      <c r="I418">
        <v>137</v>
      </c>
    </row>
    <row r="419" spans="1:10">
      <c r="A419" s="114" t="s">
        <v>906</v>
      </c>
      <c r="B419" s="114" t="s">
        <v>415</v>
      </c>
      <c r="C419" s="114" t="s">
        <v>416</v>
      </c>
      <c r="D419" s="114" t="s">
        <v>417</v>
      </c>
      <c r="E419">
        <v>7058</v>
      </c>
      <c r="F419" s="114" t="s">
        <v>927</v>
      </c>
      <c r="G419" s="114" t="s">
        <v>424</v>
      </c>
      <c r="H419" s="114" t="s">
        <v>425</v>
      </c>
      <c r="I419">
        <v>70</v>
      </c>
    </row>
    <row r="420" spans="1:10">
      <c r="A420" s="114" t="s">
        <v>906</v>
      </c>
      <c r="B420" s="114" t="s">
        <v>415</v>
      </c>
      <c r="C420" s="114" t="s">
        <v>421</v>
      </c>
      <c r="D420" s="114" t="s">
        <v>417</v>
      </c>
      <c r="E420">
        <v>7065</v>
      </c>
      <c r="F420" s="114" t="s">
        <v>928</v>
      </c>
      <c r="G420" s="114" t="s">
        <v>431</v>
      </c>
      <c r="H420" s="114" t="s">
        <v>425</v>
      </c>
      <c r="I420">
        <v>188</v>
      </c>
    </row>
    <row r="421" spans="1:10">
      <c r="A421" s="114" t="s">
        <v>906</v>
      </c>
      <c r="B421" s="114" t="s">
        <v>415</v>
      </c>
      <c r="C421" s="114" t="s">
        <v>434</v>
      </c>
      <c r="D421" s="114" t="s">
        <v>422</v>
      </c>
      <c r="E421">
        <v>7673</v>
      </c>
      <c r="F421" s="114" t="s">
        <v>929</v>
      </c>
      <c r="G421" s="114" t="s">
        <v>431</v>
      </c>
      <c r="H421" s="114" t="s">
        <v>427</v>
      </c>
      <c r="I421">
        <v>54</v>
      </c>
    </row>
    <row r="422" spans="1:10">
      <c r="A422" s="114" t="s">
        <v>906</v>
      </c>
      <c r="B422" s="114" t="s">
        <v>415</v>
      </c>
      <c r="C422" s="114" t="s">
        <v>416</v>
      </c>
      <c r="D422" s="114" t="s">
        <v>417</v>
      </c>
      <c r="E422">
        <v>7811</v>
      </c>
      <c r="F422" s="114" t="s">
        <v>930</v>
      </c>
      <c r="G422" s="114" t="s">
        <v>418</v>
      </c>
      <c r="H422" s="114" t="s">
        <v>458</v>
      </c>
      <c r="I422" s="114">
        <v>123</v>
      </c>
      <c r="J422" s="114"/>
    </row>
    <row r="423" spans="1:10">
      <c r="A423" s="114" t="s">
        <v>931</v>
      </c>
      <c r="B423" s="114" t="s">
        <v>415</v>
      </c>
      <c r="C423" s="114" t="s">
        <v>416</v>
      </c>
      <c r="D423" s="114" t="s">
        <v>417</v>
      </c>
      <c r="E423">
        <v>1719</v>
      </c>
      <c r="F423" s="114" t="s">
        <v>932</v>
      </c>
      <c r="G423" s="114" t="s">
        <v>418</v>
      </c>
      <c r="H423" s="114" t="s">
        <v>479</v>
      </c>
      <c r="I423" s="114" t="s">
        <v>501</v>
      </c>
      <c r="J423" s="114" t="s">
        <v>1165</v>
      </c>
    </row>
    <row r="424" spans="1:10">
      <c r="A424" s="114" t="s">
        <v>931</v>
      </c>
      <c r="B424" s="114" t="s">
        <v>415</v>
      </c>
      <c r="C424" s="114" t="s">
        <v>416</v>
      </c>
      <c r="D424" s="114" t="s">
        <v>417</v>
      </c>
      <c r="E424">
        <v>1812</v>
      </c>
      <c r="F424" s="114" t="s">
        <v>933</v>
      </c>
      <c r="G424" s="114" t="s">
        <v>418</v>
      </c>
      <c r="H424" s="114" t="s">
        <v>479</v>
      </c>
      <c r="I424" s="114" t="s">
        <v>934</v>
      </c>
      <c r="J424" s="114" t="s">
        <v>1166</v>
      </c>
    </row>
    <row r="425" spans="1:10">
      <c r="A425" s="114" t="s">
        <v>931</v>
      </c>
      <c r="B425" s="114" t="s">
        <v>415</v>
      </c>
      <c r="C425" s="114" t="s">
        <v>416</v>
      </c>
      <c r="D425" s="114" t="s">
        <v>417</v>
      </c>
      <c r="E425">
        <v>1824</v>
      </c>
      <c r="F425" s="114" t="s">
        <v>935</v>
      </c>
      <c r="G425" s="114" t="s">
        <v>418</v>
      </c>
      <c r="H425" s="114" t="s">
        <v>479</v>
      </c>
      <c r="I425" s="114" t="s">
        <v>501</v>
      </c>
      <c r="J425" s="114" t="s">
        <v>1167</v>
      </c>
    </row>
    <row r="426" spans="1:10">
      <c r="A426" s="114" t="s">
        <v>931</v>
      </c>
      <c r="B426" s="114" t="s">
        <v>415</v>
      </c>
      <c r="C426" s="114" t="s">
        <v>416</v>
      </c>
      <c r="D426" s="114" t="s">
        <v>417</v>
      </c>
      <c r="E426">
        <v>1860</v>
      </c>
      <c r="F426" s="114" t="s">
        <v>936</v>
      </c>
      <c r="G426" s="114" t="s">
        <v>418</v>
      </c>
      <c r="H426" s="114" t="s">
        <v>479</v>
      </c>
      <c r="I426" s="114" t="s">
        <v>461</v>
      </c>
      <c r="J426" s="114" t="s">
        <v>1168</v>
      </c>
    </row>
    <row r="427" spans="1:10">
      <c r="A427" s="114" t="s">
        <v>931</v>
      </c>
      <c r="B427" s="114" t="s">
        <v>415</v>
      </c>
      <c r="C427" s="114" t="s">
        <v>416</v>
      </c>
      <c r="D427" s="114" t="s">
        <v>417</v>
      </c>
      <c r="E427">
        <v>1964</v>
      </c>
      <c r="F427" s="114" t="s">
        <v>937</v>
      </c>
      <c r="G427" s="114" t="s">
        <v>418</v>
      </c>
      <c r="H427" s="114" t="s">
        <v>479</v>
      </c>
      <c r="I427">
        <v>133</v>
      </c>
    </row>
    <row r="428" spans="1:10">
      <c r="A428" s="114" t="s">
        <v>931</v>
      </c>
      <c r="B428" s="114" t="s">
        <v>415</v>
      </c>
      <c r="C428" s="114" t="s">
        <v>416</v>
      </c>
      <c r="D428" s="114" t="s">
        <v>417</v>
      </c>
      <c r="E428">
        <v>2108</v>
      </c>
      <c r="F428" s="114" t="s">
        <v>938</v>
      </c>
      <c r="G428" s="114" t="s">
        <v>418</v>
      </c>
      <c r="H428" s="114" t="s">
        <v>419</v>
      </c>
      <c r="I428">
        <v>317</v>
      </c>
    </row>
    <row r="429" spans="1:10">
      <c r="A429" s="114" t="s">
        <v>931</v>
      </c>
      <c r="B429" s="114" t="s">
        <v>415</v>
      </c>
      <c r="C429" s="114" t="s">
        <v>416</v>
      </c>
      <c r="D429" s="114" t="s">
        <v>417</v>
      </c>
      <c r="E429">
        <v>2173</v>
      </c>
      <c r="F429" s="114" t="s">
        <v>1169</v>
      </c>
      <c r="G429" s="114" t="s">
        <v>424</v>
      </c>
      <c r="H429" s="114" t="s">
        <v>425</v>
      </c>
      <c r="I429">
        <v>54</v>
      </c>
    </row>
    <row r="430" spans="1:10">
      <c r="A430" s="114" t="s">
        <v>931</v>
      </c>
      <c r="B430" s="114" t="s">
        <v>415</v>
      </c>
      <c r="C430" s="114" t="s">
        <v>434</v>
      </c>
      <c r="D430" s="114" t="s">
        <v>417</v>
      </c>
      <c r="E430">
        <v>2180</v>
      </c>
      <c r="F430" s="114" t="s">
        <v>939</v>
      </c>
      <c r="G430" s="114" t="s">
        <v>418</v>
      </c>
      <c r="H430" s="114" t="s">
        <v>425</v>
      </c>
      <c r="I430">
        <v>171</v>
      </c>
    </row>
    <row r="431" spans="1:10">
      <c r="A431" s="114" t="s">
        <v>931</v>
      </c>
      <c r="B431" s="114" t="s">
        <v>415</v>
      </c>
      <c r="C431" s="114" t="s">
        <v>416</v>
      </c>
      <c r="D431" s="114" t="s">
        <v>417</v>
      </c>
      <c r="E431">
        <v>2288</v>
      </c>
      <c r="F431" s="114" t="s">
        <v>940</v>
      </c>
      <c r="G431" s="114" t="s">
        <v>418</v>
      </c>
      <c r="H431" s="114" t="s">
        <v>419</v>
      </c>
      <c r="I431">
        <v>622</v>
      </c>
    </row>
    <row r="432" spans="1:10">
      <c r="A432" s="114" t="s">
        <v>931</v>
      </c>
      <c r="B432" s="114" t="s">
        <v>415</v>
      </c>
      <c r="C432" s="114" t="s">
        <v>416</v>
      </c>
      <c r="D432" s="114" t="s">
        <v>417</v>
      </c>
      <c r="E432">
        <v>2349</v>
      </c>
      <c r="F432" s="114" t="s">
        <v>1170</v>
      </c>
      <c r="G432" s="114" t="s">
        <v>424</v>
      </c>
      <c r="H432" s="114" t="s">
        <v>438</v>
      </c>
      <c r="I432">
        <v>177</v>
      </c>
    </row>
    <row r="433" spans="1:10">
      <c r="A433" s="114" t="s">
        <v>931</v>
      </c>
      <c r="B433" s="114" t="s">
        <v>415</v>
      </c>
      <c r="C433" s="114" t="s">
        <v>429</v>
      </c>
      <c r="D433" s="114" t="s">
        <v>417</v>
      </c>
      <c r="E433">
        <v>2675</v>
      </c>
      <c r="F433" s="114" t="s">
        <v>941</v>
      </c>
      <c r="G433" s="114" t="s">
        <v>431</v>
      </c>
      <c r="H433" s="114" t="s">
        <v>436</v>
      </c>
      <c r="I433" s="114">
        <v>117</v>
      </c>
      <c r="J433" s="114"/>
    </row>
    <row r="434" spans="1:10">
      <c r="A434" s="114" t="s">
        <v>931</v>
      </c>
      <c r="B434" s="114" t="s">
        <v>415</v>
      </c>
      <c r="C434" s="114" t="s">
        <v>416</v>
      </c>
      <c r="D434" s="114" t="s">
        <v>417</v>
      </c>
      <c r="E434">
        <v>3447</v>
      </c>
      <c r="F434" s="114" t="s">
        <v>942</v>
      </c>
      <c r="G434" s="114" t="s">
        <v>418</v>
      </c>
      <c r="H434" s="114" t="s">
        <v>448</v>
      </c>
      <c r="I434" s="114">
        <v>150</v>
      </c>
      <c r="J434" s="114"/>
    </row>
    <row r="435" spans="1:10">
      <c r="A435" s="114" t="s">
        <v>931</v>
      </c>
      <c r="B435" s="114" t="s">
        <v>415</v>
      </c>
      <c r="C435" s="114" t="s">
        <v>416</v>
      </c>
      <c r="D435" s="114" t="s">
        <v>422</v>
      </c>
      <c r="E435">
        <v>3464</v>
      </c>
      <c r="F435" s="114" t="s">
        <v>943</v>
      </c>
      <c r="G435" s="114" t="s">
        <v>418</v>
      </c>
      <c r="H435" s="114" t="s">
        <v>471</v>
      </c>
      <c r="I435" s="114">
        <v>82</v>
      </c>
      <c r="J435" s="114"/>
    </row>
    <row r="436" spans="1:10">
      <c r="A436" s="114" t="s">
        <v>931</v>
      </c>
      <c r="B436" s="114" t="s">
        <v>415</v>
      </c>
      <c r="C436" s="114" t="s">
        <v>416</v>
      </c>
      <c r="D436" s="114" t="s">
        <v>422</v>
      </c>
      <c r="E436">
        <v>3467</v>
      </c>
      <c r="F436" s="114" t="s">
        <v>944</v>
      </c>
      <c r="G436" s="114" t="s">
        <v>418</v>
      </c>
      <c r="H436" s="114" t="s">
        <v>471</v>
      </c>
      <c r="I436">
        <v>29</v>
      </c>
    </row>
    <row r="437" spans="1:10">
      <c r="A437" s="114" t="s">
        <v>931</v>
      </c>
      <c r="B437" s="114" t="s">
        <v>415</v>
      </c>
      <c r="C437" s="114" t="s">
        <v>416</v>
      </c>
      <c r="D437" s="114" t="s">
        <v>417</v>
      </c>
      <c r="E437">
        <v>3943</v>
      </c>
      <c r="F437" s="114" t="s">
        <v>945</v>
      </c>
      <c r="G437" s="114" t="s">
        <v>813</v>
      </c>
      <c r="H437" s="114" t="s">
        <v>514</v>
      </c>
      <c r="I437">
        <v>77</v>
      </c>
    </row>
    <row r="438" spans="1:10">
      <c r="A438" s="114" t="s">
        <v>931</v>
      </c>
      <c r="B438" s="114" t="s">
        <v>415</v>
      </c>
      <c r="C438" s="114" t="s">
        <v>416</v>
      </c>
      <c r="D438" s="114" t="s">
        <v>417</v>
      </c>
      <c r="E438">
        <v>4046</v>
      </c>
      <c r="F438" s="114" t="s">
        <v>946</v>
      </c>
      <c r="G438" s="114" t="s">
        <v>418</v>
      </c>
      <c r="H438" s="114" t="s">
        <v>442</v>
      </c>
      <c r="I438">
        <v>810</v>
      </c>
    </row>
    <row r="439" spans="1:10">
      <c r="A439" s="114" t="s">
        <v>931</v>
      </c>
      <c r="B439" s="114" t="s">
        <v>415</v>
      </c>
      <c r="C439" s="114" t="s">
        <v>416</v>
      </c>
      <c r="D439" s="114" t="s">
        <v>422</v>
      </c>
      <c r="E439">
        <v>4080</v>
      </c>
      <c r="F439" s="114" t="s">
        <v>947</v>
      </c>
      <c r="G439" s="114" t="s">
        <v>424</v>
      </c>
      <c r="H439" s="114" t="s">
        <v>442</v>
      </c>
      <c r="I439">
        <v>302</v>
      </c>
    </row>
    <row r="440" spans="1:10">
      <c r="A440" s="114" t="s">
        <v>931</v>
      </c>
      <c r="B440" s="114" t="s">
        <v>415</v>
      </c>
      <c r="C440" s="114" t="s">
        <v>421</v>
      </c>
      <c r="D440" s="114" t="s">
        <v>422</v>
      </c>
      <c r="E440">
        <v>4447</v>
      </c>
      <c r="F440" s="114" t="s">
        <v>948</v>
      </c>
      <c r="G440" s="114" t="s">
        <v>813</v>
      </c>
      <c r="H440" s="114" t="s">
        <v>438</v>
      </c>
      <c r="I440">
        <v>22</v>
      </c>
    </row>
    <row r="441" spans="1:10">
      <c r="A441" s="114" t="s">
        <v>931</v>
      </c>
      <c r="B441" s="114" t="s">
        <v>415</v>
      </c>
      <c r="C441" s="114" t="s">
        <v>416</v>
      </c>
      <c r="D441" s="114" t="s">
        <v>417</v>
      </c>
      <c r="E441">
        <v>4548</v>
      </c>
      <c r="F441" s="114" t="s">
        <v>949</v>
      </c>
      <c r="G441" s="114" t="s">
        <v>418</v>
      </c>
      <c r="H441" s="114" t="s">
        <v>568</v>
      </c>
      <c r="I441" s="114">
        <v>709</v>
      </c>
      <c r="J441" s="114"/>
    </row>
    <row r="442" spans="1:10">
      <c r="A442" s="114" t="s">
        <v>931</v>
      </c>
      <c r="B442" s="114" t="s">
        <v>415</v>
      </c>
      <c r="C442" s="114" t="s">
        <v>416</v>
      </c>
      <c r="D442" s="114" t="s">
        <v>417</v>
      </c>
      <c r="E442">
        <v>5192</v>
      </c>
      <c r="F442" s="114" t="s">
        <v>950</v>
      </c>
      <c r="G442" s="114" t="s">
        <v>418</v>
      </c>
      <c r="H442" s="114" t="s">
        <v>951</v>
      </c>
      <c r="I442">
        <v>691</v>
      </c>
    </row>
    <row r="443" spans="1:10">
      <c r="A443" s="114" t="s">
        <v>931</v>
      </c>
      <c r="B443" s="114" t="s">
        <v>415</v>
      </c>
      <c r="C443" s="114" t="s">
        <v>416</v>
      </c>
      <c r="D443" s="114" t="s">
        <v>417</v>
      </c>
      <c r="E443">
        <v>5964</v>
      </c>
      <c r="F443" s="114" t="s">
        <v>952</v>
      </c>
      <c r="G443" s="114" t="s">
        <v>431</v>
      </c>
      <c r="H443" s="114" t="s">
        <v>448</v>
      </c>
      <c r="I443">
        <v>22</v>
      </c>
    </row>
    <row r="444" spans="1:10">
      <c r="A444" s="114" t="s">
        <v>931</v>
      </c>
      <c r="B444" s="114" t="s">
        <v>415</v>
      </c>
      <c r="C444" s="114" t="s">
        <v>416</v>
      </c>
      <c r="D444" s="114" t="s">
        <v>417</v>
      </c>
      <c r="E444">
        <v>5989</v>
      </c>
      <c r="F444" s="114" t="s">
        <v>953</v>
      </c>
      <c r="G444" s="114" t="s">
        <v>418</v>
      </c>
      <c r="H444" s="114" t="s">
        <v>448</v>
      </c>
      <c r="I444">
        <v>210</v>
      </c>
    </row>
    <row r="445" spans="1:10">
      <c r="A445" s="114" t="s">
        <v>931</v>
      </c>
      <c r="B445" s="114" t="s">
        <v>415</v>
      </c>
      <c r="C445" s="114" t="s">
        <v>416</v>
      </c>
      <c r="D445" s="114" t="s">
        <v>417</v>
      </c>
      <c r="E445">
        <v>6240</v>
      </c>
      <c r="F445" s="114" t="s">
        <v>954</v>
      </c>
      <c r="G445" s="114" t="s">
        <v>418</v>
      </c>
      <c r="H445" s="114" t="s">
        <v>456</v>
      </c>
      <c r="I445">
        <v>648</v>
      </c>
    </row>
    <row r="446" spans="1:10">
      <c r="A446" s="114" t="s">
        <v>931</v>
      </c>
      <c r="B446" s="114" t="s">
        <v>415</v>
      </c>
      <c r="C446" s="114" t="s">
        <v>429</v>
      </c>
      <c r="D446" s="114" t="s">
        <v>417</v>
      </c>
      <c r="E446">
        <v>6537</v>
      </c>
      <c r="F446" s="114" t="s">
        <v>955</v>
      </c>
      <c r="G446" s="114" t="s">
        <v>440</v>
      </c>
      <c r="H446" s="114" t="s">
        <v>425</v>
      </c>
      <c r="I446">
        <v>64</v>
      </c>
    </row>
    <row r="447" spans="1:10">
      <c r="A447" s="114" t="s">
        <v>931</v>
      </c>
      <c r="B447" s="114" t="s">
        <v>415</v>
      </c>
      <c r="C447" s="114" t="s">
        <v>434</v>
      </c>
      <c r="D447" s="114" t="s">
        <v>417</v>
      </c>
      <c r="E447">
        <v>6662</v>
      </c>
      <c r="F447" s="114" t="s">
        <v>1171</v>
      </c>
      <c r="G447" s="114" t="s">
        <v>424</v>
      </c>
      <c r="H447" s="114" t="s">
        <v>469</v>
      </c>
      <c r="I447">
        <v>43</v>
      </c>
    </row>
    <row r="448" spans="1:10">
      <c r="A448" s="114" t="s">
        <v>931</v>
      </c>
      <c r="B448" s="114" t="s">
        <v>415</v>
      </c>
      <c r="C448" s="114" t="s">
        <v>416</v>
      </c>
      <c r="D448" s="114" t="s">
        <v>417</v>
      </c>
      <c r="E448">
        <v>6832</v>
      </c>
      <c r="F448" s="114" t="s">
        <v>956</v>
      </c>
      <c r="G448" s="114" t="s">
        <v>431</v>
      </c>
      <c r="H448" s="114" t="s">
        <v>469</v>
      </c>
      <c r="I448">
        <v>280</v>
      </c>
    </row>
    <row r="449" spans="1:10">
      <c r="A449" s="114" t="s">
        <v>931</v>
      </c>
      <c r="B449" s="114" t="s">
        <v>415</v>
      </c>
      <c r="C449" s="114" t="s">
        <v>416</v>
      </c>
      <c r="D449" s="114" t="s">
        <v>417</v>
      </c>
      <c r="E449">
        <v>7057</v>
      </c>
      <c r="F449" s="114" t="s">
        <v>957</v>
      </c>
      <c r="G449" s="114" t="s">
        <v>424</v>
      </c>
      <c r="H449" s="114" t="s">
        <v>425</v>
      </c>
      <c r="I449">
        <v>40</v>
      </c>
    </row>
    <row r="450" spans="1:10">
      <c r="A450" s="114" t="s">
        <v>931</v>
      </c>
      <c r="B450" s="114" t="s">
        <v>415</v>
      </c>
      <c r="C450" s="114" t="s">
        <v>416</v>
      </c>
      <c r="D450" s="114" t="s">
        <v>422</v>
      </c>
      <c r="E450">
        <v>7164</v>
      </c>
      <c r="F450" s="114" t="s">
        <v>958</v>
      </c>
      <c r="G450" s="114" t="s">
        <v>418</v>
      </c>
      <c r="H450" s="114" t="s">
        <v>518</v>
      </c>
      <c r="I450" s="114" t="s">
        <v>461</v>
      </c>
      <c r="J450" s="114" t="s">
        <v>1172</v>
      </c>
    </row>
    <row r="451" spans="1:10">
      <c r="A451" s="114" t="s">
        <v>931</v>
      </c>
      <c r="B451" s="114" t="s">
        <v>415</v>
      </c>
      <c r="C451" s="114" t="s">
        <v>416</v>
      </c>
      <c r="D451" s="114" t="s">
        <v>417</v>
      </c>
      <c r="E451">
        <v>7230</v>
      </c>
      <c r="F451" s="114" t="s">
        <v>959</v>
      </c>
      <c r="G451" s="114" t="s">
        <v>418</v>
      </c>
      <c r="H451" s="114" t="s">
        <v>497</v>
      </c>
      <c r="I451" s="114" t="s">
        <v>501</v>
      </c>
      <c r="J451" s="114" t="s">
        <v>960</v>
      </c>
    </row>
    <row r="452" spans="1:10">
      <c r="A452" s="114" t="s">
        <v>931</v>
      </c>
      <c r="B452" s="114" t="s">
        <v>415</v>
      </c>
      <c r="C452" s="114" t="s">
        <v>416</v>
      </c>
      <c r="D452" s="114" t="s">
        <v>417</v>
      </c>
      <c r="E452">
        <v>7259</v>
      </c>
      <c r="F452" s="114" t="s">
        <v>961</v>
      </c>
      <c r="G452" s="114" t="s">
        <v>418</v>
      </c>
      <c r="H452" s="114" t="s">
        <v>497</v>
      </c>
      <c r="I452" s="114" t="s">
        <v>962</v>
      </c>
      <c r="J452" s="114" t="s">
        <v>1173</v>
      </c>
    </row>
    <row r="453" spans="1:10">
      <c r="A453" s="114" t="s">
        <v>931</v>
      </c>
      <c r="B453" s="114" t="s">
        <v>415</v>
      </c>
      <c r="C453" s="114" t="s">
        <v>416</v>
      </c>
      <c r="D453" s="114" t="s">
        <v>422</v>
      </c>
      <c r="E453">
        <v>7481</v>
      </c>
      <c r="F453" s="114" t="s">
        <v>963</v>
      </c>
      <c r="G453" s="114" t="s">
        <v>418</v>
      </c>
      <c r="H453" s="114" t="s">
        <v>427</v>
      </c>
      <c r="I453">
        <v>133</v>
      </c>
    </row>
    <row r="454" spans="1:10">
      <c r="A454" s="114" t="s">
        <v>931</v>
      </c>
      <c r="B454" s="114" t="s">
        <v>415</v>
      </c>
      <c r="C454" s="114" t="s">
        <v>416</v>
      </c>
      <c r="D454" s="114" t="s">
        <v>417</v>
      </c>
      <c r="E454">
        <v>7702</v>
      </c>
      <c r="F454" s="114" t="s">
        <v>964</v>
      </c>
      <c r="G454" s="114" t="s">
        <v>418</v>
      </c>
      <c r="H454" s="114" t="s">
        <v>717</v>
      </c>
      <c r="I454">
        <v>180</v>
      </c>
    </row>
    <row r="455" spans="1:10">
      <c r="A455" s="114" t="s">
        <v>931</v>
      </c>
      <c r="B455" s="114" t="s">
        <v>415</v>
      </c>
      <c r="C455" s="114" t="s">
        <v>434</v>
      </c>
      <c r="D455" s="114" t="s">
        <v>417</v>
      </c>
      <c r="E455">
        <v>7813</v>
      </c>
      <c r="F455" s="114" t="s">
        <v>965</v>
      </c>
      <c r="G455" s="114" t="s">
        <v>440</v>
      </c>
      <c r="H455" s="114" t="s">
        <v>458</v>
      </c>
      <c r="I455">
        <v>55</v>
      </c>
    </row>
    <row r="456" spans="1:10">
      <c r="A456" s="114" t="s">
        <v>931</v>
      </c>
      <c r="B456" s="114" t="s">
        <v>415</v>
      </c>
      <c r="C456" s="114" t="s">
        <v>429</v>
      </c>
      <c r="D456" s="114" t="s">
        <v>417</v>
      </c>
      <c r="E456">
        <v>7963</v>
      </c>
      <c r="F456" s="114" t="s">
        <v>966</v>
      </c>
      <c r="G456" s="114" t="s">
        <v>424</v>
      </c>
      <c r="H456" s="114" t="s">
        <v>458</v>
      </c>
      <c r="I456">
        <v>68</v>
      </c>
    </row>
    <row r="457" spans="1:10">
      <c r="A457" s="114" t="s">
        <v>931</v>
      </c>
      <c r="B457" s="114" t="s">
        <v>415</v>
      </c>
      <c r="C457" s="114" t="s">
        <v>416</v>
      </c>
      <c r="D457" s="114" t="s">
        <v>417</v>
      </c>
      <c r="E457">
        <v>8138</v>
      </c>
      <c r="F457" s="114" t="s">
        <v>967</v>
      </c>
      <c r="G457" s="114" t="s">
        <v>431</v>
      </c>
      <c r="H457" s="114" t="s">
        <v>427</v>
      </c>
      <c r="I457">
        <v>44</v>
      </c>
    </row>
    <row r="458" spans="1:10">
      <c r="A458" s="114" t="s">
        <v>931</v>
      </c>
      <c r="B458" s="114" t="s">
        <v>415</v>
      </c>
      <c r="C458" s="114" t="s">
        <v>416</v>
      </c>
      <c r="D458" s="114" t="s">
        <v>417</v>
      </c>
      <c r="E458">
        <v>8153</v>
      </c>
      <c r="F458" s="114" t="s">
        <v>968</v>
      </c>
      <c r="G458" s="114" t="s">
        <v>418</v>
      </c>
      <c r="H458" s="114" t="s">
        <v>427</v>
      </c>
      <c r="I458">
        <v>980</v>
      </c>
    </row>
    <row r="459" spans="1:10">
      <c r="A459" s="114" t="s">
        <v>931</v>
      </c>
      <c r="B459" s="114" t="s">
        <v>415</v>
      </c>
      <c r="C459" s="114" t="s">
        <v>416</v>
      </c>
      <c r="D459" s="114" t="s">
        <v>417</v>
      </c>
      <c r="E459">
        <v>8226</v>
      </c>
      <c r="F459" s="114" t="s">
        <v>969</v>
      </c>
      <c r="G459" s="114" t="s">
        <v>431</v>
      </c>
      <c r="H459" s="114" t="s">
        <v>427</v>
      </c>
      <c r="I459">
        <v>29</v>
      </c>
    </row>
    <row r="460" spans="1:10">
      <c r="A460" s="114" t="s">
        <v>931</v>
      </c>
      <c r="B460" s="114" t="s">
        <v>415</v>
      </c>
      <c r="C460" s="114" t="s">
        <v>416</v>
      </c>
      <c r="D460" s="114" t="s">
        <v>417</v>
      </c>
      <c r="E460">
        <v>8281</v>
      </c>
      <c r="F460" s="114" t="s">
        <v>970</v>
      </c>
      <c r="G460" s="114" t="s">
        <v>418</v>
      </c>
      <c r="H460" s="114" t="s">
        <v>436</v>
      </c>
      <c r="I460">
        <v>612</v>
      </c>
    </row>
    <row r="461" spans="1:10">
      <c r="A461" s="114" t="s">
        <v>931</v>
      </c>
      <c r="B461" s="114" t="s">
        <v>415</v>
      </c>
      <c r="C461" s="114" t="s">
        <v>416</v>
      </c>
      <c r="D461" s="114" t="s">
        <v>417</v>
      </c>
      <c r="E461">
        <v>9001</v>
      </c>
      <c r="F461" s="114" t="s">
        <v>971</v>
      </c>
      <c r="G461" s="114" t="s">
        <v>418</v>
      </c>
      <c r="H461" s="114" t="s">
        <v>739</v>
      </c>
      <c r="I461" s="114" t="s">
        <v>719</v>
      </c>
      <c r="J461" s="114" t="s">
        <v>1174</v>
      </c>
    </row>
    <row r="462" spans="1:10">
      <c r="A462" s="114" t="s">
        <v>931</v>
      </c>
      <c r="B462" s="114" t="s">
        <v>415</v>
      </c>
      <c r="C462" s="114" t="s">
        <v>429</v>
      </c>
      <c r="D462" s="114" t="s">
        <v>422</v>
      </c>
      <c r="E462">
        <v>9284</v>
      </c>
      <c r="F462" s="114" t="s">
        <v>1175</v>
      </c>
      <c r="G462" s="114" t="s">
        <v>533</v>
      </c>
      <c r="H462" s="114" t="s">
        <v>534</v>
      </c>
      <c r="I462">
        <v>277</v>
      </c>
    </row>
    <row r="463" spans="1:10">
      <c r="A463" s="114" t="s">
        <v>931</v>
      </c>
      <c r="B463" s="114" t="s">
        <v>415</v>
      </c>
      <c r="C463" s="114" t="s">
        <v>416</v>
      </c>
      <c r="D463" s="114" t="s">
        <v>417</v>
      </c>
      <c r="E463">
        <v>9364</v>
      </c>
      <c r="F463" s="114" t="s">
        <v>972</v>
      </c>
      <c r="G463" s="114" t="s">
        <v>418</v>
      </c>
      <c r="H463" s="114" t="s">
        <v>973</v>
      </c>
      <c r="I463" s="114" t="s">
        <v>689</v>
      </c>
      <c r="J463" s="114" t="s">
        <v>1176</v>
      </c>
    </row>
    <row r="464" spans="1:10">
      <c r="A464" s="114" t="s">
        <v>931</v>
      </c>
      <c r="B464" s="114" t="s">
        <v>415</v>
      </c>
      <c r="C464" s="114" t="s">
        <v>416</v>
      </c>
      <c r="D464" s="114" t="s">
        <v>417</v>
      </c>
      <c r="E464">
        <v>9613</v>
      </c>
      <c r="F464" s="114" t="s">
        <v>974</v>
      </c>
      <c r="G464" s="114" t="s">
        <v>418</v>
      </c>
      <c r="H464" s="114" t="s">
        <v>438</v>
      </c>
      <c r="I464" s="114" t="s">
        <v>862</v>
      </c>
      <c r="J464" s="114" t="s">
        <v>1177</v>
      </c>
    </row>
    <row r="465" spans="1:10">
      <c r="A465" s="114" t="s">
        <v>931</v>
      </c>
      <c r="B465" s="114" t="s">
        <v>415</v>
      </c>
      <c r="C465" s="114" t="s">
        <v>416</v>
      </c>
      <c r="D465" s="114" t="s">
        <v>417</v>
      </c>
      <c r="E465">
        <v>9671</v>
      </c>
      <c r="F465" s="114" t="s">
        <v>975</v>
      </c>
      <c r="G465" s="114" t="s">
        <v>418</v>
      </c>
      <c r="H465" s="114" t="s">
        <v>425</v>
      </c>
      <c r="I465">
        <v>378</v>
      </c>
    </row>
    <row r="466" spans="1:10">
      <c r="A466" s="114" t="s">
        <v>931</v>
      </c>
      <c r="B466" s="114" t="s">
        <v>415</v>
      </c>
      <c r="C466" s="114" t="s">
        <v>416</v>
      </c>
      <c r="D466" s="114" t="s">
        <v>417</v>
      </c>
      <c r="E466">
        <v>9887</v>
      </c>
      <c r="F466" s="114" t="s">
        <v>976</v>
      </c>
      <c r="G466" s="114" t="s">
        <v>418</v>
      </c>
      <c r="H466" s="114" t="s">
        <v>436</v>
      </c>
      <c r="I466">
        <v>810</v>
      </c>
    </row>
    <row r="467" spans="1:10">
      <c r="A467" s="114" t="s">
        <v>931</v>
      </c>
      <c r="B467" s="114" t="s">
        <v>415</v>
      </c>
      <c r="C467" s="114" t="s">
        <v>416</v>
      </c>
      <c r="D467" s="114" t="s">
        <v>417</v>
      </c>
      <c r="E467">
        <v>9896</v>
      </c>
      <c r="F467" s="114" t="s">
        <v>977</v>
      </c>
      <c r="G467" s="114" t="s">
        <v>418</v>
      </c>
      <c r="H467" s="114" t="s">
        <v>427</v>
      </c>
      <c r="I467">
        <v>206</v>
      </c>
    </row>
    <row r="468" spans="1:10">
      <c r="A468" s="114" t="s">
        <v>978</v>
      </c>
      <c r="B468" s="114" t="s">
        <v>415</v>
      </c>
      <c r="C468" s="114" t="s">
        <v>416</v>
      </c>
      <c r="D468" s="114" t="s">
        <v>422</v>
      </c>
      <c r="E468">
        <v>1450</v>
      </c>
      <c r="F468" s="114" t="s">
        <v>979</v>
      </c>
      <c r="G468" s="114" t="s">
        <v>424</v>
      </c>
      <c r="H468" s="114" t="s">
        <v>479</v>
      </c>
      <c r="I468">
        <v>53</v>
      </c>
    </row>
    <row r="469" spans="1:10">
      <c r="A469" s="114" t="s">
        <v>978</v>
      </c>
      <c r="B469" s="114" t="s">
        <v>415</v>
      </c>
      <c r="C469" s="114" t="s">
        <v>416</v>
      </c>
      <c r="D469" s="114" t="s">
        <v>417</v>
      </c>
      <c r="E469">
        <v>1451</v>
      </c>
      <c r="F469" s="114" t="s">
        <v>980</v>
      </c>
      <c r="G469" s="114" t="s">
        <v>431</v>
      </c>
      <c r="H469" s="114" t="s">
        <v>479</v>
      </c>
      <c r="I469">
        <v>31</v>
      </c>
    </row>
    <row r="470" spans="1:10">
      <c r="A470" s="114" t="s">
        <v>978</v>
      </c>
      <c r="B470" s="114" t="s">
        <v>415</v>
      </c>
      <c r="C470" s="114" t="s">
        <v>429</v>
      </c>
      <c r="D470" s="114" t="s">
        <v>417</v>
      </c>
      <c r="E470">
        <v>1605</v>
      </c>
      <c r="F470" s="114" t="s">
        <v>981</v>
      </c>
      <c r="G470" s="114" t="s">
        <v>418</v>
      </c>
      <c r="H470" s="114" t="s">
        <v>982</v>
      </c>
      <c r="I470" s="114" t="s">
        <v>983</v>
      </c>
      <c r="J470" s="114" t="s">
        <v>1178</v>
      </c>
    </row>
    <row r="471" spans="1:10">
      <c r="A471" s="114" t="s">
        <v>978</v>
      </c>
      <c r="B471" s="114" t="s">
        <v>415</v>
      </c>
      <c r="C471" s="114" t="s">
        <v>416</v>
      </c>
      <c r="D471" s="114" t="s">
        <v>417</v>
      </c>
      <c r="E471">
        <v>1866</v>
      </c>
      <c r="F471" s="114" t="s">
        <v>984</v>
      </c>
      <c r="G471" s="114" t="s">
        <v>418</v>
      </c>
      <c r="H471" s="114" t="s">
        <v>479</v>
      </c>
      <c r="I471">
        <v>182</v>
      </c>
    </row>
    <row r="472" spans="1:10">
      <c r="A472" s="114" t="s">
        <v>978</v>
      </c>
      <c r="B472" s="114" t="s">
        <v>415</v>
      </c>
      <c r="C472" s="114" t="s">
        <v>429</v>
      </c>
      <c r="D472" s="114" t="s">
        <v>417</v>
      </c>
      <c r="E472">
        <v>1899</v>
      </c>
      <c r="F472" s="114" t="s">
        <v>985</v>
      </c>
      <c r="G472" s="114" t="s">
        <v>418</v>
      </c>
      <c r="H472" s="114" t="s">
        <v>479</v>
      </c>
      <c r="I472">
        <v>431</v>
      </c>
    </row>
    <row r="473" spans="1:10">
      <c r="A473" s="114" t="s">
        <v>978</v>
      </c>
      <c r="B473" s="114" t="s">
        <v>415</v>
      </c>
      <c r="C473" s="114" t="s">
        <v>416</v>
      </c>
      <c r="D473" s="114" t="s">
        <v>417</v>
      </c>
      <c r="E473">
        <v>1952</v>
      </c>
      <c r="F473" s="114" t="s">
        <v>986</v>
      </c>
      <c r="G473" s="114" t="s">
        <v>418</v>
      </c>
      <c r="H473" s="114" t="s">
        <v>479</v>
      </c>
      <c r="I473">
        <v>551</v>
      </c>
    </row>
    <row r="474" spans="1:10">
      <c r="A474" s="114" t="s">
        <v>978</v>
      </c>
      <c r="B474" s="114" t="s">
        <v>415</v>
      </c>
      <c r="C474" s="114" t="s">
        <v>416</v>
      </c>
      <c r="D474" s="114" t="s">
        <v>417</v>
      </c>
      <c r="E474">
        <v>2134</v>
      </c>
      <c r="F474" s="114" t="s">
        <v>987</v>
      </c>
      <c r="G474" s="114" t="s">
        <v>424</v>
      </c>
      <c r="H474" s="114" t="s">
        <v>425</v>
      </c>
      <c r="I474">
        <v>41</v>
      </c>
    </row>
    <row r="475" spans="1:10">
      <c r="A475" s="114" t="s">
        <v>978</v>
      </c>
      <c r="B475" s="114" t="s">
        <v>415</v>
      </c>
      <c r="C475" s="114" t="s">
        <v>421</v>
      </c>
      <c r="D475" s="114" t="s">
        <v>417</v>
      </c>
      <c r="E475">
        <v>2974</v>
      </c>
      <c r="F475" s="114" t="s">
        <v>988</v>
      </c>
      <c r="G475" s="114" t="s">
        <v>813</v>
      </c>
      <c r="H475" s="114" t="s">
        <v>471</v>
      </c>
      <c r="I475">
        <v>34</v>
      </c>
    </row>
    <row r="476" spans="1:10">
      <c r="A476" s="114" t="s">
        <v>978</v>
      </c>
      <c r="B476" s="114" t="s">
        <v>415</v>
      </c>
      <c r="C476" s="114" t="s">
        <v>416</v>
      </c>
      <c r="D476" s="114" t="s">
        <v>417</v>
      </c>
      <c r="E476">
        <v>2976</v>
      </c>
      <c r="F476" s="114" t="s">
        <v>989</v>
      </c>
      <c r="G476" s="114" t="s">
        <v>990</v>
      </c>
      <c r="H476" s="114" t="s">
        <v>471</v>
      </c>
      <c r="I476">
        <v>14</v>
      </c>
    </row>
    <row r="477" spans="1:10">
      <c r="A477" s="114" t="s">
        <v>978</v>
      </c>
      <c r="B477" s="114" t="s">
        <v>415</v>
      </c>
      <c r="C477" s="114" t="s">
        <v>429</v>
      </c>
      <c r="D477" s="114" t="s">
        <v>417</v>
      </c>
      <c r="E477">
        <v>3606</v>
      </c>
      <c r="F477" s="114" t="s">
        <v>991</v>
      </c>
      <c r="G477" s="114" t="s">
        <v>418</v>
      </c>
      <c r="H477" s="114" t="s">
        <v>512</v>
      </c>
      <c r="I477">
        <v>117</v>
      </c>
    </row>
    <row r="478" spans="1:10">
      <c r="A478" s="114" t="s">
        <v>978</v>
      </c>
      <c r="B478" s="114" t="s">
        <v>415</v>
      </c>
      <c r="C478" s="114" t="s">
        <v>434</v>
      </c>
      <c r="D478" s="114" t="s">
        <v>417</v>
      </c>
      <c r="E478">
        <v>3856</v>
      </c>
      <c r="F478" s="114" t="s">
        <v>992</v>
      </c>
      <c r="G478" s="114" t="s">
        <v>431</v>
      </c>
      <c r="H478" s="114" t="s">
        <v>469</v>
      </c>
      <c r="I478">
        <v>28</v>
      </c>
    </row>
    <row r="479" spans="1:10">
      <c r="A479" s="114" t="s">
        <v>978</v>
      </c>
      <c r="B479" s="114" t="s">
        <v>415</v>
      </c>
      <c r="C479" s="114" t="s">
        <v>416</v>
      </c>
      <c r="D479" s="114" t="s">
        <v>417</v>
      </c>
      <c r="E479">
        <v>3896</v>
      </c>
      <c r="F479" s="114" t="s">
        <v>993</v>
      </c>
      <c r="G479" s="114" t="s">
        <v>418</v>
      </c>
      <c r="H479" s="114" t="s">
        <v>514</v>
      </c>
      <c r="I479">
        <v>46</v>
      </c>
    </row>
    <row r="480" spans="1:10">
      <c r="A480" s="114" t="s">
        <v>978</v>
      </c>
      <c r="B480" s="114" t="s">
        <v>415</v>
      </c>
      <c r="C480" s="114" t="s">
        <v>429</v>
      </c>
      <c r="D480" s="114" t="s">
        <v>417</v>
      </c>
      <c r="E480">
        <v>3902</v>
      </c>
      <c r="F480" s="114" t="s">
        <v>994</v>
      </c>
      <c r="G480" s="114" t="s">
        <v>418</v>
      </c>
      <c r="H480" s="114" t="s">
        <v>438</v>
      </c>
      <c r="I480">
        <v>417</v>
      </c>
    </row>
    <row r="481" spans="1:10">
      <c r="A481" s="114" t="s">
        <v>978</v>
      </c>
      <c r="B481" s="114" t="s">
        <v>415</v>
      </c>
      <c r="C481" s="114" t="s">
        <v>416</v>
      </c>
      <c r="D481" s="114" t="s">
        <v>417</v>
      </c>
      <c r="E481">
        <v>3963</v>
      </c>
      <c r="F481" s="114" t="s">
        <v>995</v>
      </c>
      <c r="G481" s="114" t="s">
        <v>418</v>
      </c>
      <c r="H481" s="114" t="s">
        <v>438</v>
      </c>
      <c r="I481">
        <v>145</v>
      </c>
    </row>
    <row r="482" spans="1:10">
      <c r="A482" s="114" t="s">
        <v>978</v>
      </c>
      <c r="B482" s="114" t="s">
        <v>415</v>
      </c>
      <c r="C482" s="114" t="s">
        <v>429</v>
      </c>
      <c r="D482" s="114" t="s">
        <v>417</v>
      </c>
      <c r="E482">
        <v>4245</v>
      </c>
      <c r="F482" s="114" t="s">
        <v>996</v>
      </c>
      <c r="G482" s="114" t="s">
        <v>418</v>
      </c>
      <c r="H482" s="114" t="s">
        <v>442</v>
      </c>
      <c r="I482">
        <v>122</v>
      </c>
    </row>
    <row r="483" spans="1:10">
      <c r="A483" s="114" t="s">
        <v>978</v>
      </c>
      <c r="B483" s="114" t="s">
        <v>415</v>
      </c>
      <c r="C483" s="114" t="s">
        <v>429</v>
      </c>
      <c r="D483" s="114" t="s">
        <v>417</v>
      </c>
      <c r="E483">
        <v>4251</v>
      </c>
      <c r="F483" s="114" t="s">
        <v>997</v>
      </c>
      <c r="G483" s="114" t="s">
        <v>431</v>
      </c>
      <c r="H483" s="114" t="s">
        <v>442</v>
      </c>
      <c r="I483">
        <v>70</v>
      </c>
    </row>
    <row r="484" spans="1:10">
      <c r="A484" s="114" t="s">
        <v>978</v>
      </c>
      <c r="B484" s="114" t="s">
        <v>415</v>
      </c>
      <c r="C484" s="114" t="s">
        <v>416</v>
      </c>
      <c r="D484" s="114" t="s">
        <v>417</v>
      </c>
      <c r="E484">
        <v>4425</v>
      </c>
      <c r="F484" s="114" t="s">
        <v>998</v>
      </c>
      <c r="G484" s="114" t="s">
        <v>440</v>
      </c>
      <c r="H484" s="114" t="s">
        <v>438</v>
      </c>
      <c r="I484">
        <v>649</v>
      </c>
    </row>
    <row r="485" spans="1:10">
      <c r="A485" s="114" t="s">
        <v>978</v>
      </c>
      <c r="B485" s="114" t="s">
        <v>415</v>
      </c>
      <c r="C485" s="114" t="s">
        <v>416</v>
      </c>
      <c r="D485" s="114" t="s">
        <v>422</v>
      </c>
      <c r="E485">
        <v>4435</v>
      </c>
      <c r="F485" s="114" t="s">
        <v>999</v>
      </c>
      <c r="G485" s="114" t="s">
        <v>440</v>
      </c>
      <c r="H485" s="114" t="s">
        <v>438</v>
      </c>
      <c r="I485">
        <v>403</v>
      </c>
    </row>
    <row r="486" spans="1:10">
      <c r="A486" s="114" t="s">
        <v>978</v>
      </c>
      <c r="B486" s="114" t="s">
        <v>415</v>
      </c>
      <c r="C486" s="114" t="s">
        <v>416</v>
      </c>
      <c r="D486" s="114" t="s">
        <v>417</v>
      </c>
      <c r="E486">
        <v>4442</v>
      </c>
      <c r="F486" s="114" t="s">
        <v>1000</v>
      </c>
      <c r="G486" s="114" t="s">
        <v>440</v>
      </c>
      <c r="H486" s="114" t="s">
        <v>438</v>
      </c>
      <c r="I486">
        <v>106</v>
      </c>
    </row>
    <row r="487" spans="1:10">
      <c r="A487" s="114" t="s">
        <v>978</v>
      </c>
      <c r="B487" s="114" t="s">
        <v>415</v>
      </c>
      <c r="C487" s="114" t="s">
        <v>429</v>
      </c>
      <c r="D487" s="114" t="s">
        <v>422</v>
      </c>
      <c r="E487">
        <v>4448</v>
      </c>
      <c r="F487" s="114" t="s">
        <v>1001</v>
      </c>
      <c r="G487" s="114" t="s">
        <v>440</v>
      </c>
      <c r="H487" s="114" t="s">
        <v>438</v>
      </c>
      <c r="I487">
        <v>386</v>
      </c>
    </row>
    <row r="488" spans="1:10">
      <c r="A488" s="114" t="s">
        <v>978</v>
      </c>
      <c r="B488" s="114" t="s">
        <v>415</v>
      </c>
      <c r="C488" s="114" t="s">
        <v>429</v>
      </c>
      <c r="D488" s="114" t="s">
        <v>417</v>
      </c>
      <c r="E488">
        <v>4449</v>
      </c>
      <c r="F488" s="114" t="s">
        <v>1002</v>
      </c>
      <c r="G488" s="114" t="s">
        <v>440</v>
      </c>
      <c r="H488" s="114" t="s">
        <v>438</v>
      </c>
      <c r="I488">
        <v>463</v>
      </c>
    </row>
    <row r="489" spans="1:10">
      <c r="A489" s="114" t="s">
        <v>978</v>
      </c>
      <c r="B489" s="114" t="s">
        <v>415</v>
      </c>
      <c r="C489" s="114" t="s">
        <v>429</v>
      </c>
      <c r="D489" s="114" t="s">
        <v>422</v>
      </c>
      <c r="E489">
        <v>4450</v>
      </c>
      <c r="F489" s="114" t="s">
        <v>1003</v>
      </c>
      <c r="G489" s="114" t="s">
        <v>440</v>
      </c>
      <c r="H489" s="114" t="s">
        <v>438</v>
      </c>
      <c r="I489">
        <v>52</v>
      </c>
    </row>
    <row r="490" spans="1:10">
      <c r="A490" s="114" t="s">
        <v>978</v>
      </c>
      <c r="B490" s="114" t="s">
        <v>415</v>
      </c>
      <c r="C490" s="114" t="s">
        <v>421</v>
      </c>
      <c r="D490" s="114" t="s">
        <v>417</v>
      </c>
      <c r="E490">
        <v>4475</v>
      </c>
      <c r="F490" s="114" t="s">
        <v>1004</v>
      </c>
      <c r="G490" s="114" t="s">
        <v>440</v>
      </c>
      <c r="H490" s="114" t="s">
        <v>438</v>
      </c>
      <c r="I490" s="114">
        <v>263</v>
      </c>
      <c r="J490" s="114"/>
    </row>
    <row r="491" spans="1:10">
      <c r="A491" s="114" t="s">
        <v>978</v>
      </c>
      <c r="B491" s="114" t="s">
        <v>415</v>
      </c>
      <c r="C491" s="114" t="s">
        <v>429</v>
      </c>
      <c r="D491" s="114" t="s">
        <v>422</v>
      </c>
      <c r="E491">
        <v>4476</v>
      </c>
      <c r="F491" s="114" t="s">
        <v>1005</v>
      </c>
      <c r="G491" s="114" t="s">
        <v>440</v>
      </c>
      <c r="H491" s="114" t="s">
        <v>438</v>
      </c>
      <c r="I491">
        <v>77</v>
      </c>
    </row>
    <row r="492" spans="1:10">
      <c r="A492" s="114" t="s">
        <v>978</v>
      </c>
      <c r="B492" s="114" t="s">
        <v>415</v>
      </c>
      <c r="C492" s="114" t="s">
        <v>429</v>
      </c>
      <c r="D492" s="114" t="s">
        <v>417</v>
      </c>
      <c r="E492">
        <v>4477</v>
      </c>
      <c r="F492" s="114" t="s">
        <v>1006</v>
      </c>
      <c r="G492" s="114" t="s">
        <v>440</v>
      </c>
      <c r="H492" s="114" t="s">
        <v>438</v>
      </c>
      <c r="I492" s="114">
        <v>344</v>
      </c>
      <c r="J492" s="114"/>
    </row>
    <row r="493" spans="1:10">
      <c r="A493" s="114" t="s">
        <v>978</v>
      </c>
      <c r="B493" s="114" t="s">
        <v>415</v>
      </c>
      <c r="C493" s="114" t="s">
        <v>429</v>
      </c>
      <c r="D493" s="114" t="s">
        <v>417</v>
      </c>
      <c r="E493">
        <v>4631</v>
      </c>
      <c r="F493" s="114" t="s">
        <v>1007</v>
      </c>
      <c r="G493" s="114" t="s">
        <v>418</v>
      </c>
      <c r="H493" s="114" t="s">
        <v>442</v>
      </c>
      <c r="I493" s="114" t="s">
        <v>461</v>
      </c>
      <c r="J493" s="114" t="s">
        <v>1179</v>
      </c>
    </row>
    <row r="494" spans="1:10">
      <c r="A494" s="114" t="s">
        <v>978</v>
      </c>
      <c r="B494" s="114" t="s">
        <v>415</v>
      </c>
      <c r="C494" s="114" t="s">
        <v>416</v>
      </c>
      <c r="D494" s="114" t="s">
        <v>417</v>
      </c>
      <c r="E494">
        <v>4691</v>
      </c>
      <c r="F494" s="114" t="s">
        <v>1008</v>
      </c>
      <c r="G494" s="114" t="s">
        <v>431</v>
      </c>
      <c r="H494" s="114" t="s">
        <v>425</v>
      </c>
      <c r="I494">
        <v>167</v>
      </c>
    </row>
    <row r="495" spans="1:10">
      <c r="A495" s="114" t="s">
        <v>978</v>
      </c>
      <c r="B495" s="114" t="s">
        <v>415</v>
      </c>
      <c r="C495" s="114" t="s">
        <v>434</v>
      </c>
      <c r="D495" s="114" t="s">
        <v>417</v>
      </c>
      <c r="E495">
        <v>4845</v>
      </c>
      <c r="F495" s="114" t="s">
        <v>1009</v>
      </c>
      <c r="G495" s="114" t="s">
        <v>418</v>
      </c>
      <c r="H495" s="114" t="s">
        <v>438</v>
      </c>
      <c r="I495">
        <v>134</v>
      </c>
    </row>
    <row r="496" spans="1:10">
      <c r="A496" s="114" t="s">
        <v>978</v>
      </c>
      <c r="B496" s="114" t="s">
        <v>415</v>
      </c>
      <c r="C496" s="114" t="s">
        <v>416</v>
      </c>
      <c r="D496" s="114" t="s">
        <v>417</v>
      </c>
      <c r="E496">
        <v>6082</v>
      </c>
      <c r="F496" s="114" t="s">
        <v>1010</v>
      </c>
      <c r="G496" s="114" t="s">
        <v>418</v>
      </c>
      <c r="H496" s="114" t="s">
        <v>425</v>
      </c>
      <c r="I496" s="114">
        <v>208</v>
      </c>
      <c r="J496" s="114"/>
    </row>
    <row r="497" spans="1:10">
      <c r="A497" s="114" t="s">
        <v>978</v>
      </c>
      <c r="B497" s="114" t="s">
        <v>415</v>
      </c>
      <c r="C497" s="114" t="s">
        <v>416</v>
      </c>
      <c r="D497" s="114" t="s">
        <v>417</v>
      </c>
      <c r="E497">
        <v>6408</v>
      </c>
      <c r="F497" s="114" t="s">
        <v>1011</v>
      </c>
      <c r="G497" s="114" t="s">
        <v>424</v>
      </c>
      <c r="H497" s="114" t="s">
        <v>456</v>
      </c>
      <c r="I497">
        <v>52</v>
      </c>
    </row>
    <row r="498" spans="1:10">
      <c r="A498" s="114" t="s">
        <v>978</v>
      </c>
      <c r="B498" s="114" t="s">
        <v>415</v>
      </c>
      <c r="C498" s="114" t="s">
        <v>416</v>
      </c>
      <c r="D498" s="114" t="s">
        <v>417</v>
      </c>
      <c r="E498">
        <v>6424</v>
      </c>
      <c r="F498" s="114" t="s">
        <v>1012</v>
      </c>
      <c r="G498" s="114" t="s">
        <v>424</v>
      </c>
      <c r="H498" s="114" t="s">
        <v>456</v>
      </c>
      <c r="I498">
        <v>59</v>
      </c>
    </row>
    <row r="499" spans="1:10">
      <c r="A499" s="114" t="s">
        <v>978</v>
      </c>
      <c r="B499" s="114" t="s">
        <v>415</v>
      </c>
      <c r="C499" s="114" t="s">
        <v>416</v>
      </c>
      <c r="D499" s="114" t="s">
        <v>417</v>
      </c>
      <c r="E499">
        <v>6517</v>
      </c>
      <c r="F499" s="114" t="s">
        <v>1013</v>
      </c>
      <c r="G499" s="114" t="s">
        <v>418</v>
      </c>
      <c r="H499" s="114" t="s">
        <v>469</v>
      </c>
      <c r="I499" s="114">
        <v>482</v>
      </c>
      <c r="J499" s="114"/>
    </row>
    <row r="500" spans="1:10">
      <c r="A500" s="114" t="s">
        <v>978</v>
      </c>
      <c r="B500" s="114" t="s">
        <v>415</v>
      </c>
      <c r="C500" s="114" t="s">
        <v>416</v>
      </c>
      <c r="D500" s="114" t="s">
        <v>417</v>
      </c>
      <c r="E500">
        <v>6574</v>
      </c>
      <c r="F500" s="114" t="s">
        <v>1014</v>
      </c>
      <c r="G500" s="114" t="s">
        <v>440</v>
      </c>
      <c r="H500" s="114" t="s">
        <v>425</v>
      </c>
      <c r="I500">
        <v>31</v>
      </c>
    </row>
    <row r="501" spans="1:10">
      <c r="A501" s="114" t="s">
        <v>978</v>
      </c>
      <c r="B501" s="114" t="s">
        <v>415</v>
      </c>
      <c r="C501" s="114" t="s">
        <v>434</v>
      </c>
      <c r="D501" s="114" t="s">
        <v>422</v>
      </c>
      <c r="E501">
        <v>6597</v>
      </c>
      <c r="F501" s="114" t="s">
        <v>1015</v>
      </c>
      <c r="G501" s="114" t="s">
        <v>440</v>
      </c>
      <c r="H501" s="114" t="s">
        <v>469</v>
      </c>
      <c r="I501">
        <v>75</v>
      </c>
    </row>
    <row r="502" spans="1:10">
      <c r="A502" s="114" t="s">
        <v>978</v>
      </c>
      <c r="B502" s="114" t="s">
        <v>415</v>
      </c>
      <c r="C502" s="114" t="s">
        <v>416</v>
      </c>
      <c r="D502" s="114" t="s">
        <v>417</v>
      </c>
      <c r="E502">
        <v>6706</v>
      </c>
      <c r="F502" s="114" t="s">
        <v>1016</v>
      </c>
      <c r="G502" s="114" t="s">
        <v>418</v>
      </c>
      <c r="H502" s="114" t="s">
        <v>469</v>
      </c>
      <c r="I502">
        <v>452</v>
      </c>
    </row>
    <row r="503" spans="1:10">
      <c r="A503" s="114" t="s">
        <v>978</v>
      </c>
      <c r="B503" s="114" t="s">
        <v>415</v>
      </c>
      <c r="C503" s="114" t="s">
        <v>416</v>
      </c>
      <c r="D503" s="114" t="s">
        <v>417</v>
      </c>
      <c r="E503">
        <v>6819</v>
      </c>
      <c r="F503" s="114" t="s">
        <v>1017</v>
      </c>
      <c r="G503" s="114" t="s">
        <v>424</v>
      </c>
      <c r="H503" s="114" t="s">
        <v>425</v>
      </c>
      <c r="I503">
        <v>34</v>
      </c>
    </row>
    <row r="504" spans="1:10">
      <c r="A504" s="114" t="s">
        <v>978</v>
      </c>
      <c r="B504" s="114" t="s">
        <v>415</v>
      </c>
      <c r="C504" s="114" t="s">
        <v>429</v>
      </c>
      <c r="D504" s="114" t="s">
        <v>417</v>
      </c>
      <c r="E504">
        <v>6870</v>
      </c>
      <c r="F504" s="114" t="s">
        <v>1018</v>
      </c>
      <c r="G504" s="114" t="s">
        <v>431</v>
      </c>
      <c r="H504" s="114" t="s">
        <v>469</v>
      </c>
      <c r="I504">
        <v>90</v>
      </c>
    </row>
    <row r="505" spans="1:10">
      <c r="A505" s="114" t="s">
        <v>978</v>
      </c>
      <c r="B505" s="114" t="s">
        <v>415</v>
      </c>
      <c r="C505" s="114" t="s">
        <v>416</v>
      </c>
      <c r="D505" s="114" t="s">
        <v>417</v>
      </c>
      <c r="E505">
        <v>7060</v>
      </c>
      <c r="F505" s="114" t="s">
        <v>1019</v>
      </c>
      <c r="G505" s="114" t="s">
        <v>440</v>
      </c>
      <c r="H505" s="114" t="s">
        <v>425</v>
      </c>
      <c r="I505">
        <v>158</v>
      </c>
    </row>
    <row r="506" spans="1:10">
      <c r="A506" s="114" t="s">
        <v>978</v>
      </c>
      <c r="B506" s="114" t="s">
        <v>415</v>
      </c>
      <c r="C506" s="114" t="s">
        <v>434</v>
      </c>
      <c r="D506" s="114" t="s">
        <v>417</v>
      </c>
      <c r="E506">
        <v>7063</v>
      </c>
      <c r="F506" s="114" t="s">
        <v>1020</v>
      </c>
      <c r="G506" s="114" t="s">
        <v>440</v>
      </c>
      <c r="H506" s="114" t="s">
        <v>425</v>
      </c>
      <c r="I506">
        <v>55</v>
      </c>
    </row>
    <row r="507" spans="1:10">
      <c r="A507" s="114" t="s">
        <v>978</v>
      </c>
      <c r="B507" s="114" t="s">
        <v>415</v>
      </c>
      <c r="C507" s="114" t="s">
        <v>416</v>
      </c>
      <c r="D507" s="114" t="s">
        <v>417</v>
      </c>
      <c r="E507">
        <v>7067</v>
      </c>
      <c r="F507" s="114" t="s">
        <v>1021</v>
      </c>
      <c r="G507" s="114" t="s">
        <v>440</v>
      </c>
      <c r="H507" s="114" t="s">
        <v>425</v>
      </c>
      <c r="I507">
        <v>35</v>
      </c>
    </row>
    <row r="508" spans="1:10">
      <c r="A508" s="114" t="s">
        <v>978</v>
      </c>
      <c r="B508" s="114" t="s">
        <v>415</v>
      </c>
      <c r="C508" s="114" t="s">
        <v>421</v>
      </c>
      <c r="D508" s="114" t="s">
        <v>422</v>
      </c>
      <c r="E508">
        <v>7072</v>
      </c>
      <c r="F508" s="114" t="s">
        <v>1022</v>
      </c>
      <c r="G508" s="114" t="s">
        <v>440</v>
      </c>
      <c r="H508" s="114" t="s">
        <v>425</v>
      </c>
      <c r="I508">
        <v>84</v>
      </c>
    </row>
    <row r="509" spans="1:10">
      <c r="A509" s="114" t="s">
        <v>978</v>
      </c>
      <c r="B509" s="114" t="s">
        <v>415</v>
      </c>
      <c r="C509" s="114" t="s">
        <v>416</v>
      </c>
      <c r="D509" s="114" t="s">
        <v>417</v>
      </c>
      <c r="E509">
        <v>7239</v>
      </c>
      <c r="F509" s="114" t="s">
        <v>1023</v>
      </c>
      <c r="G509" s="114" t="s">
        <v>418</v>
      </c>
      <c r="H509" s="114" t="s">
        <v>497</v>
      </c>
      <c r="I509">
        <v>506</v>
      </c>
    </row>
    <row r="510" spans="1:10">
      <c r="A510" s="114" t="s">
        <v>978</v>
      </c>
      <c r="B510" s="114" t="s">
        <v>415</v>
      </c>
      <c r="C510" s="114" t="s">
        <v>416</v>
      </c>
      <c r="D510" s="114" t="s">
        <v>417</v>
      </c>
      <c r="E510">
        <v>7242</v>
      </c>
      <c r="F510" s="114" t="s">
        <v>1024</v>
      </c>
      <c r="G510" s="114" t="s">
        <v>418</v>
      </c>
      <c r="H510" s="114" t="s">
        <v>497</v>
      </c>
      <c r="I510">
        <v>857</v>
      </c>
    </row>
    <row r="511" spans="1:10">
      <c r="A511" s="114" t="s">
        <v>978</v>
      </c>
      <c r="B511" s="114" t="s">
        <v>415</v>
      </c>
      <c r="C511" s="114" t="s">
        <v>434</v>
      </c>
      <c r="D511" s="114" t="s">
        <v>417</v>
      </c>
      <c r="E511">
        <v>7325</v>
      </c>
      <c r="F511" s="114" t="s">
        <v>1180</v>
      </c>
      <c r="G511" s="114" t="s">
        <v>440</v>
      </c>
      <c r="H511" s="114" t="s">
        <v>1181</v>
      </c>
      <c r="I511">
        <v>116</v>
      </c>
    </row>
    <row r="512" spans="1:10">
      <c r="A512" s="114" t="s">
        <v>978</v>
      </c>
      <c r="B512" s="114" t="s">
        <v>415</v>
      </c>
      <c r="C512" s="114" t="s">
        <v>434</v>
      </c>
      <c r="D512" s="114" t="s">
        <v>422</v>
      </c>
      <c r="E512">
        <v>7674</v>
      </c>
      <c r="F512" s="114" t="s">
        <v>1025</v>
      </c>
      <c r="G512" s="114" t="s">
        <v>440</v>
      </c>
      <c r="H512" s="114" t="s">
        <v>436</v>
      </c>
      <c r="I512">
        <v>73</v>
      </c>
    </row>
    <row r="513" spans="1:10">
      <c r="A513" s="114" t="s">
        <v>978</v>
      </c>
      <c r="B513" s="114" t="s">
        <v>415</v>
      </c>
      <c r="C513" s="114" t="s">
        <v>421</v>
      </c>
      <c r="D513" s="114" t="s">
        <v>422</v>
      </c>
      <c r="E513">
        <v>7676</v>
      </c>
      <c r="F513" s="114" t="s">
        <v>1026</v>
      </c>
      <c r="G513" s="114" t="s">
        <v>440</v>
      </c>
      <c r="H513" s="114" t="s">
        <v>436</v>
      </c>
      <c r="I513">
        <v>45</v>
      </c>
    </row>
    <row r="514" spans="1:10">
      <c r="A514" s="114" t="s">
        <v>978</v>
      </c>
      <c r="B514" s="114" t="s">
        <v>415</v>
      </c>
      <c r="C514" s="114" t="s">
        <v>416</v>
      </c>
      <c r="D514" s="114" t="s">
        <v>417</v>
      </c>
      <c r="E514">
        <v>7677</v>
      </c>
      <c r="F514" s="114" t="s">
        <v>1027</v>
      </c>
      <c r="G514" s="114" t="s">
        <v>431</v>
      </c>
      <c r="H514" s="114" t="s">
        <v>427</v>
      </c>
      <c r="I514">
        <v>56</v>
      </c>
    </row>
    <row r="515" spans="1:10">
      <c r="A515" s="114" t="s">
        <v>978</v>
      </c>
      <c r="B515" s="114" t="s">
        <v>415</v>
      </c>
      <c r="C515" s="114" t="s">
        <v>421</v>
      </c>
      <c r="D515" s="114" t="s">
        <v>417</v>
      </c>
      <c r="E515">
        <v>7681</v>
      </c>
      <c r="F515" s="114" t="s">
        <v>1028</v>
      </c>
      <c r="G515" s="114" t="s">
        <v>431</v>
      </c>
      <c r="H515" s="114" t="s">
        <v>427</v>
      </c>
      <c r="I515">
        <v>64</v>
      </c>
    </row>
    <row r="516" spans="1:10">
      <c r="A516" s="114" t="s">
        <v>978</v>
      </c>
      <c r="B516" s="114" t="s">
        <v>415</v>
      </c>
      <c r="C516" s="114" t="s">
        <v>416</v>
      </c>
      <c r="D516" s="114" t="s">
        <v>417</v>
      </c>
      <c r="E516">
        <v>7749</v>
      </c>
      <c r="F516" s="114" t="s">
        <v>1029</v>
      </c>
      <c r="G516" s="114" t="s">
        <v>424</v>
      </c>
      <c r="H516" s="114" t="s">
        <v>717</v>
      </c>
      <c r="I516">
        <v>660</v>
      </c>
    </row>
    <row r="517" spans="1:10">
      <c r="A517" s="114" t="s">
        <v>978</v>
      </c>
      <c r="B517" s="114" t="s">
        <v>415</v>
      </c>
      <c r="C517" s="114" t="s">
        <v>421</v>
      </c>
      <c r="D517" s="114" t="s">
        <v>422</v>
      </c>
      <c r="E517">
        <v>7800</v>
      </c>
      <c r="F517" s="114" t="s">
        <v>1030</v>
      </c>
      <c r="G517" s="114" t="s">
        <v>424</v>
      </c>
      <c r="H517" s="114" t="s">
        <v>458</v>
      </c>
      <c r="I517">
        <v>33</v>
      </c>
    </row>
    <row r="518" spans="1:10">
      <c r="A518" s="114" t="s">
        <v>978</v>
      </c>
      <c r="B518" s="114" t="s">
        <v>415</v>
      </c>
      <c r="C518" s="114" t="s">
        <v>416</v>
      </c>
      <c r="D518" s="114" t="s">
        <v>417</v>
      </c>
      <c r="E518">
        <v>8152</v>
      </c>
      <c r="F518" s="114" t="s">
        <v>1031</v>
      </c>
      <c r="G518" s="114" t="s">
        <v>431</v>
      </c>
      <c r="H518" s="114" t="s">
        <v>427</v>
      </c>
      <c r="I518">
        <v>35</v>
      </c>
    </row>
    <row r="519" spans="1:10">
      <c r="A519" s="114" t="s">
        <v>978</v>
      </c>
      <c r="B519" s="114" t="s">
        <v>415</v>
      </c>
      <c r="C519" s="114" t="s">
        <v>434</v>
      </c>
      <c r="D519" s="114" t="s">
        <v>417</v>
      </c>
      <c r="E519">
        <v>8928</v>
      </c>
      <c r="F519" s="114" t="s">
        <v>1182</v>
      </c>
      <c r="G519" s="114" t="s">
        <v>418</v>
      </c>
      <c r="H519" s="114" t="s">
        <v>471</v>
      </c>
      <c r="I519">
        <v>186</v>
      </c>
    </row>
    <row r="520" spans="1:10">
      <c r="A520" s="114" t="s">
        <v>978</v>
      </c>
      <c r="B520" s="114" t="s">
        <v>415</v>
      </c>
      <c r="C520" s="114" t="s">
        <v>429</v>
      </c>
      <c r="D520" s="114" t="s">
        <v>417</v>
      </c>
      <c r="E520">
        <v>9672</v>
      </c>
      <c r="F520" s="114" t="s">
        <v>1032</v>
      </c>
      <c r="G520" s="114" t="s">
        <v>418</v>
      </c>
      <c r="H520" s="114" t="s">
        <v>425</v>
      </c>
      <c r="I520">
        <v>964</v>
      </c>
    </row>
    <row r="521" spans="1:10">
      <c r="A521" s="114" t="s">
        <v>1033</v>
      </c>
      <c r="B521" s="114" t="s">
        <v>415</v>
      </c>
      <c r="C521" s="114" t="s">
        <v>429</v>
      </c>
      <c r="D521" s="114" t="s">
        <v>422</v>
      </c>
      <c r="E521">
        <v>3282</v>
      </c>
      <c r="F521" s="114" t="s">
        <v>1034</v>
      </c>
      <c r="G521" s="114" t="s">
        <v>533</v>
      </c>
      <c r="H521" s="114" t="s">
        <v>534</v>
      </c>
      <c r="I521" s="114" t="s">
        <v>461</v>
      </c>
      <c r="J521" s="114" t="s">
        <v>1183</v>
      </c>
    </row>
    <row r="522" spans="1:10">
      <c r="A522" s="114" t="s">
        <v>1033</v>
      </c>
      <c r="B522" s="114" t="s">
        <v>415</v>
      </c>
      <c r="C522" s="114" t="s">
        <v>429</v>
      </c>
      <c r="D522" s="114" t="s">
        <v>422</v>
      </c>
      <c r="E522">
        <v>3463</v>
      </c>
      <c r="F522" s="114" t="s">
        <v>1035</v>
      </c>
      <c r="G522" s="114" t="s">
        <v>533</v>
      </c>
      <c r="H522" s="114" t="s">
        <v>534</v>
      </c>
      <c r="I522">
        <v>344</v>
      </c>
    </row>
    <row r="523" spans="1:10">
      <c r="A523" s="114" t="s">
        <v>1036</v>
      </c>
      <c r="B523" s="114" t="s">
        <v>415</v>
      </c>
      <c r="C523" s="114" t="s">
        <v>429</v>
      </c>
      <c r="D523" s="114" t="s">
        <v>422</v>
      </c>
      <c r="E523">
        <v>3281</v>
      </c>
      <c r="F523" s="114" t="s">
        <v>1037</v>
      </c>
      <c r="G523" s="114" t="s">
        <v>533</v>
      </c>
      <c r="H523" s="114" t="s">
        <v>534</v>
      </c>
      <c r="I523" s="114" t="s">
        <v>452</v>
      </c>
      <c r="J523" s="114" t="s">
        <v>1184</v>
      </c>
    </row>
    <row r="524" spans="1:10">
      <c r="A524" s="114" t="s">
        <v>1036</v>
      </c>
      <c r="B524" s="114" t="s">
        <v>415</v>
      </c>
      <c r="C524" s="114" t="s">
        <v>429</v>
      </c>
      <c r="D524" s="114" t="s">
        <v>422</v>
      </c>
      <c r="E524">
        <v>3466</v>
      </c>
      <c r="F524" s="114" t="s">
        <v>1038</v>
      </c>
      <c r="G524" s="114" t="s">
        <v>533</v>
      </c>
      <c r="H524" s="114" t="s">
        <v>534</v>
      </c>
      <c r="I524" s="114" t="s">
        <v>461</v>
      </c>
      <c r="J524" s="114" t="s">
        <v>1185</v>
      </c>
    </row>
    <row r="525" spans="1:10">
      <c r="A525" s="114" t="s">
        <v>1040</v>
      </c>
      <c r="B525" s="114" t="s">
        <v>415</v>
      </c>
      <c r="C525" s="114" t="s">
        <v>416</v>
      </c>
      <c r="D525" s="114" t="s">
        <v>417</v>
      </c>
      <c r="E525">
        <v>2354</v>
      </c>
      <c r="F525" s="114" t="s">
        <v>1041</v>
      </c>
      <c r="G525" s="114" t="s">
        <v>431</v>
      </c>
      <c r="H525" s="114" t="s">
        <v>438</v>
      </c>
      <c r="I525">
        <v>94</v>
      </c>
    </row>
    <row r="526" spans="1:10">
      <c r="A526" s="114" t="s">
        <v>1040</v>
      </c>
      <c r="B526" s="114" t="s">
        <v>415</v>
      </c>
      <c r="C526" s="114" t="s">
        <v>434</v>
      </c>
      <c r="D526" s="114" t="s">
        <v>417</v>
      </c>
      <c r="E526">
        <v>3160</v>
      </c>
      <c r="F526" s="114" t="s">
        <v>1042</v>
      </c>
      <c r="G526" s="114" t="s">
        <v>418</v>
      </c>
      <c r="H526" s="114" t="s">
        <v>427</v>
      </c>
      <c r="I526">
        <v>96</v>
      </c>
    </row>
    <row r="527" spans="1:10">
      <c r="A527" s="114" t="s">
        <v>1040</v>
      </c>
      <c r="B527" s="114" t="s">
        <v>415</v>
      </c>
      <c r="C527" s="114" t="s">
        <v>416</v>
      </c>
      <c r="D527" s="114" t="s">
        <v>417</v>
      </c>
      <c r="E527">
        <v>7630</v>
      </c>
      <c r="F527" s="114" t="s">
        <v>1043</v>
      </c>
      <c r="G527" s="114" t="s">
        <v>418</v>
      </c>
      <c r="H527" s="114" t="s">
        <v>436</v>
      </c>
      <c r="I527" s="114" t="s">
        <v>501</v>
      </c>
      <c r="J527" s="114" t="s">
        <v>1186</v>
      </c>
    </row>
    <row r="528" spans="1:10">
      <c r="A528" s="114" t="s">
        <v>1040</v>
      </c>
      <c r="B528" s="114" t="s">
        <v>415</v>
      </c>
      <c r="C528" s="114" t="s">
        <v>434</v>
      </c>
      <c r="D528" s="114" t="s">
        <v>422</v>
      </c>
      <c r="E528">
        <v>8155</v>
      </c>
      <c r="F528" s="114" t="s">
        <v>1044</v>
      </c>
      <c r="G528" s="114" t="s">
        <v>418</v>
      </c>
      <c r="H528" s="114" t="s">
        <v>448</v>
      </c>
      <c r="I528">
        <v>734</v>
      </c>
    </row>
    <row r="529" spans="1:10">
      <c r="A529" s="114" t="s">
        <v>1040</v>
      </c>
      <c r="B529" s="114" t="s">
        <v>415</v>
      </c>
      <c r="C529" s="114" t="s">
        <v>416</v>
      </c>
      <c r="D529" s="114" t="s">
        <v>417</v>
      </c>
      <c r="E529">
        <v>8217</v>
      </c>
      <c r="F529" s="114" t="s">
        <v>1045</v>
      </c>
      <c r="G529" s="114" t="s">
        <v>418</v>
      </c>
      <c r="H529" s="114" t="s">
        <v>436</v>
      </c>
      <c r="I529">
        <v>650</v>
      </c>
    </row>
    <row r="530" spans="1:10">
      <c r="A530" s="114" t="s">
        <v>1040</v>
      </c>
      <c r="B530" s="114" t="s">
        <v>415</v>
      </c>
      <c r="C530" s="114" t="s">
        <v>416</v>
      </c>
      <c r="D530" s="114" t="s">
        <v>417</v>
      </c>
      <c r="E530">
        <v>8227</v>
      </c>
      <c r="F530" s="114" t="s">
        <v>1046</v>
      </c>
      <c r="G530" s="114" t="s">
        <v>418</v>
      </c>
      <c r="H530" s="114" t="s">
        <v>436</v>
      </c>
      <c r="I530" s="114" t="s">
        <v>689</v>
      </c>
      <c r="J530" s="114" t="s">
        <v>1187</v>
      </c>
    </row>
    <row r="531" spans="1:10">
      <c r="A531" s="114" t="s">
        <v>1047</v>
      </c>
      <c r="B531" s="114" t="s">
        <v>415</v>
      </c>
      <c r="C531" s="114" t="s">
        <v>416</v>
      </c>
      <c r="D531" s="114" t="s">
        <v>417</v>
      </c>
      <c r="E531">
        <v>6757</v>
      </c>
      <c r="F531" s="114" t="s">
        <v>1048</v>
      </c>
      <c r="G531" s="114" t="s">
        <v>424</v>
      </c>
      <c r="H531" s="114" t="s">
        <v>469</v>
      </c>
      <c r="I531">
        <v>124</v>
      </c>
    </row>
    <row r="532" spans="1:10">
      <c r="A532" s="114" t="s">
        <v>1049</v>
      </c>
      <c r="B532" s="114" t="s">
        <v>415</v>
      </c>
      <c r="C532" s="114" t="s">
        <v>434</v>
      </c>
      <c r="D532" s="114" t="s">
        <v>417</v>
      </c>
      <c r="E532">
        <v>6905</v>
      </c>
      <c r="F532" s="114" t="s">
        <v>1050</v>
      </c>
      <c r="G532" s="114" t="s">
        <v>418</v>
      </c>
      <c r="H532" s="114" t="s">
        <v>469</v>
      </c>
      <c r="I532">
        <v>448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2019-12-04T14:37:57Z</dcterms:modified>
</cp:coreProperties>
</file>