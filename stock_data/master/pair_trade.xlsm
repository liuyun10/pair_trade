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firstSheet="6" activeTab="6"/>
  </bookViews>
  <sheets>
    <sheet name="表紙-" sheetId="1" r:id="rId1"/>
    <sheet name="建玉管理" sheetId="2" r:id="rId2"/>
    <sheet name="建玉管理＿ｔｍｐ" sheetId="16" r:id="rId3"/>
    <sheet name="資産状況" sheetId="15" r:id="rId4"/>
    <sheet name="取引履歴" sheetId="13" r:id="rId5"/>
    <sheet name="監視" sheetId="3" r:id="rId6"/>
    <sheet name="シミュレーション" sheetId="4" r:id="rId7"/>
    <sheet name="抽出結果" sheetId="5" r:id="rId8"/>
    <sheet name="個別計算" sheetId="6" r:id="rId9"/>
    <sheet name="日経サヤ計算" sheetId="11" r:id="rId10"/>
    <sheet name="グラフ" sheetId="7" r:id="rId11"/>
    <sheet name="code" sheetId="8" r:id="rId12"/>
    <sheet name="元データ" sheetId="9" r:id="rId13"/>
    <sheet name="参考" sheetId="14" r:id="rId14"/>
    <sheet name="改訂欄" sheetId="10" r:id="rId15"/>
    <sheet name="Refer" sheetId="17" r:id="rId16"/>
  </sheets>
  <functionGroups/>
  <calcPr calcId="125725"/>
</workbook>
</file>

<file path=xl/calcChain.xml><?xml version="1.0" encoding="utf-8"?>
<calcChain xmlns="http://schemas.openxmlformats.org/spreadsheetml/2006/main">
  <c r="Q5" i="2"/>
  <c r="P5"/>
  <c r="M5"/>
  <c r="J5"/>
  <c r="U4"/>
  <c r="V4" s="1"/>
  <c r="P4"/>
  <c r="Q4" s="1"/>
  <c r="M4"/>
  <c r="J4"/>
  <c r="C4"/>
  <c r="M13"/>
  <c r="P13" s="1"/>
  <c r="J13"/>
  <c r="U12"/>
  <c r="V12" s="1"/>
  <c r="P12"/>
  <c r="M12"/>
  <c r="J12"/>
  <c r="C12"/>
  <c r="J10" i="13"/>
  <c r="M10"/>
  <c r="P10"/>
  <c r="U10"/>
  <c r="V10" s="1"/>
  <c r="J11"/>
  <c r="M11"/>
  <c r="P11"/>
  <c r="Q11" s="1"/>
  <c r="Q13" i="16"/>
  <c r="P13"/>
  <c r="M13"/>
  <c r="J13"/>
  <c r="U12"/>
  <c r="V12" s="1"/>
  <c r="Q12"/>
  <c r="P12"/>
  <c r="R12" s="1"/>
  <c r="S12" s="1"/>
  <c r="M12"/>
  <c r="J12"/>
  <c r="C12"/>
  <c r="Q11"/>
  <c r="P11"/>
  <c r="M11"/>
  <c r="J11"/>
  <c r="U10"/>
  <c r="V10" s="1"/>
  <c r="Q10"/>
  <c r="P10"/>
  <c r="R10" s="1"/>
  <c r="S10" s="1"/>
  <c r="M10"/>
  <c r="J10"/>
  <c r="C10"/>
  <c r="P9"/>
  <c r="Q9" s="1"/>
  <c r="M9"/>
  <c r="J9"/>
  <c r="U8"/>
  <c r="V8" s="1"/>
  <c r="R8"/>
  <c r="P8"/>
  <c r="Q8" s="1"/>
  <c r="M8"/>
  <c r="J8"/>
  <c r="S8" s="1"/>
  <c r="C8"/>
  <c r="P7"/>
  <c r="Q7" s="1"/>
  <c r="M7"/>
  <c r="J7"/>
  <c r="U6"/>
  <c r="V6" s="1"/>
  <c r="S6"/>
  <c r="R6"/>
  <c r="P6"/>
  <c r="Q6" s="1"/>
  <c r="M6"/>
  <c r="J6"/>
  <c r="C6"/>
  <c r="P5"/>
  <c r="Q5" s="1"/>
  <c r="M5"/>
  <c r="J5"/>
  <c r="U4"/>
  <c r="V4" s="1"/>
  <c r="P4"/>
  <c r="Q4" s="1"/>
  <c r="M4"/>
  <c r="J4"/>
  <c r="C4"/>
  <c r="M11" i="2"/>
  <c r="P11" s="1"/>
  <c r="J11"/>
  <c r="U10"/>
  <c r="V10" s="1"/>
  <c r="M10"/>
  <c r="P10" s="1"/>
  <c r="J10"/>
  <c r="C10"/>
  <c r="M9"/>
  <c r="P9" s="1"/>
  <c r="J9"/>
  <c r="U8"/>
  <c r="V8" s="1"/>
  <c r="M8"/>
  <c r="P8" s="1"/>
  <c r="J8"/>
  <c r="C8"/>
  <c r="M7"/>
  <c r="P7" s="1"/>
  <c r="J7"/>
  <c r="U6"/>
  <c r="V6" s="1"/>
  <c r="M6"/>
  <c r="P6" s="1"/>
  <c r="J6"/>
  <c r="C6"/>
  <c r="P4" i="13"/>
  <c r="M4"/>
  <c r="J4"/>
  <c r="M3"/>
  <c r="P3" s="1"/>
  <c r="J3"/>
  <c r="R4" i="2" l="1"/>
  <c r="S4" s="1"/>
  <c r="R10" i="13"/>
  <c r="S10" s="1"/>
  <c r="R12" i="2"/>
  <c r="S12" s="1"/>
  <c r="Q13"/>
  <c r="Q12"/>
  <c r="Q10" i="13"/>
  <c r="R10" i="2"/>
  <c r="S10" s="1"/>
  <c r="R4" i="16"/>
  <c r="Q11" i="2"/>
  <c r="Q10"/>
  <c r="Q8"/>
  <c r="R6"/>
  <c r="S6" s="1"/>
  <c r="Q9"/>
  <c r="R8"/>
  <c r="S8" s="1"/>
  <c r="Q7"/>
  <c r="Q6"/>
  <c r="Q4" i="13"/>
  <c r="Q3"/>
  <c r="R3"/>
  <c r="R1" l="1"/>
  <c r="R2" i="2"/>
  <c r="R2" i="16"/>
  <c r="S4"/>
  <c r="S3" i="13"/>
</calcChain>
</file>

<file path=xl/sharedStrings.xml><?xml version="1.0" encoding="utf-8"?>
<sst xmlns="http://schemas.openxmlformats.org/spreadsheetml/2006/main" count="1547" uniqueCount="311">
  <si>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</si>
  <si>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</si>
  <si>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</si>
  <si>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</si>
  <si>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</si>
  <si>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</si>
  <si>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</si>
  <si>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</si>
  <si>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</si>
  <si>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</si>
  <si>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</si>
  <si>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</si>
  <si>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</si>
  <si>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</si>
  <si>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</si>
  <si>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</si>
  <si>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</si>
  <si>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</si>
  <si>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</si>
  <si>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</si>
  <si>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</si>
  <si>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</si>
  <si>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</si>
  <si>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</si>
  <si>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</si>
  <si>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</si>
  <si>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</si>
  <si>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</si>
  <si>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</si>
  <si>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</si>
  <si>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</si>
  <si>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</si>
  <si>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</si>
  <si>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</si>
  <si>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</si>
  <si>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</si>
  <si>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</si>
  <si>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</si>
  <si>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</si>
  <si>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</si>
  <si>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</si>
  <si>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</si>
  <si>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</si>
  <si>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</si>
  <si>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</si>
  <si>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</si>
  <si>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</si>
  <si>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</si>
  <si>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</si>
  <si>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</si>
  <si>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</si>
  <si>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</si>
  <si>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</si>
  <si>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</si>
  <si>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</si>
  <si>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</si>
  <si>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</si>
  <si>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</si>
  <si>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</si>
  <si>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</si>
  <si>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</si>
  <si>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</si>
  <si>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</si>
  <si>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</si>
  <si>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</si>
  <si>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</si>
  <si>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</si>
  <si>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</si>
  <si>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</si>
  <si>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</si>
  <si>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</si>
  <si>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</si>
  <si>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</si>
  <si>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</si>
  <si>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</si>
  <si>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</si>
  <si>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データ更新日</t>
    <phoneticPr fontId="1" type="noConversion"/>
  </si>
  <si>
    <t>決済値</t>
    <phoneticPr fontId="1" type="noConversion"/>
  </si>
  <si>
    <t>手数料未チェック</t>
    <phoneticPr fontId="1" type="noConversion"/>
  </si>
  <si>
    <t>制度信用</t>
    <phoneticPr fontId="1" type="noConversion"/>
  </si>
  <si>
    <t>現物</t>
    <phoneticPr fontId="1" type="noConversion"/>
  </si>
  <si>
    <t>SYM_B_NAME</t>
  </si>
  <si>
    <t>マキタ</t>
  </si>
  <si>
    <t>エクセディ</t>
  </si>
  <si>
    <t>アルプスアルパイン</t>
  </si>
  <si>
    <t>三菱ＵＦＪフィナンシャル・グループ</t>
  </si>
  <si>
    <t>日本ペイントホールディングス</t>
  </si>
  <si>
    <t>コンコルディア・フィナンシャルグループ</t>
  </si>
  <si>
    <t>三井住友トラスト・ホールディングス</t>
  </si>
  <si>
    <t>東海カーボン</t>
  </si>
  <si>
    <t>ケーヒン</t>
  </si>
  <si>
    <t>日本電気硝子</t>
  </si>
  <si>
    <t>大和証券グループ本社</t>
  </si>
  <si>
    <t>川崎重工業</t>
  </si>
  <si>
    <t>りそなホールディングス</t>
  </si>
  <si>
    <t>ほくほくフィナンシャルグループ</t>
  </si>
  <si>
    <t>フジクラ</t>
  </si>
  <si>
    <t>アイシン精機</t>
  </si>
  <si>
    <t>ゆうちょ銀行</t>
  </si>
  <si>
    <t>大正製薬ホールディングス</t>
  </si>
  <si>
    <t>日産自動車</t>
  </si>
  <si>
    <t>三菱自動車工業</t>
  </si>
  <si>
    <t>大同特殊鋼</t>
  </si>
  <si>
    <t>堀場製作所</t>
  </si>
  <si>
    <t>東海理化電機製作所</t>
  </si>
  <si>
    <t>丸紅</t>
  </si>
  <si>
    <t>伊予銀行</t>
  </si>
  <si>
    <t>日本テレビホールディングス</t>
  </si>
  <si>
    <t>日本発條</t>
  </si>
  <si>
    <t>小松製作所</t>
  </si>
  <si>
    <t>ニコン</t>
  </si>
  <si>
    <t>スタンレー電気</t>
  </si>
  <si>
    <t>ヤマハ発動機</t>
  </si>
  <si>
    <t>イズミ</t>
  </si>
  <si>
    <t>住友電気工業</t>
  </si>
  <si>
    <t>宇部興産</t>
  </si>
  <si>
    <t>ＮＴＮ</t>
  </si>
  <si>
    <t>大阪瓦斯</t>
  </si>
  <si>
    <t>めぶきフィナンシャルグループ</t>
  </si>
  <si>
    <t>住友ゴム工業</t>
  </si>
  <si>
    <t>ニチアス</t>
  </si>
  <si>
    <t>椿本チエイン</t>
  </si>
  <si>
    <t>ジーエス・ユアサ　コーポレーション</t>
  </si>
  <si>
    <t>七十七銀行</t>
  </si>
  <si>
    <t>三菱瓦斯化学</t>
  </si>
  <si>
    <t>第一生命ホールディングス</t>
  </si>
  <si>
    <t>パナソニック</t>
  </si>
  <si>
    <t>ＤＩＣ</t>
  </si>
  <si>
    <t>塩野義製薬</t>
  </si>
  <si>
    <t>神戸製鋼所</t>
  </si>
  <si>
    <t>いすゞ自動車</t>
  </si>
  <si>
    <t>本田技研工業</t>
  </si>
  <si>
    <t>コニカミノルタ</t>
  </si>
  <si>
    <t>阪和興業</t>
  </si>
  <si>
    <t>日鉄物産</t>
  </si>
  <si>
    <t>ニッコンホールディングス</t>
  </si>
  <si>
    <t>ジェイ　エフ　イー　ホールディングス</t>
  </si>
  <si>
    <t>日本製鉄</t>
  </si>
  <si>
    <t>ダイセル</t>
  </si>
  <si>
    <t>第四北越フィナンシャルグループ</t>
  </si>
  <si>
    <t>エイチ・ツー・オー　リテイリング</t>
  </si>
  <si>
    <t>パイロットコーポレーション</t>
  </si>
  <si>
    <t>三井住友フィナンシャルグループ</t>
  </si>
  <si>
    <t>西日本フィナンシャルホールディングス</t>
  </si>
  <si>
    <t>ジェイテクト</t>
  </si>
  <si>
    <t>みずほフィナンシャルグループ</t>
  </si>
  <si>
    <t>アドバンテスト</t>
  </si>
  <si>
    <t>北陸電力</t>
  </si>
  <si>
    <t>住友化学</t>
  </si>
  <si>
    <t>スカパーＪＳＡＴホールディングス</t>
  </si>
  <si>
    <t>日本郵政</t>
  </si>
  <si>
    <t>かんぽ生命保険</t>
  </si>
  <si>
    <t>ＩＨＩ</t>
  </si>
  <si>
    <t>Ｔ＆Ｄホールディングス</t>
  </si>
  <si>
    <t>ＪＸＴＧホールディングス</t>
  </si>
  <si>
    <t>出光興産</t>
  </si>
  <si>
    <t>サンドラッグ</t>
  </si>
  <si>
    <t>日本特殊陶業</t>
  </si>
  <si>
    <t>キヤノン</t>
  </si>
  <si>
    <t>東京放送ホールディングス</t>
  </si>
  <si>
    <t>九電工</t>
  </si>
  <si>
    <t>マツダ</t>
  </si>
  <si>
    <t>日東電工</t>
  </si>
  <si>
    <t>日野自動車</t>
  </si>
  <si>
    <t>日立キャピタル</t>
  </si>
  <si>
    <t>コクヨ</t>
  </si>
  <si>
    <t>日立建機</t>
  </si>
  <si>
    <t>シチズン時計</t>
  </si>
  <si>
    <t>オムロン</t>
  </si>
  <si>
    <t>コスモエネルギーホールディングス</t>
  </si>
  <si>
    <t>ＡＤＥＫＡ</t>
  </si>
  <si>
    <t>アインホールディングス</t>
  </si>
  <si>
    <t>三菱商事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</si>
  <si>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</si>
  <si>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</si>
  <si>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</si>
  <si>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</si>
  <si>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</si>
  <si>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</si>
  <si>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</si>
  <si>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</si>
  <si>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</si>
  <si>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</si>
  <si>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</si>
  <si>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</si>
  <si>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</si>
  <si>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</si>
  <si>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</si>
  <si>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</si>
  <si>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</si>
  <si>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SIGMA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</si>
  <si>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</si>
  <si>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</si>
  <si>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</si>
  <si>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</si>
  <si>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</si>
  <si>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</si>
  <si>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</si>
  <si>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</si>
  <si>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</si>
  <si>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</si>
  <si>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</si>
  <si>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コーエーテクモホールディングス</t>
  </si>
  <si>
    <t>情報・通信業</t>
  </si>
  <si>
    <t>BUY</t>
  </si>
  <si>
    <t>化学</t>
  </si>
  <si>
    <t>SELL</t>
  </si>
  <si>
    <t>良品計画</t>
  </si>
  <si>
    <t>小売業</t>
  </si>
  <si>
    <t>銀行業</t>
  </si>
  <si>
    <t>その他金融業</t>
  </si>
  <si>
    <t>非鉄金属</t>
  </si>
  <si>
    <t>輸送用機器</t>
  </si>
  <si>
    <t>ガラス・土石製品</t>
  </si>
  <si>
    <t>機械</t>
  </si>
  <si>
    <t>電気機器</t>
  </si>
  <si>
    <t>金属製品</t>
  </si>
  <si>
    <t>トヨタ紡織</t>
  </si>
  <si>
    <t>三越伊勢丹ホールディングス</t>
  </si>
  <si>
    <t>ワコールホールディングス</t>
  </si>
  <si>
    <t>繊維製品</t>
  </si>
  <si>
    <t>ＡＧＣ</t>
  </si>
  <si>
    <t>クラレ</t>
  </si>
  <si>
    <t>鉄鋼</t>
  </si>
  <si>
    <t>デンカ</t>
  </si>
  <si>
    <t>東京瓦斯</t>
  </si>
  <si>
    <t>電気・ガス業</t>
  </si>
  <si>
    <t>証券、商品先物取引業</t>
  </si>
  <si>
    <t>精密機器</t>
  </si>
  <si>
    <t>住友林業</t>
  </si>
  <si>
    <t>建設業</t>
  </si>
  <si>
    <t>医薬品</t>
  </si>
  <si>
    <t>日本精工</t>
  </si>
  <si>
    <t>東洋インキＳＣホールディングス</t>
  </si>
  <si>
    <t>卸売業</t>
  </si>
  <si>
    <t>関電工</t>
  </si>
  <si>
    <t>日揮</t>
  </si>
  <si>
    <t>保険業</t>
  </si>
  <si>
    <t>日清紡ホールディングス</t>
  </si>
  <si>
    <t>あおぞら銀行</t>
  </si>
  <si>
    <t>カネカ</t>
  </si>
  <si>
    <t>ＴＨＫ</t>
  </si>
  <si>
    <t>その他製品</t>
  </si>
  <si>
    <t>九州フィナンシャルグループ</t>
  </si>
  <si>
    <t>マルハニチロ</t>
  </si>
  <si>
    <t>水産・農林業</t>
  </si>
  <si>
    <t>陸運業</t>
  </si>
  <si>
    <t>ゴム製品</t>
  </si>
  <si>
    <t>食料品</t>
  </si>
  <si>
    <t>ＳＡＮＫＹＯ</t>
  </si>
  <si>
    <t>西松建設</t>
  </si>
  <si>
    <t>イビデン</t>
  </si>
  <si>
    <t>戸田建設</t>
  </si>
  <si>
    <t>石油・石炭製品</t>
  </si>
  <si>
    <t>双日</t>
  </si>
  <si>
    <t>日本たばこ産業</t>
  </si>
  <si>
    <t>サービス業</t>
  </si>
  <si>
    <t>日本軽金属ホールディングス</t>
  </si>
  <si>
    <t>三菱ケミカルホールディングス</t>
  </si>
  <si>
    <t>きんでん</t>
  </si>
  <si>
    <t>丸一鋼管</t>
  </si>
  <si>
    <t>五洋建設</t>
  </si>
  <si>
    <t>東洋製罐グループホールディングス</t>
  </si>
  <si>
    <t>飯田グループホールディングス</t>
  </si>
  <si>
    <t>不動産業</t>
  </si>
  <si>
    <t>八十二銀行</t>
  </si>
  <si>
    <t>王子ホールディングス</t>
  </si>
  <si>
    <t>パルプ・紙</t>
  </si>
  <si>
    <t>太平洋セメント</t>
  </si>
  <si>
    <t>安川電機</t>
  </si>
  <si>
    <t>日本触媒</t>
  </si>
  <si>
    <t>アルフレッサ　ホールディングス</t>
  </si>
  <si>
    <t>宝ホールディングス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</si>
  <si>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</si>
  <si>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</si>
  <si>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</si>
  <si>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パナソニック</t>
    <phoneticPr fontId="1" type="noConversion"/>
  </si>
  <si>
    <t>新規約定日</t>
    <phoneticPr fontId="1" type="noConversion"/>
  </si>
  <si>
    <t>入力データパス</t>
    <phoneticPr fontId="1" type="noConversion"/>
  </si>
  <si>
    <t>資産残高の推移</t>
  </si>
  <si>
    <t>その他費用</t>
    <phoneticPr fontId="1" type="noConversion"/>
  </si>
  <si>
    <t>手数料+税</t>
    <phoneticPr fontId="1" type="noConversion"/>
  </si>
  <si>
    <t>Price</t>
    <phoneticPr fontId="1" type="noConversion"/>
  </si>
  <si>
    <t>SIGMA</t>
    <phoneticPr fontId="1" type="noConversion"/>
  </si>
  <si>
    <t>SIGMA</t>
    <phoneticPr fontId="1" type="noConversion"/>
  </si>
  <si>
    <t>離率</t>
    <phoneticPr fontId="1" type="noConversion"/>
  </si>
  <si>
    <t>Code</t>
    <phoneticPr fontId="1" type="noConversion"/>
  </si>
  <si>
    <t>Name</t>
    <phoneticPr fontId="1" type="noConversion"/>
  </si>
  <si>
    <t>Industy</t>
    <phoneticPr fontId="1" type="noConversion"/>
  </si>
  <si>
    <t>Lot</t>
    <phoneticPr fontId="1" type="noConversion"/>
  </si>
  <si>
    <t>Ratio</t>
    <phoneticPr fontId="1" type="noConversion"/>
  </si>
  <si>
    <t>Ratio</t>
    <phoneticPr fontId="1" type="noConversion"/>
  </si>
  <si>
    <t>銘柄１（売り銘柄）</t>
    <phoneticPr fontId="1" type="noConversion"/>
  </si>
  <si>
    <t>銘柄２（買い銘柄）</t>
    <phoneticPr fontId="1" type="noConversion"/>
  </si>
  <si>
    <t>Lot
Diff</t>
    <phoneticPr fontId="1" type="noConversion"/>
  </si>
  <si>
    <t>バックテスト</t>
    <phoneticPr fontId="1" type="noConversion"/>
  </si>
  <si>
    <t>Total
Profit</t>
    <phoneticPr fontId="1" type="noConversion"/>
  </si>
  <si>
    <r>
      <t xml:space="preserve">Times
</t>
    </r>
    <r>
      <rPr>
        <b/>
        <sz val="9"/>
        <color theme="1"/>
        <rFont val="FangSong"/>
        <family val="3"/>
      </rPr>
      <t xml:space="preserve">Profit/Total </t>
    </r>
    <phoneticPr fontId="1" type="noConversion"/>
  </si>
  <si>
    <t>勝率</t>
    <phoneticPr fontId="1" type="noConversion"/>
  </si>
  <si>
    <t>相関</t>
    <phoneticPr fontId="1" type="noConversion"/>
  </si>
  <si>
    <t>CORR
3M</t>
    <phoneticPr fontId="1" type="noConversion"/>
  </si>
  <si>
    <t>CORR
1Y</t>
    <phoneticPr fontId="1" type="noConversion"/>
  </si>
  <si>
    <t>COINT
3M</t>
    <phoneticPr fontId="1" type="noConversion"/>
  </si>
  <si>
    <t>COINT
1Y</t>
    <phoneticPr fontId="1" type="noConversion"/>
  </si>
  <si>
    <t>Open
Days</t>
    <phoneticPr fontId="1" type="noConversion"/>
  </si>
  <si>
    <t>シグマ</t>
    <phoneticPr fontId="1" type="noConversion"/>
  </si>
  <si>
    <t>Aver
Profit</t>
    <phoneticPr fontId="1" type="noConversion"/>
  </si>
  <si>
    <r>
      <t>Times
Loss</t>
    </r>
    <r>
      <rPr>
        <b/>
        <sz val="9"/>
        <color theme="1"/>
        <rFont val="FangSong"/>
        <family val="3"/>
      </rPr>
      <t>/Prof/Dayh</t>
    </r>
    <phoneticPr fontId="1" type="noConversion"/>
  </si>
  <si>
    <t>stop_profit_times</t>
  </si>
  <si>
    <t>stop_loss_times</t>
  </si>
  <si>
    <t>max_day_over_times</t>
  </si>
</sst>
</file>

<file path=xl/styles.xml><?xml version="1.0" encoding="utf-8"?>
<styleSheet xmlns="http://schemas.openxmlformats.org/spreadsheetml/2006/main">
  <numFmts count="6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</numFmts>
  <fonts count="15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color theme="1"/>
      <name val="Tahoma"/>
      <family val="2"/>
      <charset val="134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</fonts>
  <fills count="1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0" fillId="7" borderId="0" xfId="0" applyFill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80" fontId="8" fillId="10" borderId="1" xfId="0" applyNumberFormat="1" applyFont="1" applyFill="1" applyBorder="1"/>
    <xf numFmtId="11" fontId="0" fillId="0" borderId="0" xfId="0" applyNumberFormat="1"/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  <xf numFmtId="0" fontId="10" fillId="0" borderId="0" xfId="0" applyFont="1"/>
    <xf numFmtId="14" fontId="0" fillId="7" borderId="0" xfId="0" applyNumberFormat="1" applyFill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11" borderId="7" xfId="0" applyFont="1" applyFill="1" applyBorder="1"/>
    <xf numFmtId="0" fontId="11" fillId="11" borderId="8" xfId="0" applyFont="1" applyFill="1" applyBorder="1"/>
    <xf numFmtId="0" fontId="11" fillId="11" borderId="9" xfId="0" applyFont="1" applyFill="1" applyBorder="1"/>
    <xf numFmtId="0" fontId="7" fillId="7" borderId="7" xfId="0" applyFont="1" applyFill="1" applyBorder="1"/>
    <xf numFmtId="0" fontId="11" fillId="7" borderId="8" xfId="0" applyFont="1" applyFill="1" applyBorder="1"/>
    <xf numFmtId="0" fontId="11" fillId="7" borderId="9" xfId="0" applyFont="1" applyFill="1" applyBorder="1"/>
    <xf numFmtId="0" fontId="7" fillId="11" borderId="10" xfId="0" applyFont="1" applyFill="1" applyBorder="1" applyAlignment="1">
      <alignment vertical="center"/>
    </xf>
    <xf numFmtId="0" fontId="13" fillId="11" borderId="11" xfId="0" applyFont="1" applyFill="1" applyBorder="1" applyAlignment="1">
      <alignment vertical="center"/>
    </xf>
    <xf numFmtId="0" fontId="13" fillId="11" borderId="12" xfId="0" applyFont="1" applyFill="1" applyBorder="1" applyAlignment="1">
      <alignment vertical="center" wrapText="1"/>
    </xf>
    <xf numFmtId="0" fontId="13" fillId="7" borderId="10" xfId="0" applyFont="1" applyFill="1" applyBorder="1" applyAlignment="1">
      <alignment vertical="center"/>
    </xf>
    <xf numFmtId="0" fontId="13" fillId="7" borderId="11" xfId="0" applyFont="1" applyFill="1" applyBorder="1" applyAlignment="1">
      <alignment vertical="center"/>
    </xf>
    <xf numFmtId="0" fontId="13" fillId="7" borderId="12" xfId="0" applyFont="1" applyFill="1" applyBorder="1" applyAlignment="1">
      <alignment vertical="center"/>
    </xf>
    <xf numFmtId="0" fontId="7" fillId="13" borderId="7" xfId="0" applyFont="1" applyFill="1" applyBorder="1"/>
    <xf numFmtId="0" fontId="0" fillId="13" borderId="8" xfId="0" applyFill="1" applyBorder="1"/>
    <xf numFmtId="0" fontId="0" fillId="13" borderId="9" xfId="0" applyFill="1" applyBorder="1"/>
    <xf numFmtId="0" fontId="13" fillId="13" borderId="10" xfId="0" applyFont="1" applyFill="1" applyBorder="1" applyAlignment="1">
      <alignment vertical="center"/>
    </xf>
    <xf numFmtId="0" fontId="13" fillId="13" borderId="11" xfId="0" applyFont="1" applyFill="1" applyBorder="1" applyAlignment="1">
      <alignment vertical="center"/>
    </xf>
    <xf numFmtId="0" fontId="13" fillId="13" borderId="12" xfId="0" applyFont="1" applyFill="1" applyBorder="1" applyAlignment="1">
      <alignment vertical="center" wrapText="1"/>
    </xf>
    <xf numFmtId="0" fontId="12" fillId="12" borderId="7" xfId="0" applyFont="1" applyFill="1" applyBorder="1"/>
    <xf numFmtId="0" fontId="3" fillId="12" borderId="8" xfId="0" applyFont="1" applyFill="1" applyBorder="1"/>
    <xf numFmtId="0" fontId="0" fillId="12" borderId="8" xfId="0" applyFill="1" applyBorder="1"/>
    <xf numFmtId="0" fontId="0" fillId="12" borderId="9" xfId="0" applyFill="1" applyBorder="1"/>
    <xf numFmtId="0" fontId="13" fillId="12" borderId="10" xfId="0" applyFont="1" applyFill="1" applyBorder="1" applyAlignment="1">
      <alignment vertical="center" wrapText="1"/>
    </xf>
    <xf numFmtId="0" fontId="13" fillId="12" borderId="11" xfId="0" applyFont="1" applyFill="1" applyBorder="1" applyAlignment="1">
      <alignment vertical="center" wrapText="1"/>
    </xf>
    <xf numFmtId="0" fontId="13" fillId="12" borderId="12" xfId="0" applyFont="1" applyFill="1" applyBorder="1" applyAlignment="1">
      <alignment vertical="center" wrapText="1"/>
    </xf>
    <xf numFmtId="0" fontId="12" fillId="5" borderId="7" xfId="0" applyFont="1" applyFill="1" applyBorder="1"/>
    <xf numFmtId="0" fontId="14" fillId="5" borderId="8" xfId="0" applyFont="1" applyFill="1" applyBorder="1" applyAlignment="1">
      <alignment vertical="center" wrapText="1"/>
    </xf>
    <xf numFmtId="0" fontId="14" fillId="5" borderId="9" xfId="0" applyFont="1" applyFill="1" applyBorder="1" applyAlignment="1">
      <alignment vertical="center" wrapText="1"/>
    </xf>
    <xf numFmtId="0" fontId="14" fillId="5" borderId="10" xfId="0" applyFont="1" applyFill="1" applyBorder="1" applyAlignment="1">
      <alignment vertical="center" wrapText="1"/>
    </xf>
    <xf numFmtId="0" fontId="14" fillId="5" borderId="11" xfId="0" applyFont="1" applyFill="1" applyBorder="1" applyAlignment="1">
      <alignment vertical="center" wrapText="1"/>
    </xf>
    <xf numFmtId="0" fontId="14" fillId="5" borderId="12" xfId="0" applyFont="1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674"/>
          <c:y val="0.32811630502904993"/>
          <c:w val="0.65364151343754773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90317568"/>
        <c:axId val="90319104"/>
      </c:lineChart>
      <c:catAx>
        <c:axId val="90317568"/>
        <c:scaling>
          <c:orientation val="minMax"/>
        </c:scaling>
        <c:axPos val="b"/>
        <c:numFmt formatCode="General" sourceLinked="1"/>
        <c:tickLblPos val="nextTo"/>
        <c:crossAx val="90319104"/>
        <c:crosses val="autoZero"/>
        <c:auto val="1"/>
        <c:lblAlgn val="ctr"/>
        <c:lblOffset val="100"/>
      </c:catAx>
      <c:valAx>
        <c:axId val="90319104"/>
        <c:scaling>
          <c:orientation val="minMax"/>
        </c:scaling>
        <c:axPos val="l"/>
        <c:majorGridlines/>
        <c:numFmt formatCode="General" sourceLinked="1"/>
        <c:tickLblPos val="nextTo"/>
        <c:crossAx val="90317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B42" sqref="B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3"/>
  <sheetViews>
    <sheetView showGridLines="0" zoomScale="115" zoomScaleNormal="115" workbookViewId="0">
      <selection activeCell="P10" sqref="P10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0.3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3" t="s">
        <v>61</v>
      </c>
      <c r="D1" s="23"/>
      <c r="H1" s="1"/>
      <c r="I1" s="1" t="s">
        <v>76</v>
      </c>
      <c r="K1" s="35">
        <v>43749</v>
      </c>
      <c r="U1" s="23" t="s">
        <v>60</v>
      </c>
    </row>
    <row r="2" spans="2:24">
      <c r="R2">
        <f>SUM(R4:R96)</f>
        <v>73760.999999999971</v>
      </c>
    </row>
    <row r="3" spans="2:24">
      <c r="C3" s="20" t="s">
        <v>67</v>
      </c>
      <c r="D3" s="20" t="s">
        <v>62</v>
      </c>
      <c r="E3" s="44" t="s">
        <v>52</v>
      </c>
      <c r="F3" s="45"/>
      <c r="G3" s="45"/>
      <c r="H3" s="20" t="s">
        <v>55</v>
      </c>
      <c r="I3" s="20" t="s">
        <v>56</v>
      </c>
      <c r="J3" s="20" t="s">
        <v>57</v>
      </c>
      <c r="K3" s="20" t="s">
        <v>58</v>
      </c>
      <c r="L3" s="21" t="s">
        <v>53</v>
      </c>
      <c r="M3" s="20" t="s">
        <v>73</v>
      </c>
      <c r="N3" s="20" t="s">
        <v>74</v>
      </c>
      <c r="O3" s="20" t="s">
        <v>280</v>
      </c>
      <c r="P3" s="20" t="s">
        <v>281</v>
      </c>
      <c r="Q3" s="22" t="s">
        <v>51</v>
      </c>
      <c r="R3" s="22" t="s">
        <v>59</v>
      </c>
      <c r="S3" s="22" t="s">
        <v>54</v>
      </c>
      <c r="U3" s="20" t="s">
        <v>68</v>
      </c>
      <c r="V3" s="24" t="s">
        <v>63</v>
      </c>
      <c r="W3" s="24" t="s">
        <v>64</v>
      </c>
      <c r="X3" s="24" t="s">
        <v>65</v>
      </c>
    </row>
    <row r="4" spans="2:24">
      <c r="B4" s="1" t="s">
        <v>25</v>
      </c>
      <c r="C4" s="48">
        <f>ROW()/2-1</f>
        <v>1</v>
      </c>
      <c r="D4" s="28">
        <v>43742</v>
      </c>
      <c r="E4" s="26" t="s">
        <v>70</v>
      </c>
      <c r="F4" s="29">
        <v>8750</v>
      </c>
      <c r="G4" s="34" t="s">
        <v>125</v>
      </c>
      <c r="H4" s="38">
        <v>1635</v>
      </c>
      <c r="I4" s="30">
        <v>600</v>
      </c>
      <c r="J4" s="32">
        <f>H4*I4</f>
        <v>981000</v>
      </c>
      <c r="K4" s="26" t="s">
        <v>71</v>
      </c>
      <c r="L4" s="27">
        <v>1665</v>
      </c>
      <c r="M4" s="41">
        <f>360*2</f>
        <v>720</v>
      </c>
      <c r="N4" s="42">
        <v>162</v>
      </c>
      <c r="O4" s="42">
        <v>92</v>
      </c>
      <c r="P4" s="26">
        <f>(H4-L4)*I4-M4-N4-O4</f>
        <v>-18974</v>
      </c>
      <c r="Q4" s="33">
        <f>P4/J4</f>
        <v>-1.9341488277268094E-2</v>
      </c>
      <c r="R4" s="50">
        <f>P4+P5</f>
        <v>34420.000000000036</v>
      </c>
      <c r="S4" s="51">
        <f t="shared" ref="S4" si="0">R4/(J4+J5)</f>
        <v>1.7611615274724844E-2</v>
      </c>
      <c r="U4" s="52">
        <f ca="1">TODAY()</f>
        <v>43750</v>
      </c>
      <c r="V4" s="46">
        <f ca="1">DATEDIF(D4,U4,"d")</f>
        <v>8</v>
      </c>
      <c r="W4" s="46"/>
      <c r="X4" s="47" t="s">
        <v>66</v>
      </c>
    </row>
    <row r="5" spans="2:24">
      <c r="B5" s="1"/>
      <c r="C5" s="49"/>
      <c r="D5" s="28">
        <v>43742</v>
      </c>
      <c r="E5" s="26" t="s">
        <v>72</v>
      </c>
      <c r="F5" s="29">
        <v>8002</v>
      </c>
      <c r="G5" s="34" t="s">
        <v>105</v>
      </c>
      <c r="H5" s="38">
        <v>695.28</v>
      </c>
      <c r="I5" s="30">
        <v>1400</v>
      </c>
      <c r="J5" s="32">
        <f>H5*I5</f>
        <v>973392</v>
      </c>
      <c r="K5" s="34" t="s">
        <v>80</v>
      </c>
      <c r="L5" s="27">
        <v>734.5</v>
      </c>
      <c r="M5" s="41">
        <f>360*2</f>
        <v>720</v>
      </c>
      <c r="N5" s="42">
        <v>386</v>
      </c>
      <c r="O5" s="42">
        <v>408</v>
      </c>
      <c r="P5" s="26">
        <f>(L5-H5)*I5-M5-N5-O5</f>
        <v>53394.000000000036</v>
      </c>
      <c r="Q5" s="33">
        <f>P5/J5</f>
        <v>5.4853543074116121E-2</v>
      </c>
      <c r="R5" s="50"/>
      <c r="S5" s="50"/>
      <c r="U5" s="46"/>
      <c r="V5" s="46"/>
      <c r="W5" s="46"/>
      <c r="X5" s="46"/>
    </row>
    <row r="6" spans="2:24">
      <c r="B6" s="1" t="s">
        <v>25</v>
      </c>
      <c r="C6" s="48">
        <f>ROW()/2-1</f>
        <v>2</v>
      </c>
      <c r="D6" s="28">
        <v>43745</v>
      </c>
      <c r="E6" s="26" t="s">
        <v>70</v>
      </c>
      <c r="F6" s="29">
        <v>6770</v>
      </c>
      <c r="G6" s="34" t="s">
        <v>84</v>
      </c>
      <c r="H6" s="38">
        <v>2105</v>
      </c>
      <c r="I6" s="30">
        <v>400</v>
      </c>
      <c r="J6" s="32">
        <f>H6*I6</f>
        <v>842000</v>
      </c>
      <c r="K6" s="26" t="s">
        <v>71</v>
      </c>
      <c r="L6" s="27">
        <v>2110</v>
      </c>
      <c r="M6" s="36">
        <f>360*2</f>
        <v>720</v>
      </c>
      <c r="N6" s="37">
        <v>162</v>
      </c>
      <c r="O6" s="37">
        <v>92</v>
      </c>
      <c r="P6" s="26">
        <f>(H6-L6)*I6-M6-N6-O6</f>
        <v>-2974</v>
      </c>
      <c r="Q6" s="33">
        <f>P6/J6</f>
        <v>-3.5320665083135392E-3</v>
      </c>
      <c r="R6" s="50">
        <f>P6+P7</f>
        <v>4504.9999999999382</v>
      </c>
      <c r="S6" s="51">
        <f t="shared" ref="S6" si="1">R6/(J6+J7)</f>
        <v>2.6925309013493366E-3</v>
      </c>
      <c r="U6" s="52">
        <f ca="1">TODAY()</f>
        <v>43750</v>
      </c>
      <c r="V6" s="46">
        <f ca="1">DATEDIF(D6,U6,"d")</f>
        <v>5</v>
      </c>
      <c r="W6" s="46"/>
      <c r="X6" s="47" t="s">
        <v>66</v>
      </c>
    </row>
    <row r="7" spans="2:24">
      <c r="B7" s="1"/>
      <c r="C7" s="49"/>
      <c r="D7" s="28">
        <v>43745</v>
      </c>
      <c r="E7" s="26" t="s">
        <v>72</v>
      </c>
      <c r="F7" s="29">
        <v>8601</v>
      </c>
      <c r="G7" s="34" t="s">
        <v>92</v>
      </c>
      <c r="H7" s="38">
        <v>488.91</v>
      </c>
      <c r="I7" s="30">
        <v>1700</v>
      </c>
      <c r="J7" s="32">
        <f>H7*I7</f>
        <v>831147</v>
      </c>
      <c r="K7" s="34" t="s">
        <v>80</v>
      </c>
      <c r="L7" s="27">
        <v>494.2</v>
      </c>
      <c r="M7" s="36">
        <f>360*2</f>
        <v>720</v>
      </c>
      <c r="N7" s="37">
        <v>386</v>
      </c>
      <c r="O7" s="37">
        <v>408</v>
      </c>
      <c r="P7" s="26">
        <f>(L7-H7)*I7-M7-N7-O7</f>
        <v>7478.9999999999382</v>
      </c>
      <c r="Q7" s="33">
        <f>P7/J7</f>
        <v>8.9984082238159287E-3</v>
      </c>
      <c r="R7" s="50"/>
      <c r="S7" s="50"/>
      <c r="U7" s="46"/>
      <c r="V7" s="46"/>
      <c r="W7" s="46"/>
      <c r="X7" s="46"/>
    </row>
    <row r="8" spans="2:24">
      <c r="B8" s="1" t="s">
        <v>25</v>
      </c>
      <c r="C8" s="48">
        <f>ROW()/2-1</f>
        <v>3</v>
      </c>
      <c r="D8" s="28">
        <v>43745</v>
      </c>
      <c r="E8" s="26" t="s">
        <v>70</v>
      </c>
      <c r="F8" s="29">
        <v>5803</v>
      </c>
      <c r="G8" s="34" t="s">
        <v>96</v>
      </c>
      <c r="H8" s="38">
        <v>413</v>
      </c>
      <c r="I8" s="30">
        <v>1700</v>
      </c>
      <c r="J8" s="32">
        <f>H8*I8</f>
        <v>702100</v>
      </c>
      <c r="K8" s="26" t="s">
        <v>71</v>
      </c>
      <c r="L8" s="27">
        <v>436</v>
      </c>
      <c r="M8" s="36">
        <f>360*2</f>
        <v>720</v>
      </c>
      <c r="N8" s="37">
        <v>162</v>
      </c>
      <c r="O8" s="37">
        <v>92</v>
      </c>
      <c r="P8" s="26">
        <f>(H8-L8)*I8-M8-N8-O8</f>
        <v>-40074</v>
      </c>
      <c r="Q8" s="33">
        <f>P8/J8</f>
        <v>-5.7077339410340405E-2</v>
      </c>
      <c r="R8" s="50">
        <f>P8+P9</f>
        <v>-19588</v>
      </c>
      <c r="S8" s="51">
        <f>R8/(J8+J9)</f>
        <v>-1.4172635844005499E-2</v>
      </c>
      <c r="U8" s="52">
        <f ca="1">TODAY()</f>
        <v>43750</v>
      </c>
      <c r="V8" s="46">
        <f ca="1">DATEDIF(D8,U8,"d")</f>
        <v>5</v>
      </c>
      <c r="W8" s="46"/>
      <c r="X8" s="47" t="s">
        <v>66</v>
      </c>
    </row>
    <row r="9" spans="2:24">
      <c r="B9" s="1"/>
      <c r="C9" s="49"/>
      <c r="D9" s="28">
        <v>43745</v>
      </c>
      <c r="E9" s="26" t="s">
        <v>72</v>
      </c>
      <c r="F9" s="29">
        <v>7259</v>
      </c>
      <c r="G9" s="34" t="s">
        <v>97</v>
      </c>
      <c r="H9" s="38">
        <v>3400</v>
      </c>
      <c r="I9" s="30">
        <v>200</v>
      </c>
      <c r="J9" s="32">
        <f>H9*I9</f>
        <v>680000</v>
      </c>
      <c r="K9" s="34" t="s">
        <v>80</v>
      </c>
      <c r="L9" s="27">
        <v>3510</v>
      </c>
      <c r="M9" s="36">
        <f>360*2</f>
        <v>720</v>
      </c>
      <c r="N9" s="37">
        <v>386</v>
      </c>
      <c r="O9" s="37">
        <v>408</v>
      </c>
      <c r="P9" s="26">
        <f>(L9-H9)*I9-M9-N9-O9</f>
        <v>20486</v>
      </c>
      <c r="Q9" s="33">
        <f>P9/J9</f>
        <v>3.0126470588235293E-2</v>
      </c>
      <c r="R9" s="50"/>
      <c r="S9" s="50"/>
      <c r="U9" s="46"/>
      <c r="V9" s="46"/>
      <c r="W9" s="46"/>
      <c r="X9" s="46"/>
    </row>
    <row r="10" spans="2:24">
      <c r="B10" s="1" t="s">
        <v>25</v>
      </c>
      <c r="C10" s="48">
        <f>ROW()/2-1</f>
        <v>4</v>
      </c>
      <c r="D10" s="28">
        <v>43747</v>
      </c>
      <c r="E10" s="26" t="s">
        <v>70</v>
      </c>
      <c r="F10" s="29">
        <v>3099</v>
      </c>
      <c r="G10" s="34" t="s">
        <v>218</v>
      </c>
      <c r="H10" s="38">
        <v>872</v>
      </c>
      <c r="I10" s="30">
        <v>1200</v>
      </c>
      <c r="J10" s="32">
        <f>H10*I10</f>
        <v>1046400</v>
      </c>
      <c r="K10" s="26" t="s">
        <v>71</v>
      </c>
      <c r="L10" s="27">
        <v>861</v>
      </c>
      <c r="M10" s="36">
        <f>360*2</f>
        <v>720</v>
      </c>
      <c r="N10" s="37">
        <v>162</v>
      </c>
      <c r="O10" s="37">
        <v>92</v>
      </c>
      <c r="P10" s="26">
        <f>(H10-L10)*I10-M10-N10-O10</f>
        <v>12226</v>
      </c>
      <c r="Q10" s="33">
        <f>P10/J10</f>
        <v>1.1683868501529053E-2</v>
      </c>
      <c r="R10" s="50">
        <f>P10+P11</f>
        <v>52512</v>
      </c>
      <c r="S10" s="51">
        <f t="shared" ref="S10" si="2">R10/(J10+J11)</f>
        <v>2.5675728535106589E-2</v>
      </c>
      <c r="U10" s="52">
        <f ca="1">TODAY()</f>
        <v>43750</v>
      </c>
      <c r="V10" s="46">
        <f ca="1">DATEDIF(D10,U10,"d")</f>
        <v>3</v>
      </c>
      <c r="W10" s="46"/>
      <c r="X10" s="47" t="s">
        <v>66</v>
      </c>
    </row>
    <row r="11" spans="2:24">
      <c r="B11" s="1"/>
      <c r="C11" s="49"/>
      <c r="D11" s="28">
        <v>43747</v>
      </c>
      <c r="E11" s="26" t="s">
        <v>72</v>
      </c>
      <c r="F11" s="29">
        <v>7211</v>
      </c>
      <c r="G11" s="34" t="s">
        <v>101</v>
      </c>
      <c r="H11" s="38">
        <v>454</v>
      </c>
      <c r="I11" s="30">
        <v>2200</v>
      </c>
      <c r="J11" s="32">
        <f>H11*I11</f>
        <v>998800</v>
      </c>
      <c r="K11" s="26" t="s">
        <v>71</v>
      </c>
      <c r="L11" s="27">
        <v>473</v>
      </c>
      <c r="M11" s="36">
        <f>360*2</f>
        <v>720</v>
      </c>
      <c r="N11" s="37">
        <v>386</v>
      </c>
      <c r="O11" s="37">
        <v>408</v>
      </c>
      <c r="P11" s="26">
        <f>(L11-H11)*I11-M11-N11-O11</f>
        <v>40286</v>
      </c>
      <c r="Q11" s="33">
        <f>P11/J11</f>
        <v>4.0334401281537847E-2</v>
      </c>
      <c r="R11" s="50"/>
      <c r="S11" s="50"/>
      <c r="U11" s="46"/>
      <c r="V11" s="46"/>
      <c r="W11" s="46"/>
      <c r="X11" s="46"/>
    </row>
    <row r="12" spans="2:24">
      <c r="B12" s="1" t="s">
        <v>25</v>
      </c>
      <c r="C12" s="48">
        <f>ROW()/2-1</f>
        <v>5</v>
      </c>
      <c r="D12" s="28">
        <v>43748</v>
      </c>
      <c r="E12" s="26" t="s">
        <v>70</v>
      </c>
      <c r="F12" s="29">
        <v>7186</v>
      </c>
      <c r="G12" s="34" t="s">
        <v>87</v>
      </c>
      <c r="H12" s="38">
        <v>410</v>
      </c>
      <c r="I12" s="30">
        <v>1800</v>
      </c>
      <c r="J12" s="32">
        <f>H12*I12</f>
        <v>738000</v>
      </c>
      <c r="K12" s="26" t="s">
        <v>71</v>
      </c>
      <c r="L12" s="27">
        <v>410</v>
      </c>
      <c r="M12" s="41">
        <f>360*2</f>
        <v>720</v>
      </c>
      <c r="N12" s="42">
        <v>162</v>
      </c>
      <c r="O12" s="42">
        <v>92</v>
      </c>
      <c r="P12" s="26">
        <f>(H12-L12)*I12-M12-N12-O12</f>
        <v>-974</v>
      </c>
      <c r="Q12" s="33">
        <f>P12/J12</f>
        <v>-1.3197831978319784E-3</v>
      </c>
      <c r="R12" s="50">
        <f>P12+P13</f>
        <v>1912</v>
      </c>
      <c r="S12" s="51">
        <f t="shared" ref="S12" si="3">R12/(J12+J13)</f>
        <v>1.2903225806451613E-3</v>
      </c>
      <c r="U12" s="52">
        <f ca="1">TODAY()</f>
        <v>43750</v>
      </c>
      <c r="V12" s="46">
        <f ca="1">DATEDIF(D12,U12,"d")</f>
        <v>2</v>
      </c>
      <c r="W12" s="46"/>
      <c r="X12" s="47" t="s">
        <v>66</v>
      </c>
    </row>
    <row r="13" spans="2:24">
      <c r="B13" s="1"/>
      <c r="C13" s="49"/>
      <c r="D13" s="28">
        <v>43748</v>
      </c>
      <c r="E13" s="26" t="s">
        <v>72</v>
      </c>
      <c r="F13" s="29">
        <v>8309</v>
      </c>
      <c r="G13" s="34" t="s">
        <v>88</v>
      </c>
      <c r="H13" s="38">
        <v>3719</v>
      </c>
      <c r="I13" s="30">
        <v>200</v>
      </c>
      <c r="J13" s="32">
        <f>H13*I13</f>
        <v>743800</v>
      </c>
      <c r="K13" s="26" t="s">
        <v>71</v>
      </c>
      <c r="L13" s="27">
        <v>3741</v>
      </c>
      <c r="M13" s="41">
        <f>360*2</f>
        <v>720</v>
      </c>
      <c r="N13" s="42">
        <v>386</v>
      </c>
      <c r="O13" s="42">
        <v>408</v>
      </c>
      <c r="P13" s="26">
        <f>(L13-H13)*I13-M13-N13-O13</f>
        <v>2886</v>
      </c>
      <c r="Q13" s="33">
        <f>P13/J13</f>
        <v>3.880075289056198E-3</v>
      </c>
      <c r="R13" s="50"/>
      <c r="S13" s="50"/>
      <c r="U13" s="46"/>
      <c r="V13" s="46"/>
      <c r="W13" s="46"/>
      <c r="X13" s="46"/>
    </row>
  </sheetData>
  <mergeCells count="36">
    <mergeCell ref="W12:W13"/>
    <mergeCell ref="X12:X13"/>
    <mergeCell ref="C12:C13"/>
    <mergeCell ref="R12:R13"/>
    <mergeCell ref="S12:S13"/>
    <mergeCell ref="U12:U13"/>
    <mergeCell ref="V12:V13"/>
    <mergeCell ref="W8:W9"/>
    <mergeCell ref="X8:X9"/>
    <mergeCell ref="C10:C11"/>
    <mergeCell ref="R10:R11"/>
    <mergeCell ref="S10:S11"/>
    <mergeCell ref="U10:U11"/>
    <mergeCell ref="V10:V11"/>
    <mergeCell ref="W10:W11"/>
    <mergeCell ref="X10:X11"/>
    <mergeCell ref="C8:C9"/>
    <mergeCell ref="R8:R9"/>
    <mergeCell ref="S8:S9"/>
    <mergeCell ref="U8:U9"/>
    <mergeCell ref="V8:V9"/>
    <mergeCell ref="W4:W5"/>
    <mergeCell ref="X4:X5"/>
    <mergeCell ref="C6:C7"/>
    <mergeCell ref="R6:R7"/>
    <mergeCell ref="S6:S7"/>
    <mergeCell ref="U6:U7"/>
    <mergeCell ref="V6:V7"/>
    <mergeCell ref="W6:W7"/>
    <mergeCell ref="X6:X7"/>
    <mergeCell ref="C4:C5"/>
    <mergeCell ref="R4:R5"/>
    <mergeCell ref="S4:S5"/>
    <mergeCell ref="U4:U5"/>
    <mergeCell ref="V4:V5"/>
    <mergeCell ref="E3:G3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2"/>
  <dimension ref="B1:X13"/>
  <sheetViews>
    <sheetView showGridLines="0" topLeftCell="C1" zoomScale="115" zoomScaleNormal="115" workbookViewId="0">
      <selection activeCell="L25" sqref="L25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0.3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3" t="s">
        <v>61</v>
      </c>
      <c r="D1" s="23"/>
      <c r="H1" s="1"/>
      <c r="I1" s="1" t="s">
        <v>76</v>
      </c>
      <c r="K1" s="35">
        <v>43746</v>
      </c>
      <c r="U1" s="23" t="s">
        <v>60</v>
      </c>
    </row>
    <row r="2" spans="2:24">
      <c r="R2">
        <f>SUM(R4:R98)</f>
        <v>61671.000000000102</v>
      </c>
    </row>
    <row r="3" spans="2:24">
      <c r="C3" s="20" t="s">
        <v>67</v>
      </c>
      <c r="D3" s="20" t="s">
        <v>62</v>
      </c>
      <c r="E3" s="44" t="s">
        <v>52</v>
      </c>
      <c r="F3" s="45"/>
      <c r="G3" s="45"/>
      <c r="H3" s="20" t="s">
        <v>55</v>
      </c>
      <c r="I3" s="20" t="s">
        <v>56</v>
      </c>
      <c r="J3" s="20" t="s">
        <v>57</v>
      </c>
      <c r="K3" s="20" t="s">
        <v>58</v>
      </c>
      <c r="L3" s="21" t="s">
        <v>53</v>
      </c>
      <c r="M3" s="20" t="s">
        <v>73</v>
      </c>
      <c r="N3" s="20" t="s">
        <v>74</v>
      </c>
      <c r="O3" s="20" t="s">
        <v>280</v>
      </c>
      <c r="P3" s="20" t="s">
        <v>281</v>
      </c>
      <c r="Q3" s="22" t="s">
        <v>51</v>
      </c>
      <c r="R3" s="22" t="s">
        <v>59</v>
      </c>
      <c r="S3" s="22" t="s">
        <v>54</v>
      </c>
      <c r="U3" s="20" t="s">
        <v>68</v>
      </c>
      <c r="V3" s="43" t="s">
        <v>63</v>
      </c>
      <c r="W3" s="43" t="s">
        <v>64</v>
      </c>
      <c r="X3" s="43" t="s">
        <v>65</v>
      </c>
    </row>
    <row r="4" spans="2:24">
      <c r="B4" s="1" t="s">
        <v>25</v>
      </c>
      <c r="C4" s="48">
        <f>ROW()/2-1</f>
        <v>1</v>
      </c>
      <c r="D4" s="28">
        <v>43732</v>
      </c>
      <c r="E4" s="26" t="s">
        <v>70</v>
      </c>
      <c r="F4" s="29">
        <v>6305</v>
      </c>
      <c r="G4" s="34" t="s">
        <v>166</v>
      </c>
      <c r="H4" s="38">
        <v>2638</v>
      </c>
      <c r="I4" s="30">
        <v>300</v>
      </c>
      <c r="J4" s="32">
        <f t="shared" ref="J4:J13" si="0">H4*I4</f>
        <v>791400</v>
      </c>
      <c r="K4" s="26" t="s">
        <v>71</v>
      </c>
      <c r="L4" s="27">
        <v>2481</v>
      </c>
      <c r="M4" s="41">
        <f t="shared" ref="M4:M13" si="1">360*2</f>
        <v>720</v>
      </c>
      <c r="N4" s="42">
        <v>162</v>
      </c>
      <c r="O4" s="42">
        <v>92</v>
      </c>
      <c r="P4" s="26">
        <f>(H4-L4)*I4-M4-N4-O4</f>
        <v>46126</v>
      </c>
      <c r="Q4" s="33">
        <f t="shared" ref="Q4:Q13" si="2">P4/J4</f>
        <v>5.8284053575941366E-2</v>
      </c>
      <c r="R4" s="50">
        <f>P4+P5</f>
        <v>38612</v>
      </c>
      <c r="S4" s="51">
        <f>R4/(J4+J5)</f>
        <v>2.4455000316676166E-2</v>
      </c>
      <c r="U4" s="52">
        <f ca="1">TODAY()</f>
        <v>43750</v>
      </c>
      <c r="V4" s="46">
        <f ca="1">DATEDIF(D4,U4,"d")</f>
        <v>18</v>
      </c>
      <c r="W4" s="46"/>
      <c r="X4" s="47" t="s">
        <v>66</v>
      </c>
    </row>
    <row r="5" spans="2:24">
      <c r="B5" s="1"/>
      <c r="C5" s="49"/>
      <c r="D5" s="28">
        <v>43732</v>
      </c>
      <c r="E5" s="26" t="s">
        <v>72</v>
      </c>
      <c r="F5" s="29">
        <v>3861</v>
      </c>
      <c r="G5" s="34" t="s">
        <v>266</v>
      </c>
      <c r="H5" s="38">
        <v>525</v>
      </c>
      <c r="I5" s="30">
        <v>1500</v>
      </c>
      <c r="J5" s="32">
        <f t="shared" si="0"/>
        <v>787500</v>
      </c>
      <c r="K5" s="26" t="s">
        <v>71</v>
      </c>
      <c r="L5" s="27">
        <v>521</v>
      </c>
      <c r="M5" s="41">
        <f t="shared" si="1"/>
        <v>720</v>
      </c>
      <c r="N5" s="42">
        <v>386</v>
      </c>
      <c r="O5" s="42">
        <v>408</v>
      </c>
      <c r="P5" s="26">
        <f>(L5-H5)*I5-M5-N5-O5</f>
        <v>-7514</v>
      </c>
      <c r="Q5" s="33">
        <f t="shared" si="2"/>
        <v>-9.541587301587301E-3</v>
      </c>
      <c r="R5" s="50"/>
      <c r="S5" s="50"/>
      <c r="U5" s="46"/>
      <c r="V5" s="46"/>
      <c r="W5" s="46"/>
      <c r="X5" s="46"/>
    </row>
    <row r="6" spans="2:24">
      <c r="B6" s="1" t="s">
        <v>25</v>
      </c>
      <c r="C6" s="48">
        <f>ROW()/2-1</f>
        <v>2</v>
      </c>
      <c r="D6" s="28">
        <v>43742</v>
      </c>
      <c r="E6" s="26" t="s">
        <v>70</v>
      </c>
      <c r="F6" s="29">
        <v>8750</v>
      </c>
      <c r="G6" s="34" t="s">
        <v>125</v>
      </c>
      <c r="H6" s="38">
        <v>1635</v>
      </c>
      <c r="I6" s="30">
        <v>600</v>
      </c>
      <c r="J6" s="32">
        <f t="shared" si="0"/>
        <v>981000</v>
      </c>
      <c r="K6" s="34" t="s">
        <v>79</v>
      </c>
      <c r="L6" s="27">
        <v>1655</v>
      </c>
      <c r="M6" s="41">
        <f t="shared" si="1"/>
        <v>720</v>
      </c>
      <c r="N6" s="42">
        <v>162</v>
      </c>
      <c r="O6" s="42">
        <v>92</v>
      </c>
      <c r="P6" s="26">
        <f>(H6-L6)*I6-M6-N6-O6</f>
        <v>-12974</v>
      </c>
      <c r="Q6" s="33">
        <f t="shared" si="2"/>
        <v>-1.3225280326197757E-2</v>
      </c>
      <c r="R6" s="50">
        <f>P6+P7</f>
        <v>23900.000000000102</v>
      </c>
      <c r="S6" s="51">
        <f t="shared" ref="S6" si="3">R6/(J6+J7)</f>
        <v>1.2228867085006541E-2</v>
      </c>
      <c r="U6" s="52">
        <f ca="1">TODAY()</f>
        <v>43750</v>
      </c>
      <c r="V6" s="46">
        <f ca="1">DATEDIF(D6,U6,"d")</f>
        <v>8</v>
      </c>
      <c r="W6" s="46"/>
      <c r="X6" s="47" t="s">
        <v>66</v>
      </c>
    </row>
    <row r="7" spans="2:24">
      <c r="B7" s="1"/>
      <c r="C7" s="49"/>
      <c r="D7" s="28">
        <v>43742</v>
      </c>
      <c r="E7" s="26" t="s">
        <v>72</v>
      </c>
      <c r="F7" s="29">
        <v>8002</v>
      </c>
      <c r="G7" s="34" t="s">
        <v>105</v>
      </c>
      <c r="H7" s="38">
        <v>695.28</v>
      </c>
      <c r="I7" s="30">
        <v>1400</v>
      </c>
      <c r="J7" s="32">
        <f t="shared" si="0"/>
        <v>973392</v>
      </c>
      <c r="K7" s="34" t="s">
        <v>80</v>
      </c>
      <c r="L7" s="27">
        <v>722.7</v>
      </c>
      <c r="M7" s="41">
        <f t="shared" si="1"/>
        <v>720</v>
      </c>
      <c r="N7" s="42">
        <v>386</v>
      </c>
      <c r="O7" s="42">
        <v>408</v>
      </c>
      <c r="P7" s="26">
        <f>(L7-H7)*I7-M7-N7-O7</f>
        <v>36874.000000000102</v>
      </c>
      <c r="Q7" s="33">
        <f t="shared" si="2"/>
        <v>3.7881963278925755E-2</v>
      </c>
      <c r="R7" s="50"/>
      <c r="S7" s="50"/>
      <c r="U7" s="46"/>
      <c r="V7" s="46"/>
      <c r="W7" s="46"/>
      <c r="X7" s="46"/>
    </row>
    <row r="8" spans="2:24">
      <c r="B8" s="1" t="s">
        <v>25</v>
      </c>
      <c r="C8" s="48">
        <f>ROW()/2-1</f>
        <v>3</v>
      </c>
      <c r="D8" s="28">
        <v>43745</v>
      </c>
      <c r="E8" s="26" t="s">
        <v>70</v>
      </c>
      <c r="F8" s="29">
        <v>6770</v>
      </c>
      <c r="G8" s="34" t="s">
        <v>84</v>
      </c>
      <c r="H8" s="38">
        <v>2105</v>
      </c>
      <c r="I8" s="30">
        <v>400</v>
      </c>
      <c r="J8" s="32">
        <f t="shared" si="0"/>
        <v>842000</v>
      </c>
      <c r="K8" s="26" t="s">
        <v>71</v>
      </c>
      <c r="L8" s="27">
        <v>2046</v>
      </c>
      <c r="M8" s="41">
        <f t="shared" si="1"/>
        <v>720</v>
      </c>
      <c r="N8" s="42">
        <v>162</v>
      </c>
      <c r="O8" s="42">
        <v>92</v>
      </c>
      <c r="P8" s="26">
        <f>(H8-L8)*I8-M8-N8-O8</f>
        <v>22626</v>
      </c>
      <c r="Q8" s="33">
        <f t="shared" si="2"/>
        <v>2.6871733966745845E-2</v>
      </c>
      <c r="R8" s="50">
        <f>P8+P9</f>
        <v>18034.999999999996</v>
      </c>
      <c r="S8" s="51">
        <f t="shared" ref="S8" si="4">R8/(J8+J9)</f>
        <v>1.0779088747133394E-2</v>
      </c>
      <c r="U8" s="52">
        <f ca="1">TODAY()</f>
        <v>43750</v>
      </c>
      <c r="V8" s="46">
        <f ca="1">DATEDIF(D8,U8,"d")</f>
        <v>5</v>
      </c>
      <c r="W8" s="46"/>
      <c r="X8" s="47" t="s">
        <v>66</v>
      </c>
    </row>
    <row r="9" spans="2:24">
      <c r="B9" s="1"/>
      <c r="C9" s="49"/>
      <c r="D9" s="28">
        <v>43745</v>
      </c>
      <c r="E9" s="26" t="s">
        <v>72</v>
      </c>
      <c r="F9" s="29">
        <v>8601</v>
      </c>
      <c r="G9" s="34" t="s">
        <v>92</v>
      </c>
      <c r="H9" s="38">
        <v>488.91</v>
      </c>
      <c r="I9" s="30">
        <v>1700</v>
      </c>
      <c r="J9" s="32">
        <f t="shared" si="0"/>
        <v>831147</v>
      </c>
      <c r="K9" s="34" t="s">
        <v>80</v>
      </c>
      <c r="L9" s="27">
        <v>487.1</v>
      </c>
      <c r="M9" s="41">
        <f t="shared" si="1"/>
        <v>720</v>
      </c>
      <c r="N9" s="42">
        <v>386</v>
      </c>
      <c r="O9" s="42">
        <v>408</v>
      </c>
      <c r="P9" s="26">
        <f>(L9-H9)*I9-M9-N9-O9</f>
        <v>-4591.0000000000036</v>
      </c>
      <c r="Q9" s="33">
        <f t="shared" si="2"/>
        <v>-5.5236919582215948E-3</v>
      </c>
      <c r="R9" s="50"/>
      <c r="S9" s="50"/>
      <c r="U9" s="46"/>
      <c r="V9" s="46"/>
      <c r="W9" s="46"/>
      <c r="X9" s="46"/>
    </row>
    <row r="10" spans="2:24">
      <c r="B10" s="1" t="s">
        <v>25</v>
      </c>
      <c r="C10" s="48">
        <f>ROW()/2-1</f>
        <v>4</v>
      </c>
      <c r="D10" s="28">
        <v>43745</v>
      </c>
      <c r="E10" s="26" t="s">
        <v>70</v>
      </c>
      <c r="F10" s="29">
        <v>5803</v>
      </c>
      <c r="G10" s="34" t="s">
        <v>96</v>
      </c>
      <c r="H10" s="38">
        <v>413</v>
      </c>
      <c r="I10" s="30">
        <v>1700</v>
      </c>
      <c r="J10" s="32">
        <f t="shared" si="0"/>
        <v>702100</v>
      </c>
      <c r="K10" s="26" t="s">
        <v>71</v>
      </c>
      <c r="L10" s="27">
        <v>420</v>
      </c>
      <c r="M10" s="41">
        <f t="shared" si="1"/>
        <v>720</v>
      </c>
      <c r="N10" s="42">
        <v>162</v>
      </c>
      <c r="O10" s="42">
        <v>92</v>
      </c>
      <c r="P10" s="26">
        <f>(H10-L10)*I10-M10-N10-O10</f>
        <v>-12874</v>
      </c>
      <c r="Q10" s="33">
        <f t="shared" si="2"/>
        <v>-1.8336419313488107E-2</v>
      </c>
      <c r="R10" s="50">
        <f>P10+P11</f>
        <v>-16388</v>
      </c>
      <c r="S10" s="51">
        <f t="shared" ref="S10" si="5">R10/(J10+J11)</f>
        <v>-1.1857318573185732E-2</v>
      </c>
      <c r="U10" s="52">
        <f ca="1">TODAY()</f>
        <v>43750</v>
      </c>
      <c r="V10" s="46">
        <f ca="1">DATEDIF(D10,U10,"d")</f>
        <v>5</v>
      </c>
      <c r="W10" s="46"/>
      <c r="X10" s="47" t="s">
        <v>66</v>
      </c>
    </row>
    <row r="11" spans="2:24">
      <c r="B11" s="1"/>
      <c r="C11" s="49"/>
      <c r="D11" s="28">
        <v>43745</v>
      </c>
      <c r="E11" s="26" t="s">
        <v>72</v>
      </c>
      <c r="F11" s="29">
        <v>7259</v>
      </c>
      <c r="G11" s="34" t="s">
        <v>97</v>
      </c>
      <c r="H11" s="38">
        <v>3400</v>
      </c>
      <c r="I11" s="30">
        <v>200</v>
      </c>
      <c r="J11" s="32">
        <f t="shared" si="0"/>
        <v>680000</v>
      </c>
      <c r="K11" s="34" t="s">
        <v>80</v>
      </c>
      <c r="L11" s="27">
        <v>3390</v>
      </c>
      <c r="M11" s="41">
        <f t="shared" si="1"/>
        <v>720</v>
      </c>
      <c r="N11" s="42">
        <v>386</v>
      </c>
      <c r="O11" s="42">
        <v>408</v>
      </c>
      <c r="P11" s="26">
        <f>(L11-H11)*I11-M11-N11-O11</f>
        <v>-3514</v>
      </c>
      <c r="Q11" s="33">
        <f t="shared" si="2"/>
        <v>-5.1676470588235294E-3</v>
      </c>
      <c r="R11" s="50"/>
      <c r="S11" s="50"/>
      <c r="U11" s="46"/>
      <c r="V11" s="46"/>
      <c r="W11" s="46"/>
      <c r="X11" s="46"/>
    </row>
    <row r="12" spans="2:24">
      <c r="B12" s="1" t="s">
        <v>25</v>
      </c>
      <c r="C12" s="48">
        <f>ROW()/2-1</f>
        <v>5</v>
      </c>
      <c r="D12" s="28">
        <v>43746</v>
      </c>
      <c r="E12" s="26" t="s">
        <v>70</v>
      </c>
      <c r="F12" s="29">
        <v>3099</v>
      </c>
      <c r="G12" s="34" t="s">
        <v>218</v>
      </c>
      <c r="H12" s="38"/>
      <c r="I12" s="30">
        <v>1200</v>
      </c>
      <c r="J12" s="32">
        <f t="shared" si="0"/>
        <v>0</v>
      </c>
      <c r="K12" s="26" t="s">
        <v>71</v>
      </c>
      <c r="L12" s="27"/>
      <c r="M12" s="41">
        <f t="shared" si="1"/>
        <v>720</v>
      </c>
      <c r="N12" s="42">
        <v>162</v>
      </c>
      <c r="O12" s="42">
        <v>92</v>
      </c>
      <c r="P12" s="26">
        <f>(H12-L12)*I12-M12-N12-O12</f>
        <v>-974</v>
      </c>
      <c r="Q12" s="33" t="e">
        <f t="shared" si="2"/>
        <v>#DIV/0!</v>
      </c>
      <c r="R12" s="50">
        <f>P12+P13</f>
        <v>-2488</v>
      </c>
      <c r="S12" s="51" t="e">
        <f t="shared" ref="S12" si="6">R12/(J12+J13)</f>
        <v>#DIV/0!</v>
      </c>
      <c r="U12" s="52">
        <f ca="1">TODAY()</f>
        <v>43750</v>
      </c>
      <c r="V12" s="46">
        <f ca="1">DATEDIF(D12,U12,"d")</f>
        <v>4</v>
      </c>
      <c r="W12" s="46"/>
      <c r="X12" s="47" t="s">
        <v>66</v>
      </c>
    </row>
    <row r="13" spans="2:24">
      <c r="B13" s="1"/>
      <c r="C13" s="49"/>
      <c r="D13" s="28">
        <v>43746</v>
      </c>
      <c r="E13" s="26" t="s">
        <v>72</v>
      </c>
      <c r="F13" s="29">
        <v>7211</v>
      </c>
      <c r="G13" s="34" t="s">
        <v>101</v>
      </c>
      <c r="H13" s="38"/>
      <c r="I13" s="30">
        <v>2200</v>
      </c>
      <c r="J13" s="32">
        <f t="shared" si="0"/>
        <v>0</v>
      </c>
      <c r="K13" s="26" t="s">
        <v>71</v>
      </c>
      <c r="L13" s="27"/>
      <c r="M13" s="41">
        <f t="shared" si="1"/>
        <v>720</v>
      </c>
      <c r="N13" s="42">
        <v>386</v>
      </c>
      <c r="O13" s="42">
        <v>408</v>
      </c>
      <c r="P13" s="26">
        <f>(L13-H13)*I13-M13-N13-O13</f>
        <v>-1514</v>
      </c>
      <c r="Q13" s="33" t="e">
        <f t="shared" si="2"/>
        <v>#DIV/0!</v>
      </c>
      <c r="R13" s="50"/>
      <c r="S13" s="50"/>
      <c r="U13" s="46"/>
      <c r="V13" s="46"/>
      <c r="W13" s="46"/>
      <c r="X13" s="46"/>
    </row>
  </sheetData>
  <mergeCells count="36">
    <mergeCell ref="X12:X13"/>
    <mergeCell ref="C12:C13"/>
    <mergeCell ref="R12:R13"/>
    <mergeCell ref="S12:S13"/>
    <mergeCell ref="U12:U13"/>
    <mergeCell ref="V12:V13"/>
    <mergeCell ref="W12:W13"/>
    <mergeCell ref="X8:X9"/>
    <mergeCell ref="C10:C11"/>
    <mergeCell ref="R10:R11"/>
    <mergeCell ref="S10:S11"/>
    <mergeCell ref="U10:U11"/>
    <mergeCell ref="V10:V11"/>
    <mergeCell ref="W10:W11"/>
    <mergeCell ref="X10:X11"/>
    <mergeCell ref="C8:C9"/>
    <mergeCell ref="R8:R9"/>
    <mergeCell ref="S8:S9"/>
    <mergeCell ref="U8:U9"/>
    <mergeCell ref="V8:V9"/>
    <mergeCell ref="W8:W9"/>
    <mergeCell ref="W4:W5"/>
    <mergeCell ref="X4:X5"/>
    <mergeCell ref="C6:C7"/>
    <mergeCell ref="R6:R7"/>
    <mergeCell ref="S6:S7"/>
    <mergeCell ref="U6:U7"/>
    <mergeCell ref="V6:V7"/>
    <mergeCell ref="W6:W7"/>
    <mergeCell ref="X6:X7"/>
    <mergeCell ref="E3:G3"/>
    <mergeCell ref="C4:C5"/>
    <mergeCell ref="R4:R5"/>
    <mergeCell ref="S4:S5"/>
    <mergeCell ref="U4:U5"/>
    <mergeCell ref="V4:V5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B34" sqref="B34"/>
    </sheetView>
  </sheetViews>
  <sheetFormatPr defaultRowHeight="14.25"/>
  <sheetData>
    <row r="27" spans="1:1">
      <c r="A27" s="57" t="s">
        <v>279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B1:X11"/>
  <sheetViews>
    <sheetView showGridLines="0" zoomScaleNormal="100" workbookViewId="0">
      <selection activeCell="E16" sqref="E16"/>
    </sheetView>
  </sheetViews>
  <sheetFormatPr defaultRowHeight="14.25"/>
  <cols>
    <col min="1" max="1" width="2.125" customWidth="1"/>
    <col min="2" max="2" width="4.25" customWidth="1"/>
    <col min="3" max="3" width="8.125" customWidth="1"/>
    <col min="4" max="4" width="12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</cols>
  <sheetData>
    <row r="1" spans="2:24" ht="37.5" customHeight="1">
      <c r="R1">
        <f>SUM(R3:R97)</f>
        <v>39244</v>
      </c>
    </row>
    <row r="2" spans="2:24">
      <c r="B2" s="20" t="s">
        <v>67</v>
      </c>
      <c r="C2" s="20"/>
      <c r="D2" s="20" t="s">
        <v>277</v>
      </c>
      <c r="E2" s="44" t="s">
        <v>52</v>
      </c>
      <c r="F2" s="45"/>
      <c r="G2" s="45"/>
      <c r="H2" s="20" t="s">
        <v>55</v>
      </c>
      <c r="I2" s="20" t="s">
        <v>56</v>
      </c>
      <c r="J2" s="20" t="s">
        <v>57</v>
      </c>
      <c r="K2" s="20" t="s">
        <v>58</v>
      </c>
      <c r="L2" s="21" t="s">
        <v>77</v>
      </c>
      <c r="M2" s="20" t="s">
        <v>73</v>
      </c>
      <c r="N2" s="20" t="s">
        <v>74</v>
      </c>
      <c r="O2" s="20" t="s">
        <v>75</v>
      </c>
      <c r="P2" s="20" t="s">
        <v>73</v>
      </c>
      <c r="Q2" s="22" t="s">
        <v>51</v>
      </c>
      <c r="R2" s="22" t="s">
        <v>59</v>
      </c>
      <c r="S2" s="22" t="s">
        <v>54</v>
      </c>
    </row>
    <row r="3" spans="2:24">
      <c r="B3" s="46">
        <v>1</v>
      </c>
      <c r="C3" s="40"/>
      <c r="D3" s="28">
        <v>43726</v>
      </c>
      <c r="E3" s="26" t="s">
        <v>70</v>
      </c>
      <c r="F3" s="29">
        <v>6472</v>
      </c>
      <c r="G3" s="26" t="s">
        <v>69</v>
      </c>
      <c r="H3" s="27">
        <v>320</v>
      </c>
      <c r="I3" s="30">
        <v>1200</v>
      </c>
      <c r="J3" s="32">
        <f>H3*I3</f>
        <v>384000</v>
      </c>
      <c r="K3" s="26" t="s">
        <v>71</v>
      </c>
      <c r="L3" s="37">
        <v>313</v>
      </c>
      <c r="M3" s="36">
        <f>180*2</f>
        <v>360</v>
      </c>
      <c r="N3" s="37">
        <v>162</v>
      </c>
      <c r="O3" s="37">
        <v>92</v>
      </c>
      <c r="P3" s="26">
        <f>(H3-L3)*I3-M3-N3-O3</f>
        <v>7786</v>
      </c>
      <c r="Q3" s="33">
        <f>P3/J3</f>
        <v>2.0276041666666668E-2</v>
      </c>
      <c r="R3" s="50">
        <f>P3+P4</f>
        <v>32</v>
      </c>
      <c r="S3" s="51">
        <f>R3/(J3+J4)</f>
        <v>4.308255694975497E-5</v>
      </c>
    </row>
    <row r="4" spans="2:24">
      <c r="B4" s="46"/>
      <c r="C4" s="40"/>
      <c r="D4" s="28"/>
      <c r="E4" s="26" t="s">
        <v>72</v>
      </c>
      <c r="F4" s="29">
        <v>6752</v>
      </c>
      <c r="G4" s="34" t="s">
        <v>276</v>
      </c>
      <c r="H4" s="27">
        <v>896.9</v>
      </c>
      <c r="I4" s="30">
        <v>400</v>
      </c>
      <c r="J4" s="32">
        <f>H4*I4</f>
        <v>358760</v>
      </c>
      <c r="K4" s="26" t="s">
        <v>71</v>
      </c>
      <c r="L4" s="37">
        <v>880.4</v>
      </c>
      <c r="M4" s="36">
        <f>180*2</f>
        <v>360</v>
      </c>
      <c r="N4" s="37">
        <v>386</v>
      </c>
      <c r="O4" s="37">
        <v>408</v>
      </c>
      <c r="P4" s="26">
        <f>(L4-H4)*I4-M4-N4-O4</f>
        <v>-7754</v>
      </c>
      <c r="Q4" s="33">
        <f>P4/J4</f>
        <v>-2.1613334819935333E-2</v>
      </c>
      <c r="R4" s="50"/>
      <c r="S4" s="50"/>
      <c r="T4" s="1" t="s">
        <v>78</v>
      </c>
      <c r="V4">
        <v>15</v>
      </c>
    </row>
    <row r="10" spans="2:24">
      <c r="B10" s="1" t="s">
        <v>25</v>
      </c>
      <c r="C10" s="48">
        <v>2</v>
      </c>
      <c r="D10" s="28">
        <v>43732</v>
      </c>
      <c r="E10" s="26" t="s">
        <v>70</v>
      </c>
      <c r="F10" s="29">
        <v>6305</v>
      </c>
      <c r="G10" s="34" t="s">
        <v>166</v>
      </c>
      <c r="H10" s="38">
        <v>2638</v>
      </c>
      <c r="I10" s="30">
        <v>300</v>
      </c>
      <c r="J10" s="32">
        <f>H10*I10</f>
        <v>791400</v>
      </c>
      <c r="K10" s="26" t="s">
        <v>71</v>
      </c>
      <c r="L10" s="27">
        <v>2464</v>
      </c>
      <c r="M10" s="25">
        <f>360*2</f>
        <v>720</v>
      </c>
      <c r="N10" s="31">
        <v>162</v>
      </c>
      <c r="O10" s="31">
        <v>92</v>
      </c>
      <c r="P10" s="26">
        <f>(H10-L10)*I10-M10-N10-O10</f>
        <v>51226</v>
      </c>
      <c r="Q10" s="33">
        <f>P10/J10</f>
        <v>6.4728329542582771E-2</v>
      </c>
      <c r="R10" s="50">
        <f>P10+P11</f>
        <v>39212</v>
      </c>
      <c r="S10" s="51">
        <f>R10/(J10+J11)</f>
        <v>2.4835011717018178E-2</v>
      </c>
      <c r="U10" s="52">
        <f ca="1">TODAY()</f>
        <v>43750</v>
      </c>
      <c r="V10" s="46">
        <f ca="1">DATEDIF(D10,U10,"d")</f>
        <v>18</v>
      </c>
      <c r="W10" s="46"/>
      <c r="X10" s="47" t="s">
        <v>66</v>
      </c>
    </row>
    <row r="11" spans="2:24">
      <c r="B11" s="1"/>
      <c r="C11" s="49"/>
      <c r="D11" s="28">
        <v>43748</v>
      </c>
      <c r="E11" s="26" t="s">
        <v>72</v>
      </c>
      <c r="F11" s="29">
        <v>3861</v>
      </c>
      <c r="G11" s="34" t="s">
        <v>266</v>
      </c>
      <c r="H11" s="38">
        <v>525</v>
      </c>
      <c r="I11" s="30">
        <v>1500</v>
      </c>
      <c r="J11" s="32">
        <f>H11*I11</f>
        <v>787500</v>
      </c>
      <c r="K11" s="26" t="s">
        <v>71</v>
      </c>
      <c r="L11" s="27">
        <v>518</v>
      </c>
      <c r="M11" s="25">
        <f>360*2</f>
        <v>720</v>
      </c>
      <c r="N11" s="31">
        <v>386</v>
      </c>
      <c r="O11" s="31">
        <v>408</v>
      </c>
      <c r="P11" s="26">
        <f>(L11-H11)*I11-M11-N11-O11</f>
        <v>-12014</v>
      </c>
      <c r="Q11" s="33">
        <f>P11/J11</f>
        <v>-1.5255873015873016E-2</v>
      </c>
      <c r="R11" s="50"/>
      <c r="S11" s="50"/>
      <c r="U11" s="46"/>
      <c r="V11" s="46"/>
      <c r="W11" s="46"/>
      <c r="X11" s="46"/>
    </row>
  </sheetData>
  <mergeCells count="11">
    <mergeCell ref="X10:X11"/>
    <mergeCell ref="C10:C11"/>
    <mergeCell ref="R10:R11"/>
    <mergeCell ref="S10:S11"/>
    <mergeCell ref="U10:U11"/>
    <mergeCell ref="V10:V11"/>
    <mergeCell ref="E2:G2"/>
    <mergeCell ref="B3:B4"/>
    <mergeCell ref="R3:R4"/>
    <mergeCell ref="S3:S4"/>
    <mergeCell ref="W10:W11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42" sqref="B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tabSelected="1" topLeftCell="D1" zoomScale="115" zoomScaleNormal="115" workbookViewId="0">
      <selection activeCell="I24" sqref="I24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278</v>
      </c>
      <c r="C17" s="53" t="s">
        <v>274</v>
      </c>
      <c r="D17" s="54"/>
      <c r="E17" s="55"/>
      <c r="F17" s="55"/>
    </row>
    <row r="18" spans="2:7">
      <c r="B18" s="4" t="s">
        <v>273</v>
      </c>
      <c r="C18" s="53" t="s">
        <v>275</v>
      </c>
      <c r="D18" s="54"/>
      <c r="E18" s="55"/>
      <c r="F18" s="55"/>
      <c r="G18" s="55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Z4"/>
  <sheetViews>
    <sheetView showGridLines="0" zoomScaleNormal="100" workbookViewId="0">
      <selection activeCell="E8" sqref="E8"/>
    </sheetView>
  </sheetViews>
  <sheetFormatPr defaultRowHeight="14.25"/>
  <cols>
    <col min="1" max="1" width="5.625" customWidth="1"/>
    <col min="3" max="3" width="10.875" customWidth="1"/>
    <col min="4" max="4" width="10.25" customWidth="1"/>
    <col min="5" max="5" width="9.125" customWidth="1"/>
    <col min="6" max="6" width="9.375" customWidth="1"/>
    <col min="7" max="7" width="6" customWidth="1"/>
    <col min="8" max="8" width="8.375" customWidth="1"/>
    <col min="9" max="9" width="10.625" customWidth="1"/>
    <col min="10" max="10" width="12.5" customWidth="1"/>
    <col min="11" max="11" width="7.5" customWidth="1"/>
    <col min="12" max="12" width="8" customWidth="1"/>
    <col min="13" max="13" width="6.75" customWidth="1"/>
    <col min="14" max="14" width="7.625" customWidth="1"/>
    <col min="15" max="15" width="6.75" customWidth="1"/>
    <col min="16" max="16" width="7.375" customWidth="1"/>
    <col min="17" max="17" width="8.5" customWidth="1"/>
    <col min="18" max="18" width="9" customWidth="1"/>
    <col min="19" max="19" width="11.375" customWidth="1"/>
    <col min="20" max="20" width="13.25" customWidth="1"/>
    <col min="21" max="21" width="6.5" customWidth="1"/>
    <col min="22" max="22" width="9.75" customWidth="1"/>
    <col min="23" max="23" width="7.5" customWidth="1"/>
    <col min="24" max="24" width="6.875" customWidth="1"/>
    <col min="25" max="25" width="6.375" customWidth="1"/>
    <col min="26" max="26" width="7" customWidth="1"/>
  </cols>
  <sheetData>
    <row r="1" spans="1:26" ht="15" thickBot="1"/>
    <row r="2" spans="1:26">
      <c r="B2" s="61" t="s">
        <v>292</v>
      </c>
      <c r="C2" s="62"/>
      <c r="D2" s="62"/>
      <c r="E2" s="62"/>
      <c r="F2" s="62"/>
      <c r="G2" s="63"/>
      <c r="H2" s="64" t="s">
        <v>293</v>
      </c>
      <c r="I2" s="65"/>
      <c r="J2" s="65"/>
      <c r="K2" s="65"/>
      <c r="L2" s="65"/>
      <c r="M2" s="66"/>
      <c r="N2" s="73" t="s">
        <v>305</v>
      </c>
      <c r="O2" s="74"/>
      <c r="P2" s="75"/>
      <c r="Q2" s="79" t="s">
        <v>295</v>
      </c>
      <c r="R2" s="80"/>
      <c r="S2" s="81"/>
      <c r="T2" s="81"/>
      <c r="U2" s="81"/>
      <c r="V2" s="82"/>
      <c r="W2" s="86" t="s">
        <v>299</v>
      </c>
      <c r="X2" s="87"/>
      <c r="Y2" s="87"/>
      <c r="Z2" s="88"/>
    </row>
    <row r="3" spans="1:26" s="60" customFormat="1" ht="28.5" customHeight="1" thickBot="1">
      <c r="A3" s="59"/>
      <c r="B3" s="67" t="s">
        <v>286</v>
      </c>
      <c r="C3" s="68" t="s">
        <v>287</v>
      </c>
      <c r="D3" s="68" t="s">
        <v>288</v>
      </c>
      <c r="E3" s="68" t="s">
        <v>282</v>
      </c>
      <c r="F3" s="68" t="s">
        <v>289</v>
      </c>
      <c r="G3" s="69" t="s">
        <v>290</v>
      </c>
      <c r="H3" s="70" t="s">
        <v>286</v>
      </c>
      <c r="I3" s="71" t="s">
        <v>287</v>
      </c>
      <c r="J3" s="71" t="s">
        <v>288</v>
      </c>
      <c r="K3" s="71" t="s">
        <v>282</v>
      </c>
      <c r="L3" s="71" t="s">
        <v>289</v>
      </c>
      <c r="M3" s="72" t="s">
        <v>291</v>
      </c>
      <c r="N3" s="76" t="s">
        <v>284</v>
      </c>
      <c r="O3" s="77" t="s">
        <v>285</v>
      </c>
      <c r="P3" s="78" t="s">
        <v>294</v>
      </c>
      <c r="Q3" s="83" t="s">
        <v>296</v>
      </c>
      <c r="R3" s="84" t="s">
        <v>306</v>
      </c>
      <c r="S3" s="84" t="s">
        <v>297</v>
      </c>
      <c r="T3" s="84" t="s">
        <v>307</v>
      </c>
      <c r="U3" s="84" t="s">
        <v>298</v>
      </c>
      <c r="V3" s="85" t="s">
        <v>304</v>
      </c>
      <c r="W3" s="89" t="s">
        <v>300</v>
      </c>
      <c r="X3" s="90" t="s">
        <v>301</v>
      </c>
      <c r="Y3" s="90" t="s">
        <v>302</v>
      </c>
      <c r="Z3" s="91" t="s">
        <v>303</v>
      </c>
    </row>
    <row r="4" spans="1:26">
      <c r="A4" s="1" t="s">
        <v>25</v>
      </c>
      <c r="B4">
        <v>8804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C37" sqref="C37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5" t="s">
        <v>26</v>
      </c>
      <c r="G1" s="15" t="s">
        <v>35</v>
      </c>
      <c r="H1" s="15" t="s">
        <v>36</v>
      </c>
      <c r="I1" s="15" t="s">
        <v>27</v>
      </c>
      <c r="J1" s="15" t="s">
        <v>12</v>
      </c>
    </row>
    <row r="2" spans="3:11">
      <c r="C2" s="56" t="s">
        <v>29</v>
      </c>
      <c r="D2" s="55"/>
      <c r="E2">
        <v>8804</v>
      </c>
      <c r="G2" s="1" t="s">
        <v>37</v>
      </c>
    </row>
    <row r="3" spans="3:11">
      <c r="C3" s="56" t="s">
        <v>40</v>
      </c>
      <c r="D3" s="55"/>
      <c r="E3">
        <v>5711</v>
      </c>
    </row>
    <row r="4" spans="3:11">
      <c r="C4" s="56" t="s">
        <v>30</v>
      </c>
      <c r="D4" s="55"/>
    </row>
    <row r="5" spans="3:11">
      <c r="C5" s="56" t="s">
        <v>31</v>
      </c>
      <c r="D5" s="55"/>
    </row>
    <row r="6" spans="3:11">
      <c r="C6" s="56" t="s">
        <v>33</v>
      </c>
      <c r="D6" s="55"/>
    </row>
    <row r="7" spans="3:11">
      <c r="C7" s="56" t="s">
        <v>32</v>
      </c>
      <c r="D7" s="55"/>
    </row>
    <row r="8" spans="3:11">
      <c r="C8" s="56" t="s">
        <v>34</v>
      </c>
      <c r="D8" s="55"/>
      <c r="K8" s="1" t="s">
        <v>46</v>
      </c>
    </row>
    <row r="9" spans="3:11">
      <c r="C9" s="56" t="s">
        <v>22</v>
      </c>
      <c r="D9" s="55"/>
      <c r="K9" s="1" t="s">
        <v>47</v>
      </c>
    </row>
    <row r="10" spans="3:11">
      <c r="C10" s="56" t="s">
        <v>9</v>
      </c>
      <c r="D10" s="55"/>
      <c r="K10" s="1" t="s">
        <v>48</v>
      </c>
    </row>
    <row r="11" spans="3:11">
      <c r="K11" s="1" t="s">
        <v>28</v>
      </c>
    </row>
    <row r="16" spans="3:11">
      <c r="C16" s="16" t="s">
        <v>38</v>
      </c>
      <c r="D16" s="16" t="s">
        <v>39</v>
      </c>
      <c r="E16" s="1"/>
    </row>
    <row r="17" spans="2:8">
      <c r="C17">
        <v>333</v>
      </c>
      <c r="D17">
        <v>222</v>
      </c>
    </row>
    <row r="18" spans="2:8">
      <c r="B18" s="3"/>
      <c r="C18" s="17" t="s">
        <v>41</v>
      </c>
      <c r="D18" s="17" t="s">
        <v>42</v>
      </c>
      <c r="E18" s="17" t="s">
        <v>43</v>
      </c>
      <c r="F18" s="17" t="s">
        <v>44</v>
      </c>
      <c r="G18" s="17" t="s">
        <v>45</v>
      </c>
      <c r="H18" s="17" t="s">
        <v>0</v>
      </c>
    </row>
    <row r="19" spans="2:8">
      <c r="B19" s="18">
        <v>43737</v>
      </c>
      <c r="C19" s="3"/>
      <c r="D19" s="3"/>
      <c r="E19" s="3"/>
      <c r="F19" s="3"/>
      <c r="G19" s="3"/>
      <c r="H19" s="3"/>
    </row>
    <row r="20" spans="2:8">
      <c r="B20" s="18">
        <v>43737</v>
      </c>
      <c r="C20" s="3"/>
      <c r="D20" s="3"/>
      <c r="E20" s="3"/>
      <c r="F20" s="3"/>
      <c r="G20" s="3"/>
      <c r="H20" s="3"/>
    </row>
    <row r="21" spans="2:8">
      <c r="B21" s="19"/>
      <c r="C21" s="3"/>
      <c r="D21" s="3"/>
      <c r="E21" s="3"/>
      <c r="F21" s="3"/>
      <c r="G21" s="3"/>
      <c r="H21" s="3"/>
    </row>
    <row r="22" spans="2:8">
      <c r="B22" s="19"/>
      <c r="C22" s="3"/>
      <c r="D22" s="3"/>
      <c r="E22" s="3"/>
      <c r="F22" s="3"/>
      <c r="G22" s="3"/>
      <c r="H22" s="3"/>
    </row>
    <row r="23" spans="2:8">
      <c r="B23" s="19"/>
      <c r="C23" s="3"/>
      <c r="D23" s="3"/>
      <c r="E23" s="3"/>
      <c r="F23" s="3"/>
      <c r="G23" s="3"/>
      <c r="H23" s="3"/>
    </row>
    <row r="24" spans="2:8">
      <c r="B24" s="19"/>
      <c r="C24" s="3"/>
      <c r="D24" s="3"/>
      <c r="E24" s="3"/>
      <c r="F24" s="3"/>
      <c r="G24" s="3"/>
      <c r="H24" s="3"/>
    </row>
    <row r="25" spans="2:8">
      <c r="B25" s="19"/>
      <c r="C25" s="3"/>
      <c r="D25" s="3"/>
      <c r="E25" s="3"/>
      <c r="F25" s="3"/>
      <c r="G25" s="3"/>
      <c r="H25" s="3"/>
    </row>
    <row r="26" spans="2:8">
      <c r="B26" s="19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I34" sqref="I34"/>
    </sheetView>
  </sheetViews>
  <sheetFormatPr defaultRowHeight="14.25"/>
  <sheetData>
    <row r="1" spans="1:1">
      <c r="A1" s="1" t="s">
        <v>49</v>
      </c>
    </row>
    <row r="2" spans="1:1">
      <c r="A2" s="1" t="s">
        <v>50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207"/>
  <sheetViews>
    <sheetView workbookViewId="0">
      <selection activeCell="G33" sqref="G33"/>
    </sheetView>
  </sheetViews>
  <sheetFormatPr defaultRowHeight="14.25"/>
  <sheetData>
    <row r="1" spans="1:34"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81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308</v>
      </c>
      <c r="AG1" t="s">
        <v>309</v>
      </c>
      <c r="AH1" t="s">
        <v>310</v>
      </c>
    </row>
    <row r="2" spans="1:34">
      <c r="A2">
        <v>118</v>
      </c>
      <c r="B2">
        <v>4182</v>
      </c>
      <c r="C2" t="s">
        <v>124</v>
      </c>
      <c r="D2" t="s">
        <v>205</v>
      </c>
      <c r="E2">
        <v>1489</v>
      </c>
      <c r="F2">
        <v>1498</v>
      </c>
      <c r="G2">
        <v>500</v>
      </c>
      <c r="H2" t="s">
        <v>206</v>
      </c>
      <c r="I2">
        <v>8309</v>
      </c>
      <c r="J2" t="s">
        <v>88</v>
      </c>
      <c r="K2" t="s">
        <v>209</v>
      </c>
      <c r="L2">
        <v>3719</v>
      </c>
      <c r="M2">
        <v>3741</v>
      </c>
      <c r="N2">
        <v>200</v>
      </c>
      <c r="O2" t="s">
        <v>204</v>
      </c>
      <c r="P2">
        <v>0.92702735503239497</v>
      </c>
      <c r="Q2">
        <v>0.90253965626893196</v>
      </c>
      <c r="R2">
        <v>1.1520103416494801E-2</v>
      </c>
      <c r="S2">
        <v>0.17247221194392201</v>
      </c>
      <c r="T2">
        <v>3.3340243178530402</v>
      </c>
      <c r="U2">
        <v>3.3340243178530402</v>
      </c>
      <c r="V2">
        <v>8.6199999999999992</v>
      </c>
      <c r="W2">
        <v>0.11</v>
      </c>
      <c r="X2">
        <v>-265784</v>
      </c>
      <c r="Y2">
        <v>-15634</v>
      </c>
      <c r="Z2">
        <v>-0.85</v>
      </c>
      <c r="AA2">
        <v>17</v>
      </c>
      <c r="AB2">
        <v>7</v>
      </c>
      <c r="AC2">
        <v>10</v>
      </c>
      <c r="AD2">
        <v>41.18</v>
      </c>
      <c r="AE2">
        <v>11</v>
      </c>
      <c r="AF2">
        <v>3</v>
      </c>
      <c r="AG2">
        <v>7</v>
      </c>
      <c r="AH2">
        <v>7</v>
      </c>
    </row>
    <row r="3" spans="1:34">
      <c r="A3">
        <v>185</v>
      </c>
      <c r="B3">
        <v>7453</v>
      </c>
      <c r="C3" t="s">
        <v>207</v>
      </c>
      <c r="D3" t="s">
        <v>208</v>
      </c>
      <c r="E3">
        <v>2030</v>
      </c>
      <c r="F3">
        <v>2101</v>
      </c>
      <c r="G3">
        <v>500</v>
      </c>
      <c r="H3" t="s">
        <v>206</v>
      </c>
      <c r="I3">
        <v>8308</v>
      </c>
      <c r="J3" t="s">
        <v>94</v>
      </c>
      <c r="K3" t="s">
        <v>209</v>
      </c>
      <c r="L3">
        <v>447</v>
      </c>
      <c r="M3">
        <v>448.8</v>
      </c>
      <c r="N3">
        <v>2300</v>
      </c>
      <c r="O3" t="s">
        <v>204</v>
      </c>
      <c r="P3">
        <v>0.90726564463305703</v>
      </c>
      <c r="Q3">
        <v>0.90378171958988596</v>
      </c>
      <c r="R3">
        <v>3.30353688584362E-3</v>
      </c>
      <c r="S3">
        <v>0.34924408453655997</v>
      </c>
      <c r="T3">
        <v>2.9515686612896901</v>
      </c>
      <c r="U3">
        <v>2.9515686612896901</v>
      </c>
      <c r="V3">
        <v>6.23</v>
      </c>
      <c r="W3">
        <v>1.74</v>
      </c>
      <c r="X3">
        <v>378202</v>
      </c>
      <c r="Y3">
        <v>19905</v>
      </c>
      <c r="Z3">
        <v>1.08</v>
      </c>
      <c r="AA3">
        <v>19</v>
      </c>
      <c r="AB3">
        <v>12</v>
      </c>
      <c r="AC3">
        <v>7</v>
      </c>
      <c r="AD3">
        <v>63.16</v>
      </c>
      <c r="AE3">
        <v>11</v>
      </c>
      <c r="AF3">
        <v>10</v>
      </c>
      <c r="AG3">
        <v>4</v>
      </c>
      <c r="AH3">
        <v>5</v>
      </c>
    </row>
    <row r="4" spans="1:34">
      <c r="A4">
        <v>2</v>
      </c>
      <c r="B4">
        <v>5802</v>
      </c>
      <c r="C4" t="s">
        <v>114</v>
      </c>
      <c r="D4" t="s">
        <v>211</v>
      </c>
      <c r="E4">
        <v>1372</v>
      </c>
      <c r="F4">
        <v>1385</v>
      </c>
      <c r="G4">
        <v>500</v>
      </c>
      <c r="H4" t="s">
        <v>206</v>
      </c>
      <c r="I4">
        <v>8309</v>
      </c>
      <c r="J4" t="s">
        <v>88</v>
      </c>
      <c r="K4" t="s">
        <v>209</v>
      </c>
      <c r="L4">
        <v>3719</v>
      </c>
      <c r="M4">
        <v>3741</v>
      </c>
      <c r="N4">
        <v>200</v>
      </c>
      <c r="O4" t="s">
        <v>204</v>
      </c>
      <c r="P4">
        <v>0.97234950482066096</v>
      </c>
      <c r="Q4">
        <v>0.90002159947613503</v>
      </c>
      <c r="R4">
        <v>2.9765024339302002E-3</v>
      </c>
      <c r="S4">
        <v>0.33122626843018399</v>
      </c>
      <c r="T4">
        <v>2.9270842190036799</v>
      </c>
      <c r="U4">
        <v>2.9270842190036799</v>
      </c>
      <c r="V4">
        <v>3.79</v>
      </c>
      <c r="W4">
        <v>7.44</v>
      </c>
      <c r="X4">
        <v>44582</v>
      </c>
      <c r="Y4">
        <v>2972</v>
      </c>
      <c r="Z4">
        <v>0.21</v>
      </c>
      <c r="AA4">
        <v>15</v>
      </c>
      <c r="AB4">
        <v>8</v>
      </c>
      <c r="AC4">
        <v>7</v>
      </c>
      <c r="AD4">
        <v>53.33</v>
      </c>
      <c r="AE4">
        <v>16</v>
      </c>
      <c r="AF4">
        <v>3</v>
      </c>
      <c r="AG4">
        <v>3</v>
      </c>
      <c r="AH4">
        <v>9</v>
      </c>
    </row>
    <row r="5" spans="1:34">
      <c r="A5">
        <v>183</v>
      </c>
      <c r="B5">
        <v>4188</v>
      </c>
      <c r="C5" t="s">
        <v>258</v>
      </c>
      <c r="D5" t="s">
        <v>205</v>
      </c>
      <c r="E5">
        <v>790</v>
      </c>
      <c r="F5">
        <v>812.5</v>
      </c>
      <c r="G5">
        <v>1300</v>
      </c>
      <c r="H5" t="s">
        <v>206</v>
      </c>
      <c r="I5">
        <v>8411</v>
      </c>
      <c r="J5" t="s">
        <v>145</v>
      </c>
      <c r="K5" t="s">
        <v>209</v>
      </c>
      <c r="L5">
        <v>162</v>
      </c>
      <c r="M5">
        <v>162.1</v>
      </c>
      <c r="N5">
        <v>6500</v>
      </c>
      <c r="O5" t="s">
        <v>204</v>
      </c>
      <c r="P5">
        <v>0.90740199145534495</v>
      </c>
      <c r="Q5">
        <v>0.91021632050474299</v>
      </c>
      <c r="R5">
        <v>7.42743104679969E-3</v>
      </c>
      <c r="S5">
        <v>6.7104564250306101E-2</v>
      </c>
      <c r="T5">
        <v>2.6740145549643302</v>
      </c>
      <c r="U5">
        <v>2.6740145549643302</v>
      </c>
      <c r="V5">
        <v>5.13</v>
      </c>
      <c r="W5">
        <v>0.25</v>
      </c>
      <c r="X5">
        <v>-8799</v>
      </c>
      <c r="Y5">
        <v>-463</v>
      </c>
      <c r="Z5">
        <v>-0.01</v>
      </c>
      <c r="AA5">
        <v>19</v>
      </c>
      <c r="AB5">
        <v>8</v>
      </c>
      <c r="AC5">
        <v>11</v>
      </c>
      <c r="AD5">
        <v>42.11</v>
      </c>
      <c r="AE5">
        <v>12</v>
      </c>
      <c r="AF5">
        <v>6</v>
      </c>
      <c r="AG5">
        <v>5</v>
      </c>
      <c r="AH5">
        <v>8</v>
      </c>
    </row>
    <row r="6" spans="1:34">
      <c r="A6">
        <v>79</v>
      </c>
      <c r="B6">
        <v>1942</v>
      </c>
      <c r="C6" t="s">
        <v>235</v>
      </c>
      <c r="D6" t="s">
        <v>230</v>
      </c>
      <c r="E6">
        <v>992</v>
      </c>
      <c r="F6">
        <v>1005</v>
      </c>
      <c r="G6">
        <v>1000</v>
      </c>
      <c r="H6" t="s">
        <v>206</v>
      </c>
      <c r="I6">
        <v>9412</v>
      </c>
      <c r="J6" t="s">
        <v>149</v>
      </c>
      <c r="K6" t="s">
        <v>203</v>
      </c>
      <c r="L6">
        <v>447</v>
      </c>
      <c r="M6">
        <v>442</v>
      </c>
      <c r="N6">
        <v>2300</v>
      </c>
      <c r="O6" t="s">
        <v>204</v>
      </c>
      <c r="P6">
        <v>0.94078437724469399</v>
      </c>
      <c r="Q6">
        <v>0.94758887929889601</v>
      </c>
      <c r="R6">
        <v>1.7448783578596699E-4</v>
      </c>
      <c r="S6">
        <v>2.8887730557709698E-4</v>
      </c>
      <c r="T6">
        <v>2.6375518344684901</v>
      </c>
      <c r="U6">
        <v>2.6375518344684901</v>
      </c>
      <c r="V6">
        <v>5.04</v>
      </c>
      <c r="W6">
        <v>1.1499999999999999</v>
      </c>
      <c r="X6">
        <v>647020</v>
      </c>
      <c r="Y6">
        <v>34054</v>
      </c>
      <c r="Z6">
        <v>1.64</v>
      </c>
      <c r="AA6">
        <v>19</v>
      </c>
      <c r="AB6">
        <v>17</v>
      </c>
      <c r="AC6">
        <v>2</v>
      </c>
      <c r="AD6">
        <v>89.47</v>
      </c>
      <c r="AE6">
        <v>12</v>
      </c>
      <c r="AF6">
        <v>9</v>
      </c>
      <c r="AG6">
        <v>1</v>
      </c>
      <c r="AH6">
        <v>9</v>
      </c>
    </row>
    <row r="7" spans="1:34">
      <c r="A7">
        <v>170</v>
      </c>
      <c r="B7">
        <v>6481</v>
      </c>
      <c r="C7" t="s">
        <v>241</v>
      </c>
      <c r="D7" t="s">
        <v>214</v>
      </c>
      <c r="E7">
        <v>2768</v>
      </c>
      <c r="F7">
        <v>2762</v>
      </c>
      <c r="G7">
        <v>200</v>
      </c>
      <c r="H7" t="s">
        <v>204</v>
      </c>
      <c r="I7">
        <v>6856</v>
      </c>
      <c r="J7" t="s">
        <v>103</v>
      </c>
      <c r="K7" t="s">
        <v>215</v>
      </c>
      <c r="L7">
        <v>6460</v>
      </c>
      <c r="M7">
        <v>6540</v>
      </c>
      <c r="N7">
        <v>100</v>
      </c>
      <c r="O7" t="s">
        <v>206</v>
      </c>
      <c r="P7">
        <v>0.90961895560381101</v>
      </c>
      <c r="Q7">
        <v>0.92196678289771905</v>
      </c>
      <c r="R7">
        <v>0.118433657005835</v>
      </c>
      <c r="S7">
        <v>1.8468894380718099E-3</v>
      </c>
      <c r="T7">
        <v>-2.5395129941891001</v>
      </c>
      <c r="U7">
        <v>2.5395129941891001</v>
      </c>
      <c r="V7">
        <v>-7.44</v>
      </c>
      <c r="W7">
        <v>15.54</v>
      </c>
      <c r="X7">
        <v>19908</v>
      </c>
      <c r="Y7">
        <v>1810</v>
      </c>
      <c r="Z7">
        <v>-0.11</v>
      </c>
      <c r="AA7">
        <v>11</v>
      </c>
      <c r="AB7">
        <v>6</v>
      </c>
      <c r="AC7">
        <v>5</v>
      </c>
      <c r="AD7">
        <v>54.55</v>
      </c>
      <c r="AE7">
        <v>12</v>
      </c>
      <c r="AF7">
        <v>5</v>
      </c>
      <c r="AG7">
        <v>3</v>
      </c>
      <c r="AH7">
        <v>3</v>
      </c>
    </row>
    <row r="8" spans="1:34">
      <c r="A8">
        <v>195</v>
      </c>
      <c r="B8">
        <v>3116</v>
      </c>
      <c r="C8" t="s">
        <v>217</v>
      </c>
      <c r="D8" t="s">
        <v>212</v>
      </c>
      <c r="E8">
        <v>1477</v>
      </c>
      <c r="F8">
        <v>1493</v>
      </c>
      <c r="G8">
        <v>600</v>
      </c>
      <c r="H8" t="s">
        <v>204</v>
      </c>
      <c r="I8">
        <v>6923</v>
      </c>
      <c r="J8" t="s">
        <v>111</v>
      </c>
      <c r="K8" t="s">
        <v>215</v>
      </c>
      <c r="L8">
        <v>2871</v>
      </c>
      <c r="M8">
        <v>2908</v>
      </c>
      <c r="N8">
        <v>300</v>
      </c>
      <c r="O8" t="s">
        <v>206</v>
      </c>
      <c r="P8">
        <v>0.90510269211227801</v>
      </c>
      <c r="Q8">
        <v>0.96614324688026698</v>
      </c>
      <c r="R8">
        <v>0.12968370068443599</v>
      </c>
      <c r="S8">
        <v>4.3268182404683997E-2</v>
      </c>
      <c r="T8">
        <v>-2.4553678499779599</v>
      </c>
      <c r="U8">
        <v>2.4553678499779599</v>
      </c>
      <c r="V8">
        <v>-4.9000000000000004</v>
      </c>
      <c r="W8">
        <v>2.68</v>
      </c>
      <c r="X8">
        <v>21401</v>
      </c>
      <c r="Y8">
        <v>1529</v>
      </c>
      <c r="Z8">
        <v>0.17</v>
      </c>
      <c r="AA8">
        <v>14</v>
      </c>
      <c r="AB8">
        <v>8</v>
      </c>
      <c r="AC8">
        <v>6</v>
      </c>
      <c r="AD8">
        <v>57.14</v>
      </c>
      <c r="AE8">
        <v>12</v>
      </c>
      <c r="AF8">
        <v>3</v>
      </c>
      <c r="AG8">
        <v>3</v>
      </c>
      <c r="AH8">
        <v>8</v>
      </c>
    </row>
    <row r="9" spans="1:34">
      <c r="A9">
        <v>189</v>
      </c>
      <c r="B9">
        <v>5803</v>
      </c>
      <c r="C9" t="s">
        <v>96</v>
      </c>
      <c r="D9" t="s">
        <v>211</v>
      </c>
      <c r="E9">
        <v>430</v>
      </c>
      <c r="F9">
        <v>436</v>
      </c>
      <c r="G9">
        <v>2500</v>
      </c>
      <c r="H9" t="s">
        <v>206</v>
      </c>
      <c r="I9">
        <v>5991</v>
      </c>
      <c r="J9" t="s">
        <v>108</v>
      </c>
      <c r="K9" t="s">
        <v>216</v>
      </c>
      <c r="L9">
        <v>822</v>
      </c>
      <c r="M9">
        <v>825</v>
      </c>
      <c r="N9">
        <v>1300</v>
      </c>
      <c r="O9" t="s">
        <v>204</v>
      </c>
      <c r="P9">
        <v>0.90614403186909398</v>
      </c>
      <c r="Q9">
        <v>0.92165534382699998</v>
      </c>
      <c r="R9">
        <v>0.137342330946888</v>
      </c>
      <c r="S9">
        <v>3.1007852678298999E-2</v>
      </c>
      <c r="T9">
        <v>2.44961516881901</v>
      </c>
      <c r="U9">
        <v>2.44961516881901</v>
      </c>
      <c r="V9">
        <v>9.84</v>
      </c>
      <c r="W9">
        <v>1.63</v>
      </c>
      <c r="X9">
        <v>-109942</v>
      </c>
      <c r="Y9">
        <v>-6467</v>
      </c>
      <c r="Z9">
        <v>-0.31</v>
      </c>
      <c r="AA9">
        <v>17</v>
      </c>
      <c r="AB9">
        <v>8</v>
      </c>
      <c r="AC9">
        <v>9</v>
      </c>
      <c r="AD9">
        <v>47.06</v>
      </c>
      <c r="AE9">
        <v>13</v>
      </c>
      <c r="AF9">
        <v>4</v>
      </c>
      <c r="AG9">
        <v>5</v>
      </c>
      <c r="AH9">
        <v>8</v>
      </c>
    </row>
    <row r="10" spans="1:34">
      <c r="A10">
        <v>12</v>
      </c>
      <c r="B10">
        <v>5802</v>
      </c>
      <c r="C10" t="s">
        <v>114</v>
      </c>
      <c r="D10" t="s">
        <v>211</v>
      </c>
      <c r="E10">
        <v>1372</v>
      </c>
      <c r="F10">
        <v>1385</v>
      </c>
      <c r="G10">
        <v>700</v>
      </c>
      <c r="H10" t="s">
        <v>206</v>
      </c>
      <c r="I10">
        <v>7211</v>
      </c>
      <c r="J10" t="s">
        <v>101</v>
      </c>
      <c r="K10" t="s">
        <v>212</v>
      </c>
      <c r="L10">
        <v>468</v>
      </c>
      <c r="M10">
        <v>473</v>
      </c>
      <c r="N10">
        <v>2000</v>
      </c>
      <c r="O10" t="s">
        <v>204</v>
      </c>
      <c r="P10">
        <v>0.96148215359936795</v>
      </c>
      <c r="Q10">
        <v>0.93452873252110602</v>
      </c>
      <c r="R10">
        <v>3.4226503305550701E-2</v>
      </c>
      <c r="S10">
        <v>2.3903999467275401E-2</v>
      </c>
      <c r="T10">
        <v>2.2714494099906402</v>
      </c>
      <c r="U10">
        <v>2.2714494099906402</v>
      </c>
      <c r="V10">
        <v>4.13</v>
      </c>
      <c r="W10">
        <v>2.42</v>
      </c>
      <c r="X10">
        <v>60840</v>
      </c>
      <c r="Y10">
        <v>3579</v>
      </c>
      <c r="Z10">
        <v>0.19</v>
      </c>
      <c r="AA10">
        <v>17</v>
      </c>
      <c r="AB10">
        <v>10</v>
      </c>
      <c r="AC10">
        <v>7</v>
      </c>
      <c r="AD10">
        <v>58.82</v>
      </c>
      <c r="AE10">
        <v>14</v>
      </c>
      <c r="AF10">
        <v>3</v>
      </c>
      <c r="AG10">
        <v>2</v>
      </c>
      <c r="AH10">
        <v>12</v>
      </c>
    </row>
    <row r="11" spans="1:34">
      <c r="A11">
        <v>191</v>
      </c>
      <c r="B11">
        <v>8586</v>
      </c>
      <c r="C11" t="s">
        <v>164</v>
      </c>
      <c r="D11" t="s">
        <v>210</v>
      </c>
      <c r="E11">
        <v>2351</v>
      </c>
      <c r="F11">
        <v>2369</v>
      </c>
      <c r="G11">
        <v>400</v>
      </c>
      <c r="H11" t="s">
        <v>206</v>
      </c>
      <c r="I11">
        <v>9810</v>
      </c>
      <c r="J11" t="s">
        <v>134</v>
      </c>
      <c r="K11" t="s">
        <v>234</v>
      </c>
      <c r="L11">
        <v>4375</v>
      </c>
      <c r="M11">
        <v>4365</v>
      </c>
      <c r="N11">
        <v>200</v>
      </c>
      <c r="O11" t="s">
        <v>204</v>
      </c>
      <c r="P11">
        <v>0.90587121017082595</v>
      </c>
      <c r="Q11">
        <v>0.92079145590321998</v>
      </c>
      <c r="R11">
        <v>1.0009747957599299E-3</v>
      </c>
      <c r="S11">
        <v>6.8289138038089198E-2</v>
      </c>
      <c r="T11">
        <v>2.2207319230975</v>
      </c>
      <c r="U11">
        <v>2.2207319230975</v>
      </c>
      <c r="V11">
        <v>3.77</v>
      </c>
      <c r="W11">
        <v>8.5500000000000007</v>
      </c>
      <c r="X11">
        <v>-136974</v>
      </c>
      <c r="Y11">
        <v>-13697</v>
      </c>
      <c r="Z11">
        <v>-0.7</v>
      </c>
      <c r="AA11">
        <v>10</v>
      </c>
      <c r="AB11">
        <v>4</v>
      </c>
      <c r="AC11">
        <v>6</v>
      </c>
      <c r="AD11">
        <v>40</v>
      </c>
      <c r="AE11">
        <v>15</v>
      </c>
      <c r="AF11">
        <v>2</v>
      </c>
      <c r="AG11">
        <v>3</v>
      </c>
      <c r="AH11">
        <v>5</v>
      </c>
    </row>
    <row r="12" spans="1:34">
      <c r="A12">
        <v>32</v>
      </c>
      <c r="B12">
        <v>7186</v>
      </c>
      <c r="C12" t="s">
        <v>87</v>
      </c>
      <c r="D12" t="s">
        <v>209</v>
      </c>
      <c r="E12">
        <v>410</v>
      </c>
      <c r="F12">
        <v>410</v>
      </c>
      <c r="G12">
        <v>1800</v>
      </c>
      <c r="H12" t="s">
        <v>206</v>
      </c>
      <c r="I12">
        <v>8309</v>
      </c>
      <c r="J12" t="s">
        <v>88</v>
      </c>
      <c r="K12" t="s">
        <v>209</v>
      </c>
      <c r="L12">
        <v>3719</v>
      </c>
      <c r="M12">
        <v>3741</v>
      </c>
      <c r="N12">
        <v>200</v>
      </c>
      <c r="O12" t="s">
        <v>204</v>
      </c>
      <c r="P12">
        <v>0.95245026425786194</v>
      </c>
      <c r="Q12">
        <v>0.95062235333323497</v>
      </c>
      <c r="R12">
        <v>0.220496847700141</v>
      </c>
      <c r="S12">
        <v>0.34670733565552703</v>
      </c>
      <c r="T12">
        <v>2.14911014276039</v>
      </c>
      <c r="U12">
        <v>2.14911014276039</v>
      </c>
      <c r="V12">
        <v>4.28</v>
      </c>
      <c r="W12">
        <v>1.36</v>
      </c>
      <c r="X12">
        <v>80736</v>
      </c>
      <c r="Y12">
        <v>4749</v>
      </c>
      <c r="Z12">
        <v>0.26</v>
      </c>
      <c r="AA12">
        <v>17</v>
      </c>
      <c r="AB12">
        <v>9</v>
      </c>
      <c r="AC12">
        <v>8</v>
      </c>
      <c r="AD12">
        <v>52.94</v>
      </c>
      <c r="AE12">
        <v>13</v>
      </c>
      <c r="AF12">
        <v>4</v>
      </c>
      <c r="AG12">
        <v>4</v>
      </c>
      <c r="AH12">
        <v>9</v>
      </c>
    </row>
    <row r="13" spans="1:34">
      <c r="A13">
        <v>60</v>
      </c>
      <c r="B13">
        <v>3405</v>
      </c>
      <c r="C13" t="s">
        <v>222</v>
      </c>
      <c r="D13" t="s">
        <v>205</v>
      </c>
      <c r="E13">
        <v>1301</v>
      </c>
      <c r="F13">
        <v>1312</v>
      </c>
      <c r="G13">
        <v>700</v>
      </c>
      <c r="H13" t="s">
        <v>204</v>
      </c>
      <c r="I13">
        <v>4631</v>
      </c>
      <c r="J13" t="s">
        <v>127</v>
      </c>
      <c r="K13" t="s">
        <v>205</v>
      </c>
      <c r="L13">
        <v>3015</v>
      </c>
      <c r="M13">
        <v>3050</v>
      </c>
      <c r="N13">
        <v>300</v>
      </c>
      <c r="O13" t="s">
        <v>206</v>
      </c>
      <c r="P13">
        <v>0.94569605893256503</v>
      </c>
      <c r="Q13">
        <v>0.90262605749842495</v>
      </c>
      <c r="R13">
        <v>3.7300109737271103E-2</v>
      </c>
      <c r="S13">
        <v>0.28836783878380901</v>
      </c>
      <c r="T13">
        <v>-2.13714681149896</v>
      </c>
      <c r="U13">
        <v>2.13714681149896</v>
      </c>
      <c r="V13">
        <v>-3.63</v>
      </c>
      <c r="W13">
        <v>0.37</v>
      </c>
      <c r="X13">
        <v>-65496</v>
      </c>
      <c r="Y13">
        <v>-4366</v>
      </c>
      <c r="Z13">
        <v>-0.25</v>
      </c>
      <c r="AA13">
        <v>15</v>
      </c>
      <c r="AB13">
        <v>7</v>
      </c>
      <c r="AC13">
        <v>8</v>
      </c>
      <c r="AD13">
        <v>46.67</v>
      </c>
      <c r="AE13">
        <v>14</v>
      </c>
      <c r="AF13">
        <v>3</v>
      </c>
      <c r="AG13">
        <v>4</v>
      </c>
      <c r="AH13">
        <v>8</v>
      </c>
    </row>
    <row r="14" spans="1:34">
      <c r="A14">
        <v>76</v>
      </c>
      <c r="B14">
        <v>4182</v>
      </c>
      <c r="C14" t="s">
        <v>124</v>
      </c>
      <c r="D14" t="s">
        <v>205</v>
      </c>
      <c r="E14">
        <v>1489</v>
      </c>
      <c r="F14">
        <v>1498</v>
      </c>
      <c r="G14">
        <v>600</v>
      </c>
      <c r="H14" t="s">
        <v>206</v>
      </c>
      <c r="I14">
        <v>5019</v>
      </c>
      <c r="J14" t="s">
        <v>155</v>
      </c>
      <c r="K14" t="s">
        <v>253</v>
      </c>
      <c r="L14">
        <v>3130</v>
      </c>
      <c r="M14">
        <v>3120</v>
      </c>
      <c r="N14">
        <v>300</v>
      </c>
      <c r="O14" t="s">
        <v>204</v>
      </c>
      <c r="P14">
        <v>0.94145351355492002</v>
      </c>
      <c r="Q14">
        <v>0.90799794465072203</v>
      </c>
      <c r="R14">
        <v>3.30083354751501E-2</v>
      </c>
      <c r="S14">
        <v>0.13849508899226401</v>
      </c>
      <c r="T14">
        <v>2.13714650753563</v>
      </c>
      <c r="U14">
        <v>2.13714650753563</v>
      </c>
      <c r="V14">
        <v>5.25</v>
      </c>
      <c r="W14">
        <v>3.97</v>
      </c>
      <c r="X14">
        <v>42210</v>
      </c>
      <c r="Y14">
        <v>3518</v>
      </c>
      <c r="Z14">
        <v>0.28999999999999998</v>
      </c>
      <c r="AA14">
        <v>12</v>
      </c>
      <c r="AB14">
        <v>7</v>
      </c>
      <c r="AC14">
        <v>5</v>
      </c>
      <c r="AD14">
        <v>58.33</v>
      </c>
      <c r="AE14">
        <v>11</v>
      </c>
      <c r="AF14">
        <v>6</v>
      </c>
      <c r="AG14">
        <v>4</v>
      </c>
      <c r="AH14">
        <v>2</v>
      </c>
    </row>
    <row r="15" spans="1:34">
      <c r="A15">
        <v>190</v>
      </c>
      <c r="B15">
        <v>6770</v>
      </c>
      <c r="C15" t="s">
        <v>84</v>
      </c>
      <c r="D15" t="s">
        <v>215</v>
      </c>
      <c r="E15">
        <v>2097</v>
      </c>
      <c r="F15">
        <v>2110</v>
      </c>
      <c r="G15">
        <v>500</v>
      </c>
      <c r="H15" t="s">
        <v>206</v>
      </c>
      <c r="I15">
        <v>8601</v>
      </c>
      <c r="J15" t="s">
        <v>92</v>
      </c>
      <c r="K15" t="s">
        <v>227</v>
      </c>
      <c r="L15">
        <v>491.7</v>
      </c>
      <c r="M15">
        <v>494.2</v>
      </c>
      <c r="N15">
        <v>2100</v>
      </c>
      <c r="O15" t="s">
        <v>204</v>
      </c>
      <c r="P15">
        <v>0.90607206447934097</v>
      </c>
      <c r="Q15">
        <v>0.92776572373873001</v>
      </c>
      <c r="R15">
        <v>0.105993420148773</v>
      </c>
      <c r="S15">
        <v>0.14553520388515101</v>
      </c>
      <c r="T15">
        <v>2.1093437317848398</v>
      </c>
      <c r="U15">
        <v>2.1093437317848398</v>
      </c>
      <c r="V15">
        <v>6.28</v>
      </c>
      <c r="W15">
        <v>1.63</v>
      </c>
      <c r="X15">
        <v>123816</v>
      </c>
      <c r="Y15">
        <v>6517</v>
      </c>
      <c r="Z15">
        <v>0.45</v>
      </c>
      <c r="AA15">
        <v>19</v>
      </c>
      <c r="AB15">
        <v>11</v>
      </c>
      <c r="AC15">
        <v>8</v>
      </c>
      <c r="AD15">
        <v>57.89</v>
      </c>
      <c r="AE15">
        <v>12</v>
      </c>
      <c r="AF15">
        <v>6</v>
      </c>
      <c r="AG15">
        <v>4</v>
      </c>
      <c r="AH15">
        <v>9</v>
      </c>
    </row>
    <row r="16" spans="1:34">
      <c r="A16">
        <v>62</v>
      </c>
      <c r="B16">
        <v>1942</v>
      </c>
      <c r="C16" t="s">
        <v>235</v>
      </c>
      <c r="D16" t="s">
        <v>230</v>
      </c>
      <c r="E16">
        <v>992</v>
      </c>
      <c r="F16">
        <v>1005</v>
      </c>
      <c r="G16">
        <v>1000</v>
      </c>
      <c r="H16" t="s">
        <v>206</v>
      </c>
      <c r="I16">
        <v>1959</v>
      </c>
      <c r="J16" t="s">
        <v>160</v>
      </c>
      <c r="K16" t="s">
        <v>230</v>
      </c>
      <c r="L16">
        <v>3495</v>
      </c>
      <c r="M16">
        <v>3500</v>
      </c>
      <c r="N16">
        <v>300</v>
      </c>
      <c r="O16" t="s">
        <v>204</v>
      </c>
      <c r="P16">
        <v>0.945437800866051</v>
      </c>
      <c r="Q16">
        <v>0.96103451739061596</v>
      </c>
      <c r="R16">
        <v>1.00567378358936E-2</v>
      </c>
      <c r="S16">
        <v>3.59643683479094E-4</v>
      </c>
      <c r="T16">
        <v>2.1023826409055402</v>
      </c>
      <c r="U16">
        <v>2.1023826409055402</v>
      </c>
      <c r="V16">
        <v>3.15</v>
      </c>
      <c r="W16">
        <v>4.29</v>
      </c>
      <c r="X16">
        <v>-84594</v>
      </c>
      <c r="Y16">
        <v>-7050</v>
      </c>
      <c r="Z16">
        <v>-0.32</v>
      </c>
      <c r="AA16">
        <v>12</v>
      </c>
      <c r="AB16">
        <v>4</v>
      </c>
      <c r="AC16">
        <v>8</v>
      </c>
      <c r="AD16">
        <v>33.33</v>
      </c>
      <c r="AE16">
        <v>15</v>
      </c>
      <c r="AF16">
        <v>3</v>
      </c>
      <c r="AG16">
        <v>4</v>
      </c>
      <c r="AH16">
        <v>5</v>
      </c>
    </row>
    <row r="17" spans="1:34">
      <c r="A17">
        <v>1</v>
      </c>
      <c r="B17">
        <v>5201</v>
      </c>
      <c r="C17" t="s">
        <v>221</v>
      </c>
      <c r="D17" t="s">
        <v>213</v>
      </c>
      <c r="E17">
        <v>3370</v>
      </c>
      <c r="F17">
        <v>3405</v>
      </c>
      <c r="G17">
        <v>300</v>
      </c>
      <c r="H17" t="s">
        <v>206</v>
      </c>
      <c r="I17">
        <v>5214</v>
      </c>
      <c r="J17" t="s">
        <v>91</v>
      </c>
      <c r="K17" t="s">
        <v>213</v>
      </c>
      <c r="L17">
        <v>2380</v>
      </c>
      <c r="M17">
        <v>2403</v>
      </c>
      <c r="N17">
        <v>400</v>
      </c>
      <c r="O17" t="s">
        <v>204</v>
      </c>
      <c r="P17">
        <v>0.97462968491017399</v>
      </c>
      <c r="Q17">
        <v>0.923918473048846</v>
      </c>
      <c r="R17">
        <v>4.3676748699829201E-3</v>
      </c>
      <c r="S17">
        <v>4.2097277627909803E-2</v>
      </c>
      <c r="T17">
        <v>2.0390293624726299</v>
      </c>
      <c r="U17">
        <v>2.0390293624726299</v>
      </c>
      <c r="V17">
        <v>3.26</v>
      </c>
      <c r="W17">
        <v>5.9</v>
      </c>
      <c r="X17">
        <v>215362</v>
      </c>
      <c r="Y17">
        <v>26920</v>
      </c>
      <c r="Z17">
        <v>1.34</v>
      </c>
      <c r="AA17">
        <v>8</v>
      </c>
      <c r="AB17">
        <v>4</v>
      </c>
      <c r="AC17">
        <v>4</v>
      </c>
      <c r="AD17">
        <v>50</v>
      </c>
      <c r="AE17">
        <v>15</v>
      </c>
      <c r="AF17">
        <v>4</v>
      </c>
      <c r="AG17">
        <v>1</v>
      </c>
      <c r="AH17">
        <v>3</v>
      </c>
    </row>
    <row r="18" spans="1:34">
      <c r="A18">
        <v>99</v>
      </c>
      <c r="B18">
        <v>3635</v>
      </c>
      <c r="C18" t="s">
        <v>202</v>
      </c>
      <c r="D18" t="s">
        <v>203</v>
      </c>
      <c r="E18">
        <v>2362</v>
      </c>
      <c r="F18">
        <v>2350</v>
      </c>
      <c r="G18">
        <v>300</v>
      </c>
      <c r="H18" t="s">
        <v>204</v>
      </c>
      <c r="I18">
        <v>4612</v>
      </c>
      <c r="J18" t="s">
        <v>86</v>
      </c>
      <c r="K18" t="s">
        <v>205</v>
      </c>
      <c r="L18">
        <v>6040</v>
      </c>
      <c r="M18">
        <v>6000</v>
      </c>
      <c r="N18">
        <v>100</v>
      </c>
      <c r="O18" t="s">
        <v>206</v>
      </c>
      <c r="P18">
        <v>0.93501956610803205</v>
      </c>
      <c r="Q18">
        <v>0.93200807918527695</v>
      </c>
      <c r="R18">
        <v>0.102046309668685</v>
      </c>
      <c r="S18">
        <v>1.2047359852147899E-3</v>
      </c>
      <c r="T18">
        <v>-2.0247096360265102</v>
      </c>
      <c r="U18">
        <v>2.0247096360265102</v>
      </c>
      <c r="V18">
        <v>-12.53</v>
      </c>
      <c r="W18">
        <v>17.5</v>
      </c>
      <c r="X18">
        <v>175106</v>
      </c>
      <c r="Y18">
        <v>11674</v>
      </c>
      <c r="Z18">
        <v>0.46</v>
      </c>
      <c r="AA18">
        <v>15</v>
      </c>
      <c r="AB18">
        <v>9</v>
      </c>
      <c r="AC18">
        <v>6</v>
      </c>
      <c r="AD18">
        <v>60</v>
      </c>
      <c r="AE18">
        <v>10</v>
      </c>
      <c r="AF18">
        <v>8</v>
      </c>
      <c r="AG18">
        <v>5</v>
      </c>
      <c r="AH18">
        <v>2</v>
      </c>
    </row>
    <row r="19" spans="1:34">
      <c r="A19">
        <v>10</v>
      </c>
      <c r="B19">
        <v>8309</v>
      </c>
      <c r="C19" t="s">
        <v>88</v>
      </c>
      <c r="D19" t="s">
        <v>209</v>
      </c>
      <c r="E19">
        <v>3719</v>
      </c>
      <c r="F19">
        <v>3741</v>
      </c>
      <c r="G19">
        <v>200</v>
      </c>
      <c r="H19" t="s">
        <v>204</v>
      </c>
      <c r="I19">
        <v>8341</v>
      </c>
      <c r="J19" t="s">
        <v>123</v>
      </c>
      <c r="K19" t="s">
        <v>209</v>
      </c>
      <c r="L19">
        <v>1590</v>
      </c>
      <c r="M19">
        <v>1601</v>
      </c>
      <c r="N19">
        <v>500</v>
      </c>
      <c r="O19" t="s">
        <v>206</v>
      </c>
      <c r="P19">
        <v>0.96322992361865201</v>
      </c>
      <c r="Q19">
        <v>0.91392962098214303</v>
      </c>
      <c r="R19">
        <v>0.22864272584781201</v>
      </c>
      <c r="S19">
        <v>0.39434357400345399</v>
      </c>
      <c r="T19">
        <v>-1.94509068730723</v>
      </c>
      <c r="U19">
        <v>1.94509068730723</v>
      </c>
      <c r="V19">
        <v>-5.85</v>
      </c>
      <c r="W19">
        <v>6.99</v>
      </c>
      <c r="X19">
        <v>189642</v>
      </c>
      <c r="Y19">
        <v>9482</v>
      </c>
      <c r="Z19">
        <v>0.65</v>
      </c>
      <c r="AA19">
        <v>20</v>
      </c>
      <c r="AB19">
        <v>13</v>
      </c>
      <c r="AC19">
        <v>7</v>
      </c>
      <c r="AD19">
        <v>65</v>
      </c>
      <c r="AE19">
        <v>14</v>
      </c>
      <c r="AF19">
        <v>6</v>
      </c>
      <c r="AG19">
        <v>3</v>
      </c>
      <c r="AH19">
        <v>11</v>
      </c>
    </row>
    <row r="20" spans="1:34">
      <c r="A20">
        <v>178</v>
      </c>
      <c r="B20">
        <v>4202</v>
      </c>
      <c r="C20" t="s">
        <v>138</v>
      </c>
      <c r="D20" t="s">
        <v>205</v>
      </c>
      <c r="E20">
        <v>935</v>
      </c>
      <c r="F20">
        <v>930</v>
      </c>
      <c r="G20">
        <v>1100</v>
      </c>
      <c r="H20" t="s">
        <v>206</v>
      </c>
      <c r="I20">
        <v>7182</v>
      </c>
      <c r="J20" t="s">
        <v>98</v>
      </c>
      <c r="K20" t="s">
        <v>209</v>
      </c>
      <c r="L20">
        <v>1032</v>
      </c>
      <c r="M20">
        <v>1036</v>
      </c>
      <c r="N20">
        <v>1000</v>
      </c>
      <c r="O20" t="s">
        <v>204</v>
      </c>
      <c r="P20">
        <v>0.908378198862825</v>
      </c>
      <c r="Q20">
        <v>0.93793399901235297</v>
      </c>
      <c r="R20">
        <v>4.6640707871658103E-2</v>
      </c>
      <c r="S20">
        <v>2.3651866411125901E-2</v>
      </c>
      <c r="T20">
        <v>1.9136872557405999</v>
      </c>
      <c r="U20">
        <v>1.9136872557405999</v>
      </c>
      <c r="V20">
        <v>4.84</v>
      </c>
      <c r="W20">
        <v>1.25</v>
      </c>
      <c r="X20">
        <v>105475</v>
      </c>
      <c r="Y20">
        <v>7032</v>
      </c>
      <c r="Z20">
        <v>0.38</v>
      </c>
      <c r="AA20">
        <v>15</v>
      </c>
      <c r="AB20">
        <v>7</v>
      </c>
      <c r="AC20">
        <v>8</v>
      </c>
      <c r="AD20">
        <v>46.67</v>
      </c>
      <c r="AE20">
        <v>15</v>
      </c>
      <c r="AF20">
        <v>4</v>
      </c>
      <c r="AG20">
        <v>1</v>
      </c>
      <c r="AH20">
        <v>10</v>
      </c>
    </row>
    <row r="21" spans="1:34">
      <c r="A21">
        <v>204</v>
      </c>
      <c r="B21">
        <v>5301</v>
      </c>
      <c r="C21" t="s">
        <v>89</v>
      </c>
      <c r="D21" t="s">
        <v>213</v>
      </c>
      <c r="E21">
        <v>1085</v>
      </c>
      <c r="F21">
        <v>1090</v>
      </c>
      <c r="G21">
        <v>900</v>
      </c>
      <c r="H21" t="s">
        <v>204</v>
      </c>
      <c r="I21">
        <v>7251</v>
      </c>
      <c r="J21" t="s">
        <v>90</v>
      </c>
      <c r="K21" t="s">
        <v>212</v>
      </c>
      <c r="L21">
        <v>1643</v>
      </c>
      <c r="M21">
        <v>1651</v>
      </c>
      <c r="N21">
        <v>600</v>
      </c>
      <c r="O21" t="s">
        <v>206</v>
      </c>
      <c r="P21">
        <v>0.90192926054515399</v>
      </c>
      <c r="Q21">
        <v>0.95363916182455399</v>
      </c>
      <c r="R21">
        <v>3.0961066456640499E-2</v>
      </c>
      <c r="S21">
        <v>5.0943013969854305E-4</v>
      </c>
      <c r="T21">
        <v>-1.8204722244660301</v>
      </c>
      <c r="U21">
        <v>1.8204722244660301</v>
      </c>
      <c r="V21">
        <v>-6.43</v>
      </c>
      <c r="W21">
        <v>0.97</v>
      </c>
      <c r="X21">
        <v>195079</v>
      </c>
      <c r="Y21">
        <v>6967</v>
      </c>
      <c r="Z21">
        <v>0.47</v>
      </c>
      <c r="AA21">
        <v>28</v>
      </c>
      <c r="AB21">
        <v>15</v>
      </c>
      <c r="AC21">
        <v>13</v>
      </c>
      <c r="AD21">
        <v>53.57</v>
      </c>
      <c r="AE21">
        <v>8</v>
      </c>
      <c r="AF21">
        <v>13</v>
      </c>
      <c r="AG21">
        <v>13</v>
      </c>
      <c r="AH21">
        <v>2</v>
      </c>
    </row>
    <row r="22" spans="1:34">
      <c r="A22">
        <v>8</v>
      </c>
      <c r="B22">
        <v>7211</v>
      </c>
      <c r="C22" t="s">
        <v>101</v>
      </c>
      <c r="D22" t="s">
        <v>212</v>
      </c>
      <c r="E22">
        <v>468</v>
      </c>
      <c r="F22">
        <v>473</v>
      </c>
      <c r="G22">
        <v>2200</v>
      </c>
      <c r="H22" t="s">
        <v>204</v>
      </c>
      <c r="I22">
        <v>7259</v>
      </c>
      <c r="J22" t="s">
        <v>97</v>
      </c>
      <c r="K22" t="s">
        <v>212</v>
      </c>
      <c r="L22">
        <v>3445</v>
      </c>
      <c r="M22">
        <v>3510</v>
      </c>
      <c r="N22">
        <v>300</v>
      </c>
      <c r="O22" t="s">
        <v>206</v>
      </c>
      <c r="P22">
        <v>0.96533866501850796</v>
      </c>
      <c r="Q22">
        <v>0.92284920843213702</v>
      </c>
      <c r="R22">
        <v>8.5466934534927499E-2</v>
      </c>
      <c r="S22">
        <v>0.218842909435948</v>
      </c>
      <c r="T22">
        <v>-1.8167450509155401</v>
      </c>
      <c r="U22">
        <v>1.8167450509155401</v>
      </c>
      <c r="V22">
        <v>-3.37</v>
      </c>
      <c r="W22">
        <v>1.18</v>
      </c>
      <c r="X22">
        <v>198687</v>
      </c>
      <c r="Y22">
        <v>11038</v>
      </c>
      <c r="Z22">
        <v>0.56000000000000005</v>
      </c>
      <c r="AA22">
        <v>18</v>
      </c>
      <c r="AB22">
        <v>10</v>
      </c>
      <c r="AC22">
        <v>8</v>
      </c>
      <c r="AD22">
        <v>55.56</v>
      </c>
      <c r="AE22">
        <v>12</v>
      </c>
      <c r="AF22">
        <v>7</v>
      </c>
      <c r="AG22">
        <v>5</v>
      </c>
      <c r="AH22">
        <v>6</v>
      </c>
    </row>
    <row r="23" spans="1:34">
      <c r="A23">
        <v>200</v>
      </c>
      <c r="B23">
        <v>3291</v>
      </c>
      <c r="C23" t="s">
        <v>263</v>
      </c>
      <c r="D23" t="s">
        <v>264</v>
      </c>
      <c r="E23">
        <v>1710</v>
      </c>
      <c r="F23">
        <v>1726</v>
      </c>
      <c r="G23">
        <v>500</v>
      </c>
      <c r="H23" t="s">
        <v>204</v>
      </c>
      <c r="I23">
        <v>7267</v>
      </c>
      <c r="J23" t="s">
        <v>131</v>
      </c>
      <c r="K23" t="s">
        <v>212</v>
      </c>
      <c r="L23">
        <v>2800</v>
      </c>
      <c r="M23">
        <v>2828.5</v>
      </c>
      <c r="N23">
        <v>300</v>
      </c>
      <c r="O23" t="s">
        <v>206</v>
      </c>
      <c r="P23">
        <v>0.90347824068169502</v>
      </c>
      <c r="Q23">
        <v>0.90070783826051803</v>
      </c>
      <c r="R23" s="39">
        <v>0.259801091767697</v>
      </c>
      <c r="S23">
        <v>2.8707825373313098E-2</v>
      </c>
      <c r="T23">
        <v>-1.80496145286777</v>
      </c>
      <c r="U23">
        <v>1.80496145286777</v>
      </c>
      <c r="V23">
        <v>-4.49</v>
      </c>
      <c r="W23">
        <v>1.7</v>
      </c>
      <c r="X23">
        <v>-45959</v>
      </c>
      <c r="Y23">
        <v>-2872</v>
      </c>
      <c r="Z23">
        <v>-0.03</v>
      </c>
      <c r="AA23">
        <v>16</v>
      </c>
      <c r="AB23">
        <v>9</v>
      </c>
      <c r="AC23">
        <v>7</v>
      </c>
      <c r="AD23">
        <v>56.25</v>
      </c>
      <c r="AE23">
        <v>13</v>
      </c>
      <c r="AF23">
        <v>4</v>
      </c>
      <c r="AG23">
        <v>3</v>
      </c>
      <c r="AH23">
        <v>9</v>
      </c>
    </row>
    <row r="24" spans="1:34">
      <c r="A24">
        <v>117</v>
      </c>
      <c r="B24">
        <v>4188</v>
      </c>
      <c r="C24" t="s">
        <v>258</v>
      </c>
      <c r="D24" t="s">
        <v>205</v>
      </c>
      <c r="E24">
        <v>790</v>
      </c>
      <c r="F24">
        <v>812.5</v>
      </c>
      <c r="G24">
        <v>1300</v>
      </c>
      <c r="H24" t="s">
        <v>206</v>
      </c>
      <c r="I24">
        <v>8601</v>
      </c>
      <c r="J24" t="s">
        <v>92</v>
      </c>
      <c r="K24" t="s">
        <v>227</v>
      </c>
      <c r="L24">
        <v>491.7</v>
      </c>
      <c r="M24">
        <v>494.2</v>
      </c>
      <c r="N24">
        <v>2100</v>
      </c>
      <c r="O24" t="s">
        <v>204</v>
      </c>
      <c r="P24">
        <v>0.92720506836947003</v>
      </c>
      <c r="Q24">
        <v>0.90473893907133895</v>
      </c>
      <c r="R24" s="39">
        <v>2.0711573624014601E-2</v>
      </c>
      <c r="S24">
        <v>6.9717232851221602E-3</v>
      </c>
      <c r="T24">
        <v>1.7815992104723</v>
      </c>
      <c r="U24">
        <v>1.7815992104723</v>
      </c>
      <c r="V24">
        <v>2.99</v>
      </c>
      <c r="W24">
        <v>1.74</v>
      </c>
      <c r="X24">
        <v>135863</v>
      </c>
      <c r="Y24">
        <v>7151</v>
      </c>
      <c r="Z24">
        <v>0.37</v>
      </c>
      <c r="AA24">
        <v>19</v>
      </c>
      <c r="AB24">
        <v>11</v>
      </c>
      <c r="AC24">
        <v>8</v>
      </c>
      <c r="AD24">
        <v>57.89</v>
      </c>
      <c r="AE24">
        <v>13</v>
      </c>
      <c r="AF24">
        <v>6</v>
      </c>
      <c r="AG24">
        <v>4</v>
      </c>
      <c r="AH24">
        <v>9</v>
      </c>
    </row>
    <row r="25" spans="1:34">
      <c r="A25">
        <v>22</v>
      </c>
      <c r="B25">
        <v>4182</v>
      </c>
      <c r="C25" t="s">
        <v>124</v>
      </c>
      <c r="D25" t="s">
        <v>205</v>
      </c>
      <c r="E25">
        <v>1489</v>
      </c>
      <c r="F25">
        <v>1498</v>
      </c>
      <c r="G25">
        <v>600</v>
      </c>
      <c r="H25" t="s">
        <v>206</v>
      </c>
      <c r="I25">
        <v>4208</v>
      </c>
      <c r="J25" t="s">
        <v>115</v>
      </c>
      <c r="K25" t="s">
        <v>205</v>
      </c>
      <c r="L25">
        <v>2220</v>
      </c>
      <c r="M25">
        <v>2233</v>
      </c>
      <c r="N25">
        <v>400</v>
      </c>
      <c r="O25" t="s">
        <v>204</v>
      </c>
      <c r="P25">
        <v>0.95685657270753</v>
      </c>
      <c r="Q25">
        <v>0.92489737843278597</v>
      </c>
      <c r="R25">
        <v>0.16988780290182101</v>
      </c>
      <c r="S25">
        <v>0.103442532225362</v>
      </c>
      <c r="T25">
        <v>1.7789396647446301</v>
      </c>
      <c r="U25">
        <v>1.7789396647446301</v>
      </c>
      <c r="V25">
        <v>4.96</v>
      </c>
      <c r="W25">
        <v>0.63</v>
      </c>
      <c r="X25">
        <v>428264</v>
      </c>
      <c r="Y25">
        <v>21413</v>
      </c>
      <c r="Z25">
        <v>1.0900000000000001</v>
      </c>
      <c r="AA25">
        <v>20</v>
      </c>
      <c r="AB25">
        <v>15</v>
      </c>
      <c r="AC25">
        <v>5</v>
      </c>
      <c r="AD25">
        <v>75</v>
      </c>
      <c r="AE25">
        <v>13</v>
      </c>
      <c r="AF25">
        <v>10</v>
      </c>
      <c r="AG25">
        <v>2</v>
      </c>
      <c r="AH25">
        <v>8</v>
      </c>
    </row>
    <row r="26" spans="1:34">
      <c r="A26">
        <v>130</v>
      </c>
      <c r="B26">
        <v>9531</v>
      </c>
      <c r="C26" t="s">
        <v>225</v>
      </c>
      <c r="D26" t="s">
        <v>226</v>
      </c>
      <c r="E26">
        <v>2771</v>
      </c>
      <c r="F26">
        <v>2750.5</v>
      </c>
      <c r="G26">
        <v>300</v>
      </c>
      <c r="H26" t="s">
        <v>204</v>
      </c>
      <c r="I26">
        <v>9532</v>
      </c>
      <c r="J26" t="s">
        <v>117</v>
      </c>
      <c r="K26" t="s">
        <v>226</v>
      </c>
      <c r="L26">
        <v>2068</v>
      </c>
      <c r="M26">
        <v>2076</v>
      </c>
      <c r="N26">
        <v>400</v>
      </c>
      <c r="O26" t="s">
        <v>206</v>
      </c>
      <c r="P26">
        <v>0.92232888305098404</v>
      </c>
      <c r="Q26">
        <v>0.94287429781561405</v>
      </c>
      <c r="R26">
        <v>4.5392377447062801E-2</v>
      </c>
      <c r="S26">
        <v>0.13276347948138101</v>
      </c>
      <c r="T26">
        <v>-1.77087648978339</v>
      </c>
      <c r="U26">
        <v>1.77087648978339</v>
      </c>
      <c r="V26">
        <v>-3.45</v>
      </c>
      <c r="W26">
        <v>0.64</v>
      </c>
      <c r="X26">
        <v>-162096</v>
      </c>
      <c r="Y26">
        <v>-12469</v>
      </c>
      <c r="Z26">
        <v>-0.66</v>
      </c>
      <c r="AA26">
        <v>13</v>
      </c>
      <c r="AB26">
        <v>3</v>
      </c>
      <c r="AC26">
        <v>10</v>
      </c>
      <c r="AD26">
        <v>23.08</v>
      </c>
      <c r="AE26">
        <v>15</v>
      </c>
      <c r="AF26">
        <v>2</v>
      </c>
      <c r="AG26">
        <v>2</v>
      </c>
      <c r="AH26">
        <v>9</v>
      </c>
    </row>
    <row r="27" spans="1:34">
      <c r="A27">
        <v>6</v>
      </c>
      <c r="B27">
        <v>6506</v>
      </c>
      <c r="C27" t="s">
        <v>269</v>
      </c>
      <c r="D27" t="s">
        <v>215</v>
      </c>
      <c r="E27">
        <v>3810</v>
      </c>
      <c r="F27">
        <v>3810</v>
      </c>
      <c r="G27">
        <v>200</v>
      </c>
      <c r="H27" t="s">
        <v>204</v>
      </c>
      <c r="I27">
        <v>6645</v>
      </c>
      <c r="J27" t="s">
        <v>168</v>
      </c>
      <c r="K27" t="s">
        <v>215</v>
      </c>
      <c r="L27">
        <v>5980</v>
      </c>
      <c r="M27">
        <v>5930</v>
      </c>
      <c r="N27">
        <v>100</v>
      </c>
      <c r="O27" t="s">
        <v>206</v>
      </c>
      <c r="P27">
        <v>0.96612571248253998</v>
      </c>
      <c r="Q27">
        <v>0.90665249466813402</v>
      </c>
      <c r="R27">
        <v>2.4499578463044601E-3</v>
      </c>
      <c r="S27">
        <v>2.6858444484790599E-2</v>
      </c>
      <c r="T27">
        <v>-1.6939477319352201</v>
      </c>
      <c r="U27">
        <v>1.6939477319352201</v>
      </c>
      <c r="V27">
        <v>-3.88</v>
      </c>
      <c r="W27">
        <v>28.5</v>
      </c>
      <c r="X27">
        <v>249448</v>
      </c>
      <c r="Y27">
        <v>19188</v>
      </c>
      <c r="Z27">
        <v>0.86</v>
      </c>
      <c r="AA27">
        <v>13</v>
      </c>
      <c r="AB27">
        <v>8</v>
      </c>
      <c r="AC27">
        <v>5</v>
      </c>
      <c r="AD27">
        <v>61.54</v>
      </c>
      <c r="AE27">
        <v>13</v>
      </c>
      <c r="AF27">
        <v>5</v>
      </c>
      <c r="AG27">
        <v>3</v>
      </c>
      <c r="AH27">
        <v>5</v>
      </c>
    </row>
    <row r="28" spans="1:34">
      <c r="A28">
        <v>113</v>
      </c>
      <c r="B28">
        <v>4208</v>
      </c>
      <c r="C28" t="s">
        <v>115</v>
      </c>
      <c r="D28" t="s">
        <v>205</v>
      </c>
      <c r="E28">
        <v>2220</v>
      </c>
      <c r="F28">
        <v>2233</v>
      </c>
      <c r="G28">
        <v>400</v>
      </c>
      <c r="H28" t="s">
        <v>206</v>
      </c>
      <c r="I28">
        <v>6301</v>
      </c>
      <c r="J28" t="s">
        <v>109</v>
      </c>
      <c r="K28" t="s">
        <v>214</v>
      </c>
      <c r="L28">
        <v>2423</v>
      </c>
      <c r="M28">
        <v>2427.5</v>
      </c>
      <c r="N28">
        <v>400</v>
      </c>
      <c r="O28" t="s">
        <v>204</v>
      </c>
      <c r="P28">
        <v>0.92936322997616205</v>
      </c>
      <c r="Q28">
        <v>0.92060421866189401</v>
      </c>
      <c r="R28">
        <v>0.14357608477193101</v>
      </c>
      <c r="S28">
        <v>1.1793789898499199E-2</v>
      </c>
      <c r="T28">
        <v>1.6779393093827699</v>
      </c>
      <c r="U28">
        <v>1.6779393093827699</v>
      </c>
      <c r="V28">
        <v>3.31</v>
      </c>
      <c r="W28">
        <v>8.01</v>
      </c>
      <c r="X28">
        <v>346563</v>
      </c>
      <c r="Y28">
        <v>31506</v>
      </c>
      <c r="Z28">
        <v>1.64</v>
      </c>
      <c r="AA28">
        <v>11</v>
      </c>
      <c r="AB28">
        <v>8</v>
      </c>
      <c r="AC28">
        <v>3</v>
      </c>
      <c r="AD28">
        <v>72.73</v>
      </c>
      <c r="AE28">
        <v>12</v>
      </c>
      <c r="AF28">
        <v>7</v>
      </c>
      <c r="AG28">
        <v>0</v>
      </c>
      <c r="AH28">
        <v>4</v>
      </c>
    </row>
    <row r="29" spans="1:34">
      <c r="A29">
        <v>67</v>
      </c>
      <c r="B29">
        <v>7251</v>
      </c>
      <c r="C29" t="s">
        <v>90</v>
      </c>
      <c r="D29" t="s">
        <v>212</v>
      </c>
      <c r="E29">
        <v>1643</v>
      </c>
      <c r="F29">
        <v>1651</v>
      </c>
      <c r="G29">
        <v>600</v>
      </c>
      <c r="H29" t="s">
        <v>206</v>
      </c>
      <c r="I29">
        <v>8601</v>
      </c>
      <c r="J29" t="s">
        <v>92</v>
      </c>
      <c r="K29" t="s">
        <v>227</v>
      </c>
      <c r="L29">
        <v>491.7</v>
      </c>
      <c r="M29">
        <v>494.2</v>
      </c>
      <c r="N29">
        <v>2000</v>
      </c>
      <c r="O29" t="s">
        <v>204</v>
      </c>
      <c r="P29">
        <v>0.94432250301382703</v>
      </c>
      <c r="Q29">
        <v>0.93575739524785495</v>
      </c>
      <c r="R29">
        <v>3.5201490740680803E-2</v>
      </c>
      <c r="S29">
        <v>0.13535924796424401</v>
      </c>
      <c r="T29">
        <v>1.62152475292535</v>
      </c>
      <c r="U29">
        <v>1.62152475292535</v>
      </c>
      <c r="V29">
        <v>4.53</v>
      </c>
      <c r="W29">
        <v>0.22</v>
      </c>
      <c r="X29">
        <v>174349</v>
      </c>
      <c r="Y29">
        <v>10897</v>
      </c>
      <c r="Z29">
        <v>0.56999999999999995</v>
      </c>
      <c r="AA29">
        <v>16</v>
      </c>
      <c r="AB29">
        <v>10</v>
      </c>
      <c r="AC29">
        <v>6</v>
      </c>
      <c r="AD29">
        <v>62.5</v>
      </c>
      <c r="AE29">
        <v>14</v>
      </c>
      <c r="AF29">
        <v>6</v>
      </c>
      <c r="AG29">
        <v>1</v>
      </c>
      <c r="AH29">
        <v>9</v>
      </c>
    </row>
    <row r="30" spans="1:34">
      <c r="A30">
        <v>91</v>
      </c>
      <c r="B30">
        <v>4208</v>
      </c>
      <c r="C30" t="s">
        <v>115</v>
      </c>
      <c r="D30" t="s">
        <v>205</v>
      </c>
      <c r="E30">
        <v>2220</v>
      </c>
      <c r="F30">
        <v>2233</v>
      </c>
      <c r="G30">
        <v>400</v>
      </c>
      <c r="H30" t="s">
        <v>204</v>
      </c>
      <c r="I30">
        <v>5803</v>
      </c>
      <c r="J30" t="s">
        <v>96</v>
      </c>
      <c r="K30" t="s">
        <v>211</v>
      </c>
      <c r="L30">
        <v>430</v>
      </c>
      <c r="M30">
        <v>436</v>
      </c>
      <c r="N30">
        <v>2000</v>
      </c>
      <c r="O30" t="s">
        <v>206</v>
      </c>
      <c r="P30">
        <v>0.93696159820497404</v>
      </c>
      <c r="Q30">
        <v>0.93541568625586302</v>
      </c>
      <c r="R30">
        <v>0.31451368418447001</v>
      </c>
      <c r="S30">
        <v>1.7028744402075999E-2</v>
      </c>
      <c r="T30">
        <v>-1.61831463992904</v>
      </c>
      <c r="U30">
        <v>1.61831463992904</v>
      </c>
      <c r="V30">
        <v>-9.52</v>
      </c>
      <c r="W30">
        <v>2.37</v>
      </c>
      <c r="X30">
        <v>-101142</v>
      </c>
      <c r="Y30">
        <v>-6321</v>
      </c>
      <c r="Z30">
        <v>-0.35</v>
      </c>
      <c r="AA30">
        <v>16</v>
      </c>
      <c r="AB30">
        <v>9</v>
      </c>
      <c r="AC30">
        <v>7</v>
      </c>
      <c r="AD30">
        <v>56.25</v>
      </c>
      <c r="AE30">
        <v>13</v>
      </c>
      <c r="AF30">
        <v>6</v>
      </c>
      <c r="AG30">
        <v>3</v>
      </c>
      <c r="AH30">
        <v>7</v>
      </c>
    </row>
    <row r="31" spans="1:34">
      <c r="A31">
        <v>100</v>
      </c>
      <c r="B31">
        <v>7202</v>
      </c>
      <c r="C31" t="s">
        <v>130</v>
      </c>
      <c r="D31" t="s">
        <v>212</v>
      </c>
      <c r="E31">
        <v>1180</v>
      </c>
      <c r="F31">
        <v>1191.5</v>
      </c>
      <c r="G31">
        <v>700</v>
      </c>
      <c r="H31" t="s">
        <v>204</v>
      </c>
      <c r="I31">
        <v>7267</v>
      </c>
      <c r="J31" t="s">
        <v>131</v>
      </c>
      <c r="K31" t="s">
        <v>212</v>
      </c>
      <c r="L31">
        <v>2800</v>
      </c>
      <c r="M31">
        <v>2828.5</v>
      </c>
      <c r="N31">
        <v>300</v>
      </c>
      <c r="O31" t="s">
        <v>206</v>
      </c>
      <c r="P31">
        <v>0.93492479076075097</v>
      </c>
      <c r="Q31">
        <v>0.91267922882448804</v>
      </c>
      <c r="R31">
        <v>0.13154155009273499</v>
      </c>
      <c r="S31">
        <v>4.8719456006672601E-2</v>
      </c>
      <c r="T31">
        <v>-1.60363151130875</v>
      </c>
      <c r="U31">
        <v>1.60363151130875</v>
      </c>
      <c r="V31">
        <v>-3.46</v>
      </c>
      <c r="W31">
        <v>1.71</v>
      </c>
      <c r="X31">
        <v>88797</v>
      </c>
      <c r="Y31">
        <v>5550</v>
      </c>
      <c r="Z31">
        <v>0.27</v>
      </c>
      <c r="AA31">
        <v>16</v>
      </c>
      <c r="AB31">
        <v>10</v>
      </c>
      <c r="AC31">
        <v>6</v>
      </c>
      <c r="AD31">
        <v>62.5</v>
      </c>
      <c r="AE31">
        <v>15</v>
      </c>
      <c r="AF31">
        <v>2</v>
      </c>
      <c r="AG31">
        <v>2</v>
      </c>
      <c r="AH31">
        <v>12</v>
      </c>
    </row>
    <row r="32" spans="1:34">
      <c r="A32">
        <v>20</v>
      </c>
      <c r="B32">
        <v>4208</v>
      </c>
      <c r="C32" t="s">
        <v>115</v>
      </c>
      <c r="D32" t="s">
        <v>205</v>
      </c>
      <c r="E32">
        <v>2220</v>
      </c>
      <c r="F32">
        <v>2233</v>
      </c>
      <c r="G32">
        <v>500</v>
      </c>
      <c r="H32" t="s">
        <v>206</v>
      </c>
      <c r="I32">
        <v>6371</v>
      </c>
      <c r="J32" t="s">
        <v>121</v>
      </c>
      <c r="K32" t="s">
        <v>214</v>
      </c>
      <c r="L32">
        <v>3445</v>
      </c>
      <c r="M32">
        <v>3460</v>
      </c>
      <c r="N32">
        <v>300</v>
      </c>
      <c r="O32" t="s">
        <v>204</v>
      </c>
      <c r="P32">
        <v>0.95716289389803899</v>
      </c>
      <c r="Q32">
        <v>0.94000773246262403</v>
      </c>
      <c r="R32">
        <v>0.217676980152225</v>
      </c>
      <c r="S32">
        <v>3.7802284181005798E-3</v>
      </c>
      <c r="T32">
        <v>1.59490083492694</v>
      </c>
      <c r="U32">
        <v>1.59490083492694</v>
      </c>
      <c r="V32">
        <v>2.08</v>
      </c>
      <c r="W32">
        <v>7.56</v>
      </c>
      <c r="X32">
        <v>73866</v>
      </c>
      <c r="Y32">
        <v>5682</v>
      </c>
      <c r="Z32">
        <v>0.23</v>
      </c>
      <c r="AA32">
        <v>13</v>
      </c>
      <c r="AB32">
        <v>8</v>
      </c>
      <c r="AC32">
        <v>5</v>
      </c>
      <c r="AD32">
        <v>61.54</v>
      </c>
      <c r="AE32">
        <v>13</v>
      </c>
      <c r="AF32">
        <v>4</v>
      </c>
      <c r="AG32">
        <v>4</v>
      </c>
      <c r="AH32">
        <v>5</v>
      </c>
    </row>
    <row r="33" spans="1:34">
      <c r="A33">
        <v>54</v>
      </c>
      <c r="B33">
        <v>4634</v>
      </c>
      <c r="C33" t="s">
        <v>233</v>
      </c>
      <c r="D33" t="s">
        <v>205</v>
      </c>
      <c r="E33">
        <v>2515</v>
      </c>
      <c r="F33">
        <v>2524</v>
      </c>
      <c r="G33">
        <v>400</v>
      </c>
      <c r="H33" t="s">
        <v>206</v>
      </c>
      <c r="I33">
        <v>6995</v>
      </c>
      <c r="J33" t="s">
        <v>104</v>
      </c>
      <c r="K33" t="s">
        <v>212</v>
      </c>
      <c r="L33">
        <v>1852</v>
      </c>
      <c r="M33">
        <v>1861</v>
      </c>
      <c r="N33">
        <v>500</v>
      </c>
      <c r="O33" t="s">
        <v>204</v>
      </c>
      <c r="P33">
        <v>0.947514763632053</v>
      </c>
      <c r="Q33">
        <v>0.91800888369506795</v>
      </c>
      <c r="R33">
        <v>0.106289084002556</v>
      </c>
      <c r="S33">
        <v>0.26773114382581598</v>
      </c>
      <c r="T33">
        <v>1.59075167370256</v>
      </c>
      <c r="U33">
        <v>1.59075167370256</v>
      </c>
      <c r="V33">
        <v>2.99</v>
      </c>
      <c r="W33">
        <v>7.83</v>
      </c>
      <c r="X33">
        <v>10445</v>
      </c>
      <c r="Y33">
        <v>696</v>
      </c>
      <c r="Z33">
        <v>-0.05</v>
      </c>
      <c r="AA33">
        <v>15</v>
      </c>
      <c r="AB33">
        <v>8</v>
      </c>
      <c r="AC33">
        <v>7</v>
      </c>
      <c r="AD33">
        <v>53.33</v>
      </c>
      <c r="AE33">
        <v>13</v>
      </c>
      <c r="AF33">
        <v>3</v>
      </c>
      <c r="AG33">
        <v>3</v>
      </c>
      <c r="AH33">
        <v>9</v>
      </c>
    </row>
    <row r="34" spans="1:34">
      <c r="A34">
        <v>51</v>
      </c>
      <c r="B34">
        <v>8359</v>
      </c>
      <c r="C34" t="s">
        <v>265</v>
      </c>
      <c r="D34" t="s">
        <v>209</v>
      </c>
      <c r="E34">
        <v>447</v>
      </c>
      <c r="F34">
        <v>451</v>
      </c>
      <c r="G34">
        <v>2400</v>
      </c>
      <c r="H34" t="s">
        <v>206</v>
      </c>
      <c r="I34">
        <v>8385</v>
      </c>
      <c r="J34" t="s">
        <v>106</v>
      </c>
      <c r="K34" t="s">
        <v>209</v>
      </c>
      <c r="L34">
        <v>555</v>
      </c>
      <c r="M34">
        <v>558</v>
      </c>
      <c r="N34">
        <v>1900</v>
      </c>
      <c r="O34" t="s">
        <v>204</v>
      </c>
      <c r="P34">
        <v>0.94887868229018701</v>
      </c>
      <c r="Q34">
        <v>0.93144736072484602</v>
      </c>
      <c r="R34">
        <v>0.107622180390662</v>
      </c>
      <c r="S34">
        <v>3.1678568408003399E-2</v>
      </c>
      <c r="T34">
        <v>1.5784128598034299</v>
      </c>
      <c r="U34">
        <v>1.5784128598034299</v>
      </c>
      <c r="V34">
        <v>3.48</v>
      </c>
      <c r="W34">
        <v>2.09</v>
      </c>
      <c r="X34">
        <v>262660</v>
      </c>
      <c r="Y34">
        <v>16416</v>
      </c>
      <c r="Z34">
        <v>0.76</v>
      </c>
      <c r="AA34">
        <v>16</v>
      </c>
      <c r="AB34">
        <v>10</v>
      </c>
      <c r="AC34">
        <v>6</v>
      </c>
      <c r="AD34">
        <v>62.5</v>
      </c>
      <c r="AE34">
        <v>14</v>
      </c>
      <c r="AF34">
        <v>5</v>
      </c>
      <c r="AG34">
        <v>1</v>
      </c>
      <c r="AH34">
        <v>10</v>
      </c>
    </row>
    <row r="35" spans="1:34">
      <c r="A35">
        <v>197</v>
      </c>
      <c r="B35">
        <v>8309</v>
      </c>
      <c r="C35" t="s">
        <v>88</v>
      </c>
      <c r="D35" t="s">
        <v>209</v>
      </c>
      <c r="E35">
        <v>3719</v>
      </c>
      <c r="F35">
        <v>3741</v>
      </c>
      <c r="G35">
        <v>200</v>
      </c>
      <c r="H35" t="s">
        <v>204</v>
      </c>
      <c r="I35">
        <v>8385</v>
      </c>
      <c r="J35" t="s">
        <v>106</v>
      </c>
      <c r="K35" t="s">
        <v>209</v>
      </c>
      <c r="L35">
        <v>555</v>
      </c>
      <c r="M35">
        <v>558</v>
      </c>
      <c r="N35">
        <v>1300</v>
      </c>
      <c r="O35" t="s">
        <v>206</v>
      </c>
      <c r="P35">
        <v>0.90496980330390797</v>
      </c>
      <c r="Q35">
        <v>0.93752006151620804</v>
      </c>
      <c r="R35" s="39">
        <v>6.6313290594152094E-5</v>
      </c>
      <c r="S35">
        <v>0.122263688924308</v>
      </c>
      <c r="T35">
        <v>-1.5498439494744101</v>
      </c>
      <c r="U35">
        <v>1.5498439494744101</v>
      </c>
      <c r="V35">
        <v>-3.83</v>
      </c>
      <c r="W35">
        <v>3.05</v>
      </c>
      <c r="X35">
        <v>-86749</v>
      </c>
      <c r="Y35">
        <v>-5103</v>
      </c>
      <c r="Z35">
        <v>-0.27</v>
      </c>
      <c r="AA35">
        <v>17</v>
      </c>
      <c r="AB35">
        <v>8</v>
      </c>
      <c r="AC35">
        <v>9</v>
      </c>
      <c r="AD35">
        <v>47.06</v>
      </c>
      <c r="AE35">
        <v>16</v>
      </c>
      <c r="AF35">
        <v>2</v>
      </c>
      <c r="AG35">
        <v>3</v>
      </c>
      <c r="AH35">
        <v>12</v>
      </c>
    </row>
    <row r="36" spans="1:34">
      <c r="A36">
        <v>155</v>
      </c>
      <c r="B36">
        <v>3291</v>
      </c>
      <c r="C36" t="s">
        <v>263</v>
      </c>
      <c r="D36" t="s">
        <v>264</v>
      </c>
      <c r="E36">
        <v>1710</v>
      </c>
      <c r="F36">
        <v>1726</v>
      </c>
      <c r="G36">
        <v>600</v>
      </c>
      <c r="H36" t="s">
        <v>204</v>
      </c>
      <c r="I36">
        <v>5802</v>
      </c>
      <c r="J36" t="s">
        <v>114</v>
      </c>
      <c r="K36" t="s">
        <v>211</v>
      </c>
      <c r="L36">
        <v>1372</v>
      </c>
      <c r="M36">
        <v>1385</v>
      </c>
      <c r="N36">
        <v>700</v>
      </c>
      <c r="O36" t="s">
        <v>206</v>
      </c>
      <c r="P36">
        <v>0.91369221230957398</v>
      </c>
      <c r="Q36">
        <v>0.93582250577670301</v>
      </c>
      <c r="R36">
        <v>0.106866220058702</v>
      </c>
      <c r="S36">
        <v>2.0450809199882101E-2</v>
      </c>
      <c r="T36">
        <v>-1.5388602810095</v>
      </c>
      <c r="U36">
        <v>1.5388602810095</v>
      </c>
      <c r="V36">
        <v>-4.24</v>
      </c>
      <c r="W36">
        <v>6.38</v>
      </c>
      <c r="X36">
        <v>189515</v>
      </c>
      <c r="Y36">
        <v>9476</v>
      </c>
      <c r="Z36">
        <v>0.48</v>
      </c>
      <c r="AA36">
        <v>20</v>
      </c>
      <c r="AB36">
        <v>13</v>
      </c>
      <c r="AC36">
        <v>7</v>
      </c>
      <c r="AD36">
        <v>65</v>
      </c>
      <c r="AE36">
        <v>15</v>
      </c>
      <c r="AF36">
        <v>6</v>
      </c>
      <c r="AG36">
        <v>2</v>
      </c>
      <c r="AH36">
        <v>12</v>
      </c>
    </row>
    <row r="37" spans="1:34">
      <c r="A37">
        <v>15</v>
      </c>
      <c r="B37">
        <v>5201</v>
      </c>
      <c r="C37" t="s">
        <v>221</v>
      </c>
      <c r="D37" t="s">
        <v>213</v>
      </c>
      <c r="E37">
        <v>3370</v>
      </c>
      <c r="F37">
        <v>3405</v>
      </c>
      <c r="G37">
        <v>300</v>
      </c>
      <c r="H37" t="s">
        <v>204</v>
      </c>
      <c r="I37">
        <v>7012</v>
      </c>
      <c r="J37" t="s">
        <v>93</v>
      </c>
      <c r="K37" t="s">
        <v>212</v>
      </c>
      <c r="L37">
        <v>2438</v>
      </c>
      <c r="M37">
        <v>2447</v>
      </c>
      <c r="N37">
        <v>400</v>
      </c>
      <c r="O37" t="s">
        <v>206</v>
      </c>
      <c r="P37">
        <v>0.96044655091870701</v>
      </c>
      <c r="Q37">
        <v>0.94394944419788795</v>
      </c>
      <c r="R37">
        <v>0.18944935368733901</v>
      </c>
      <c r="S37">
        <v>3.5427874208554702E-3</v>
      </c>
      <c r="T37">
        <v>-1.52611604911906</v>
      </c>
      <c r="U37">
        <v>1.52611604911906</v>
      </c>
      <c r="V37">
        <v>-3.84</v>
      </c>
      <c r="W37">
        <v>4.18</v>
      </c>
      <c r="X37">
        <v>54740</v>
      </c>
      <c r="Y37">
        <v>5474</v>
      </c>
      <c r="Z37">
        <v>0.28999999999999998</v>
      </c>
      <c r="AA37">
        <v>10</v>
      </c>
      <c r="AB37">
        <v>5</v>
      </c>
      <c r="AC37">
        <v>5</v>
      </c>
      <c r="AD37">
        <v>50</v>
      </c>
      <c r="AE37">
        <v>15</v>
      </c>
      <c r="AF37">
        <v>2</v>
      </c>
      <c r="AG37">
        <v>0</v>
      </c>
      <c r="AH37">
        <v>8</v>
      </c>
    </row>
    <row r="38" spans="1:34">
      <c r="A38">
        <v>93</v>
      </c>
      <c r="B38">
        <v>8273</v>
      </c>
      <c r="C38" t="s">
        <v>113</v>
      </c>
      <c r="D38" t="s">
        <v>208</v>
      </c>
      <c r="E38">
        <v>4165</v>
      </c>
      <c r="F38">
        <v>4160</v>
      </c>
      <c r="G38">
        <v>200</v>
      </c>
      <c r="H38" t="s">
        <v>204</v>
      </c>
      <c r="I38">
        <v>8385</v>
      </c>
      <c r="J38" t="s">
        <v>106</v>
      </c>
      <c r="K38" t="s">
        <v>209</v>
      </c>
      <c r="L38">
        <v>555</v>
      </c>
      <c r="M38">
        <v>558</v>
      </c>
      <c r="N38">
        <v>1500</v>
      </c>
      <c r="O38" t="s">
        <v>206</v>
      </c>
      <c r="P38">
        <v>0.93620580107731599</v>
      </c>
      <c r="Q38">
        <v>0.91604473609240999</v>
      </c>
      <c r="R38">
        <v>0.28365791958106401</v>
      </c>
      <c r="S38">
        <v>5.9409820157263198E-2</v>
      </c>
      <c r="T38">
        <v>-1.48513824560105</v>
      </c>
      <c r="U38">
        <v>1.48513824560105</v>
      </c>
      <c r="V38">
        <v>-3.99</v>
      </c>
      <c r="W38">
        <v>0.6</v>
      </c>
      <c r="X38">
        <v>148328</v>
      </c>
      <c r="Y38">
        <v>9889</v>
      </c>
      <c r="Z38">
        <v>0.77</v>
      </c>
      <c r="AA38">
        <v>15</v>
      </c>
      <c r="AB38">
        <v>8</v>
      </c>
      <c r="AC38">
        <v>7</v>
      </c>
      <c r="AD38">
        <v>53.33</v>
      </c>
      <c r="AE38">
        <v>14</v>
      </c>
      <c r="AF38">
        <v>6</v>
      </c>
      <c r="AG38">
        <v>3</v>
      </c>
      <c r="AH38">
        <v>6</v>
      </c>
    </row>
    <row r="39" spans="1:34">
      <c r="A39">
        <v>24</v>
      </c>
      <c r="B39">
        <v>4182</v>
      </c>
      <c r="C39" t="s">
        <v>124</v>
      </c>
      <c r="D39" t="s">
        <v>205</v>
      </c>
      <c r="E39">
        <v>1489</v>
      </c>
      <c r="F39">
        <v>1498</v>
      </c>
      <c r="G39">
        <v>700</v>
      </c>
      <c r="H39" t="s">
        <v>206</v>
      </c>
      <c r="I39">
        <v>6472</v>
      </c>
      <c r="J39" t="s">
        <v>116</v>
      </c>
      <c r="K39" t="s">
        <v>214</v>
      </c>
      <c r="L39">
        <v>317</v>
      </c>
      <c r="M39">
        <v>322</v>
      </c>
      <c r="N39">
        <v>3300</v>
      </c>
      <c r="O39" t="s">
        <v>204</v>
      </c>
      <c r="P39">
        <v>0.95626131567259498</v>
      </c>
      <c r="Q39">
        <v>0.93756082672028995</v>
      </c>
      <c r="R39">
        <v>6.7455439782986099E-2</v>
      </c>
      <c r="S39">
        <v>0.149330501840853</v>
      </c>
      <c r="T39">
        <v>1.4666601039799101</v>
      </c>
      <c r="U39">
        <v>1.4666601039799101</v>
      </c>
      <c r="V39">
        <v>2.82</v>
      </c>
      <c r="W39">
        <v>1.34</v>
      </c>
      <c r="X39">
        <v>54769</v>
      </c>
      <c r="Y39">
        <v>3222</v>
      </c>
      <c r="Z39">
        <v>0.16</v>
      </c>
      <c r="AA39">
        <v>17</v>
      </c>
      <c r="AB39">
        <v>9</v>
      </c>
      <c r="AC39">
        <v>8</v>
      </c>
      <c r="AD39">
        <v>52.94</v>
      </c>
      <c r="AE39">
        <v>13</v>
      </c>
      <c r="AF39">
        <v>6</v>
      </c>
      <c r="AG39">
        <v>4</v>
      </c>
      <c r="AH39">
        <v>7</v>
      </c>
    </row>
    <row r="40" spans="1:34">
      <c r="A40">
        <v>30</v>
      </c>
      <c r="B40">
        <v>7186</v>
      </c>
      <c r="C40" t="s">
        <v>87</v>
      </c>
      <c r="D40" t="s">
        <v>209</v>
      </c>
      <c r="E40">
        <v>410</v>
      </c>
      <c r="F40">
        <v>410</v>
      </c>
      <c r="G40">
        <v>2000</v>
      </c>
      <c r="H40" t="s">
        <v>206</v>
      </c>
      <c r="I40">
        <v>8273</v>
      </c>
      <c r="J40" t="s">
        <v>113</v>
      </c>
      <c r="K40" t="s">
        <v>208</v>
      </c>
      <c r="L40">
        <v>4165</v>
      </c>
      <c r="M40">
        <v>4160</v>
      </c>
      <c r="N40">
        <v>200</v>
      </c>
      <c r="O40" t="s">
        <v>204</v>
      </c>
      <c r="P40">
        <v>0.95462565494092999</v>
      </c>
      <c r="Q40">
        <v>0.93228384167358902</v>
      </c>
      <c r="R40">
        <v>4.8632393612256297E-2</v>
      </c>
      <c r="S40">
        <v>1.71591131010966E-2</v>
      </c>
      <c r="T40">
        <v>1.4637615857025601</v>
      </c>
      <c r="U40">
        <v>1.4637615857025601</v>
      </c>
      <c r="V40">
        <v>4.4000000000000004</v>
      </c>
      <c r="W40">
        <v>1.44</v>
      </c>
      <c r="X40">
        <v>394867</v>
      </c>
      <c r="Y40">
        <v>24679</v>
      </c>
      <c r="Z40">
        <v>1.71</v>
      </c>
      <c r="AA40">
        <v>16</v>
      </c>
      <c r="AB40">
        <v>12</v>
      </c>
      <c r="AC40">
        <v>4</v>
      </c>
      <c r="AD40">
        <v>75</v>
      </c>
      <c r="AE40">
        <v>12</v>
      </c>
      <c r="AF40">
        <v>8</v>
      </c>
      <c r="AG40">
        <v>3</v>
      </c>
      <c r="AH40">
        <v>5</v>
      </c>
    </row>
    <row r="41" spans="1:34">
      <c r="A41">
        <v>181</v>
      </c>
      <c r="B41">
        <v>2914</v>
      </c>
      <c r="C41" t="s">
        <v>255</v>
      </c>
      <c r="D41" t="s">
        <v>248</v>
      </c>
      <c r="E41">
        <v>2381</v>
      </c>
      <c r="F41">
        <v>2369.5</v>
      </c>
      <c r="G41">
        <v>200</v>
      </c>
      <c r="H41" t="s">
        <v>206</v>
      </c>
      <c r="I41">
        <v>4507</v>
      </c>
      <c r="J41" t="s">
        <v>128</v>
      </c>
      <c r="K41" t="s">
        <v>231</v>
      </c>
      <c r="L41">
        <v>5940</v>
      </c>
      <c r="M41">
        <v>5884</v>
      </c>
      <c r="N41">
        <v>100</v>
      </c>
      <c r="O41" t="s">
        <v>204</v>
      </c>
      <c r="P41">
        <v>0.90799468844503695</v>
      </c>
      <c r="Q41">
        <v>0.92316623955474597</v>
      </c>
      <c r="R41">
        <v>1.6440344274007E-2</v>
      </c>
      <c r="S41">
        <v>3.5227155812485401E-2</v>
      </c>
      <c r="T41">
        <v>1.4579099050234801</v>
      </c>
      <c r="U41">
        <v>1.4579099050234801</v>
      </c>
      <c r="V41">
        <v>2.19</v>
      </c>
      <c r="W41">
        <v>19.46</v>
      </c>
      <c r="X41">
        <v>-30523</v>
      </c>
      <c r="Y41">
        <v>-5087</v>
      </c>
      <c r="Z41">
        <v>-0.76</v>
      </c>
      <c r="AA41">
        <v>6</v>
      </c>
      <c r="AB41">
        <v>3</v>
      </c>
      <c r="AC41">
        <v>3</v>
      </c>
      <c r="AD41">
        <v>50</v>
      </c>
      <c r="AE41">
        <v>11</v>
      </c>
      <c r="AF41">
        <v>2</v>
      </c>
      <c r="AG41">
        <v>3</v>
      </c>
      <c r="AH41">
        <v>1</v>
      </c>
    </row>
    <row r="42" spans="1:34">
      <c r="A42">
        <v>194</v>
      </c>
      <c r="B42">
        <v>7731</v>
      </c>
      <c r="C42" t="s">
        <v>110</v>
      </c>
      <c r="D42" t="s">
        <v>228</v>
      </c>
      <c r="E42">
        <v>1307</v>
      </c>
      <c r="F42">
        <v>1345</v>
      </c>
      <c r="G42">
        <v>800</v>
      </c>
      <c r="H42" t="s">
        <v>204</v>
      </c>
      <c r="I42">
        <v>8377</v>
      </c>
      <c r="J42" t="s">
        <v>95</v>
      </c>
      <c r="K42" t="s">
        <v>209</v>
      </c>
      <c r="L42">
        <v>1032</v>
      </c>
      <c r="M42">
        <v>1036</v>
      </c>
      <c r="N42">
        <v>1000</v>
      </c>
      <c r="O42" t="s">
        <v>206</v>
      </c>
      <c r="P42">
        <v>0.90523214765741999</v>
      </c>
      <c r="Q42">
        <v>0.90573277505705796</v>
      </c>
      <c r="R42">
        <v>0.35399387392065701</v>
      </c>
      <c r="S42">
        <v>7.9332251291713604E-2</v>
      </c>
      <c r="T42">
        <v>-1.45323085289275</v>
      </c>
      <c r="U42">
        <v>1.45323085289275</v>
      </c>
      <c r="V42">
        <v>-3.89</v>
      </c>
      <c r="W42">
        <v>3.72</v>
      </c>
      <c r="X42">
        <v>-169459</v>
      </c>
      <c r="Y42">
        <v>-10591</v>
      </c>
      <c r="Z42">
        <v>-0.52</v>
      </c>
      <c r="AA42">
        <v>16</v>
      </c>
      <c r="AB42">
        <v>7</v>
      </c>
      <c r="AC42">
        <v>9</v>
      </c>
      <c r="AD42">
        <v>43.75</v>
      </c>
      <c r="AE42">
        <v>12</v>
      </c>
      <c r="AF42">
        <v>3</v>
      </c>
      <c r="AG42">
        <v>7</v>
      </c>
      <c r="AH42">
        <v>6</v>
      </c>
    </row>
    <row r="43" spans="1:34">
      <c r="A43">
        <v>103</v>
      </c>
      <c r="B43">
        <v>1963</v>
      </c>
      <c r="C43" t="s">
        <v>236</v>
      </c>
      <c r="D43" t="s">
        <v>230</v>
      </c>
      <c r="E43">
        <v>1411</v>
      </c>
      <c r="F43">
        <v>1438</v>
      </c>
      <c r="G43">
        <v>700</v>
      </c>
      <c r="H43" t="s">
        <v>206</v>
      </c>
      <c r="I43">
        <v>6752</v>
      </c>
      <c r="J43" t="s">
        <v>126</v>
      </c>
      <c r="K43" t="s">
        <v>215</v>
      </c>
      <c r="L43">
        <v>874.4</v>
      </c>
      <c r="M43">
        <v>877.9</v>
      </c>
      <c r="N43">
        <v>1100</v>
      </c>
      <c r="O43" t="s">
        <v>204</v>
      </c>
      <c r="P43">
        <v>0.93333119525186903</v>
      </c>
      <c r="Q43">
        <v>0.91485396900826998</v>
      </c>
      <c r="R43">
        <v>5.3122118891154799E-3</v>
      </c>
      <c r="S43">
        <v>0.39723017712368502</v>
      </c>
      <c r="T43">
        <v>1.4515116181952401</v>
      </c>
      <c r="U43">
        <v>1.4515116181952401</v>
      </c>
      <c r="V43">
        <v>4.5199999999999996</v>
      </c>
      <c r="W43">
        <v>4.0599999999999996</v>
      </c>
      <c r="X43">
        <v>-294651</v>
      </c>
      <c r="Y43">
        <v>-12811</v>
      </c>
      <c r="Z43">
        <v>-0.66</v>
      </c>
      <c r="AA43">
        <v>23</v>
      </c>
      <c r="AB43">
        <v>8</v>
      </c>
      <c r="AC43">
        <v>15</v>
      </c>
      <c r="AD43">
        <v>34.78</v>
      </c>
      <c r="AE43">
        <v>11</v>
      </c>
      <c r="AF43">
        <v>8</v>
      </c>
      <c r="AG43">
        <v>12</v>
      </c>
      <c r="AH43">
        <v>3</v>
      </c>
    </row>
    <row r="44" spans="1:34">
      <c r="A44">
        <v>134</v>
      </c>
      <c r="B44">
        <v>4401</v>
      </c>
      <c r="C44" t="s">
        <v>170</v>
      </c>
      <c r="D44" t="s">
        <v>205</v>
      </c>
      <c r="E44">
        <v>1416</v>
      </c>
      <c r="F44">
        <v>1417</v>
      </c>
      <c r="G44">
        <v>700</v>
      </c>
      <c r="H44" t="s">
        <v>206</v>
      </c>
      <c r="I44">
        <v>6178</v>
      </c>
      <c r="J44" t="s">
        <v>150</v>
      </c>
      <c r="K44" t="s">
        <v>256</v>
      </c>
      <c r="L44">
        <v>981</v>
      </c>
      <c r="M44">
        <v>981</v>
      </c>
      <c r="N44">
        <v>1000</v>
      </c>
      <c r="O44" t="s">
        <v>204</v>
      </c>
      <c r="P44">
        <v>0.92034427232900495</v>
      </c>
      <c r="Q44">
        <v>0.90761195860783805</v>
      </c>
      <c r="R44">
        <v>7.1196383032900599E-3</v>
      </c>
      <c r="S44">
        <v>8.4199301142789604E-2</v>
      </c>
      <c r="T44">
        <v>1.4213275478254499</v>
      </c>
      <c r="U44">
        <v>1.4213275478254499</v>
      </c>
      <c r="V44">
        <v>5.73</v>
      </c>
      <c r="W44">
        <v>1.1000000000000001</v>
      </c>
      <c r="X44">
        <v>76490</v>
      </c>
      <c r="Y44">
        <v>4249</v>
      </c>
      <c r="Z44">
        <v>0.21</v>
      </c>
      <c r="AA44">
        <v>18</v>
      </c>
      <c r="AB44">
        <v>10</v>
      </c>
      <c r="AC44">
        <v>8</v>
      </c>
      <c r="AD44">
        <v>55.56</v>
      </c>
      <c r="AE44">
        <v>12</v>
      </c>
      <c r="AF44">
        <v>4</v>
      </c>
      <c r="AG44">
        <v>4</v>
      </c>
      <c r="AH44">
        <v>10</v>
      </c>
    </row>
    <row r="45" spans="1:34">
      <c r="A45">
        <v>154</v>
      </c>
      <c r="B45">
        <v>2768</v>
      </c>
      <c r="C45" t="s">
        <v>254</v>
      </c>
      <c r="D45" t="s">
        <v>234</v>
      </c>
      <c r="E45">
        <v>329</v>
      </c>
      <c r="F45">
        <v>330</v>
      </c>
      <c r="G45">
        <v>3200</v>
      </c>
      <c r="H45" t="s">
        <v>204</v>
      </c>
      <c r="I45">
        <v>7202</v>
      </c>
      <c r="J45" t="s">
        <v>130</v>
      </c>
      <c r="K45" t="s">
        <v>212</v>
      </c>
      <c r="L45">
        <v>1180</v>
      </c>
      <c r="M45">
        <v>1191.5</v>
      </c>
      <c r="N45">
        <v>900</v>
      </c>
      <c r="O45" t="s">
        <v>206</v>
      </c>
      <c r="P45">
        <v>0.91386616939589405</v>
      </c>
      <c r="Q45">
        <v>0.95007551761250997</v>
      </c>
      <c r="R45">
        <v>4.1707130489905299E-2</v>
      </c>
      <c r="S45">
        <v>1.5519932301642799E-2</v>
      </c>
      <c r="T45">
        <v>-1.4176254130056201</v>
      </c>
      <c r="U45">
        <v>1.4176254130056201</v>
      </c>
      <c r="V45">
        <v>-3.02</v>
      </c>
      <c r="W45">
        <v>1.52</v>
      </c>
      <c r="X45">
        <v>159888</v>
      </c>
      <c r="Y45">
        <v>8883</v>
      </c>
      <c r="Z45">
        <v>0.4</v>
      </c>
      <c r="AA45">
        <v>18</v>
      </c>
      <c r="AB45">
        <v>12</v>
      </c>
      <c r="AC45">
        <v>6</v>
      </c>
      <c r="AD45">
        <v>66.67</v>
      </c>
      <c r="AE45">
        <v>13</v>
      </c>
      <c r="AF45">
        <v>5</v>
      </c>
      <c r="AG45">
        <v>3</v>
      </c>
      <c r="AH45">
        <v>10</v>
      </c>
    </row>
    <row r="46" spans="1:34">
      <c r="A46">
        <v>131</v>
      </c>
      <c r="B46">
        <v>1944</v>
      </c>
      <c r="C46" t="s">
        <v>259</v>
      </c>
      <c r="D46" t="s">
        <v>230</v>
      </c>
      <c r="E46">
        <v>1590</v>
      </c>
      <c r="F46">
        <v>1593</v>
      </c>
      <c r="G46">
        <v>600</v>
      </c>
      <c r="H46" t="s">
        <v>204</v>
      </c>
      <c r="I46">
        <v>9072</v>
      </c>
      <c r="J46" t="s">
        <v>135</v>
      </c>
      <c r="K46" t="s">
        <v>246</v>
      </c>
      <c r="L46">
        <v>2500</v>
      </c>
      <c r="M46">
        <v>2504</v>
      </c>
      <c r="N46">
        <v>400</v>
      </c>
      <c r="O46" t="s">
        <v>206</v>
      </c>
      <c r="P46">
        <v>0.92168069370489003</v>
      </c>
      <c r="Q46">
        <v>0.92448422434595001</v>
      </c>
      <c r="R46">
        <v>0.102463868878662</v>
      </c>
      <c r="S46">
        <v>3.37513693466839E-2</v>
      </c>
      <c r="T46">
        <v>-1.4140679971651</v>
      </c>
      <c r="U46">
        <v>1.4140679971651</v>
      </c>
      <c r="V46">
        <v>-2.0699999999999998</v>
      </c>
      <c r="W46">
        <v>4.57</v>
      </c>
      <c r="X46">
        <v>165359</v>
      </c>
      <c r="Y46">
        <v>11811</v>
      </c>
      <c r="Z46">
        <v>0.63</v>
      </c>
      <c r="AA46">
        <v>14</v>
      </c>
      <c r="AB46">
        <v>7</v>
      </c>
      <c r="AC46">
        <v>7</v>
      </c>
      <c r="AD46">
        <v>50</v>
      </c>
      <c r="AE46">
        <v>14</v>
      </c>
      <c r="AF46">
        <v>3</v>
      </c>
      <c r="AG46">
        <v>2</v>
      </c>
      <c r="AH46">
        <v>9</v>
      </c>
    </row>
    <row r="47" spans="1:34">
      <c r="A47">
        <v>18</v>
      </c>
      <c r="B47">
        <v>4182</v>
      </c>
      <c r="C47" t="s">
        <v>124</v>
      </c>
      <c r="D47" t="s">
        <v>205</v>
      </c>
      <c r="E47">
        <v>1489</v>
      </c>
      <c r="F47">
        <v>1498</v>
      </c>
      <c r="G47">
        <v>600</v>
      </c>
      <c r="H47" t="s">
        <v>206</v>
      </c>
      <c r="I47">
        <v>6995</v>
      </c>
      <c r="J47" t="s">
        <v>104</v>
      </c>
      <c r="K47" t="s">
        <v>212</v>
      </c>
      <c r="L47">
        <v>1852</v>
      </c>
      <c r="M47">
        <v>1861</v>
      </c>
      <c r="N47">
        <v>500</v>
      </c>
      <c r="O47" t="s">
        <v>204</v>
      </c>
      <c r="P47">
        <v>0.959000064267718</v>
      </c>
      <c r="Q47">
        <v>0.91656503715317805</v>
      </c>
      <c r="R47">
        <v>0.117977358338509</v>
      </c>
      <c r="S47">
        <v>7.0214336091538002E-2</v>
      </c>
      <c r="T47">
        <v>1.40314307421105</v>
      </c>
      <c r="U47">
        <v>1.40314307421105</v>
      </c>
      <c r="V47">
        <v>3.46</v>
      </c>
      <c r="W47">
        <v>3.41</v>
      </c>
      <c r="X47">
        <v>18187</v>
      </c>
      <c r="Y47">
        <v>1516</v>
      </c>
      <c r="Z47">
        <v>0.06</v>
      </c>
      <c r="AA47">
        <v>12</v>
      </c>
      <c r="AB47">
        <v>8</v>
      </c>
      <c r="AC47">
        <v>4</v>
      </c>
      <c r="AD47">
        <v>66.67</v>
      </c>
      <c r="AE47">
        <v>15</v>
      </c>
      <c r="AF47">
        <v>3</v>
      </c>
      <c r="AG47">
        <v>2</v>
      </c>
      <c r="AH47">
        <v>7</v>
      </c>
    </row>
    <row r="48" spans="1:34">
      <c r="A48">
        <v>114</v>
      </c>
      <c r="B48">
        <v>5802</v>
      </c>
      <c r="C48" t="s">
        <v>114</v>
      </c>
      <c r="D48" t="s">
        <v>211</v>
      </c>
      <c r="E48">
        <v>1372</v>
      </c>
      <c r="F48">
        <v>1385</v>
      </c>
      <c r="G48">
        <v>700</v>
      </c>
      <c r="H48" t="s">
        <v>206</v>
      </c>
      <c r="I48">
        <v>7202</v>
      </c>
      <c r="J48" t="s">
        <v>130</v>
      </c>
      <c r="K48" t="s">
        <v>212</v>
      </c>
      <c r="L48">
        <v>1180</v>
      </c>
      <c r="M48">
        <v>1191.5</v>
      </c>
      <c r="N48">
        <v>800</v>
      </c>
      <c r="O48" t="s">
        <v>204</v>
      </c>
      <c r="P48">
        <v>0.92821595645511301</v>
      </c>
      <c r="Q48">
        <v>0.90845232681324695</v>
      </c>
      <c r="R48">
        <v>0.31794769260161099</v>
      </c>
      <c r="S48">
        <v>7.7207159113387894E-2</v>
      </c>
      <c r="T48">
        <v>1.39071963383511</v>
      </c>
      <c r="U48">
        <v>1.39071963383511</v>
      </c>
      <c r="V48">
        <v>3.06</v>
      </c>
      <c r="W48">
        <v>1.68</v>
      </c>
      <c r="X48">
        <v>50699</v>
      </c>
      <c r="Y48">
        <v>3900</v>
      </c>
      <c r="Z48">
        <v>0.2</v>
      </c>
      <c r="AA48">
        <v>13</v>
      </c>
      <c r="AB48">
        <v>8</v>
      </c>
      <c r="AC48">
        <v>5</v>
      </c>
      <c r="AD48">
        <v>61.54</v>
      </c>
      <c r="AE48">
        <v>15</v>
      </c>
      <c r="AF48">
        <v>3</v>
      </c>
      <c r="AG48">
        <v>1</v>
      </c>
      <c r="AH48">
        <v>9</v>
      </c>
    </row>
    <row r="49" spans="1:34">
      <c r="A49">
        <v>177</v>
      </c>
      <c r="B49">
        <v>5471</v>
      </c>
      <c r="C49" t="s">
        <v>102</v>
      </c>
      <c r="D49" t="s">
        <v>223</v>
      </c>
      <c r="E49">
        <v>4520</v>
      </c>
      <c r="F49">
        <v>4520</v>
      </c>
      <c r="G49">
        <v>200</v>
      </c>
      <c r="H49" t="s">
        <v>206</v>
      </c>
      <c r="I49">
        <v>6923</v>
      </c>
      <c r="J49" t="s">
        <v>111</v>
      </c>
      <c r="K49" t="s">
        <v>215</v>
      </c>
      <c r="L49">
        <v>2871</v>
      </c>
      <c r="M49">
        <v>2908</v>
      </c>
      <c r="N49">
        <v>300</v>
      </c>
      <c r="O49" t="s">
        <v>204</v>
      </c>
      <c r="P49">
        <v>0.90847531552962701</v>
      </c>
      <c r="Q49">
        <v>0.90755749600862601</v>
      </c>
      <c r="R49">
        <v>3.4197675985886702E-2</v>
      </c>
      <c r="S49">
        <v>2.98225358743797E-3</v>
      </c>
      <c r="T49">
        <v>1.37766789699228</v>
      </c>
      <c r="U49">
        <v>1.37766789699228</v>
      </c>
      <c r="V49">
        <v>2.95</v>
      </c>
      <c r="W49">
        <v>3.5</v>
      </c>
      <c r="X49">
        <v>57851</v>
      </c>
      <c r="Y49">
        <v>8264</v>
      </c>
      <c r="Z49">
        <v>0.43</v>
      </c>
      <c r="AA49">
        <v>7</v>
      </c>
      <c r="AB49">
        <v>3</v>
      </c>
      <c r="AC49">
        <v>4</v>
      </c>
      <c r="AD49">
        <v>42.86</v>
      </c>
      <c r="AE49">
        <v>17</v>
      </c>
      <c r="AF49">
        <v>1</v>
      </c>
      <c r="AG49">
        <v>0</v>
      </c>
      <c r="AH49">
        <v>6</v>
      </c>
    </row>
    <row r="50" spans="1:34">
      <c r="A50">
        <v>137</v>
      </c>
      <c r="B50">
        <v>4581</v>
      </c>
      <c r="C50" t="s">
        <v>99</v>
      </c>
      <c r="D50" t="s">
        <v>231</v>
      </c>
      <c r="E50">
        <v>7580</v>
      </c>
      <c r="F50">
        <v>7630</v>
      </c>
      <c r="G50">
        <v>100</v>
      </c>
      <c r="H50" t="s">
        <v>204</v>
      </c>
      <c r="I50">
        <v>5463</v>
      </c>
      <c r="J50" t="s">
        <v>260</v>
      </c>
      <c r="K50" t="s">
        <v>223</v>
      </c>
      <c r="L50">
        <v>2774</v>
      </c>
      <c r="M50">
        <v>2784</v>
      </c>
      <c r="N50">
        <v>300</v>
      </c>
      <c r="O50" t="s">
        <v>206</v>
      </c>
      <c r="P50">
        <v>0.91931761032918502</v>
      </c>
      <c r="Q50">
        <v>0.91710025811668805</v>
      </c>
      <c r="R50">
        <v>0.105900488739264</v>
      </c>
      <c r="S50">
        <v>0.21557145207521899</v>
      </c>
      <c r="T50">
        <v>-1.3463852027524399</v>
      </c>
      <c r="U50">
        <v>1.3463852027524399</v>
      </c>
      <c r="V50">
        <v>-2.92</v>
      </c>
      <c r="W50">
        <v>9.4600000000000009</v>
      </c>
      <c r="X50">
        <v>-57304</v>
      </c>
      <c r="Y50">
        <v>-5209</v>
      </c>
      <c r="Z50">
        <v>-0.32</v>
      </c>
      <c r="AA50">
        <v>11</v>
      </c>
      <c r="AB50">
        <v>5</v>
      </c>
      <c r="AC50">
        <v>6</v>
      </c>
      <c r="AD50">
        <v>45.45</v>
      </c>
      <c r="AE50">
        <v>12</v>
      </c>
      <c r="AF50">
        <v>4</v>
      </c>
      <c r="AG50">
        <v>4</v>
      </c>
      <c r="AH50">
        <v>3</v>
      </c>
    </row>
    <row r="51" spans="1:34">
      <c r="A51">
        <v>193</v>
      </c>
      <c r="B51">
        <v>3116</v>
      </c>
      <c r="C51" t="s">
        <v>217</v>
      </c>
      <c r="D51" t="s">
        <v>212</v>
      </c>
      <c r="E51">
        <v>1477</v>
      </c>
      <c r="F51">
        <v>1493</v>
      </c>
      <c r="G51">
        <v>700</v>
      </c>
      <c r="H51" t="s">
        <v>204</v>
      </c>
      <c r="I51">
        <v>7251</v>
      </c>
      <c r="J51" t="s">
        <v>90</v>
      </c>
      <c r="K51" t="s">
        <v>212</v>
      </c>
      <c r="L51">
        <v>1643</v>
      </c>
      <c r="M51">
        <v>1651</v>
      </c>
      <c r="N51">
        <v>600</v>
      </c>
      <c r="O51" t="s">
        <v>206</v>
      </c>
      <c r="P51">
        <v>0.90525888528517795</v>
      </c>
      <c r="Q51">
        <v>0.968773474735799</v>
      </c>
      <c r="R51">
        <v>6.3867488001129305E-2</v>
      </c>
      <c r="S51">
        <v>2.7665364376474402E-2</v>
      </c>
      <c r="T51">
        <v>-1.3456034767119001</v>
      </c>
      <c r="U51">
        <v>1.3456034767119001</v>
      </c>
      <c r="V51">
        <v>-6.11</v>
      </c>
      <c r="W51">
        <v>5.5</v>
      </c>
      <c r="X51">
        <v>231706</v>
      </c>
      <c r="Y51">
        <v>13630</v>
      </c>
      <c r="Z51">
        <v>0.71</v>
      </c>
      <c r="AA51">
        <v>17</v>
      </c>
      <c r="AB51">
        <v>10</v>
      </c>
      <c r="AC51">
        <v>7</v>
      </c>
      <c r="AD51">
        <v>58.82</v>
      </c>
      <c r="AE51">
        <v>13</v>
      </c>
      <c r="AF51">
        <v>7</v>
      </c>
      <c r="AG51">
        <v>3</v>
      </c>
      <c r="AH51">
        <v>7</v>
      </c>
    </row>
    <row r="52" spans="1:34">
      <c r="A52">
        <v>0</v>
      </c>
      <c r="B52">
        <v>6471</v>
      </c>
      <c r="C52" t="s">
        <v>232</v>
      </c>
      <c r="D52" t="s">
        <v>214</v>
      </c>
      <c r="E52">
        <v>941</v>
      </c>
      <c r="F52">
        <v>950</v>
      </c>
      <c r="G52">
        <v>1100</v>
      </c>
      <c r="H52" t="s">
        <v>204</v>
      </c>
      <c r="I52">
        <v>6472</v>
      </c>
      <c r="J52" t="s">
        <v>116</v>
      </c>
      <c r="K52" t="s">
        <v>214</v>
      </c>
      <c r="L52">
        <v>317</v>
      </c>
      <c r="M52">
        <v>322</v>
      </c>
      <c r="N52">
        <v>3200</v>
      </c>
      <c r="O52" t="s">
        <v>206</v>
      </c>
      <c r="P52">
        <v>0.97891528411036199</v>
      </c>
      <c r="Q52">
        <v>0.94596325779281099</v>
      </c>
      <c r="R52">
        <v>4.2307822572014701E-2</v>
      </c>
      <c r="S52">
        <v>0.247804785658887</v>
      </c>
      <c r="T52">
        <v>-1.3438273315123499</v>
      </c>
      <c r="U52">
        <v>1.3438273315123499</v>
      </c>
      <c r="V52">
        <v>-2.0099999999999998</v>
      </c>
      <c r="W52">
        <v>1.4</v>
      </c>
      <c r="X52">
        <v>-45015</v>
      </c>
      <c r="Y52">
        <v>-3001</v>
      </c>
      <c r="Z52">
        <v>-0.16</v>
      </c>
      <c r="AA52">
        <v>15</v>
      </c>
      <c r="AB52">
        <v>8</v>
      </c>
      <c r="AC52">
        <v>7</v>
      </c>
      <c r="AD52">
        <v>53.33</v>
      </c>
      <c r="AE52">
        <v>16</v>
      </c>
      <c r="AF52">
        <v>2</v>
      </c>
      <c r="AG52">
        <v>3</v>
      </c>
      <c r="AH52">
        <v>10</v>
      </c>
    </row>
    <row r="53" spans="1:34">
      <c r="A53">
        <v>127</v>
      </c>
      <c r="B53">
        <v>7189</v>
      </c>
      <c r="C53" t="s">
        <v>143</v>
      </c>
      <c r="D53" t="s">
        <v>209</v>
      </c>
      <c r="E53">
        <v>751</v>
      </c>
      <c r="F53">
        <v>762</v>
      </c>
      <c r="G53">
        <v>1400</v>
      </c>
      <c r="H53" t="s">
        <v>206</v>
      </c>
      <c r="I53">
        <v>7278</v>
      </c>
      <c r="J53" t="s">
        <v>83</v>
      </c>
      <c r="K53" t="s">
        <v>212</v>
      </c>
      <c r="L53">
        <v>2120</v>
      </c>
      <c r="M53">
        <v>2132</v>
      </c>
      <c r="N53">
        <v>500</v>
      </c>
      <c r="O53" t="s">
        <v>204</v>
      </c>
      <c r="P53">
        <v>0.92381517215937803</v>
      </c>
      <c r="Q53">
        <v>0.94140027173588503</v>
      </c>
      <c r="R53">
        <v>0.35352367530553602</v>
      </c>
      <c r="S53">
        <v>5.3278313093967397E-2</v>
      </c>
      <c r="T53">
        <v>1.3356449830517101</v>
      </c>
      <c r="U53">
        <v>1.3356449830517101</v>
      </c>
      <c r="V53">
        <v>3.51</v>
      </c>
      <c r="W53">
        <v>0.08</v>
      </c>
      <c r="X53">
        <v>575872</v>
      </c>
      <c r="Y53">
        <v>30309</v>
      </c>
      <c r="Z53">
        <v>1.56</v>
      </c>
      <c r="AA53">
        <v>19</v>
      </c>
      <c r="AB53">
        <v>12</v>
      </c>
      <c r="AC53">
        <v>7</v>
      </c>
      <c r="AD53">
        <v>63.16</v>
      </c>
      <c r="AE53">
        <v>12</v>
      </c>
      <c r="AF53">
        <v>9</v>
      </c>
      <c r="AG53">
        <v>3</v>
      </c>
      <c r="AH53">
        <v>7</v>
      </c>
    </row>
    <row r="54" spans="1:34">
      <c r="A54">
        <v>95</v>
      </c>
      <c r="B54">
        <v>8273</v>
      </c>
      <c r="C54" t="s">
        <v>113</v>
      </c>
      <c r="D54" t="s">
        <v>208</v>
      </c>
      <c r="E54">
        <v>4165</v>
      </c>
      <c r="F54">
        <v>4160</v>
      </c>
      <c r="G54">
        <v>200</v>
      </c>
      <c r="H54" t="s">
        <v>204</v>
      </c>
      <c r="I54">
        <v>8341</v>
      </c>
      <c r="J54" t="s">
        <v>123</v>
      </c>
      <c r="K54" t="s">
        <v>209</v>
      </c>
      <c r="L54">
        <v>1590</v>
      </c>
      <c r="M54">
        <v>1601</v>
      </c>
      <c r="N54">
        <v>500</v>
      </c>
      <c r="O54" t="s">
        <v>206</v>
      </c>
      <c r="P54">
        <v>0.93577051771433295</v>
      </c>
      <c r="Q54">
        <v>0.92919593417366197</v>
      </c>
      <c r="R54">
        <v>4.7334882993479198E-3</v>
      </c>
      <c r="S54">
        <v>0.189037580375786</v>
      </c>
      <c r="T54">
        <v>-1.3289345176332601</v>
      </c>
      <c r="U54">
        <v>1.3289345176332601</v>
      </c>
      <c r="V54">
        <v>-6.07</v>
      </c>
      <c r="W54">
        <v>3.79</v>
      </c>
      <c r="X54">
        <v>-40504</v>
      </c>
      <c r="Y54">
        <v>-3116</v>
      </c>
      <c r="Z54">
        <v>-0.01</v>
      </c>
      <c r="AA54">
        <v>13</v>
      </c>
      <c r="AB54">
        <v>7</v>
      </c>
      <c r="AC54">
        <v>6</v>
      </c>
      <c r="AD54">
        <v>53.85</v>
      </c>
      <c r="AE54">
        <v>12</v>
      </c>
      <c r="AF54">
        <v>5</v>
      </c>
      <c r="AG54">
        <v>4</v>
      </c>
      <c r="AH54">
        <v>4</v>
      </c>
    </row>
    <row r="55" spans="1:34">
      <c r="A55">
        <v>23</v>
      </c>
      <c r="B55">
        <v>6471</v>
      </c>
      <c r="C55" t="s">
        <v>232</v>
      </c>
      <c r="D55" t="s">
        <v>214</v>
      </c>
      <c r="E55">
        <v>941</v>
      </c>
      <c r="F55">
        <v>950</v>
      </c>
      <c r="G55">
        <v>1100</v>
      </c>
      <c r="H55" t="s">
        <v>206</v>
      </c>
      <c r="I55">
        <v>6473</v>
      </c>
      <c r="J55" t="s">
        <v>144</v>
      </c>
      <c r="K55" t="s">
        <v>214</v>
      </c>
      <c r="L55">
        <v>1245</v>
      </c>
      <c r="M55">
        <v>1260</v>
      </c>
      <c r="N55">
        <v>800</v>
      </c>
      <c r="O55" t="s">
        <v>204</v>
      </c>
      <c r="P55">
        <v>0.95666543180655195</v>
      </c>
      <c r="Q55">
        <v>0.955074543716663</v>
      </c>
      <c r="R55">
        <v>0.33497126471359101</v>
      </c>
      <c r="S55">
        <v>3.2399211268381703E-2</v>
      </c>
      <c r="T55">
        <v>1.3075670590869599</v>
      </c>
      <c r="U55">
        <v>1.3075670590869599</v>
      </c>
      <c r="V55">
        <v>2.35</v>
      </c>
      <c r="W55">
        <v>3.67</v>
      </c>
      <c r="X55">
        <v>-71891</v>
      </c>
      <c r="Y55">
        <v>-4793</v>
      </c>
      <c r="Z55">
        <v>-0.24</v>
      </c>
      <c r="AA55">
        <v>15</v>
      </c>
      <c r="AB55">
        <v>9</v>
      </c>
      <c r="AC55">
        <v>6</v>
      </c>
      <c r="AD55">
        <v>60</v>
      </c>
      <c r="AE55">
        <v>15</v>
      </c>
      <c r="AF55">
        <v>1</v>
      </c>
      <c r="AG55">
        <v>3</v>
      </c>
      <c r="AH55">
        <v>11</v>
      </c>
    </row>
    <row r="56" spans="1:34">
      <c r="A56">
        <v>27</v>
      </c>
      <c r="B56">
        <v>7186</v>
      </c>
      <c r="C56" t="s">
        <v>87</v>
      </c>
      <c r="D56" t="s">
        <v>209</v>
      </c>
      <c r="E56">
        <v>410</v>
      </c>
      <c r="F56">
        <v>410</v>
      </c>
      <c r="G56">
        <v>2600</v>
      </c>
      <c r="H56" t="s">
        <v>206</v>
      </c>
      <c r="I56">
        <v>8308</v>
      </c>
      <c r="J56" t="s">
        <v>94</v>
      </c>
      <c r="K56" t="s">
        <v>209</v>
      </c>
      <c r="L56">
        <v>447</v>
      </c>
      <c r="M56">
        <v>448.8</v>
      </c>
      <c r="N56">
        <v>2400</v>
      </c>
      <c r="O56" t="s">
        <v>204</v>
      </c>
      <c r="P56">
        <v>0.95572133307949703</v>
      </c>
      <c r="Q56">
        <v>0.93595467688783496</v>
      </c>
      <c r="R56">
        <v>0.261811692705882</v>
      </c>
      <c r="S56">
        <v>0.337282807693074</v>
      </c>
      <c r="T56">
        <v>1.3071237830970901</v>
      </c>
      <c r="U56">
        <v>1.3071237830970901</v>
      </c>
      <c r="V56">
        <v>2.92</v>
      </c>
      <c r="W56">
        <v>1.03</v>
      </c>
      <c r="X56">
        <v>261570</v>
      </c>
      <c r="Y56">
        <v>15386</v>
      </c>
      <c r="Z56">
        <v>0.73</v>
      </c>
      <c r="AA56">
        <v>17</v>
      </c>
      <c r="AB56">
        <v>10</v>
      </c>
      <c r="AC56">
        <v>7</v>
      </c>
      <c r="AD56">
        <v>58.82</v>
      </c>
      <c r="AE56">
        <v>15</v>
      </c>
      <c r="AF56">
        <v>7</v>
      </c>
      <c r="AG56">
        <v>1</v>
      </c>
      <c r="AH56">
        <v>9</v>
      </c>
    </row>
    <row r="57" spans="1:34">
      <c r="A57">
        <v>198</v>
      </c>
      <c r="B57">
        <v>4401</v>
      </c>
      <c r="C57" t="s">
        <v>170</v>
      </c>
      <c r="D57" t="s">
        <v>205</v>
      </c>
      <c r="E57">
        <v>1416</v>
      </c>
      <c r="F57">
        <v>1417</v>
      </c>
      <c r="G57">
        <v>700</v>
      </c>
      <c r="H57" t="s">
        <v>206</v>
      </c>
      <c r="I57">
        <v>9404</v>
      </c>
      <c r="J57" t="s">
        <v>107</v>
      </c>
      <c r="K57" t="s">
        <v>203</v>
      </c>
      <c r="L57">
        <v>1389</v>
      </c>
      <c r="M57">
        <v>1396</v>
      </c>
      <c r="N57">
        <v>700</v>
      </c>
      <c r="O57" t="s">
        <v>204</v>
      </c>
      <c r="P57">
        <v>0.90476432523047801</v>
      </c>
      <c r="Q57">
        <v>0.92499712478804597</v>
      </c>
      <c r="R57">
        <v>0.208782789254606</v>
      </c>
      <c r="S57">
        <v>9.1552450090507595E-3</v>
      </c>
      <c r="T57">
        <v>1.29624823015532</v>
      </c>
      <c r="U57">
        <v>1.29624823015532</v>
      </c>
      <c r="V57">
        <v>4.6399999999999997</v>
      </c>
      <c r="W57">
        <v>1.48</v>
      </c>
      <c r="X57">
        <v>289996</v>
      </c>
      <c r="Y57">
        <v>19333</v>
      </c>
      <c r="Z57">
        <v>0.97</v>
      </c>
      <c r="AA57">
        <v>15</v>
      </c>
      <c r="AB57">
        <v>10</v>
      </c>
      <c r="AC57">
        <v>5</v>
      </c>
      <c r="AD57">
        <v>66.67</v>
      </c>
      <c r="AE57">
        <v>16</v>
      </c>
      <c r="AF57">
        <v>6</v>
      </c>
      <c r="AG57">
        <v>0</v>
      </c>
      <c r="AH57">
        <v>9</v>
      </c>
    </row>
    <row r="58" spans="1:34">
      <c r="A58">
        <v>167</v>
      </c>
      <c r="B58">
        <v>6674</v>
      </c>
      <c r="C58" t="s">
        <v>122</v>
      </c>
      <c r="D58" t="s">
        <v>215</v>
      </c>
      <c r="E58">
        <v>1841</v>
      </c>
      <c r="F58">
        <v>1851</v>
      </c>
      <c r="G58">
        <v>500</v>
      </c>
      <c r="H58" t="s">
        <v>204</v>
      </c>
      <c r="I58">
        <v>8377</v>
      </c>
      <c r="J58" t="s">
        <v>95</v>
      </c>
      <c r="K58" t="s">
        <v>209</v>
      </c>
      <c r="L58">
        <v>1032</v>
      </c>
      <c r="M58">
        <v>1036</v>
      </c>
      <c r="N58">
        <v>900</v>
      </c>
      <c r="O58" t="s">
        <v>206</v>
      </c>
      <c r="P58">
        <v>0.910666786257469</v>
      </c>
      <c r="Q58">
        <v>0.92004804246042604</v>
      </c>
      <c r="R58">
        <v>0.272375623164412</v>
      </c>
      <c r="S58">
        <v>0.13880891647045401</v>
      </c>
      <c r="T58">
        <v>-1.29023459846658</v>
      </c>
      <c r="U58">
        <v>1.29023459846658</v>
      </c>
      <c r="V58">
        <v>-3.26</v>
      </c>
      <c r="W58">
        <v>0.75</v>
      </c>
      <c r="X58">
        <v>-51937</v>
      </c>
      <c r="Y58">
        <v>-2885</v>
      </c>
      <c r="Z58">
        <v>-0.06</v>
      </c>
      <c r="AA58">
        <v>18</v>
      </c>
      <c r="AB58">
        <v>8</v>
      </c>
      <c r="AC58">
        <v>10</v>
      </c>
      <c r="AD58">
        <v>44.44</v>
      </c>
      <c r="AE58">
        <v>15</v>
      </c>
      <c r="AF58">
        <v>6</v>
      </c>
      <c r="AG58">
        <v>4</v>
      </c>
      <c r="AH58">
        <v>8</v>
      </c>
    </row>
    <row r="59" spans="1:34">
      <c r="A59">
        <v>121</v>
      </c>
      <c r="B59">
        <v>4005</v>
      </c>
      <c r="C59" t="s">
        <v>148</v>
      </c>
      <c r="D59" t="s">
        <v>205</v>
      </c>
      <c r="E59">
        <v>498</v>
      </c>
      <c r="F59">
        <v>504</v>
      </c>
      <c r="G59">
        <v>2100</v>
      </c>
      <c r="H59" t="s">
        <v>204</v>
      </c>
      <c r="I59">
        <v>4182</v>
      </c>
      <c r="J59" t="s">
        <v>124</v>
      </c>
      <c r="K59" t="s">
        <v>205</v>
      </c>
      <c r="L59">
        <v>1489</v>
      </c>
      <c r="M59">
        <v>1498</v>
      </c>
      <c r="N59">
        <v>700</v>
      </c>
      <c r="O59" t="s">
        <v>206</v>
      </c>
      <c r="P59">
        <v>0.92638504395450305</v>
      </c>
      <c r="Q59">
        <v>0.93175845389791401</v>
      </c>
      <c r="R59">
        <v>5.2287070044763198E-2</v>
      </c>
      <c r="S59">
        <v>0.102844655174172</v>
      </c>
      <c r="T59">
        <v>-1.26610872231285</v>
      </c>
      <c r="U59">
        <v>1.26610872231285</v>
      </c>
      <c r="V59">
        <v>-5.55</v>
      </c>
      <c r="W59">
        <v>0.93</v>
      </c>
      <c r="X59">
        <v>71264</v>
      </c>
      <c r="Y59">
        <v>4454</v>
      </c>
      <c r="Z59">
        <v>0.26</v>
      </c>
      <c r="AA59">
        <v>16</v>
      </c>
      <c r="AB59">
        <v>11</v>
      </c>
      <c r="AC59">
        <v>5</v>
      </c>
      <c r="AD59">
        <v>68.75</v>
      </c>
      <c r="AE59">
        <v>14</v>
      </c>
      <c r="AF59">
        <v>6</v>
      </c>
      <c r="AG59">
        <v>4</v>
      </c>
      <c r="AH59">
        <v>6</v>
      </c>
    </row>
    <row r="60" spans="1:34">
      <c r="A60">
        <v>73</v>
      </c>
      <c r="B60">
        <v>3591</v>
      </c>
      <c r="C60" t="s">
        <v>219</v>
      </c>
      <c r="D60" t="s">
        <v>220</v>
      </c>
      <c r="E60">
        <v>2790</v>
      </c>
      <c r="F60">
        <v>2780</v>
      </c>
      <c r="G60">
        <v>300</v>
      </c>
      <c r="H60" t="s">
        <v>206</v>
      </c>
      <c r="I60">
        <v>7167</v>
      </c>
      <c r="J60" t="s">
        <v>118</v>
      </c>
      <c r="K60" t="s">
        <v>209</v>
      </c>
      <c r="L60">
        <v>259</v>
      </c>
      <c r="M60">
        <v>263</v>
      </c>
      <c r="N60">
        <v>3200</v>
      </c>
      <c r="O60" t="s">
        <v>204</v>
      </c>
      <c r="P60">
        <v>0.94230551173396204</v>
      </c>
      <c r="Q60">
        <v>0.90545876643860002</v>
      </c>
      <c r="R60">
        <v>2.07654344770258E-2</v>
      </c>
      <c r="S60">
        <v>2.4472993864783101E-2</v>
      </c>
      <c r="T60">
        <v>1.23786509204482</v>
      </c>
      <c r="U60">
        <v>1.23786509204482</v>
      </c>
      <c r="V60">
        <v>2.8</v>
      </c>
      <c r="W60">
        <v>0.91</v>
      </c>
      <c r="X60">
        <v>-3363</v>
      </c>
      <c r="Y60">
        <v>-198</v>
      </c>
      <c r="Z60">
        <v>0</v>
      </c>
      <c r="AA60">
        <v>17</v>
      </c>
      <c r="AB60">
        <v>8</v>
      </c>
      <c r="AC60">
        <v>9</v>
      </c>
      <c r="AD60">
        <v>47.06</v>
      </c>
      <c r="AE60">
        <v>15</v>
      </c>
      <c r="AF60">
        <v>3</v>
      </c>
      <c r="AG60">
        <v>2</v>
      </c>
      <c r="AH60">
        <v>12</v>
      </c>
    </row>
    <row r="61" spans="1:34">
      <c r="A61">
        <v>163</v>
      </c>
      <c r="B61">
        <v>6752</v>
      </c>
      <c r="C61" t="s">
        <v>126</v>
      </c>
      <c r="D61" t="s">
        <v>215</v>
      </c>
      <c r="E61">
        <v>874.4</v>
      </c>
      <c r="F61">
        <v>877.9</v>
      </c>
      <c r="G61">
        <v>1200</v>
      </c>
      <c r="H61" t="s">
        <v>204</v>
      </c>
      <c r="I61">
        <v>7189</v>
      </c>
      <c r="J61" t="s">
        <v>143</v>
      </c>
      <c r="K61" t="s">
        <v>209</v>
      </c>
      <c r="L61">
        <v>751</v>
      </c>
      <c r="M61">
        <v>762</v>
      </c>
      <c r="N61">
        <v>1400</v>
      </c>
      <c r="O61" t="s">
        <v>206</v>
      </c>
      <c r="P61">
        <v>0.91221166711419199</v>
      </c>
      <c r="Q61">
        <v>0.93049344559685598</v>
      </c>
      <c r="R61">
        <v>0.25417880211044103</v>
      </c>
      <c r="S61">
        <v>0.13735006006169001</v>
      </c>
      <c r="T61">
        <v>-1.23130383886794</v>
      </c>
      <c r="U61">
        <v>1.23130383886794</v>
      </c>
      <c r="V61">
        <v>-4.49</v>
      </c>
      <c r="W61">
        <v>1.26</v>
      </c>
      <c r="X61">
        <v>376546</v>
      </c>
      <c r="Y61">
        <v>25103</v>
      </c>
      <c r="Z61">
        <v>1.21</v>
      </c>
      <c r="AA61">
        <v>15</v>
      </c>
      <c r="AB61">
        <v>10</v>
      </c>
      <c r="AC61">
        <v>5</v>
      </c>
      <c r="AD61">
        <v>66.67</v>
      </c>
      <c r="AE61">
        <v>12</v>
      </c>
      <c r="AF61">
        <v>9</v>
      </c>
      <c r="AG61">
        <v>3</v>
      </c>
      <c r="AH61">
        <v>3</v>
      </c>
    </row>
    <row r="62" spans="1:34">
      <c r="A62">
        <v>199</v>
      </c>
      <c r="B62">
        <v>1963</v>
      </c>
      <c r="C62" t="s">
        <v>236</v>
      </c>
      <c r="D62" t="s">
        <v>230</v>
      </c>
      <c r="E62">
        <v>1411</v>
      </c>
      <c r="F62">
        <v>1438</v>
      </c>
      <c r="G62">
        <v>700</v>
      </c>
      <c r="H62" t="s">
        <v>206</v>
      </c>
      <c r="I62">
        <v>5020</v>
      </c>
      <c r="J62" t="s">
        <v>154</v>
      </c>
      <c r="K62" t="s">
        <v>253</v>
      </c>
      <c r="L62">
        <v>493.5</v>
      </c>
      <c r="M62">
        <v>494.8</v>
      </c>
      <c r="N62">
        <v>2000</v>
      </c>
      <c r="O62" t="s">
        <v>204</v>
      </c>
      <c r="P62">
        <v>0.90378447399141304</v>
      </c>
      <c r="Q62">
        <v>0.925985638135708</v>
      </c>
      <c r="R62">
        <v>0.254962602827215</v>
      </c>
      <c r="S62">
        <v>0.16756542804907301</v>
      </c>
      <c r="T62">
        <v>1.23126703126891</v>
      </c>
      <c r="U62">
        <v>1.23126703126891</v>
      </c>
      <c r="V62">
        <v>3.27</v>
      </c>
      <c r="W62">
        <v>1.69</v>
      </c>
      <c r="X62">
        <v>200640</v>
      </c>
      <c r="Y62">
        <v>10560</v>
      </c>
      <c r="Z62">
        <v>0.5</v>
      </c>
      <c r="AA62">
        <v>19</v>
      </c>
      <c r="AB62">
        <v>10</v>
      </c>
      <c r="AC62">
        <v>9</v>
      </c>
      <c r="AD62">
        <v>52.63</v>
      </c>
      <c r="AE62">
        <v>12</v>
      </c>
      <c r="AF62">
        <v>8</v>
      </c>
      <c r="AG62">
        <v>5</v>
      </c>
      <c r="AH62">
        <v>6</v>
      </c>
    </row>
    <row r="63" spans="1:34">
      <c r="A63">
        <v>28</v>
      </c>
      <c r="B63">
        <v>7186</v>
      </c>
      <c r="C63" t="s">
        <v>87</v>
      </c>
      <c r="D63" t="s">
        <v>209</v>
      </c>
      <c r="E63">
        <v>410</v>
      </c>
      <c r="F63">
        <v>410</v>
      </c>
      <c r="G63">
        <v>2400</v>
      </c>
      <c r="H63" t="s">
        <v>204</v>
      </c>
      <c r="I63">
        <v>8750</v>
      </c>
      <c r="J63" t="s">
        <v>125</v>
      </c>
      <c r="K63" t="s">
        <v>237</v>
      </c>
      <c r="L63">
        <v>1645.5</v>
      </c>
      <c r="M63">
        <v>1665</v>
      </c>
      <c r="N63">
        <v>600</v>
      </c>
      <c r="O63" t="s">
        <v>206</v>
      </c>
      <c r="P63">
        <v>0.95551045431385195</v>
      </c>
      <c r="Q63">
        <v>0.93077798863640504</v>
      </c>
      <c r="R63">
        <v>4.3634580156482097E-2</v>
      </c>
      <c r="S63">
        <v>0.21290297301548</v>
      </c>
      <c r="T63">
        <v>-1.2280289213878901</v>
      </c>
      <c r="U63">
        <v>1.2280289213878901</v>
      </c>
      <c r="V63">
        <v>-2.35</v>
      </c>
      <c r="W63">
        <v>1.5</v>
      </c>
      <c r="X63">
        <v>328916</v>
      </c>
      <c r="Y63">
        <v>21928</v>
      </c>
      <c r="Z63">
        <v>1.0900000000000001</v>
      </c>
      <c r="AA63">
        <v>15</v>
      </c>
      <c r="AB63">
        <v>9</v>
      </c>
      <c r="AC63">
        <v>6</v>
      </c>
      <c r="AD63">
        <v>60</v>
      </c>
      <c r="AE63">
        <v>11</v>
      </c>
      <c r="AF63">
        <v>8</v>
      </c>
      <c r="AG63">
        <v>1</v>
      </c>
      <c r="AH63">
        <v>6</v>
      </c>
    </row>
    <row r="64" spans="1:34">
      <c r="A64">
        <v>120</v>
      </c>
      <c r="B64">
        <v>1820</v>
      </c>
      <c r="C64" t="s">
        <v>250</v>
      </c>
      <c r="D64" t="s">
        <v>230</v>
      </c>
      <c r="E64">
        <v>2025</v>
      </c>
      <c r="F64">
        <v>2050</v>
      </c>
      <c r="G64">
        <v>500</v>
      </c>
      <c r="H64" t="s">
        <v>206</v>
      </c>
      <c r="I64">
        <v>7278</v>
      </c>
      <c r="J64" t="s">
        <v>83</v>
      </c>
      <c r="K64" t="s">
        <v>212</v>
      </c>
      <c r="L64">
        <v>2120</v>
      </c>
      <c r="M64">
        <v>2132</v>
      </c>
      <c r="N64">
        <v>500</v>
      </c>
      <c r="O64" t="s">
        <v>204</v>
      </c>
      <c r="P64">
        <v>0.92659381612574598</v>
      </c>
      <c r="Q64">
        <v>0.92933255339333498</v>
      </c>
      <c r="R64">
        <v>7.2414753628403994E-2</v>
      </c>
      <c r="S64" s="39">
        <v>7.8191063250464807E-2</v>
      </c>
      <c r="T64">
        <v>1.21585294705463</v>
      </c>
      <c r="U64">
        <v>1.21585294705463</v>
      </c>
      <c r="V64">
        <v>2.5</v>
      </c>
      <c r="W64">
        <v>3.85</v>
      </c>
      <c r="X64">
        <v>254640</v>
      </c>
      <c r="Y64">
        <v>18189</v>
      </c>
      <c r="Z64">
        <v>0.91</v>
      </c>
      <c r="AA64">
        <v>14</v>
      </c>
      <c r="AB64">
        <v>9</v>
      </c>
      <c r="AC64">
        <v>5</v>
      </c>
      <c r="AD64">
        <v>64.290000000000006</v>
      </c>
      <c r="AE64">
        <v>12</v>
      </c>
      <c r="AF64">
        <v>7</v>
      </c>
      <c r="AG64">
        <v>2</v>
      </c>
      <c r="AH64">
        <v>5</v>
      </c>
    </row>
    <row r="65" spans="1:34">
      <c r="A65">
        <v>70</v>
      </c>
      <c r="B65">
        <v>5401</v>
      </c>
      <c r="C65" t="s">
        <v>137</v>
      </c>
      <c r="D65" t="s">
        <v>223</v>
      </c>
      <c r="E65">
        <v>1504</v>
      </c>
      <c r="F65">
        <v>1504.5</v>
      </c>
      <c r="G65">
        <v>700</v>
      </c>
      <c r="H65" t="s">
        <v>204</v>
      </c>
      <c r="I65">
        <v>6586</v>
      </c>
      <c r="J65" t="s">
        <v>82</v>
      </c>
      <c r="K65" t="s">
        <v>214</v>
      </c>
      <c r="L65">
        <v>3170</v>
      </c>
      <c r="M65">
        <v>3270</v>
      </c>
      <c r="N65">
        <v>300</v>
      </c>
      <c r="O65" t="s">
        <v>206</v>
      </c>
      <c r="P65">
        <v>0.94321323958433101</v>
      </c>
      <c r="Q65">
        <v>0.91368271155624603</v>
      </c>
      <c r="R65">
        <v>0.236047790344904</v>
      </c>
      <c r="S65">
        <v>0.27116571943500201</v>
      </c>
      <c r="T65">
        <v>-1.16289911805905</v>
      </c>
      <c r="U65">
        <v>1.16289911805905</v>
      </c>
      <c r="V65">
        <v>-4.04</v>
      </c>
      <c r="W65">
        <v>7.35</v>
      </c>
      <c r="X65">
        <v>127686</v>
      </c>
      <c r="Y65">
        <v>10640</v>
      </c>
      <c r="Z65">
        <v>0.63</v>
      </c>
      <c r="AA65">
        <v>12</v>
      </c>
      <c r="AB65">
        <v>7</v>
      </c>
      <c r="AC65">
        <v>5</v>
      </c>
      <c r="AD65">
        <v>58.33</v>
      </c>
      <c r="AE65">
        <v>14</v>
      </c>
      <c r="AF65">
        <v>4</v>
      </c>
      <c r="AG65">
        <v>1</v>
      </c>
      <c r="AH65">
        <v>7</v>
      </c>
    </row>
    <row r="66" spans="1:34">
      <c r="A66">
        <v>68</v>
      </c>
      <c r="B66">
        <v>7189</v>
      </c>
      <c r="C66" t="s">
        <v>143</v>
      </c>
      <c r="D66" t="s">
        <v>209</v>
      </c>
      <c r="E66">
        <v>751</v>
      </c>
      <c r="F66">
        <v>762</v>
      </c>
      <c r="G66">
        <v>1400</v>
      </c>
      <c r="H66" t="s">
        <v>206</v>
      </c>
      <c r="I66">
        <v>9505</v>
      </c>
      <c r="J66" t="s">
        <v>147</v>
      </c>
      <c r="K66" t="s">
        <v>226</v>
      </c>
      <c r="L66">
        <v>727</v>
      </c>
      <c r="M66">
        <v>731</v>
      </c>
      <c r="N66">
        <v>1500</v>
      </c>
      <c r="O66" t="s">
        <v>204</v>
      </c>
      <c r="P66">
        <v>0.943576289723423</v>
      </c>
      <c r="Q66">
        <v>0.92969797573672697</v>
      </c>
      <c r="R66">
        <v>8.64356729779674E-3</v>
      </c>
      <c r="S66">
        <v>8.4728717280140198E-2</v>
      </c>
      <c r="T66">
        <v>1.16174944058973</v>
      </c>
      <c r="U66">
        <v>1.16174944058973</v>
      </c>
      <c r="V66">
        <v>2.54</v>
      </c>
      <c r="W66">
        <v>2.78</v>
      </c>
      <c r="X66">
        <v>-56606</v>
      </c>
      <c r="Y66">
        <v>-2979</v>
      </c>
      <c r="Z66">
        <v>-0.17</v>
      </c>
      <c r="AA66">
        <v>19</v>
      </c>
      <c r="AB66">
        <v>7</v>
      </c>
      <c r="AC66">
        <v>12</v>
      </c>
      <c r="AD66">
        <v>36.840000000000003</v>
      </c>
      <c r="AE66">
        <v>12</v>
      </c>
      <c r="AF66">
        <v>6</v>
      </c>
      <c r="AG66">
        <v>7</v>
      </c>
      <c r="AH66">
        <v>6</v>
      </c>
    </row>
    <row r="67" spans="1:34">
      <c r="A67">
        <v>104</v>
      </c>
      <c r="B67">
        <v>6752</v>
      </c>
      <c r="C67" t="s">
        <v>126</v>
      </c>
      <c r="D67" t="s">
        <v>215</v>
      </c>
      <c r="E67">
        <v>874.4</v>
      </c>
      <c r="F67">
        <v>877.9</v>
      </c>
      <c r="G67">
        <v>900</v>
      </c>
      <c r="H67" t="s">
        <v>204</v>
      </c>
      <c r="I67">
        <v>7846</v>
      </c>
      <c r="J67" t="s">
        <v>141</v>
      </c>
      <c r="K67" t="s">
        <v>242</v>
      </c>
      <c r="L67">
        <v>4000</v>
      </c>
      <c r="M67">
        <v>4015</v>
      </c>
      <c r="N67">
        <v>200</v>
      </c>
      <c r="O67" t="s">
        <v>206</v>
      </c>
      <c r="P67">
        <v>0.93329824366881098</v>
      </c>
      <c r="Q67">
        <v>0.95471598492218701</v>
      </c>
      <c r="R67">
        <v>3.2485481982676603E-2</v>
      </c>
      <c r="S67">
        <v>0.12962122469557899</v>
      </c>
      <c r="T67">
        <v>-1.15927443588446</v>
      </c>
      <c r="U67">
        <v>1.15927443588446</v>
      </c>
      <c r="V67">
        <v>-2.6</v>
      </c>
      <c r="W67">
        <v>1.61</v>
      </c>
      <c r="X67">
        <v>128492</v>
      </c>
      <c r="Y67">
        <v>8031</v>
      </c>
      <c r="Z67">
        <v>0.28999999999999998</v>
      </c>
      <c r="AA67">
        <v>16</v>
      </c>
      <c r="AB67">
        <v>7</v>
      </c>
      <c r="AC67">
        <v>9</v>
      </c>
      <c r="AD67">
        <v>43.75</v>
      </c>
      <c r="AE67">
        <v>13</v>
      </c>
      <c r="AF67">
        <v>6</v>
      </c>
      <c r="AG67">
        <v>2</v>
      </c>
      <c r="AH67">
        <v>8</v>
      </c>
    </row>
    <row r="68" spans="1:34">
      <c r="A68">
        <v>168</v>
      </c>
      <c r="B68">
        <v>4182</v>
      </c>
      <c r="C68" t="s">
        <v>124</v>
      </c>
      <c r="D68" t="s">
        <v>205</v>
      </c>
      <c r="E68">
        <v>1489</v>
      </c>
      <c r="F68">
        <v>1498</v>
      </c>
      <c r="G68">
        <v>700</v>
      </c>
      <c r="H68" t="s">
        <v>206</v>
      </c>
      <c r="I68">
        <v>7984</v>
      </c>
      <c r="J68" t="s">
        <v>165</v>
      </c>
      <c r="K68" t="s">
        <v>242</v>
      </c>
      <c r="L68">
        <v>1520</v>
      </c>
      <c r="M68">
        <v>1522</v>
      </c>
      <c r="N68">
        <v>700</v>
      </c>
      <c r="O68" t="s">
        <v>204</v>
      </c>
      <c r="P68">
        <v>0.91066443341335102</v>
      </c>
      <c r="Q68">
        <v>0.91779284848517195</v>
      </c>
      <c r="R68">
        <v>0.360173388605739</v>
      </c>
      <c r="S68">
        <v>3.3982760405776198E-3</v>
      </c>
      <c r="T68">
        <v>1.14301912076061</v>
      </c>
      <c r="U68">
        <v>1.14301912076061</v>
      </c>
      <c r="V68">
        <v>4.71</v>
      </c>
      <c r="W68">
        <v>1.58</v>
      </c>
      <c r="X68">
        <v>534332</v>
      </c>
      <c r="Y68">
        <v>26717</v>
      </c>
      <c r="Z68">
        <v>1.31</v>
      </c>
      <c r="AA68">
        <v>20</v>
      </c>
      <c r="AB68">
        <v>14</v>
      </c>
      <c r="AC68">
        <v>6</v>
      </c>
      <c r="AD68">
        <v>70</v>
      </c>
      <c r="AE68">
        <v>9</v>
      </c>
      <c r="AF68">
        <v>12</v>
      </c>
      <c r="AG68">
        <v>3</v>
      </c>
      <c r="AH68">
        <v>5</v>
      </c>
    </row>
    <row r="69" spans="1:34">
      <c r="A69">
        <v>83</v>
      </c>
      <c r="B69">
        <v>3861</v>
      </c>
      <c r="C69" t="s">
        <v>266</v>
      </c>
      <c r="D69" t="s">
        <v>267</v>
      </c>
      <c r="E69">
        <v>530</v>
      </c>
      <c r="F69">
        <v>543</v>
      </c>
      <c r="G69">
        <v>1600</v>
      </c>
      <c r="H69" t="s">
        <v>206</v>
      </c>
      <c r="I69">
        <v>7751</v>
      </c>
      <c r="J69" t="s">
        <v>158</v>
      </c>
      <c r="K69" t="s">
        <v>215</v>
      </c>
      <c r="L69">
        <v>2853</v>
      </c>
      <c r="M69">
        <v>2864.5</v>
      </c>
      <c r="N69">
        <v>300</v>
      </c>
      <c r="O69" t="s">
        <v>204</v>
      </c>
      <c r="P69">
        <v>0.939186715865301</v>
      </c>
      <c r="Q69">
        <v>0.90614152515655899</v>
      </c>
      <c r="R69">
        <v>0.30866153803677998</v>
      </c>
      <c r="S69">
        <v>1.3104261404484001E-2</v>
      </c>
      <c r="T69">
        <v>1.10205364109773</v>
      </c>
      <c r="U69">
        <v>1.10205364109773</v>
      </c>
      <c r="V69">
        <v>4.01</v>
      </c>
      <c r="W69">
        <v>1.1000000000000001</v>
      </c>
      <c r="X69">
        <v>-1977</v>
      </c>
      <c r="Y69">
        <v>-99</v>
      </c>
      <c r="Z69">
        <v>-0.02</v>
      </c>
      <c r="AA69">
        <v>20</v>
      </c>
      <c r="AB69">
        <v>11</v>
      </c>
      <c r="AC69">
        <v>9</v>
      </c>
      <c r="AD69">
        <v>55</v>
      </c>
      <c r="AE69">
        <v>14</v>
      </c>
      <c r="AF69">
        <v>4</v>
      </c>
      <c r="AG69">
        <v>5</v>
      </c>
      <c r="AH69">
        <v>11</v>
      </c>
    </row>
    <row r="70" spans="1:34">
      <c r="A70">
        <v>96</v>
      </c>
      <c r="B70">
        <v>6770</v>
      </c>
      <c r="C70" t="s">
        <v>84</v>
      </c>
      <c r="D70" t="s">
        <v>215</v>
      </c>
      <c r="E70">
        <v>2097</v>
      </c>
      <c r="F70">
        <v>2110</v>
      </c>
      <c r="G70">
        <v>400</v>
      </c>
      <c r="H70" t="s">
        <v>206</v>
      </c>
      <c r="I70">
        <v>6923</v>
      </c>
      <c r="J70" t="s">
        <v>111</v>
      </c>
      <c r="K70" t="s">
        <v>215</v>
      </c>
      <c r="L70">
        <v>2871</v>
      </c>
      <c r="M70">
        <v>2908</v>
      </c>
      <c r="N70">
        <v>300</v>
      </c>
      <c r="O70" t="s">
        <v>204</v>
      </c>
      <c r="P70">
        <v>0.93545314884523501</v>
      </c>
      <c r="Q70">
        <v>0.94860424508188501</v>
      </c>
      <c r="R70">
        <v>0.173013202053896</v>
      </c>
      <c r="S70">
        <v>5.4184481994961498E-3</v>
      </c>
      <c r="T70">
        <v>1.1001506957003999</v>
      </c>
      <c r="U70">
        <v>1.1001506957003999</v>
      </c>
      <c r="V70">
        <v>2.85</v>
      </c>
      <c r="W70">
        <v>3.26</v>
      </c>
      <c r="X70">
        <v>221055</v>
      </c>
      <c r="Y70">
        <v>17004</v>
      </c>
      <c r="Z70">
        <v>0.92</v>
      </c>
      <c r="AA70">
        <v>13</v>
      </c>
      <c r="AB70">
        <v>9</v>
      </c>
      <c r="AC70">
        <v>4</v>
      </c>
      <c r="AD70">
        <v>69.23</v>
      </c>
      <c r="AE70">
        <v>12</v>
      </c>
      <c r="AF70">
        <v>6</v>
      </c>
      <c r="AG70">
        <v>2</v>
      </c>
      <c r="AH70">
        <v>5</v>
      </c>
    </row>
    <row r="71" spans="1:34">
      <c r="A71">
        <v>78</v>
      </c>
      <c r="B71">
        <v>5406</v>
      </c>
      <c r="C71" t="s">
        <v>129</v>
      </c>
      <c r="D71" t="s">
        <v>223</v>
      </c>
      <c r="E71">
        <v>565</v>
      </c>
      <c r="F71">
        <v>570</v>
      </c>
      <c r="G71">
        <v>1700</v>
      </c>
      <c r="H71" t="s">
        <v>204</v>
      </c>
      <c r="I71">
        <v>6586</v>
      </c>
      <c r="J71" t="s">
        <v>82</v>
      </c>
      <c r="K71" t="s">
        <v>214</v>
      </c>
      <c r="L71">
        <v>3170</v>
      </c>
      <c r="M71">
        <v>3270</v>
      </c>
      <c r="N71">
        <v>300</v>
      </c>
      <c r="O71" t="s">
        <v>206</v>
      </c>
      <c r="P71">
        <v>0.94130117538245095</v>
      </c>
      <c r="Q71">
        <v>0.91873356689454799</v>
      </c>
      <c r="R71">
        <v>3.83059553455573E-3</v>
      </c>
      <c r="S71">
        <v>7.5822252037749005E-2</v>
      </c>
      <c r="T71">
        <v>-1.09940670550423</v>
      </c>
      <c r="U71">
        <v>1.09940670550423</v>
      </c>
      <c r="V71">
        <v>-4.95</v>
      </c>
      <c r="W71">
        <v>1.22</v>
      </c>
      <c r="X71">
        <v>317594</v>
      </c>
      <c r="Y71">
        <v>17644</v>
      </c>
      <c r="Z71">
        <v>0.93</v>
      </c>
      <c r="AA71">
        <v>18</v>
      </c>
      <c r="AB71">
        <v>11</v>
      </c>
      <c r="AC71">
        <v>7</v>
      </c>
      <c r="AD71">
        <v>61.11</v>
      </c>
      <c r="AE71">
        <v>10</v>
      </c>
      <c r="AF71">
        <v>9</v>
      </c>
      <c r="AG71">
        <v>4</v>
      </c>
      <c r="AH71">
        <v>5</v>
      </c>
    </row>
    <row r="72" spans="1:34">
      <c r="A72">
        <v>116</v>
      </c>
      <c r="B72">
        <v>4118</v>
      </c>
      <c r="C72" t="s">
        <v>240</v>
      </c>
      <c r="D72" t="s">
        <v>205</v>
      </c>
      <c r="E72">
        <v>3440</v>
      </c>
      <c r="F72">
        <v>3465</v>
      </c>
      <c r="G72">
        <v>300</v>
      </c>
      <c r="H72" t="s">
        <v>206</v>
      </c>
      <c r="I72">
        <v>5406</v>
      </c>
      <c r="J72" t="s">
        <v>129</v>
      </c>
      <c r="K72" t="s">
        <v>223</v>
      </c>
      <c r="L72">
        <v>565</v>
      </c>
      <c r="M72">
        <v>570</v>
      </c>
      <c r="N72">
        <v>1800</v>
      </c>
      <c r="O72" t="s">
        <v>204</v>
      </c>
      <c r="P72">
        <v>0.92749434475842596</v>
      </c>
      <c r="Q72">
        <v>0.93494119349224003</v>
      </c>
      <c r="R72">
        <v>9.46985831476405E-2</v>
      </c>
      <c r="S72">
        <v>0.110380523299611</v>
      </c>
      <c r="T72">
        <v>1.0992436119703499</v>
      </c>
      <c r="U72">
        <v>1.0992436119703499</v>
      </c>
      <c r="V72">
        <v>3.74</v>
      </c>
      <c r="W72">
        <v>1.3</v>
      </c>
      <c r="X72">
        <v>204492</v>
      </c>
      <c r="Y72">
        <v>12029</v>
      </c>
      <c r="Z72">
        <v>0.56999999999999995</v>
      </c>
      <c r="AA72">
        <v>17</v>
      </c>
      <c r="AB72">
        <v>10</v>
      </c>
      <c r="AC72">
        <v>7</v>
      </c>
      <c r="AD72">
        <v>58.82</v>
      </c>
      <c r="AE72">
        <v>11</v>
      </c>
      <c r="AF72">
        <v>8</v>
      </c>
      <c r="AG72">
        <v>4</v>
      </c>
      <c r="AH72">
        <v>5</v>
      </c>
    </row>
    <row r="73" spans="1:34">
      <c r="A73">
        <v>13</v>
      </c>
      <c r="B73">
        <v>6752</v>
      </c>
      <c r="C73" t="s">
        <v>126</v>
      </c>
      <c r="D73" t="s">
        <v>215</v>
      </c>
      <c r="E73">
        <v>874.4</v>
      </c>
      <c r="F73">
        <v>877.9</v>
      </c>
      <c r="G73">
        <v>1200</v>
      </c>
      <c r="H73" t="s">
        <v>204</v>
      </c>
      <c r="I73">
        <v>8795</v>
      </c>
      <c r="J73" t="s">
        <v>153</v>
      </c>
      <c r="K73" t="s">
        <v>237</v>
      </c>
      <c r="L73">
        <v>1150.5</v>
      </c>
      <c r="M73">
        <v>1165</v>
      </c>
      <c r="N73">
        <v>900</v>
      </c>
      <c r="O73" t="s">
        <v>206</v>
      </c>
      <c r="P73">
        <v>0.96142548122358196</v>
      </c>
      <c r="Q73">
        <v>0.93597137675117603</v>
      </c>
      <c r="R73">
        <v>1.23926413153778E-2</v>
      </c>
      <c r="S73">
        <v>0.17918440967333499</v>
      </c>
      <c r="T73">
        <v>-1.07194987012815</v>
      </c>
      <c r="U73">
        <v>1.07194987012815</v>
      </c>
      <c r="V73">
        <v>-2.83</v>
      </c>
      <c r="W73">
        <v>0.47</v>
      </c>
      <c r="X73">
        <v>-6055</v>
      </c>
      <c r="Y73">
        <v>-356</v>
      </c>
      <c r="Z73">
        <v>0.02</v>
      </c>
      <c r="AA73">
        <v>17</v>
      </c>
      <c r="AB73">
        <v>8</v>
      </c>
      <c r="AC73">
        <v>9</v>
      </c>
      <c r="AD73">
        <v>47.06</v>
      </c>
      <c r="AE73">
        <v>14</v>
      </c>
      <c r="AF73">
        <v>6</v>
      </c>
      <c r="AG73">
        <v>5</v>
      </c>
      <c r="AH73">
        <v>6</v>
      </c>
    </row>
    <row r="74" spans="1:34">
      <c r="A74">
        <v>41</v>
      </c>
      <c r="B74">
        <v>3291</v>
      </c>
      <c r="C74" t="s">
        <v>263</v>
      </c>
      <c r="D74" t="s">
        <v>264</v>
      </c>
      <c r="E74">
        <v>1710</v>
      </c>
      <c r="F74">
        <v>1726</v>
      </c>
      <c r="G74">
        <v>600</v>
      </c>
      <c r="H74" t="s">
        <v>204</v>
      </c>
      <c r="I74">
        <v>5991</v>
      </c>
      <c r="J74" t="s">
        <v>108</v>
      </c>
      <c r="K74" t="s">
        <v>216</v>
      </c>
      <c r="L74">
        <v>822</v>
      </c>
      <c r="M74">
        <v>825</v>
      </c>
      <c r="N74">
        <v>1300</v>
      </c>
      <c r="O74" t="s">
        <v>206</v>
      </c>
      <c r="P74">
        <v>0.95092535619473595</v>
      </c>
      <c r="Q74">
        <v>0.92366153716973298</v>
      </c>
      <c r="R74">
        <v>3.6550502191316902E-3</v>
      </c>
      <c r="S74">
        <v>1.7293698604239701E-4</v>
      </c>
      <c r="T74">
        <v>-1.0668793089144999</v>
      </c>
      <c r="U74">
        <v>1.0668793089144999</v>
      </c>
      <c r="V74">
        <v>-2.73</v>
      </c>
      <c r="W74">
        <v>3.56</v>
      </c>
      <c r="X74">
        <v>298319</v>
      </c>
      <c r="Y74">
        <v>13560</v>
      </c>
      <c r="Z74">
        <v>0.64</v>
      </c>
      <c r="AA74">
        <v>22</v>
      </c>
      <c r="AB74">
        <v>14</v>
      </c>
      <c r="AC74">
        <v>8</v>
      </c>
      <c r="AD74">
        <v>63.64</v>
      </c>
      <c r="AE74">
        <v>13</v>
      </c>
      <c r="AF74">
        <v>9</v>
      </c>
      <c r="AG74">
        <v>4</v>
      </c>
      <c r="AH74">
        <v>9</v>
      </c>
    </row>
    <row r="75" spans="1:34">
      <c r="A75">
        <v>143</v>
      </c>
      <c r="B75">
        <v>5201</v>
      </c>
      <c r="C75" t="s">
        <v>221</v>
      </c>
      <c r="D75" t="s">
        <v>213</v>
      </c>
      <c r="E75">
        <v>3370</v>
      </c>
      <c r="F75">
        <v>3405</v>
      </c>
      <c r="G75">
        <v>300</v>
      </c>
      <c r="H75" t="s">
        <v>206</v>
      </c>
      <c r="I75">
        <v>7751</v>
      </c>
      <c r="J75" t="s">
        <v>158</v>
      </c>
      <c r="K75" t="s">
        <v>215</v>
      </c>
      <c r="L75">
        <v>2853</v>
      </c>
      <c r="M75">
        <v>2864.5</v>
      </c>
      <c r="N75">
        <v>400</v>
      </c>
      <c r="O75" t="s">
        <v>204</v>
      </c>
      <c r="P75">
        <v>0.91833203343194203</v>
      </c>
      <c r="Q75">
        <v>0.95366176285052795</v>
      </c>
      <c r="R75">
        <v>0.15102938888211001</v>
      </c>
      <c r="S75" s="39">
        <v>4.6859411169871703E-6</v>
      </c>
      <c r="T75">
        <v>1.05904861586073</v>
      </c>
      <c r="U75">
        <v>1.05904861586073</v>
      </c>
      <c r="V75">
        <v>3.9</v>
      </c>
      <c r="W75">
        <v>12.17</v>
      </c>
      <c r="X75">
        <v>-15991</v>
      </c>
      <c r="Y75">
        <v>-5330</v>
      </c>
      <c r="Z75">
        <v>-0.26</v>
      </c>
      <c r="AA75">
        <v>3</v>
      </c>
      <c r="AB75">
        <v>1</v>
      </c>
      <c r="AC75">
        <v>2</v>
      </c>
      <c r="AD75">
        <v>33.33</v>
      </c>
      <c r="AE75">
        <v>17</v>
      </c>
      <c r="AF75">
        <v>0</v>
      </c>
      <c r="AG75">
        <v>0</v>
      </c>
      <c r="AH75">
        <v>3</v>
      </c>
    </row>
    <row r="76" spans="1:34">
      <c r="A76">
        <v>171</v>
      </c>
      <c r="B76">
        <v>3105</v>
      </c>
      <c r="C76" t="s">
        <v>238</v>
      </c>
      <c r="D76" t="s">
        <v>215</v>
      </c>
      <c r="E76">
        <v>839</v>
      </c>
      <c r="F76">
        <v>845</v>
      </c>
      <c r="G76">
        <v>1300</v>
      </c>
      <c r="H76" t="s">
        <v>204</v>
      </c>
      <c r="I76">
        <v>6988</v>
      </c>
      <c r="J76" t="s">
        <v>162</v>
      </c>
      <c r="K76" t="s">
        <v>205</v>
      </c>
      <c r="L76">
        <v>5358</v>
      </c>
      <c r="M76">
        <v>5415</v>
      </c>
      <c r="N76">
        <v>200</v>
      </c>
      <c r="O76" t="s">
        <v>206</v>
      </c>
      <c r="P76">
        <v>0.90941616334655295</v>
      </c>
      <c r="Q76">
        <v>0.96112685301716105</v>
      </c>
      <c r="R76">
        <v>6.76372909887899E-2</v>
      </c>
      <c r="S76">
        <v>7.0531792570117699E-2</v>
      </c>
      <c r="T76">
        <v>-1.0568282113576699</v>
      </c>
      <c r="U76">
        <v>1.0568282113576699</v>
      </c>
      <c r="V76">
        <v>-2.13</v>
      </c>
      <c r="W76">
        <v>1.43</v>
      </c>
      <c r="X76">
        <v>67968</v>
      </c>
      <c r="Y76">
        <v>3776</v>
      </c>
      <c r="Z76">
        <v>0.02</v>
      </c>
      <c r="AA76">
        <v>18</v>
      </c>
      <c r="AB76">
        <v>10</v>
      </c>
      <c r="AC76">
        <v>8</v>
      </c>
      <c r="AD76">
        <v>55.56</v>
      </c>
      <c r="AE76">
        <v>12</v>
      </c>
      <c r="AF76">
        <v>6</v>
      </c>
      <c r="AG76">
        <v>5</v>
      </c>
      <c r="AH76">
        <v>7</v>
      </c>
    </row>
    <row r="77" spans="1:34">
      <c r="A77">
        <v>187</v>
      </c>
      <c r="B77">
        <v>4005</v>
      </c>
      <c r="C77" t="s">
        <v>148</v>
      </c>
      <c r="D77" t="s">
        <v>205</v>
      </c>
      <c r="E77">
        <v>498</v>
      </c>
      <c r="F77">
        <v>504</v>
      </c>
      <c r="G77">
        <v>2100</v>
      </c>
      <c r="H77" t="s">
        <v>206</v>
      </c>
      <c r="I77">
        <v>7211</v>
      </c>
      <c r="J77" t="s">
        <v>101</v>
      </c>
      <c r="K77" t="s">
        <v>212</v>
      </c>
      <c r="L77">
        <v>468</v>
      </c>
      <c r="M77">
        <v>473</v>
      </c>
      <c r="N77">
        <v>2200</v>
      </c>
      <c r="O77" t="s">
        <v>204</v>
      </c>
      <c r="P77">
        <v>0.90689714042311698</v>
      </c>
      <c r="Q77">
        <v>0.95190159999479496</v>
      </c>
      <c r="R77">
        <v>0.15035376300846001</v>
      </c>
      <c r="S77">
        <v>8.9658349338413298E-4</v>
      </c>
      <c r="T77">
        <v>1.05139464578482</v>
      </c>
      <c r="U77">
        <v>1.05139464578482</v>
      </c>
      <c r="V77">
        <v>3.95</v>
      </c>
      <c r="W77">
        <v>1.68</v>
      </c>
      <c r="X77">
        <v>108463</v>
      </c>
      <c r="Y77">
        <v>6026</v>
      </c>
      <c r="Z77">
        <v>0.31</v>
      </c>
      <c r="AA77">
        <v>18</v>
      </c>
      <c r="AB77">
        <v>9</v>
      </c>
      <c r="AC77">
        <v>9</v>
      </c>
      <c r="AD77">
        <v>50</v>
      </c>
      <c r="AE77">
        <v>12</v>
      </c>
      <c r="AF77">
        <v>6</v>
      </c>
      <c r="AG77">
        <v>4</v>
      </c>
      <c r="AH77">
        <v>8</v>
      </c>
    </row>
    <row r="78" spans="1:34">
      <c r="A78">
        <v>57</v>
      </c>
      <c r="B78">
        <v>1860</v>
      </c>
      <c r="C78" t="s">
        <v>252</v>
      </c>
      <c r="D78" t="s">
        <v>230</v>
      </c>
      <c r="E78">
        <v>624</v>
      </c>
      <c r="F78">
        <v>625</v>
      </c>
      <c r="G78">
        <v>1700</v>
      </c>
      <c r="H78" t="s">
        <v>204</v>
      </c>
      <c r="I78">
        <v>5110</v>
      </c>
      <c r="J78" t="s">
        <v>119</v>
      </c>
      <c r="K78" t="s">
        <v>247</v>
      </c>
      <c r="L78">
        <v>1299</v>
      </c>
      <c r="M78">
        <v>1310</v>
      </c>
      <c r="N78">
        <v>800</v>
      </c>
      <c r="O78" t="s">
        <v>206</v>
      </c>
      <c r="P78">
        <v>0.94675133106448495</v>
      </c>
      <c r="Q78">
        <v>0.93944813904952595</v>
      </c>
      <c r="R78">
        <v>1.99874608435191E-2</v>
      </c>
      <c r="S78">
        <v>2.7912518512509901E-3</v>
      </c>
      <c r="T78">
        <v>-1.0325987200792299</v>
      </c>
      <c r="U78">
        <v>1.0325987200792299</v>
      </c>
      <c r="V78">
        <v>-2.1800000000000002</v>
      </c>
      <c r="W78">
        <v>1.38</v>
      </c>
      <c r="X78">
        <v>98838</v>
      </c>
      <c r="Y78">
        <v>5814</v>
      </c>
      <c r="Z78">
        <v>0.24</v>
      </c>
      <c r="AA78">
        <v>17</v>
      </c>
      <c r="AB78">
        <v>10</v>
      </c>
      <c r="AC78">
        <v>7</v>
      </c>
      <c r="AD78">
        <v>58.82</v>
      </c>
      <c r="AE78">
        <v>14</v>
      </c>
      <c r="AF78">
        <v>5</v>
      </c>
      <c r="AG78">
        <v>4</v>
      </c>
      <c r="AH78">
        <v>8</v>
      </c>
    </row>
    <row r="79" spans="1:34">
      <c r="A79">
        <v>179</v>
      </c>
      <c r="B79">
        <v>4061</v>
      </c>
      <c r="C79" t="s">
        <v>224</v>
      </c>
      <c r="D79" t="s">
        <v>205</v>
      </c>
      <c r="E79">
        <v>2950</v>
      </c>
      <c r="F79">
        <v>3015</v>
      </c>
      <c r="G79">
        <v>300</v>
      </c>
      <c r="H79" t="s">
        <v>206</v>
      </c>
      <c r="I79">
        <v>6586</v>
      </c>
      <c r="J79" t="s">
        <v>82</v>
      </c>
      <c r="K79" t="s">
        <v>214</v>
      </c>
      <c r="L79">
        <v>3170</v>
      </c>
      <c r="M79">
        <v>3270</v>
      </c>
      <c r="N79">
        <v>300</v>
      </c>
      <c r="O79" t="s">
        <v>204</v>
      </c>
      <c r="P79">
        <v>0.90810818828876205</v>
      </c>
      <c r="Q79">
        <v>0.90509606311143598</v>
      </c>
      <c r="R79">
        <v>0.12252643416720201</v>
      </c>
      <c r="S79">
        <v>4.2173951677180397E-4</v>
      </c>
      <c r="T79">
        <v>1.02809903195592</v>
      </c>
      <c r="U79">
        <v>1.02809903195592</v>
      </c>
      <c r="V79">
        <v>3.03</v>
      </c>
      <c r="W79">
        <v>7.8</v>
      </c>
      <c r="X79">
        <v>30386</v>
      </c>
      <c r="Y79">
        <v>3798</v>
      </c>
      <c r="Z79">
        <v>0.25</v>
      </c>
      <c r="AA79">
        <v>8</v>
      </c>
      <c r="AB79">
        <v>4</v>
      </c>
      <c r="AC79">
        <v>4</v>
      </c>
      <c r="AD79">
        <v>50</v>
      </c>
      <c r="AE79">
        <v>10</v>
      </c>
      <c r="AF79">
        <v>3</v>
      </c>
      <c r="AG79">
        <v>2</v>
      </c>
      <c r="AH79">
        <v>3</v>
      </c>
    </row>
    <row r="80" spans="1:34">
      <c r="A80">
        <v>65</v>
      </c>
      <c r="B80">
        <v>1911</v>
      </c>
      <c r="C80" t="s">
        <v>229</v>
      </c>
      <c r="D80" t="s">
        <v>230</v>
      </c>
      <c r="E80">
        <v>1473</v>
      </c>
      <c r="F80">
        <v>1479</v>
      </c>
      <c r="G80">
        <v>600</v>
      </c>
      <c r="H80" t="s">
        <v>206</v>
      </c>
      <c r="I80">
        <v>6923</v>
      </c>
      <c r="J80" t="s">
        <v>111</v>
      </c>
      <c r="K80" t="s">
        <v>215</v>
      </c>
      <c r="L80">
        <v>2871</v>
      </c>
      <c r="M80">
        <v>2908</v>
      </c>
      <c r="N80">
        <v>300</v>
      </c>
      <c r="O80" t="s">
        <v>204</v>
      </c>
      <c r="P80">
        <v>0.94512704984003104</v>
      </c>
      <c r="Q80">
        <v>0.91420001403849704</v>
      </c>
      <c r="R80">
        <v>1.5852372099744399E-3</v>
      </c>
      <c r="S80">
        <v>9.0747058350502202E-2</v>
      </c>
      <c r="T80">
        <v>1.02194485365409</v>
      </c>
      <c r="U80">
        <v>1.02194485365409</v>
      </c>
      <c r="V80">
        <v>2.04</v>
      </c>
      <c r="W80">
        <v>1.72</v>
      </c>
      <c r="X80">
        <v>128570</v>
      </c>
      <c r="Y80">
        <v>7143</v>
      </c>
      <c r="Z80">
        <v>0.5</v>
      </c>
      <c r="AA80">
        <v>18</v>
      </c>
      <c r="AB80">
        <v>9</v>
      </c>
      <c r="AC80">
        <v>9</v>
      </c>
      <c r="AD80">
        <v>50</v>
      </c>
      <c r="AE80">
        <v>13</v>
      </c>
      <c r="AF80">
        <v>5</v>
      </c>
      <c r="AG80">
        <v>2</v>
      </c>
      <c r="AH80">
        <v>11</v>
      </c>
    </row>
    <row r="81" spans="1:34">
      <c r="A81">
        <v>43</v>
      </c>
      <c r="B81">
        <v>7278</v>
      </c>
      <c r="C81" t="s">
        <v>83</v>
      </c>
      <c r="D81" t="s">
        <v>212</v>
      </c>
      <c r="E81">
        <v>2120</v>
      </c>
      <c r="F81">
        <v>2132</v>
      </c>
      <c r="G81">
        <v>400</v>
      </c>
      <c r="H81" t="s">
        <v>204</v>
      </c>
      <c r="I81">
        <v>7846</v>
      </c>
      <c r="J81" t="s">
        <v>141</v>
      </c>
      <c r="K81" t="s">
        <v>242</v>
      </c>
      <c r="L81">
        <v>4000</v>
      </c>
      <c r="M81">
        <v>4015</v>
      </c>
      <c r="N81">
        <v>200</v>
      </c>
      <c r="O81" t="s">
        <v>206</v>
      </c>
      <c r="P81">
        <v>0.95057416179916199</v>
      </c>
      <c r="Q81">
        <v>0.94077741792409297</v>
      </c>
      <c r="R81">
        <v>3.35885408295429E-2</v>
      </c>
      <c r="S81">
        <v>3.1053854547070801E-2</v>
      </c>
      <c r="T81">
        <v>-0.99084107825942602</v>
      </c>
      <c r="U81">
        <v>0.99084107825942602</v>
      </c>
      <c r="V81">
        <v>-1.86</v>
      </c>
      <c r="W81">
        <v>6.2</v>
      </c>
      <c r="X81">
        <v>180727</v>
      </c>
      <c r="Y81">
        <v>20081</v>
      </c>
      <c r="Z81">
        <v>1.01</v>
      </c>
      <c r="AA81">
        <v>9</v>
      </c>
      <c r="AB81">
        <v>6</v>
      </c>
      <c r="AC81">
        <v>3</v>
      </c>
      <c r="AD81">
        <v>66.67</v>
      </c>
      <c r="AE81">
        <v>11</v>
      </c>
      <c r="AF81">
        <v>5</v>
      </c>
      <c r="AG81">
        <v>2</v>
      </c>
      <c r="AH81">
        <v>2</v>
      </c>
    </row>
    <row r="82" spans="1:34">
      <c r="A82">
        <v>152</v>
      </c>
      <c r="B82">
        <v>3105</v>
      </c>
      <c r="C82" t="s">
        <v>238</v>
      </c>
      <c r="D82" t="s">
        <v>215</v>
      </c>
      <c r="E82">
        <v>839</v>
      </c>
      <c r="F82">
        <v>845</v>
      </c>
      <c r="G82">
        <v>1100</v>
      </c>
      <c r="H82" t="s">
        <v>204</v>
      </c>
      <c r="I82">
        <v>6995</v>
      </c>
      <c r="J82" t="s">
        <v>104</v>
      </c>
      <c r="K82" t="s">
        <v>212</v>
      </c>
      <c r="L82">
        <v>1852</v>
      </c>
      <c r="M82">
        <v>1861</v>
      </c>
      <c r="N82">
        <v>500</v>
      </c>
      <c r="O82" t="s">
        <v>206</v>
      </c>
      <c r="P82">
        <v>0.91427880910673098</v>
      </c>
      <c r="Q82">
        <v>0.90816446938387396</v>
      </c>
      <c r="R82">
        <v>6.7820452931495703E-2</v>
      </c>
      <c r="S82">
        <v>0.19376540505081</v>
      </c>
      <c r="T82">
        <v>-0.97519222653439597</v>
      </c>
      <c r="U82">
        <v>0.97519222653439597</v>
      </c>
      <c r="V82">
        <v>-2.87</v>
      </c>
      <c r="W82">
        <v>0.11</v>
      </c>
      <c r="X82">
        <v>520544</v>
      </c>
      <c r="Y82">
        <v>30620</v>
      </c>
      <c r="Z82">
        <v>1.48</v>
      </c>
      <c r="AA82">
        <v>17</v>
      </c>
      <c r="AB82">
        <v>10</v>
      </c>
      <c r="AC82">
        <v>7</v>
      </c>
      <c r="AD82">
        <v>58.82</v>
      </c>
      <c r="AE82">
        <v>12</v>
      </c>
      <c r="AF82">
        <v>8</v>
      </c>
      <c r="AG82">
        <v>1</v>
      </c>
      <c r="AH82">
        <v>8</v>
      </c>
    </row>
    <row r="83" spans="1:34">
      <c r="A83">
        <v>101</v>
      </c>
      <c r="B83">
        <v>3099</v>
      </c>
      <c r="C83" t="s">
        <v>218</v>
      </c>
      <c r="D83" t="s">
        <v>208</v>
      </c>
      <c r="E83">
        <v>879</v>
      </c>
      <c r="F83">
        <v>861</v>
      </c>
      <c r="G83">
        <v>1200</v>
      </c>
      <c r="H83" t="s">
        <v>206</v>
      </c>
      <c r="I83">
        <v>7211</v>
      </c>
      <c r="J83" t="s">
        <v>101</v>
      </c>
      <c r="K83" t="s">
        <v>212</v>
      </c>
      <c r="L83">
        <v>468</v>
      </c>
      <c r="M83">
        <v>473</v>
      </c>
      <c r="N83">
        <v>2200</v>
      </c>
      <c r="O83" t="s">
        <v>204</v>
      </c>
      <c r="P83">
        <v>0.93430628819355199</v>
      </c>
      <c r="Q83">
        <v>0.95205432348845598</v>
      </c>
      <c r="R83">
        <v>6.3325278543003793E-2</v>
      </c>
      <c r="S83">
        <v>6.7591826651822895E-2</v>
      </c>
      <c r="T83">
        <v>0.97443641223655997</v>
      </c>
      <c r="U83">
        <v>0.97443641223655997</v>
      </c>
      <c r="V83">
        <v>2.2400000000000002</v>
      </c>
      <c r="W83">
        <v>0.72</v>
      </c>
      <c r="X83">
        <v>171445</v>
      </c>
      <c r="Y83">
        <v>10715</v>
      </c>
      <c r="Z83">
        <v>0.51</v>
      </c>
      <c r="AA83">
        <v>16</v>
      </c>
      <c r="AB83">
        <v>9</v>
      </c>
      <c r="AC83">
        <v>7</v>
      </c>
      <c r="AD83">
        <v>56.25</v>
      </c>
      <c r="AE83">
        <v>13</v>
      </c>
      <c r="AF83">
        <v>8</v>
      </c>
      <c r="AG83">
        <v>2</v>
      </c>
      <c r="AH83">
        <v>6</v>
      </c>
    </row>
    <row r="84" spans="1:34">
      <c r="A84">
        <v>61</v>
      </c>
      <c r="B84">
        <v>3116</v>
      </c>
      <c r="C84" t="s">
        <v>217</v>
      </c>
      <c r="D84" t="s">
        <v>212</v>
      </c>
      <c r="E84">
        <v>1477</v>
      </c>
      <c r="F84">
        <v>1493</v>
      </c>
      <c r="G84">
        <v>700</v>
      </c>
      <c r="H84" t="s">
        <v>206</v>
      </c>
      <c r="I84">
        <v>8306</v>
      </c>
      <c r="J84" t="s">
        <v>85</v>
      </c>
      <c r="K84" t="s">
        <v>209</v>
      </c>
      <c r="L84">
        <v>537</v>
      </c>
      <c r="M84">
        <v>535.29999999999995</v>
      </c>
      <c r="N84">
        <v>2000</v>
      </c>
      <c r="O84" t="s">
        <v>204</v>
      </c>
      <c r="P84">
        <v>0.94569529322564605</v>
      </c>
      <c r="Q84">
        <v>0.90232631870145497</v>
      </c>
      <c r="R84">
        <v>1.8955073106579601E-4</v>
      </c>
      <c r="S84">
        <v>0.34250108234222598</v>
      </c>
      <c r="T84">
        <v>0.95586488734224595</v>
      </c>
      <c r="U84">
        <v>0.95586488734224595</v>
      </c>
      <c r="V84">
        <v>1.25</v>
      </c>
      <c r="W84">
        <v>2.44</v>
      </c>
      <c r="X84">
        <v>-118133</v>
      </c>
      <c r="Y84">
        <v>-9087</v>
      </c>
      <c r="Z84">
        <v>-0.37</v>
      </c>
      <c r="AA84">
        <v>13</v>
      </c>
      <c r="AB84">
        <v>7</v>
      </c>
      <c r="AC84">
        <v>6</v>
      </c>
      <c r="AD84">
        <v>53.85</v>
      </c>
      <c r="AE84">
        <v>16</v>
      </c>
      <c r="AF84">
        <v>2</v>
      </c>
      <c r="AG84">
        <v>2</v>
      </c>
      <c r="AH84">
        <v>9</v>
      </c>
    </row>
    <row r="85" spans="1:34">
      <c r="A85">
        <v>164</v>
      </c>
      <c r="B85">
        <v>5301</v>
      </c>
      <c r="C85" t="s">
        <v>89</v>
      </c>
      <c r="D85" t="s">
        <v>213</v>
      </c>
      <c r="E85">
        <v>1085</v>
      </c>
      <c r="F85">
        <v>1090</v>
      </c>
      <c r="G85">
        <v>1000</v>
      </c>
      <c r="H85" t="s">
        <v>204</v>
      </c>
      <c r="I85">
        <v>6988</v>
      </c>
      <c r="J85" t="s">
        <v>162</v>
      </c>
      <c r="K85" t="s">
        <v>205</v>
      </c>
      <c r="L85">
        <v>5358</v>
      </c>
      <c r="M85">
        <v>5415</v>
      </c>
      <c r="N85">
        <v>200</v>
      </c>
      <c r="O85" t="s">
        <v>206</v>
      </c>
      <c r="P85">
        <v>0.91179715219368696</v>
      </c>
      <c r="Q85">
        <v>0.91340847124523294</v>
      </c>
      <c r="R85">
        <v>7.2240259426166104E-2</v>
      </c>
      <c r="S85">
        <v>7.7012631342277199E-3</v>
      </c>
      <c r="T85">
        <v>-0.953593069920884</v>
      </c>
      <c r="U85">
        <v>0.953593069920884</v>
      </c>
      <c r="V85">
        <v>-2.2000000000000002</v>
      </c>
      <c r="W85">
        <v>0.65</v>
      </c>
      <c r="X85">
        <v>-217585</v>
      </c>
      <c r="Y85">
        <v>-8369</v>
      </c>
      <c r="Z85">
        <v>-0.28000000000000003</v>
      </c>
      <c r="AA85">
        <v>26</v>
      </c>
      <c r="AB85">
        <v>14</v>
      </c>
      <c r="AC85">
        <v>12</v>
      </c>
      <c r="AD85">
        <v>53.85</v>
      </c>
      <c r="AE85">
        <v>9</v>
      </c>
      <c r="AF85">
        <v>11</v>
      </c>
      <c r="AG85">
        <v>11</v>
      </c>
      <c r="AH85">
        <v>4</v>
      </c>
    </row>
    <row r="86" spans="1:34">
      <c r="A86">
        <v>90</v>
      </c>
      <c r="B86">
        <v>6371</v>
      </c>
      <c r="C86" t="s">
        <v>121</v>
      </c>
      <c r="D86" t="s">
        <v>214</v>
      </c>
      <c r="E86">
        <v>3445</v>
      </c>
      <c r="F86">
        <v>3460</v>
      </c>
      <c r="G86">
        <v>300</v>
      </c>
      <c r="H86" t="s">
        <v>206</v>
      </c>
      <c r="I86">
        <v>6752</v>
      </c>
      <c r="J86" t="s">
        <v>126</v>
      </c>
      <c r="K86" t="s">
        <v>215</v>
      </c>
      <c r="L86">
        <v>874.4</v>
      </c>
      <c r="M86">
        <v>877.9</v>
      </c>
      <c r="N86">
        <v>1200</v>
      </c>
      <c r="O86" t="s">
        <v>204</v>
      </c>
      <c r="P86">
        <v>0.936975930617158</v>
      </c>
      <c r="Q86">
        <v>0.93318331490339701</v>
      </c>
      <c r="R86">
        <v>7.3689870739020204E-3</v>
      </c>
      <c r="S86">
        <v>0.1023721754506</v>
      </c>
      <c r="T86">
        <v>0.93463277485947904</v>
      </c>
      <c r="U86">
        <v>0.93463277485947904</v>
      </c>
      <c r="V86">
        <v>1.58</v>
      </c>
      <c r="W86">
        <v>1.49</v>
      </c>
      <c r="X86">
        <v>31718</v>
      </c>
      <c r="Y86">
        <v>1586</v>
      </c>
      <c r="Z86">
        <v>0.08</v>
      </c>
      <c r="AA86">
        <v>20</v>
      </c>
      <c r="AB86">
        <v>9</v>
      </c>
      <c r="AC86">
        <v>11</v>
      </c>
      <c r="AD86">
        <v>45</v>
      </c>
      <c r="AE86">
        <v>14</v>
      </c>
      <c r="AF86">
        <v>4</v>
      </c>
      <c r="AG86">
        <v>3</v>
      </c>
      <c r="AH86">
        <v>13</v>
      </c>
    </row>
    <row r="87" spans="1:34">
      <c r="A87">
        <v>175</v>
      </c>
      <c r="B87">
        <v>3099</v>
      </c>
      <c r="C87" t="s">
        <v>218</v>
      </c>
      <c r="D87" t="s">
        <v>208</v>
      </c>
      <c r="E87">
        <v>879</v>
      </c>
      <c r="F87">
        <v>861</v>
      </c>
      <c r="G87">
        <v>1200</v>
      </c>
      <c r="H87" t="s">
        <v>204</v>
      </c>
      <c r="I87">
        <v>7189</v>
      </c>
      <c r="J87" t="s">
        <v>143</v>
      </c>
      <c r="K87" t="s">
        <v>209</v>
      </c>
      <c r="L87">
        <v>751</v>
      </c>
      <c r="M87">
        <v>762</v>
      </c>
      <c r="N87">
        <v>1400</v>
      </c>
      <c r="O87" t="s">
        <v>206</v>
      </c>
      <c r="P87">
        <v>0.90886870179854995</v>
      </c>
      <c r="Q87">
        <v>0.96089465406697006</v>
      </c>
      <c r="R87">
        <v>0.31496009457117802</v>
      </c>
      <c r="S87">
        <v>2.56310248915682E-2</v>
      </c>
      <c r="T87">
        <v>-0.876683454121298</v>
      </c>
      <c r="U87">
        <v>0.876683454121298</v>
      </c>
      <c r="V87">
        <v>-2.7</v>
      </c>
      <c r="W87">
        <v>3.25</v>
      </c>
      <c r="X87">
        <v>474842</v>
      </c>
      <c r="Y87">
        <v>31656</v>
      </c>
      <c r="Z87">
        <v>1.55</v>
      </c>
      <c r="AA87">
        <v>15</v>
      </c>
      <c r="AB87">
        <v>10</v>
      </c>
      <c r="AC87">
        <v>5</v>
      </c>
      <c r="AD87">
        <v>66.67</v>
      </c>
      <c r="AE87">
        <v>12</v>
      </c>
      <c r="AF87">
        <v>8</v>
      </c>
      <c r="AG87">
        <v>0</v>
      </c>
      <c r="AH87">
        <v>7</v>
      </c>
    </row>
    <row r="88" spans="1:34">
      <c r="A88">
        <v>59</v>
      </c>
      <c r="B88">
        <v>7211</v>
      </c>
      <c r="C88" t="s">
        <v>101</v>
      </c>
      <c r="D88" t="s">
        <v>212</v>
      </c>
      <c r="E88">
        <v>468</v>
      </c>
      <c r="F88">
        <v>473</v>
      </c>
      <c r="G88">
        <v>2300</v>
      </c>
      <c r="H88" t="s">
        <v>204</v>
      </c>
      <c r="I88">
        <v>8242</v>
      </c>
      <c r="J88" t="s">
        <v>140</v>
      </c>
      <c r="K88" t="s">
        <v>208</v>
      </c>
      <c r="L88">
        <v>1222</v>
      </c>
      <c r="M88">
        <v>1216</v>
      </c>
      <c r="N88">
        <v>900</v>
      </c>
      <c r="O88" t="s">
        <v>206</v>
      </c>
      <c r="P88">
        <v>0.94586014286928699</v>
      </c>
      <c r="Q88">
        <v>0.94780607038654097</v>
      </c>
      <c r="R88">
        <v>5.7832322497480201E-2</v>
      </c>
      <c r="S88">
        <v>0.10914250193003</v>
      </c>
      <c r="T88">
        <v>-0.87126361040036204</v>
      </c>
      <c r="U88">
        <v>0.87126361040036204</v>
      </c>
      <c r="V88">
        <v>-2.11</v>
      </c>
      <c r="W88">
        <v>0.59</v>
      </c>
      <c r="X88">
        <v>258024</v>
      </c>
      <c r="Y88">
        <v>16126</v>
      </c>
      <c r="Z88">
        <v>0.82</v>
      </c>
      <c r="AA88">
        <v>16</v>
      </c>
      <c r="AB88">
        <v>9</v>
      </c>
      <c r="AC88">
        <v>7</v>
      </c>
      <c r="AD88">
        <v>56.25</v>
      </c>
      <c r="AE88">
        <v>11</v>
      </c>
      <c r="AF88">
        <v>6</v>
      </c>
      <c r="AG88">
        <v>4</v>
      </c>
      <c r="AH88">
        <v>6</v>
      </c>
    </row>
    <row r="89" spans="1:34">
      <c r="A89">
        <v>149</v>
      </c>
      <c r="B89">
        <v>1820</v>
      </c>
      <c r="C89" t="s">
        <v>250</v>
      </c>
      <c r="D89" t="s">
        <v>230</v>
      </c>
      <c r="E89">
        <v>2025</v>
      </c>
      <c r="F89">
        <v>2050</v>
      </c>
      <c r="G89">
        <v>500</v>
      </c>
      <c r="H89" t="s">
        <v>206</v>
      </c>
      <c r="I89">
        <v>8242</v>
      </c>
      <c r="J89" t="s">
        <v>140</v>
      </c>
      <c r="K89" t="s">
        <v>208</v>
      </c>
      <c r="L89">
        <v>1222</v>
      </c>
      <c r="M89">
        <v>1216</v>
      </c>
      <c r="N89">
        <v>800</v>
      </c>
      <c r="O89" t="s">
        <v>204</v>
      </c>
      <c r="P89">
        <v>0.91697518279741397</v>
      </c>
      <c r="Q89">
        <v>0.90465516499770804</v>
      </c>
      <c r="R89">
        <v>0.10435583456537099</v>
      </c>
      <c r="S89">
        <v>0.33353385035411798</v>
      </c>
      <c r="T89">
        <v>0.85401757527221001</v>
      </c>
      <c r="U89">
        <v>0.85401757527221001</v>
      </c>
      <c r="V89">
        <v>1.76</v>
      </c>
      <c r="W89">
        <v>5.09</v>
      </c>
      <c r="X89">
        <v>-259932</v>
      </c>
      <c r="Y89">
        <v>-17329</v>
      </c>
      <c r="Z89">
        <v>-0.96</v>
      </c>
      <c r="AA89">
        <v>15</v>
      </c>
      <c r="AB89">
        <v>4</v>
      </c>
      <c r="AC89">
        <v>11</v>
      </c>
      <c r="AD89">
        <v>26.67</v>
      </c>
      <c r="AE89">
        <v>11</v>
      </c>
      <c r="AF89">
        <v>4</v>
      </c>
      <c r="AG89">
        <v>7</v>
      </c>
      <c r="AH89">
        <v>4</v>
      </c>
    </row>
    <row r="90" spans="1:34">
      <c r="A90">
        <v>159</v>
      </c>
      <c r="B90">
        <v>4061</v>
      </c>
      <c r="C90" t="s">
        <v>224</v>
      </c>
      <c r="D90" t="s">
        <v>205</v>
      </c>
      <c r="E90">
        <v>2950</v>
      </c>
      <c r="F90">
        <v>3015</v>
      </c>
      <c r="G90">
        <v>300</v>
      </c>
      <c r="H90" t="s">
        <v>206</v>
      </c>
      <c r="I90">
        <v>5411</v>
      </c>
      <c r="J90" t="s">
        <v>136</v>
      </c>
      <c r="K90" t="s">
        <v>223</v>
      </c>
      <c r="L90">
        <v>1313.5</v>
      </c>
      <c r="M90">
        <v>1325</v>
      </c>
      <c r="N90">
        <v>700</v>
      </c>
      <c r="O90" t="s">
        <v>204</v>
      </c>
      <c r="P90">
        <v>0.91283779525969999</v>
      </c>
      <c r="Q90">
        <v>0.90261897283378001</v>
      </c>
      <c r="R90">
        <v>0.152224850582829</v>
      </c>
      <c r="S90">
        <v>3.2719260164647199E-3</v>
      </c>
      <c r="T90">
        <v>0.84923436290620602</v>
      </c>
      <c r="U90">
        <v>0.84923436290620602</v>
      </c>
      <c r="V90">
        <v>3.61</v>
      </c>
      <c r="W90">
        <v>2.54</v>
      </c>
      <c r="X90">
        <v>144743</v>
      </c>
      <c r="Y90">
        <v>9650</v>
      </c>
      <c r="Z90">
        <v>0.42</v>
      </c>
      <c r="AA90">
        <v>15</v>
      </c>
      <c r="AB90">
        <v>10</v>
      </c>
      <c r="AC90">
        <v>5</v>
      </c>
      <c r="AD90">
        <v>66.67</v>
      </c>
      <c r="AE90">
        <v>12</v>
      </c>
      <c r="AF90">
        <v>5</v>
      </c>
      <c r="AG90">
        <v>4</v>
      </c>
      <c r="AH90">
        <v>6</v>
      </c>
    </row>
    <row r="91" spans="1:34">
      <c r="A91">
        <v>3</v>
      </c>
      <c r="B91">
        <v>4902</v>
      </c>
      <c r="C91" t="s">
        <v>132</v>
      </c>
      <c r="D91" t="s">
        <v>215</v>
      </c>
      <c r="E91">
        <v>751</v>
      </c>
      <c r="F91">
        <v>755</v>
      </c>
      <c r="G91">
        <v>1400</v>
      </c>
      <c r="H91" t="s">
        <v>204</v>
      </c>
      <c r="I91">
        <v>5401</v>
      </c>
      <c r="J91" t="s">
        <v>137</v>
      </c>
      <c r="K91" t="s">
        <v>223</v>
      </c>
      <c r="L91">
        <v>1504</v>
      </c>
      <c r="M91">
        <v>1504.5</v>
      </c>
      <c r="N91">
        <v>700</v>
      </c>
      <c r="O91" t="s">
        <v>206</v>
      </c>
      <c r="P91">
        <v>0.97227100064092697</v>
      </c>
      <c r="Q91">
        <v>0.91354615594854705</v>
      </c>
      <c r="R91">
        <v>0.11569295381799601</v>
      </c>
      <c r="S91">
        <v>0.335762445827751</v>
      </c>
      <c r="T91">
        <v>-0.84717494634007295</v>
      </c>
      <c r="U91">
        <v>0.84717494634007295</v>
      </c>
      <c r="V91">
        <v>-6.27</v>
      </c>
      <c r="W91">
        <v>0.37</v>
      </c>
      <c r="X91">
        <v>52928</v>
      </c>
      <c r="Y91">
        <v>2786</v>
      </c>
      <c r="Z91">
        <v>0.15</v>
      </c>
      <c r="AA91">
        <v>19</v>
      </c>
      <c r="AB91">
        <v>11</v>
      </c>
      <c r="AC91">
        <v>8</v>
      </c>
      <c r="AD91">
        <v>57.89</v>
      </c>
      <c r="AE91">
        <v>13</v>
      </c>
      <c r="AF91">
        <v>5</v>
      </c>
      <c r="AG91">
        <v>6</v>
      </c>
      <c r="AH91">
        <v>8</v>
      </c>
    </row>
    <row r="92" spans="1:34">
      <c r="A92">
        <v>196</v>
      </c>
      <c r="B92">
        <v>6371</v>
      </c>
      <c r="C92" t="s">
        <v>121</v>
      </c>
      <c r="D92" t="s">
        <v>214</v>
      </c>
      <c r="E92">
        <v>3445</v>
      </c>
      <c r="F92">
        <v>3460</v>
      </c>
      <c r="G92">
        <v>300</v>
      </c>
      <c r="H92" t="s">
        <v>206</v>
      </c>
      <c r="I92">
        <v>7327</v>
      </c>
      <c r="J92" t="s">
        <v>139</v>
      </c>
      <c r="K92" t="s">
        <v>209</v>
      </c>
      <c r="L92">
        <v>2650</v>
      </c>
      <c r="M92">
        <v>2668</v>
      </c>
      <c r="N92">
        <v>400</v>
      </c>
      <c r="O92" t="s">
        <v>204</v>
      </c>
      <c r="P92">
        <v>0.90499656843577803</v>
      </c>
      <c r="Q92">
        <v>0.93324022597445599</v>
      </c>
      <c r="R92">
        <v>7.5201822782974395E-2</v>
      </c>
      <c r="S92">
        <v>2.0507447191573599E-2</v>
      </c>
      <c r="T92">
        <v>0.82219660533599404</v>
      </c>
      <c r="U92">
        <v>0.82219660533599404</v>
      </c>
      <c r="V92">
        <v>1.77</v>
      </c>
      <c r="W92">
        <v>2.81</v>
      </c>
      <c r="X92">
        <v>92235</v>
      </c>
      <c r="Y92">
        <v>46118</v>
      </c>
      <c r="Z92">
        <v>2.1</v>
      </c>
      <c r="AA92">
        <v>2</v>
      </c>
      <c r="AB92">
        <v>2</v>
      </c>
      <c r="AC92">
        <v>0</v>
      </c>
      <c r="AD92">
        <v>100</v>
      </c>
      <c r="AE92">
        <v>11</v>
      </c>
      <c r="AF92">
        <v>2</v>
      </c>
      <c r="AG92">
        <v>0</v>
      </c>
      <c r="AH92">
        <v>0</v>
      </c>
    </row>
    <row r="93" spans="1:34">
      <c r="A93">
        <v>161</v>
      </c>
      <c r="B93">
        <v>7846</v>
      </c>
      <c r="C93" t="s">
        <v>141</v>
      </c>
      <c r="D93" t="s">
        <v>242</v>
      </c>
      <c r="E93">
        <v>4000</v>
      </c>
      <c r="F93">
        <v>4015</v>
      </c>
      <c r="G93">
        <v>200</v>
      </c>
      <c r="H93" t="s">
        <v>204</v>
      </c>
      <c r="I93">
        <v>8341</v>
      </c>
      <c r="J93" t="s">
        <v>123</v>
      </c>
      <c r="K93" t="s">
        <v>209</v>
      </c>
      <c r="L93">
        <v>1590</v>
      </c>
      <c r="M93">
        <v>1601</v>
      </c>
      <c r="N93">
        <v>500</v>
      </c>
      <c r="O93" t="s">
        <v>206</v>
      </c>
      <c r="P93">
        <v>0.91264662956759501</v>
      </c>
      <c r="Q93">
        <v>0.93830112972899105</v>
      </c>
      <c r="R93">
        <v>0.14460426324189499</v>
      </c>
      <c r="S93">
        <v>0.15673526318054801</v>
      </c>
      <c r="T93">
        <v>-0.81789056307904195</v>
      </c>
      <c r="U93">
        <v>0.81789056307904195</v>
      </c>
      <c r="V93">
        <v>-3</v>
      </c>
      <c r="W93">
        <v>0.31</v>
      </c>
      <c r="X93">
        <v>-2424</v>
      </c>
      <c r="Y93">
        <v>-173</v>
      </c>
      <c r="Z93">
        <v>-0.02</v>
      </c>
      <c r="AA93">
        <v>14</v>
      </c>
      <c r="AB93">
        <v>7</v>
      </c>
      <c r="AC93">
        <v>7</v>
      </c>
      <c r="AD93">
        <v>50</v>
      </c>
      <c r="AE93">
        <v>13</v>
      </c>
      <c r="AF93">
        <v>4</v>
      </c>
      <c r="AG93">
        <v>4</v>
      </c>
      <c r="AH93">
        <v>6</v>
      </c>
    </row>
    <row r="94" spans="1:34">
      <c r="A94">
        <v>55</v>
      </c>
      <c r="B94">
        <v>4061</v>
      </c>
      <c r="C94" t="s">
        <v>224</v>
      </c>
      <c r="D94" t="s">
        <v>205</v>
      </c>
      <c r="E94">
        <v>2950</v>
      </c>
      <c r="F94">
        <v>3015</v>
      </c>
      <c r="G94">
        <v>300</v>
      </c>
      <c r="H94" t="s">
        <v>206</v>
      </c>
      <c r="I94">
        <v>8377</v>
      </c>
      <c r="J94" t="s">
        <v>95</v>
      </c>
      <c r="K94" t="s">
        <v>209</v>
      </c>
      <c r="L94">
        <v>1032</v>
      </c>
      <c r="M94">
        <v>1036</v>
      </c>
      <c r="N94">
        <v>900</v>
      </c>
      <c r="O94" t="s">
        <v>204</v>
      </c>
      <c r="P94">
        <v>0.94745183921338305</v>
      </c>
      <c r="Q94">
        <v>0.90675943238641599</v>
      </c>
      <c r="R94">
        <v>2.25515364672597E-2</v>
      </c>
      <c r="S94">
        <v>3.9600248837918399E-2</v>
      </c>
      <c r="T94">
        <v>0.80968431962534004</v>
      </c>
      <c r="U94">
        <v>0.80968431962534004</v>
      </c>
      <c r="V94">
        <v>1.94</v>
      </c>
      <c r="W94">
        <v>3.08</v>
      </c>
      <c r="X94">
        <v>-85011</v>
      </c>
      <c r="Y94">
        <v>-4474</v>
      </c>
      <c r="Z94">
        <v>-0.17</v>
      </c>
      <c r="AA94">
        <v>19</v>
      </c>
      <c r="AB94">
        <v>10</v>
      </c>
      <c r="AC94">
        <v>9</v>
      </c>
      <c r="AD94">
        <v>52.63</v>
      </c>
      <c r="AE94">
        <v>11</v>
      </c>
      <c r="AF94">
        <v>8</v>
      </c>
      <c r="AG94">
        <v>7</v>
      </c>
      <c r="AH94">
        <v>4</v>
      </c>
    </row>
    <row r="95" spans="1:34">
      <c r="A95">
        <v>63</v>
      </c>
      <c r="B95">
        <v>2914</v>
      </c>
      <c r="C95" t="s">
        <v>255</v>
      </c>
      <c r="D95" t="s">
        <v>248</v>
      </c>
      <c r="E95">
        <v>2381</v>
      </c>
      <c r="F95">
        <v>2369.5</v>
      </c>
      <c r="G95">
        <v>400</v>
      </c>
      <c r="H95" t="s">
        <v>204</v>
      </c>
      <c r="I95">
        <v>7189</v>
      </c>
      <c r="J95" t="s">
        <v>143</v>
      </c>
      <c r="K95" t="s">
        <v>209</v>
      </c>
      <c r="L95">
        <v>751</v>
      </c>
      <c r="M95">
        <v>762</v>
      </c>
      <c r="N95">
        <v>1200</v>
      </c>
      <c r="O95" t="s">
        <v>206</v>
      </c>
      <c r="P95">
        <v>0.94542766107101495</v>
      </c>
      <c r="Q95">
        <v>0.93502579999422197</v>
      </c>
      <c r="R95">
        <v>3.7177543406052102E-2</v>
      </c>
      <c r="S95">
        <v>2.7445288880005601E-2</v>
      </c>
      <c r="T95">
        <v>-0.80409195956248003</v>
      </c>
      <c r="U95">
        <v>0.80409195956248003</v>
      </c>
      <c r="V95">
        <v>-3.77</v>
      </c>
      <c r="W95">
        <v>3.52</v>
      </c>
      <c r="X95">
        <v>472123</v>
      </c>
      <c r="Y95">
        <v>22482</v>
      </c>
      <c r="Z95">
        <v>1.1299999999999999</v>
      </c>
      <c r="AA95">
        <v>21</v>
      </c>
      <c r="AB95">
        <v>15</v>
      </c>
      <c r="AC95">
        <v>6</v>
      </c>
      <c r="AD95">
        <v>71.430000000000007</v>
      </c>
      <c r="AE95">
        <v>13</v>
      </c>
      <c r="AF95">
        <v>11</v>
      </c>
      <c r="AG95">
        <v>3</v>
      </c>
      <c r="AH95">
        <v>7</v>
      </c>
    </row>
    <row r="96" spans="1:34">
      <c r="A96">
        <v>124</v>
      </c>
      <c r="B96">
        <v>5901</v>
      </c>
      <c r="C96" t="s">
        <v>262</v>
      </c>
      <c r="D96" t="s">
        <v>216</v>
      </c>
      <c r="E96">
        <v>1704</v>
      </c>
      <c r="F96">
        <v>1703</v>
      </c>
      <c r="G96">
        <v>600</v>
      </c>
      <c r="H96" t="s">
        <v>206</v>
      </c>
      <c r="I96">
        <v>6178</v>
      </c>
      <c r="J96" t="s">
        <v>150</v>
      </c>
      <c r="K96" t="s">
        <v>256</v>
      </c>
      <c r="L96">
        <v>981</v>
      </c>
      <c r="M96">
        <v>981</v>
      </c>
      <c r="N96">
        <v>1000</v>
      </c>
      <c r="O96" t="s">
        <v>204</v>
      </c>
      <c r="P96">
        <v>0.92540419710762201</v>
      </c>
      <c r="Q96">
        <v>0.93510974242231704</v>
      </c>
      <c r="R96">
        <v>2.7578221563106801E-2</v>
      </c>
      <c r="S96">
        <v>0.12880091470354199</v>
      </c>
      <c r="T96">
        <v>0.80241484582280498</v>
      </c>
      <c r="U96">
        <v>0.80241484582280498</v>
      </c>
      <c r="V96">
        <v>3.2</v>
      </c>
      <c r="W96">
        <v>3.99</v>
      </c>
      <c r="X96">
        <v>90618</v>
      </c>
      <c r="Y96">
        <v>4119</v>
      </c>
      <c r="Z96">
        <v>0.19</v>
      </c>
      <c r="AA96">
        <v>22</v>
      </c>
      <c r="AB96">
        <v>13</v>
      </c>
      <c r="AC96">
        <v>9</v>
      </c>
      <c r="AD96">
        <v>59.09</v>
      </c>
      <c r="AE96">
        <v>15</v>
      </c>
      <c r="AF96">
        <v>8</v>
      </c>
      <c r="AG96">
        <v>4</v>
      </c>
      <c r="AH96">
        <v>10</v>
      </c>
    </row>
    <row r="97" spans="1:34">
      <c r="A97">
        <v>45</v>
      </c>
      <c r="B97">
        <v>7167</v>
      </c>
      <c r="C97" t="s">
        <v>118</v>
      </c>
      <c r="D97" t="s">
        <v>209</v>
      </c>
      <c r="E97">
        <v>259</v>
      </c>
      <c r="F97">
        <v>263</v>
      </c>
      <c r="G97">
        <v>3100</v>
      </c>
      <c r="H97" t="s">
        <v>204</v>
      </c>
      <c r="I97">
        <v>7846</v>
      </c>
      <c r="J97" t="s">
        <v>141</v>
      </c>
      <c r="K97" t="s">
        <v>242</v>
      </c>
      <c r="L97">
        <v>4000</v>
      </c>
      <c r="M97">
        <v>4015</v>
      </c>
      <c r="N97">
        <v>200</v>
      </c>
      <c r="O97" t="s">
        <v>206</v>
      </c>
      <c r="P97">
        <v>0.95006547870871405</v>
      </c>
      <c r="Q97">
        <v>0.93821445133141101</v>
      </c>
      <c r="R97">
        <v>1.30162446702931E-2</v>
      </c>
      <c r="S97">
        <v>9.7228174371176299E-2</v>
      </c>
      <c r="T97">
        <v>-0.79330454334426304</v>
      </c>
      <c r="U97">
        <v>0.79330454334426304</v>
      </c>
      <c r="V97">
        <v>-1.68</v>
      </c>
      <c r="W97">
        <v>1.53</v>
      </c>
      <c r="X97">
        <v>13921</v>
      </c>
      <c r="Y97">
        <v>696</v>
      </c>
      <c r="Z97">
        <v>0.05</v>
      </c>
      <c r="AA97">
        <v>20</v>
      </c>
      <c r="AB97">
        <v>9</v>
      </c>
      <c r="AC97">
        <v>11</v>
      </c>
      <c r="AD97">
        <v>45</v>
      </c>
      <c r="AE97">
        <v>14</v>
      </c>
      <c r="AF97">
        <v>6</v>
      </c>
      <c r="AG97">
        <v>7</v>
      </c>
      <c r="AH97">
        <v>7</v>
      </c>
    </row>
    <row r="98" spans="1:34">
      <c r="A98">
        <v>39</v>
      </c>
      <c r="B98">
        <v>6995</v>
      </c>
      <c r="C98" t="s">
        <v>104</v>
      </c>
      <c r="D98" t="s">
        <v>212</v>
      </c>
      <c r="E98">
        <v>1852</v>
      </c>
      <c r="F98">
        <v>1861</v>
      </c>
      <c r="G98">
        <v>500</v>
      </c>
      <c r="H98" t="s">
        <v>206</v>
      </c>
      <c r="I98">
        <v>8002</v>
      </c>
      <c r="J98" t="s">
        <v>105</v>
      </c>
      <c r="K98" t="s">
        <v>234</v>
      </c>
      <c r="L98">
        <v>727.3</v>
      </c>
      <c r="M98">
        <v>734.5</v>
      </c>
      <c r="N98">
        <v>1300</v>
      </c>
      <c r="O98" t="s">
        <v>204</v>
      </c>
      <c r="P98">
        <v>0.95136622248119895</v>
      </c>
      <c r="Q98">
        <v>0.923829812055869</v>
      </c>
      <c r="R98">
        <v>0.15166516194812499</v>
      </c>
      <c r="S98">
        <v>1.46318276751683E-2</v>
      </c>
      <c r="T98">
        <v>0.78094147167948802</v>
      </c>
      <c r="U98">
        <v>0.78094147167948802</v>
      </c>
      <c r="V98">
        <v>1.64</v>
      </c>
      <c r="W98">
        <v>2.62</v>
      </c>
      <c r="X98">
        <v>96806</v>
      </c>
      <c r="Y98">
        <v>6454</v>
      </c>
      <c r="Z98">
        <v>0.28000000000000003</v>
      </c>
      <c r="AA98">
        <v>15</v>
      </c>
      <c r="AB98">
        <v>9</v>
      </c>
      <c r="AC98">
        <v>6</v>
      </c>
      <c r="AD98">
        <v>60</v>
      </c>
      <c r="AE98">
        <v>13</v>
      </c>
      <c r="AF98">
        <v>5</v>
      </c>
      <c r="AG98">
        <v>2</v>
      </c>
      <c r="AH98">
        <v>8</v>
      </c>
    </row>
    <row r="99" spans="1:34">
      <c r="A99">
        <v>97</v>
      </c>
      <c r="B99">
        <v>7259</v>
      </c>
      <c r="C99" t="s">
        <v>97</v>
      </c>
      <c r="D99" t="s">
        <v>212</v>
      </c>
      <c r="E99">
        <v>3445</v>
      </c>
      <c r="F99">
        <v>3510</v>
      </c>
      <c r="G99">
        <v>300</v>
      </c>
      <c r="H99" t="s">
        <v>206</v>
      </c>
      <c r="I99">
        <v>7278</v>
      </c>
      <c r="J99" t="s">
        <v>83</v>
      </c>
      <c r="K99" t="s">
        <v>212</v>
      </c>
      <c r="L99">
        <v>2120</v>
      </c>
      <c r="M99">
        <v>2132</v>
      </c>
      <c r="N99">
        <v>500</v>
      </c>
      <c r="O99" t="s">
        <v>204</v>
      </c>
      <c r="P99">
        <v>0.935410809834613</v>
      </c>
      <c r="Q99">
        <v>0.92930078483246403</v>
      </c>
      <c r="R99">
        <v>0.27967862977990798</v>
      </c>
      <c r="S99">
        <v>0.23608633026383299</v>
      </c>
      <c r="T99">
        <v>0.74818878840877601</v>
      </c>
      <c r="U99">
        <v>0.74818878840877601</v>
      </c>
      <c r="V99">
        <v>1.94</v>
      </c>
      <c r="W99">
        <v>1.23</v>
      </c>
      <c r="X99">
        <v>265669</v>
      </c>
      <c r="Y99">
        <v>24152</v>
      </c>
      <c r="Z99">
        <v>1.6</v>
      </c>
      <c r="AA99">
        <v>11</v>
      </c>
      <c r="AB99">
        <v>9</v>
      </c>
      <c r="AC99">
        <v>2</v>
      </c>
      <c r="AD99">
        <v>81.819999999999993</v>
      </c>
      <c r="AE99">
        <v>14</v>
      </c>
      <c r="AF99">
        <v>3</v>
      </c>
      <c r="AG99">
        <v>1</v>
      </c>
      <c r="AH99">
        <v>7</v>
      </c>
    </row>
    <row r="100" spans="1:34">
      <c r="A100">
        <v>58</v>
      </c>
      <c r="B100">
        <v>5393</v>
      </c>
      <c r="C100" t="s">
        <v>120</v>
      </c>
      <c r="D100" t="s">
        <v>213</v>
      </c>
      <c r="E100">
        <v>1892</v>
      </c>
      <c r="F100">
        <v>1934</v>
      </c>
      <c r="G100">
        <v>500</v>
      </c>
      <c r="H100" t="s">
        <v>204</v>
      </c>
      <c r="I100">
        <v>6472</v>
      </c>
      <c r="J100" t="s">
        <v>116</v>
      </c>
      <c r="K100" t="s">
        <v>214</v>
      </c>
      <c r="L100">
        <v>317</v>
      </c>
      <c r="M100">
        <v>322</v>
      </c>
      <c r="N100">
        <v>3000</v>
      </c>
      <c r="O100" t="s">
        <v>206</v>
      </c>
      <c r="P100">
        <v>0.946572235980921</v>
      </c>
      <c r="Q100">
        <v>0.90123696119372099</v>
      </c>
      <c r="R100">
        <v>9.1843224018187605E-2</v>
      </c>
      <c r="S100">
        <v>9.87798212438942E-2</v>
      </c>
      <c r="T100">
        <v>-0.74178204950673199</v>
      </c>
      <c r="U100">
        <v>0.74178204950673199</v>
      </c>
      <c r="V100">
        <v>-1.88</v>
      </c>
      <c r="W100">
        <v>0.1</v>
      </c>
      <c r="X100">
        <v>153978</v>
      </c>
      <c r="Y100">
        <v>9058</v>
      </c>
      <c r="Z100">
        <v>0.49</v>
      </c>
      <c r="AA100">
        <v>17</v>
      </c>
      <c r="AB100">
        <v>9</v>
      </c>
      <c r="AC100">
        <v>8</v>
      </c>
      <c r="AD100">
        <v>52.94</v>
      </c>
      <c r="AE100">
        <v>11</v>
      </c>
      <c r="AF100">
        <v>8</v>
      </c>
      <c r="AG100">
        <v>4</v>
      </c>
      <c r="AH100">
        <v>5</v>
      </c>
    </row>
    <row r="101" spans="1:34">
      <c r="A101">
        <v>205</v>
      </c>
      <c r="B101">
        <v>4062</v>
      </c>
      <c r="C101" t="s">
        <v>251</v>
      </c>
      <c r="D101" t="s">
        <v>215</v>
      </c>
      <c r="E101">
        <v>2300</v>
      </c>
      <c r="F101">
        <v>2322</v>
      </c>
      <c r="G101">
        <v>400</v>
      </c>
      <c r="H101" t="s">
        <v>204</v>
      </c>
      <c r="I101">
        <v>6857</v>
      </c>
      <c r="J101" t="s">
        <v>146</v>
      </c>
      <c r="K101" t="s">
        <v>215</v>
      </c>
      <c r="L101">
        <v>5080</v>
      </c>
      <c r="M101">
        <v>5010</v>
      </c>
      <c r="N101">
        <v>200</v>
      </c>
      <c r="O101" t="s">
        <v>206</v>
      </c>
      <c r="P101">
        <v>0.90180536701131697</v>
      </c>
      <c r="Q101">
        <v>0.93472463193130095</v>
      </c>
      <c r="R101">
        <v>3.8627599483365802E-3</v>
      </c>
      <c r="S101">
        <v>1.2667978529864799E-2</v>
      </c>
      <c r="T101">
        <v>-0.73966388378039205</v>
      </c>
      <c r="U101">
        <v>0.73966388378039205</v>
      </c>
      <c r="V101">
        <v>-10.210000000000001</v>
      </c>
      <c r="W101">
        <v>7.31</v>
      </c>
      <c r="X101">
        <v>251473</v>
      </c>
      <c r="Y101">
        <v>16765</v>
      </c>
      <c r="Z101">
        <v>0.73</v>
      </c>
      <c r="AA101">
        <v>15</v>
      </c>
      <c r="AB101">
        <v>10</v>
      </c>
      <c r="AC101">
        <v>5</v>
      </c>
      <c r="AD101">
        <v>66.67</v>
      </c>
      <c r="AE101">
        <v>10</v>
      </c>
      <c r="AF101">
        <v>8</v>
      </c>
      <c r="AG101">
        <v>5</v>
      </c>
      <c r="AH101">
        <v>2</v>
      </c>
    </row>
    <row r="102" spans="1:34">
      <c r="A102">
        <v>162</v>
      </c>
      <c r="B102">
        <v>7167</v>
      </c>
      <c r="C102" t="s">
        <v>118</v>
      </c>
      <c r="D102" t="s">
        <v>209</v>
      </c>
      <c r="E102">
        <v>259</v>
      </c>
      <c r="F102">
        <v>263</v>
      </c>
      <c r="G102">
        <v>4100</v>
      </c>
      <c r="H102" t="s">
        <v>204</v>
      </c>
      <c r="I102">
        <v>7984</v>
      </c>
      <c r="J102" t="s">
        <v>165</v>
      </c>
      <c r="K102" t="s">
        <v>242</v>
      </c>
      <c r="L102">
        <v>1520</v>
      </c>
      <c r="M102">
        <v>1522</v>
      </c>
      <c r="N102">
        <v>700</v>
      </c>
      <c r="O102" t="s">
        <v>206</v>
      </c>
      <c r="P102">
        <v>0.91248107026248004</v>
      </c>
      <c r="Q102">
        <v>0.91767429599211503</v>
      </c>
      <c r="R102">
        <v>9.4008859007967197E-3</v>
      </c>
      <c r="S102">
        <v>1.06780099760449E-2</v>
      </c>
      <c r="T102">
        <v>-0.73465294913689805</v>
      </c>
      <c r="U102">
        <v>0.73465294913689805</v>
      </c>
      <c r="V102">
        <v>-3.16</v>
      </c>
      <c r="W102">
        <v>1.21</v>
      </c>
      <c r="X102">
        <v>94733</v>
      </c>
      <c r="Y102">
        <v>5263</v>
      </c>
      <c r="Z102">
        <v>0.3</v>
      </c>
      <c r="AA102">
        <v>18</v>
      </c>
      <c r="AB102">
        <v>9</v>
      </c>
      <c r="AC102">
        <v>9</v>
      </c>
      <c r="AD102">
        <v>50</v>
      </c>
      <c r="AE102">
        <v>12</v>
      </c>
      <c r="AF102">
        <v>7</v>
      </c>
      <c r="AG102">
        <v>4</v>
      </c>
      <c r="AH102">
        <v>7</v>
      </c>
    </row>
    <row r="103" spans="1:34">
      <c r="A103">
        <v>146</v>
      </c>
      <c r="B103">
        <v>3861</v>
      </c>
      <c r="C103" t="s">
        <v>266</v>
      </c>
      <c r="D103" t="s">
        <v>267</v>
      </c>
      <c r="E103">
        <v>530</v>
      </c>
      <c r="F103">
        <v>543</v>
      </c>
      <c r="G103">
        <v>1900</v>
      </c>
      <c r="H103" t="s">
        <v>206</v>
      </c>
      <c r="I103">
        <v>9401</v>
      </c>
      <c r="J103" t="s">
        <v>159</v>
      </c>
      <c r="K103" t="s">
        <v>203</v>
      </c>
      <c r="L103">
        <v>1748</v>
      </c>
      <c r="M103">
        <v>1741</v>
      </c>
      <c r="N103">
        <v>600</v>
      </c>
      <c r="O103" t="s">
        <v>204</v>
      </c>
      <c r="P103">
        <v>0.91774387216009401</v>
      </c>
      <c r="Q103">
        <v>0.90173185184953297</v>
      </c>
      <c r="R103">
        <v>3.2064003055014403E-2</v>
      </c>
      <c r="S103">
        <v>1.0007437493776901E-2</v>
      </c>
      <c r="T103">
        <v>0.73309817267565403</v>
      </c>
      <c r="U103">
        <v>0.73309817267565403</v>
      </c>
      <c r="V103">
        <v>3.47</v>
      </c>
      <c r="W103">
        <v>1.23</v>
      </c>
      <c r="X103">
        <v>616285</v>
      </c>
      <c r="Y103">
        <v>30814</v>
      </c>
      <c r="Z103">
        <v>1.65</v>
      </c>
      <c r="AA103">
        <v>20</v>
      </c>
      <c r="AB103">
        <v>14</v>
      </c>
      <c r="AC103">
        <v>6</v>
      </c>
      <c r="AD103">
        <v>70</v>
      </c>
      <c r="AE103">
        <v>11</v>
      </c>
      <c r="AF103">
        <v>12</v>
      </c>
      <c r="AG103">
        <v>3</v>
      </c>
      <c r="AH103">
        <v>5</v>
      </c>
    </row>
    <row r="104" spans="1:34">
      <c r="A104">
        <v>184</v>
      </c>
      <c r="B104">
        <v>5411</v>
      </c>
      <c r="C104" t="s">
        <v>136</v>
      </c>
      <c r="D104" t="s">
        <v>223</v>
      </c>
      <c r="E104">
        <v>1313.5</v>
      </c>
      <c r="F104">
        <v>1325</v>
      </c>
      <c r="G104">
        <v>700</v>
      </c>
      <c r="H104" t="s">
        <v>206</v>
      </c>
      <c r="I104">
        <v>9404</v>
      </c>
      <c r="J104" t="s">
        <v>107</v>
      </c>
      <c r="K104" t="s">
        <v>203</v>
      </c>
      <c r="L104">
        <v>1389</v>
      </c>
      <c r="M104">
        <v>1396</v>
      </c>
      <c r="N104">
        <v>700</v>
      </c>
      <c r="O104" t="s">
        <v>204</v>
      </c>
      <c r="P104">
        <v>0.90739262805462195</v>
      </c>
      <c r="Q104">
        <v>0.92060933147129198</v>
      </c>
      <c r="R104">
        <v>0.20368168400908099</v>
      </c>
      <c r="S104">
        <v>0.280114848195753</v>
      </c>
      <c r="T104">
        <v>0.71546553377536004</v>
      </c>
      <c r="U104">
        <v>0.71546553377536004</v>
      </c>
      <c r="V104">
        <v>2.58</v>
      </c>
      <c r="W104">
        <v>5.09</v>
      </c>
      <c r="X104">
        <v>-303420</v>
      </c>
      <c r="Y104">
        <v>-15171</v>
      </c>
      <c r="Z104">
        <v>-0.72</v>
      </c>
      <c r="AA104">
        <v>20</v>
      </c>
      <c r="AB104">
        <v>8</v>
      </c>
      <c r="AC104">
        <v>12</v>
      </c>
      <c r="AD104">
        <v>40</v>
      </c>
      <c r="AE104">
        <v>13</v>
      </c>
      <c r="AF104">
        <v>3</v>
      </c>
      <c r="AG104">
        <v>6</v>
      </c>
      <c r="AH104">
        <v>11</v>
      </c>
    </row>
    <row r="105" spans="1:34">
      <c r="A105">
        <v>166</v>
      </c>
      <c r="B105">
        <v>2914</v>
      </c>
      <c r="C105" t="s">
        <v>255</v>
      </c>
      <c r="D105" t="s">
        <v>248</v>
      </c>
      <c r="E105">
        <v>2381</v>
      </c>
      <c r="F105">
        <v>2369.5</v>
      </c>
      <c r="G105">
        <v>400</v>
      </c>
      <c r="H105" t="s">
        <v>206</v>
      </c>
      <c r="I105">
        <v>7181</v>
      </c>
      <c r="J105" t="s">
        <v>151</v>
      </c>
      <c r="K105" t="s">
        <v>237</v>
      </c>
      <c r="L105">
        <v>1607</v>
      </c>
      <c r="M105">
        <v>1637</v>
      </c>
      <c r="N105">
        <v>600</v>
      </c>
      <c r="O105" t="s">
        <v>204</v>
      </c>
      <c r="P105">
        <v>0.91072611801382697</v>
      </c>
      <c r="Q105">
        <v>0.94416376463306395</v>
      </c>
      <c r="R105">
        <v>0.37523890849852998</v>
      </c>
      <c r="S105">
        <v>2.2687084865349498E-3</v>
      </c>
      <c r="T105">
        <v>0.71128957199465603</v>
      </c>
      <c r="U105">
        <v>0.71128957199465603</v>
      </c>
      <c r="V105">
        <v>4.3099999999999996</v>
      </c>
      <c r="W105">
        <v>3.63</v>
      </c>
      <c r="X105">
        <v>-170160</v>
      </c>
      <c r="Y105">
        <v>-10635</v>
      </c>
      <c r="Z105">
        <v>-0.56999999999999995</v>
      </c>
      <c r="AA105">
        <v>16</v>
      </c>
      <c r="AB105">
        <v>5</v>
      </c>
      <c r="AC105">
        <v>11</v>
      </c>
      <c r="AD105">
        <v>31.25</v>
      </c>
      <c r="AE105">
        <v>11</v>
      </c>
      <c r="AF105">
        <v>4</v>
      </c>
      <c r="AG105">
        <v>7</v>
      </c>
      <c r="AH105">
        <v>5</v>
      </c>
    </row>
    <row r="106" spans="1:34">
      <c r="A106">
        <v>145</v>
      </c>
      <c r="B106">
        <v>6752</v>
      </c>
      <c r="C106" t="s">
        <v>126</v>
      </c>
      <c r="D106" t="s">
        <v>215</v>
      </c>
      <c r="E106">
        <v>874.4</v>
      </c>
      <c r="F106">
        <v>877.9</v>
      </c>
      <c r="G106">
        <v>1100</v>
      </c>
      <c r="H106" t="s">
        <v>204</v>
      </c>
      <c r="I106">
        <v>7013</v>
      </c>
      <c r="J106" t="s">
        <v>152</v>
      </c>
      <c r="K106" t="s">
        <v>214</v>
      </c>
      <c r="L106">
        <v>2400</v>
      </c>
      <c r="M106">
        <v>2431</v>
      </c>
      <c r="N106">
        <v>400</v>
      </c>
      <c r="O106" t="s">
        <v>206</v>
      </c>
      <c r="P106">
        <v>0.917793376821461</v>
      </c>
      <c r="Q106">
        <v>0.95275956938135098</v>
      </c>
      <c r="R106">
        <v>0.101268407221274</v>
      </c>
      <c r="S106">
        <v>2.7984468474345499E-2</v>
      </c>
      <c r="T106">
        <v>-0.70813500939891505</v>
      </c>
      <c r="U106">
        <v>0.70813500939891505</v>
      </c>
      <c r="V106">
        <v>-3.89</v>
      </c>
      <c r="W106">
        <v>0.69</v>
      </c>
      <c r="X106">
        <v>93627</v>
      </c>
      <c r="Y106">
        <v>4458</v>
      </c>
      <c r="Z106">
        <v>0.13</v>
      </c>
      <c r="AA106">
        <v>21</v>
      </c>
      <c r="AB106">
        <v>12</v>
      </c>
      <c r="AC106">
        <v>9</v>
      </c>
      <c r="AD106">
        <v>57.14</v>
      </c>
      <c r="AE106">
        <v>13</v>
      </c>
      <c r="AF106">
        <v>7</v>
      </c>
      <c r="AG106">
        <v>6</v>
      </c>
      <c r="AH106">
        <v>8</v>
      </c>
    </row>
    <row r="107" spans="1:34">
      <c r="A107">
        <v>89</v>
      </c>
      <c r="B107">
        <v>5020</v>
      </c>
      <c r="C107" t="s">
        <v>154</v>
      </c>
      <c r="D107" t="s">
        <v>253</v>
      </c>
      <c r="E107">
        <v>493.5</v>
      </c>
      <c r="F107">
        <v>494.8</v>
      </c>
      <c r="G107">
        <v>2000</v>
      </c>
      <c r="H107" t="s">
        <v>204</v>
      </c>
      <c r="I107">
        <v>7013</v>
      </c>
      <c r="J107" t="s">
        <v>152</v>
      </c>
      <c r="K107" t="s">
        <v>214</v>
      </c>
      <c r="L107">
        <v>2400</v>
      </c>
      <c r="M107">
        <v>2431</v>
      </c>
      <c r="N107">
        <v>400</v>
      </c>
      <c r="O107" t="s">
        <v>206</v>
      </c>
      <c r="P107">
        <v>0.93756737875162499</v>
      </c>
      <c r="Q107">
        <v>0.95001180228150295</v>
      </c>
      <c r="R107">
        <v>0.308882932236276</v>
      </c>
      <c r="S107">
        <v>8.8612821012545598E-2</v>
      </c>
      <c r="T107">
        <v>-0.70301397614664296</v>
      </c>
      <c r="U107">
        <v>0.70301397614664296</v>
      </c>
      <c r="V107">
        <v>-2.4500000000000002</v>
      </c>
      <c r="W107">
        <v>1.77</v>
      </c>
      <c r="X107">
        <v>-190284</v>
      </c>
      <c r="Y107">
        <v>-10015</v>
      </c>
      <c r="Z107">
        <v>-0.63</v>
      </c>
      <c r="AA107">
        <v>19</v>
      </c>
      <c r="AB107">
        <v>10</v>
      </c>
      <c r="AC107">
        <v>9</v>
      </c>
      <c r="AD107">
        <v>52.63</v>
      </c>
      <c r="AE107">
        <v>10</v>
      </c>
      <c r="AF107">
        <v>7</v>
      </c>
      <c r="AG107">
        <v>8</v>
      </c>
      <c r="AH107">
        <v>4</v>
      </c>
    </row>
    <row r="108" spans="1:34">
      <c r="A108">
        <v>105</v>
      </c>
      <c r="B108">
        <v>6371</v>
      </c>
      <c r="C108" t="s">
        <v>121</v>
      </c>
      <c r="D108" t="s">
        <v>214</v>
      </c>
      <c r="E108">
        <v>3445</v>
      </c>
      <c r="F108">
        <v>3460</v>
      </c>
      <c r="G108">
        <v>300</v>
      </c>
      <c r="H108" t="s">
        <v>204</v>
      </c>
      <c r="I108">
        <v>7762</v>
      </c>
      <c r="J108" t="s">
        <v>167</v>
      </c>
      <c r="K108" t="s">
        <v>228</v>
      </c>
      <c r="L108">
        <v>539</v>
      </c>
      <c r="M108">
        <v>546</v>
      </c>
      <c r="N108">
        <v>1900</v>
      </c>
      <c r="O108" t="s">
        <v>206</v>
      </c>
      <c r="P108">
        <v>0.93231116307651996</v>
      </c>
      <c r="Q108">
        <v>0.92572456399431002</v>
      </c>
      <c r="R108">
        <v>7.1399621952702502E-3</v>
      </c>
      <c r="S108">
        <v>0.26073132968165802</v>
      </c>
      <c r="T108">
        <v>-0.69651738327944401</v>
      </c>
      <c r="U108">
        <v>0.69651738327944401</v>
      </c>
      <c r="V108">
        <v>-1.37</v>
      </c>
      <c r="W108">
        <v>0.06</v>
      </c>
      <c r="X108">
        <v>276294</v>
      </c>
      <c r="Y108">
        <v>14542</v>
      </c>
      <c r="Z108">
        <v>0.78</v>
      </c>
      <c r="AA108">
        <v>19</v>
      </c>
      <c r="AB108">
        <v>13</v>
      </c>
      <c r="AC108">
        <v>6</v>
      </c>
      <c r="AD108">
        <v>68.42</v>
      </c>
      <c r="AE108">
        <v>13</v>
      </c>
      <c r="AF108">
        <v>7</v>
      </c>
      <c r="AG108">
        <v>4</v>
      </c>
      <c r="AH108">
        <v>8</v>
      </c>
    </row>
    <row r="109" spans="1:34">
      <c r="A109">
        <v>160</v>
      </c>
      <c r="B109">
        <v>5703</v>
      </c>
      <c r="C109" t="s">
        <v>257</v>
      </c>
      <c r="D109" t="s">
        <v>211</v>
      </c>
      <c r="E109">
        <v>201</v>
      </c>
      <c r="F109">
        <v>201</v>
      </c>
      <c r="G109">
        <v>5300</v>
      </c>
      <c r="H109" t="s">
        <v>206</v>
      </c>
      <c r="I109">
        <v>7261</v>
      </c>
      <c r="J109" t="s">
        <v>161</v>
      </c>
      <c r="K109" t="s">
        <v>212</v>
      </c>
      <c r="L109">
        <v>953</v>
      </c>
      <c r="M109">
        <v>966.1</v>
      </c>
      <c r="N109">
        <v>1100</v>
      </c>
      <c r="O109" t="s">
        <v>204</v>
      </c>
      <c r="P109">
        <v>0.91273290441280797</v>
      </c>
      <c r="Q109">
        <v>0.91471066556812297</v>
      </c>
      <c r="R109">
        <v>0.28385778222920099</v>
      </c>
      <c r="S109">
        <v>3.5124854550147397E-2</v>
      </c>
      <c r="T109">
        <v>0.69162657895406399</v>
      </c>
      <c r="U109">
        <v>0.69162657895406399</v>
      </c>
      <c r="V109">
        <v>2.0299999999999998</v>
      </c>
      <c r="W109">
        <v>0.24</v>
      </c>
      <c r="X109">
        <v>73461</v>
      </c>
      <c r="Y109">
        <v>5247</v>
      </c>
      <c r="Z109">
        <v>0.3</v>
      </c>
      <c r="AA109">
        <v>14</v>
      </c>
      <c r="AB109">
        <v>9</v>
      </c>
      <c r="AC109">
        <v>5</v>
      </c>
      <c r="AD109">
        <v>64.290000000000006</v>
      </c>
      <c r="AE109">
        <v>14</v>
      </c>
      <c r="AF109">
        <v>4</v>
      </c>
      <c r="AG109">
        <v>4</v>
      </c>
      <c r="AH109">
        <v>6</v>
      </c>
    </row>
    <row r="110" spans="1:34">
      <c r="A110">
        <v>147</v>
      </c>
      <c r="B110">
        <v>2531</v>
      </c>
      <c r="C110" t="s">
        <v>272</v>
      </c>
      <c r="D110" t="s">
        <v>248</v>
      </c>
      <c r="E110">
        <v>1080</v>
      </c>
      <c r="F110">
        <v>1068</v>
      </c>
      <c r="G110">
        <v>1000</v>
      </c>
      <c r="H110" t="s">
        <v>204</v>
      </c>
      <c r="I110">
        <v>5020</v>
      </c>
      <c r="J110" t="s">
        <v>154</v>
      </c>
      <c r="K110" t="s">
        <v>253</v>
      </c>
      <c r="L110">
        <v>493.5</v>
      </c>
      <c r="M110">
        <v>494.8</v>
      </c>
      <c r="N110">
        <v>2200</v>
      </c>
      <c r="O110" t="s">
        <v>206</v>
      </c>
      <c r="P110">
        <v>0.91774144777241395</v>
      </c>
      <c r="Q110">
        <v>0.91172761425817594</v>
      </c>
      <c r="R110">
        <v>3.0451462344651001E-2</v>
      </c>
      <c r="S110">
        <v>3.3031976147169802E-2</v>
      </c>
      <c r="T110">
        <v>-0.68910630253619098</v>
      </c>
      <c r="U110">
        <v>0.68910630253619098</v>
      </c>
      <c r="V110">
        <v>-2.34</v>
      </c>
      <c r="W110">
        <v>1.93</v>
      </c>
      <c r="X110">
        <v>228521</v>
      </c>
      <c r="Y110">
        <v>15235</v>
      </c>
      <c r="Z110">
        <v>0.78</v>
      </c>
      <c r="AA110">
        <v>15</v>
      </c>
      <c r="AB110">
        <v>10</v>
      </c>
      <c r="AC110">
        <v>5</v>
      </c>
      <c r="AD110">
        <v>66.67</v>
      </c>
      <c r="AE110">
        <v>10</v>
      </c>
      <c r="AF110">
        <v>9</v>
      </c>
      <c r="AG110">
        <v>4</v>
      </c>
      <c r="AH110">
        <v>2</v>
      </c>
    </row>
    <row r="111" spans="1:34">
      <c r="A111">
        <v>50</v>
      </c>
      <c r="B111">
        <v>4061</v>
      </c>
      <c r="C111" t="s">
        <v>224</v>
      </c>
      <c r="D111" t="s">
        <v>205</v>
      </c>
      <c r="E111">
        <v>2950</v>
      </c>
      <c r="F111">
        <v>3015</v>
      </c>
      <c r="G111">
        <v>400</v>
      </c>
      <c r="H111" t="s">
        <v>206</v>
      </c>
      <c r="I111">
        <v>8316</v>
      </c>
      <c r="J111" t="s">
        <v>142</v>
      </c>
      <c r="K111" t="s">
        <v>209</v>
      </c>
      <c r="L111">
        <v>3657</v>
      </c>
      <c r="M111">
        <v>3651</v>
      </c>
      <c r="N111">
        <v>300</v>
      </c>
      <c r="O111" t="s">
        <v>204</v>
      </c>
      <c r="P111">
        <v>0.94931406670974305</v>
      </c>
      <c r="Q111">
        <v>0.923350992525236</v>
      </c>
      <c r="R111">
        <v>3.4637792827043899E-2</v>
      </c>
      <c r="S111">
        <v>1.64751234857093E-2</v>
      </c>
      <c r="T111">
        <v>0.68799930805374498</v>
      </c>
      <c r="U111">
        <v>0.68799930805374498</v>
      </c>
      <c r="V111">
        <v>1.71</v>
      </c>
      <c r="W111">
        <v>10.11</v>
      </c>
      <c r="X111">
        <v>133292</v>
      </c>
      <c r="Y111">
        <v>16662</v>
      </c>
      <c r="Z111">
        <v>0.99</v>
      </c>
      <c r="AA111">
        <v>8</v>
      </c>
      <c r="AB111">
        <v>6</v>
      </c>
      <c r="AC111">
        <v>2</v>
      </c>
      <c r="AD111">
        <v>75</v>
      </c>
      <c r="AE111">
        <v>14</v>
      </c>
      <c r="AF111">
        <v>2</v>
      </c>
      <c r="AG111">
        <v>0</v>
      </c>
      <c r="AH111">
        <v>6</v>
      </c>
    </row>
    <row r="112" spans="1:34">
      <c r="A112">
        <v>156</v>
      </c>
      <c r="B112">
        <v>7182</v>
      </c>
      <c r="C112" t="s">
        <v>98</v>
      </c>
      <c r="D112" t="s">
        <v>209</v>
      </c>
      <c r="E112">
        <v>1032</v>
      </c>
      <c r="F112">
        <v>1036</v>
      </c>
      <c r="G112">
        <v>1000</v>
      </c>
      <c r="H112" t="s">
        <v>204</v>
      </c>
      <c r="I112">
        <v>7278</v>
      </c>
      <c r="J112" t="s">
        <v>83</v>
      </c>
      <c r="K112" t="s">
        <v>212</v>
      </c>
      <c r="L112">
        <v>2120</v>
      </c>
      <c r="M112">
        <v>2132</v>
      </c>
      <c r="N112">
        <v>500</v>
      </c>
      <c r="O112" t="s">
        <v>206</v>
      </c>
      <c r="P112">
        <v>0.91357766438325405</v>
      </c>
      <c r="Q112">
        <v>0.933948439654533</v>
      </c>
      <c r="R112">
        <v>0.28028167489508998</v>
      </c>
      <c r="S112">
        <v>0.15692299993025299</v>
      </c>
      <c r="T112">
        <v>-0.68476064119333402</v>
      </c>
      <c r="U112">
        <v>0.68476064119333402</v>
      </c>
      <c r="V112">
        <v>-1.71</v>
      </c>
      <c r="W112">
        <v>2.81</v>
      </c>
      <c r="X112">
        <v>164980</v>
      </c>
      <c r="Y112">
        <v>9705</v>
      </c>
      <c r="Z112">
        <v>0.49</v>
      </c>
      <c r="AA112">
        <v>17</v>
      </c>
      <c r="AB112">
        <v>10</v>
      </c>
      <c r="AC112">
        <v>7</v>
      </c>
      <c r="AD112">
        <v>58.82</v>
      </c>
      <c r="AE112">
        <v>13</v>
      </c>
      <c r="AF112">
        <v>7</v>
      </c>
      <c r="AG112">
        <v>2</v>
      </c>
      <c r="AH112">
        <v>8</v>
      </c>
    </row>
    <row r="113" spans="1:34">
      <c r="A113">
        <v>69</v>
      </c>
      <c r="B113">
        <v>7167</v>
      </c>
      <c r="C113" t="s">
        <v>118</v>
      </c>
      <c r="D113" t="s">
        <v>209</v>
      </c>
      <c r="E113">
        <v>259</v>
      </c>
      <c r="F113">
        <v>263</v>
      </c>
      <c r="G113">
        <v>4000</v>
      </c>
      <c r="H113" t="s">
        <v>204</v>
      </c>
      <c r="I113">
        <v>8795</v>
      </c>
      <c r="J113" t="s">
        <v>153</v>
      </c>
      <c r="K113" t="s">
        <v>237</v>
      </c>
      <c r="L113">
        <v>1150.5</v>
      </c>
      <c r="M113">
        <v>1165</v>
      </c>
      <c r="N113">
        <v>900</v>
      </c>
      <c r="O113" t="s">
        <v>206</v>
      </c>
      <c r="P113">
        <v>0.94354878700553602</v>
      </c>
      <c r="Q113">
        <v>0.94223209590450696</v>
      </c>
      <c r="R113">
        <v>0.17086210820431499</v>
      </c>
      <c r="S113">
        <v>0.27909398718669098</v>
      </c>
      <c r="T113">
        <v>-0.68233838986593398</v>
      </c>
      <c r="U113">
        <v>0.68233838986593398</v>
      </c>
      <c r="V113">
        <v>-1.91</v>
      </c>
      <c r="W113">
        <v>0.33</v>
      </c>
      <c r="X113">
        <v>101523</v>
      </c>
      <c r="Y113">
        <v>6345</v>
      </c>
      <c r="Z113">
        <v>0.27</v>
      </c>
      <c r="AA113">
        <v>16</v>
      </c>
      <c r="AB113">
        <v>9</v>
      </c>
      <c r="AC113">
        <v>7</v>
      </c>
      <c r="AD113">
        <v>56.25</v>
      </c>
      <c r="AE113">
        <v>15</v>
      </c>
      <c r="AF113">
        <v>3</v>
      </c>
      <c r="AG113">
        <v>1</v>
      </c>
      <c r="AH113">
        <v>12</v>
      </c>
    </row>
    <row r="114" spans="1:34">
      <c r="A114">
        <v>66</v>
      </c>
      <c r="B114">
        <v>6995</v>
      </c>
      <c r="C114" t="s">
        <v>104</v>
      </c>
      <c r="D114" t="s">
        <v>212</v>
      </c>
      <c r="E114">
        <v>1852</v>
      </c>
      <c r="F114">
        <v>1861</v>
      </c>
      <c r="G114">
        <v>500</v>
      </c>
      <c r="H114" t="s">
        <v>204</v>
      </c>
      <c r="I114">
        <v>7272</v>
      </c>
      <c r="J114" t="s">
        <v>112</v>
      </c>
      <c r="K114" t="s">
        <v>212</v>
      </c>
      <c r="L114">
        <v>1965</v>
      </c>
      <c r="M114">
        <v>1992</v>
      </c>
      <c r="N114">
        <v>500</v>
      </c>
      <c r="O114" t="s">
        <v>206</v>
      </c>
      <c r="P114">
        <v>0.94505319924591402</v>
      </c>
      <c r="Q114">
        <v>0.904648157308381</v>
      </c>
      <c r="R114">
        <v>0.338530143836411</v>
      </c>
      <c r="S114">
        <v>5.8380334747304502E-2</v>
      </c>
      <c r="T114">
        <v>-0.67432242484254501</v>
      </c>
      <c r="U114">
        <v>0.67432242484254501</v>
      </c>
      <c r="V114">
        <v>-1.32</v>
      </c>
      <c r="W114">
        <v>6.58</v>
      </c>
      <c r="X114">
        <v>-83773</v>
      </c>
      <c r="Y114">
        <v>-5585</v>
      </c>
      <c r="Z114">
        <v>-0.34</v>
      </c>
      <c r="AA114">
        <v>15</v>
      </c>
      <c r="AB114">
        <v>8</v>
      </c>
      <c r="AC114">
        <v>7</v>
      </c>
      <c r="AD114">
        <v>53.33</v>
      </c>
      <c r="AE114">
        <v>13</v>
      </c>
      <c r="AF114">
        <v>3</v>
      </c>
      <c r="AG114">
        <v>4</v>
      </c>
      <c r="AH114">
        <v>8</v>
      </c>
    </row>
    <row r="115" spans="1:34">
      <c r="A115">
        <v>92</v>
      </c>
      <c r="B115">
        <v>7013</v>
      </c>
      <c r="C115" t="s">
        <v>152</v>
      </c>
      <c r="D115" t="s">
        <v>214</v>
      </c>
      <c r="E115">
        <v>2400</v>
      </c>
      <c r="F115">
        <v>2431</v>
      </c>
      <c r="G115">
        <v>400</v>
      </c>
      <c r="H115" t="s">
        <v>206</v>
      </c>
      <c r="I115">
        <v>7278</v>
      </c>
      <c r="J115" t="s">
        <v>83</v>
      </c>
      <c r="K115" t="s">
        <v>212</v>
      </c>
      <c r="L115">
        <v>2120</v>
      </c>
      <c r="M115">
        <v>2132</v>
      </c>
      <c r="N115">
        <v>500</v>
      </c>
      <c r="O115" t="s">
        <v>204</v>
      </c>
      <c r="P115">
        <v>0.93691532874084005</v>
      </c>
      <c r="Q115">
        <v>0.92312442230324498</v>
      </c>
      <c r="R115">
        <v>4.4303209981812398E-2</v>
      </c>
      <c r="S115">
        <v>0.123839105901468</v>
      </c>
      <c r="T115">
        <v>0.657588300693706</v>
      </c>
      <c r="U115">
        <v>0.657588300693706</v>
      </c>
      <c r="V115">
        <v>2.82</v>
      </c>
      <c r="W115">
        <v>9.6300000000000008</v>
      </c>
      <c r="X115">
        <v>398432</v>
      </c>
      <c r="Y115">
        <v>49804</v>
      </c>
      <c r="Z115">
        <v>2.58</v>
      </c>
      <c r="AA115">
        <v>8</v>
      </c>
      <c r="AB115">
        <v>8</v>
      </c>
      <c r="AC115">
        <v>0</v>
      </c>
      <c r="AD115">
        <v>100</v>
      </c>
      <c r="AE115">
        <v>8</v>
      </c>
      <c r="AF115">
        <v>7</v>
      </c>
      <c r="AG115">
        <v>0</v>
      </c>
      <c r="AH115">
        <v>1</v>
      </c>
    </row>
    <row r="116" spans="1:34">
      <c r="A116">
        <v>110</v>
      </c>
      <c r="B116">
        <v>5471</v>
      </c>
      <c r="C116" t="s">
        <v>102</v>
      </c>
      <c r="D116" t="s">
        <v>223</v>
      </c>
      <c r="E116">
        <v>4520</v>
      </c>
      <c r="F116">
        <v>4520</v>
      </c>
      <c r="G116">
        <v>200</v>
      </c>
      <c r="H116" t="s">
        <v>206</v>
      </c>
      <c r="I116">
        <v>7251</v>
      </c>
      <c r="J116" t="s">
        <v>90</v>
      </c>
      <c r="K116" t="s">
        <v>212</v>
      </c>
      <c r="L116">
        <v>1643</v>
      </c>
      <c r="M116">
        <v>1651</v>
      </c>
      <c r="N116">
        <v>500</v>
      </c>
      <c r="O116" t="s">
        <v>204</v>
      </c>
      <c r="P116">
        <v>0.93055359137513605</v>
      </c>
      <c r="Q116">
        <v>0.90592630929234597</v>
      </c>
      <c r="R116">
        <v>3.8961763073619301E-3</v>
      </c>
      <c r="S116">
        <v>5.9577017228240896E-4</v>
      </c>
      <c r="T116">
        <v>0.65715073654489398</v>
      </c>
      <c r="U116">
        <v>0.65715073654489398</v>
      </c>
      <c r="V116">
        <v>1.88</v>
      </c>
      <c r="W116">
        <v>8.68</v>
      </c>
      <c r="X116">
        <v>141001</v>
      </c>
      <c r="Y116">
        <v>9400</v>
      </c>
      <c r="Z116">
        <v>0.46</v>
      </c>
      <c r="AA116">
        <v>15</v>
      </c>
      <c r="AB116">
        <v>10</v>
      </c>
      <c r="AC116">
        <v>5</v>
      </c>
      <c r="AD116">
        <v>66.67</v>
      </c>
      <c r="AE116">
        <v>14</v>
      </c>
      <c r="AF116">
        <v>5</v>
      </c>
      <c r="AG116">
        <v>2</v>
      </c>
      <c r="AH116">
        <v>8</v>
      </c>
    </row>
    <row r="117" spans="1:34">
      <c r="A117">
        <v>88</v>
      </c>
      <c r="B117">
        <v>7189</v>
      </c>
      <c r="C117" t="s">
        <v>143</v>
      </c>
      <c r="D117" t="s">
        <v>209</v>
      </c>
      <c r="E117">
        <v>751</v>
      </c>
      <c r="F117">
        <v>762</v>
      </c>
      <c r="G117">
        <v>1100</v>
      </c>
      <c r="H117" t="s">
        <v>206</v>
      </c>
      <c r="I117">
        <v>7846</v>
      </c>
      <c r="J117" t="s">
        <v>141</v>
      </c>
      <c r="K117" t="s">
        <v>242</v>
      </c>
      <c r="L117">
        <v>4000</v>
      </c>
      <c r="M117">
        <v>4015</v>
      </c>
      <c r="N117">
        <v>200</v>
      </c>
      <c r="O117" t="s">
        <v>204</v>
      </c>
      <c r="P117">
        <v>0.93780658395827099</v>
      </c>
      <c r="Q117">
        <v>0.91518222790211601</v>
      </c>
      <c r="R117">
        <v>9.9802902356470602E-2</v>
      </c>
      <c r="S117">
        <v>0.21549197164053699</v>
      </c>
      <c r="T117">
        <v>0.64082374364918504</v>
      </c>
      <c r="U117">
        <v>0.64082374364918504</v>
      </c>
      <c r="V117">
        <v>1.73</v>
      </c>
      <c r="W117">
        <v>4.38</v>
      </c>
      <c r="X117">
        <v>249335</v>
      </c>
      <c r="Y117">
        <v>16622</v>
      </c>
      <c r="Z117">
        <v>1.21</v>
      </c>
      <c r="AA117">
        <v>15</v>
      </c>
      <c r="AB117">
        <v>10</v>
      </c>
      <c r="AC117">
        <v>5</v>
      </c>
      <c r="AD117">
        <v>66.67</v>
      </c>
      <c r="AE117">
        <v>13</v>
      </c>
      <c r="AF117">
        <v>7</v>
      </c>
      <c r="AG117">
        <v>3</v>
      </c>
      <c r="AH117">
        <v>5</v>
      </c>
    </row>
    <row r="118" spans="1:34">
      <c r="A118">
        <v>94</v>
      </c>
      <c r="B118">
        <v>1963</v>
      </c>
      <c r="C118" t="s">
        <v>236</v>
      </c>
      <c r="D118" t="s">
        <v>230</v>
      </c>
      <c r="E118">
        <v>1411</v>
      </c>
      <c r="F118">
        <v>1438</v>
      </c>
      <c r="G118">
        <v>700</v>
      </c>
      <c r="H118" t="s">
        <v>204</v>
      </c>
      <c r="I118">
        <v>8750</v>
      </c>
      <c r="J118" t="s">
        <v>125</v>
      </c>
      <c r="K118" t="s">
        <v>237</v>
      </c>
      <c r="L118">
        <v>1645.5</v>
      </c>
      <c r="M118">
        <v>1665</v>
      </c>
      <c r="N118">
        <v>600</v>
      </c>
      <c r="O118" t="s">
        <v>206</v>
      </c>
      <c r="P118">
        <v>0.93599996455656498</v>
      </c>
      <c r="Q118">
        <v>0.90620438265624803</v>
      </c>
      <c r="R118">
        <v>7.0573688436081305E-2</v>
      </c>
      <c r="S118">
        <v>0.13275435827757601</v>
      </c>
      <c r="T118">
        <v>-0.634997000114218</v>
      </c>
      <c r="U118">
        <v>0.634997000114218</v>
      </c>
      <c r="V118">
        <v>-1.86</v>
      </c>
      <c r="W118">
        <v>0.76</v>
      </c>
      <c r="X118">
        <v>196685</v>
      </c>
      <c r="Y118">
        <v>11570</v>
      </c>
      <c r="Z118">
        <v>0.43</v>
      </c>
      <c r="AA118">
        <v>17</v>
      </c>
      <c r="AB118">
        <v>9</v>
      </c>
      <c r="AC118">
        <v>8</v>
      </c>
      <c r="AD118">
        <v>52.94</v>
      </c>
      <c r="AE118">
        <v>10</v>
      </c>
      <c r="AF118">
        <v>8</v>
      </c>
      <c r="AG118">
        <v>4</v>
      </c>
      <c r="AH118">
        <v>5</v>
      </c>
    </row>
    <row r="119" spans="1:34">
      <c r="A119">
        <v>75</v>
      </c>
      <c r="B119">
        <v>7189</v>
      </c>
      <c r="C119" t="s">
        <v>143</v>
      </c>
      <c r="D119" t="s">
        <v>209</v>
      </c>
      <c r="E119">
        <v>751</v>
      </c>
      <c r="F119">
        <v>762</v>
      </c>
      <c r="G119">
        <v>1100</v>
      </c>
      <c r="H119" t="s">
        <v>206</v>
      </c>
      <c r="I119">
        <v>9810</v>
      </c>
      <c r="J119" t="s">
        <v>134</v>
      </c>
      <c r="K119" t="s">
        <v>234</v>
      </c>
      <c r="L119">
        <v>4375</v>
      </c>
      <c r="M119">
        <v>4365</v>
      </c>
      <c r="N119">
        <v>200</v>
      </c>
      <c r="O119" t="s">
        <v>204</v>
      </c>
      <c r="P119">
        <v>0.94183115634988501</v>
      </c>
      <c r="Q119">
        <v>0.92521226977705096</v>
      </c>
      <c r="R119">
        <v>6.8847673144018004E-2</v>
      </c>
      <c r="S119">
        <v>5.3842300821356298E-2</v>
      </c>
      <c r="T119">
        <v>0.62512057191614201</v>
      </c>
      <c r="U119">
        <v>0.62512057191614201</v>
      </c>
      <c r="V119">
        <v>2.2999999999999998</v>
      </c>
      <c r="W119">
        <v>3.99</v>
      </c>
      <c r="X119">
        <v>29244</v>
      </c>
      <c r="Y119">
        <v>2250</v>
      </c>
      <c r="Z119">
        <v>0.23</v>
      </c>
      <c r="AA119">
        <v>13</v>
      </c>
      <c r="AB119">
        <v>8</v>
      </c>
      <c r="AC119">
        <v>5</v>
      </c>
      <c r="AD119">
        <v>61.54</v>
      </c>
      <c r="AE119">
        <v>12</v>
      </c>
      <c r="AF119">
        <v>4</v>
      </c>
      <c r="AG119">
        <v>4</v>
      </c>
      <c r="AH119">
        <v>5</v>
      </c>
    </row>
    <row r="120" spans="1:34">
      <c r="A120">
        <v>201</v>
      </c>
      <c r="B120">
        <v>1333</v>
      </c>
      <c r="C120" t="s">
        <v>244</v>
      </c>
      <c r="D120" t="s">
        <v>245</v>
      </c>
      <c r="E120">
        <v>2751</v>
      </c>
      <c r="F120">
        <v>2755</v>
      </c>
      <c r="G120">
        <v>300</v>
      </c>
      <c r="H120" t="s">
        <v>204</v>
      </c>
      <c r="I120">
        <v>5411</v>
      </c>
      <c r="J120" t="s">
        <v>136</v>
      </c>
      <c r="K120" t="s">
        <v>223</v>
      </c>
      <c r="L120">
        <v>1313.5</v>
      </c>
      <c r="M120">
        <v>1325</v>
      </c>
      <c r="N120">
        <v>600</v>
      </c>
      <c r="O120" t="s">
        <v>206</v>
      </c>
      <c r="P120">
        <v>0.90330973506273005</v>
      </c>
      <c r="Q120">
        <v>0.93281810733763504</v>
      </c>
      <c r="R120">
        <v>0.19853778439285999</v>
      </c>
      <c r="S120">
        <v>2.3092021638297201E-2</v>
      </c>
      <c r="T120">
        <v>-0.62199543380036804</v>
      </c>
      <c r="U120">
        <v>0.62199543380036804</v>
      </c>
      <c r="V120">
        <v>-2.29</v>
      </c>
      <c r="W120">
        <v>3.81</v>
      </c>
      <c r="X120">
        <v>-106750</v>
      </c>
      <c r="Y120">
        <v>-6279</v>
      </c>
      <c r="Z120">
        <v>-0.35</v>
      </c>
      <c r="AA120">
        <v>17</v>
      </c>
      <c r="AB120">
        <v>7</v>
      </c>
      <c r="AC120">
        <v>10</v>
      </c>
      <c r="AD120">
        <v>41.18</v>
      </c>
      <c r="AE120">
        <v>10</v>
      </c>
      <c r="AF120">
        <v>5</v>
      </c>
      <c r="AG120">
        <v>9</v>
      </c>
      <c r="AH120">
        <v>3</v>
      </c>
    </row>
    <row r="121" spans="1:34">
      <c r="A121">
        <v>133</v>
      </c>
      <c r="B121">
        <v>5110</v>
      </c>
      <c r="C121" t="s">
        <v>119</v>
      </c>
      <c r="D121" t="s">
        <v>247</v>
      </c>
      <c r="E121">
        <v>1299</v>
      </c>
      <c r="F121">
        <v>1310</v>
      </c>
      <c r="G121">
        <v>800</v>
      </c>
      <c r="H121" t="s">
        <v>204</v>
      </c>
      <c r="I121">
        <v>7251</v>
      </c>
      <c r="J121" t="s">
        <v>90</v>
      </c>
      <c r="K121" t="s">
        <v>212</v>
      </c>
      <c r="L121">
        <v>1643</v>
      </c>
      <c r="M121">
        <v>1651</v>
      </c>
      <c r="N121">
        <v>600</v>
      </c>
      <c r="O121" t="s">
        <v>206</v>
      </c>
      <c r="P121">
        <v>0.920897671386399</v>
      </c>
      <c r="Q121">
        <v>0.944697629756035</v>
      </c>
      <c r="R121">
        <v>0.112399573262251</v>
      </c>
      <c r="S121">
        <v>0.107672977507238</v>
      </c>
      <c r="T121">
        <v>-0.62048709730757501</v>
      </c>
      <c r="U121">
        <v>0.62048709730757501</v>
      </c>
      <c r="V121">
        <v>-2.04</v>
      </c>
      <c r="W121">
        <v>5.79</v>
      </c>
      <c r="X121">
        <v>-300472</v>
      </c>
      <c r="Y121">
        <v>-17675</v>
      </c>
      <c r="Z121">
        <v>-0.9</v>
      </c>
      <c r="AA121">
        <v>17</v>
      </c>
      <c r="AB121">
        <v>5</v>
      </c>
      <c r="AC121">
        <v>12</v>
      </c>
      <c r="AD121">
        <v>29.41</v>
      </c>
      <c r="AE121">
        <v>13</v>
      </c>
      <c r="AF121">
        <v>2</v>
      </c>
      <c r="AG121">
        <v>6</v>
      </c>
      <c r="AH121">
        <v>9</v>
      </c>
    </row>
    <row r="122" spans="1:34">
      <c r="A122">
        <v>33</v>
      </c>
      <c r="B122">
        <v>5411</v>
      </c>
      <c r="C122" t="s">
        <v>136</v>
      </c>
      <c r="D122" t="s">
        <v>223</v>
      </c>
      <c r="E122">
        <v>1313.5</v>
      </c>
      <c r="F122">
        <v>1325</v>
      </c>
      <c r="G122">
        <v>800</v>
      </c>
      <c r="H122" t="s">
        <v>206</v>
      </c>
      <c r="I122">
        <v>7731</v>
      </c>
      <c r="J122" t="s">
        <v>110</v>
      </c>
      <c r="K122" t="s">
        <v>228</v>
      </c>
      <c r="L122">
        <v>1307</v>
      </c>
      <c r="M122">
        <v>1345</v>
      </c>
      <c r="N122">
        <v>800</v>
      </c>
      <c r="O122" t="s">
        <v>204</v>
      </c>
      <c r="P122">
        <v>0.95228563090558305</v>
      </c>
      <c r="Q122">
        <v>0.90589385539759704</v>
      </c>
      <c r="R122">
        <v>2.5630608144243901E-2</v>
      </c>
      <c r="S122">
        <v>0.16744144815821299</v>
      </c>
      <c r="T122">
        <v>0.607529563215225</v>
      </c>
      <c r="U122">
        <v>0.607529563215225</v>
      </c>
      <c r="V122">
        <v>1.93</v>
      </c>
      <c r="W122">
        <v>1.49</v>
      </c>
      <c r="X122">
        <v>494382</v>
      </c>
      <c r="Y122">
        <v>27466</v>
      </c>
      <c r="Z122">
        <v>1.42</v>
      </c>
      <c r="AA122">
        <v>18</v>
      </c>
      <c r="AB122">
        <v>14</v>
      </c>
      <c r="AC122">
        <v>4</v>
      </c>
      <c r="AD122">
        <v>77.78</v>
      </c>
      <c r="AE122">
        <v>12</v>
      </c>
      <c r="AF122">
        <v>9</v>
      </c>
      <c r="AG122">
        <v>2</v>
      </c>
      <c r="AH122">
        <v>7</v>
      </c>
    </row>
    <row r="123" spans="1:34">
      <c r="A123">
        <v>77</v>
      </c>
      <c r="B123">
        <v>4208</v>
      </c>
      <c r="C123" t="s">
        <v>115</v>
      </c>
      <c r="D123" t="s">
        <v>205</v>
      </c>
      <c r="E123">
        <v>2220</v>
      </c>
      <c r="F123">
        <v>2233</v>
      </c>
      <c r="G123">
        <v>400</v>
      </c>
      <c r="H123" t="s">
        <v>206</v>
      </c>
      <c r="I123">
        <v>5991</v>
      </c>
      <c r="J123" t="s">
        <v>108</v>
      </c>
      <c r="K123" t="s">
        <v>216</v>
      </c>
      <c r="L123">
        <v>822</v>
      </c>
      <c r="M123">
        <v>825</v>
      </c>
      <c r="N123">
        <v>1100</v>
      </c>
      <c r="O123" t="s">
        <v>204</v>
      </c>
      <c r="P123">
        <v>0.94140802478681895</v>
      </c>
      <c r="Q123">
        <v>0.90773277577744804</v>
      </c>
      <c r="R123">
        <v>2.1909333516017399E-2</v>
      </c>
      <c r="S123">
        <v>5.0865391416899698E-2</v>
      </c>
      <c r="T123">
        <v>0.60166605208021495</v>
      </c>
      <c r="U123">
        <v>0.60166605208021495</v>
      </c>
      <c r="V123">
        <v>1.46</v>
      </c>
      <c r="W123">
        <v>1.6</v>
      </c>
      <c r="X123">
        <v>118186</v>
      </c>
      <c r="Y123">
        <v>7879</v>
      </c>
      <c r="Z123">
        <v>0.34</v>
      </c>
      <c r="AA123">
        <v>15</v>
      </c>
      <c r="AB123">
        <v>9</v>
      </c>
      <c r="AC123">
        <v>6</v>
      </c>
      <c r="AD123">
        <v>60</v>
      </c>
      <c r="AE123">
        <v>11</v>
      </c>
      <c r="AF123">
        <v>7</v>
      </c>
      <c r="AG123">
        <v>4</v>
      </c>
      <c r="AH123">
        <v>4</v>
      </c>
    </row>
    <row r="124" spans="1:34">
      <c r="A124">
        <v>188</v>
      </c>
      <c r="B124">
        <v>1963</v>
      </c>
      <c r="C124" t="s">
        <v>236</v>
      </c>
      <c r="D124" t="s">
        <v>230</v>
      </c>
      <c r="E124">
        <v>1411</v>
      </c>
      <c r="F124">
        <v>1438</v>
      </c>
      <c r="G124">
        <v>700</v>
      </c>
      <c r="H124" t="s">
        <v>206</v>
      </c>
      <c r="I124">
        <v>8795</v>
      </c>
      <c r="J124" t="s">
        <v>153</v>
      </c>
      <c r="K124" t="s">
        <v>237</v>
      </c>
      <c r="L124">
        <v>1150.5</v>
      </c>
      <c r="M124">
        <v>1165</v>
      </c>
      <c r="N124">
        <v>900</v>
      </c>
      <c r="O124" t="s">
        <v>204</v>
      </c>
      <c r="P124">
        <v>0.90615733046032798</v>
      </c>
      <c r="Q124">
        <v>0.90273616860004902</v>
      </c>
      <c r="R124">
        <v>0.15192018164326701</v>
      </c>
      <c r="S124">
        <v>0.23770467845916299</v>
      </c>
      <c r="T124">
        <v>0.59528103919634501</v>
      </c>
      <c r="U124">
        <v>0.59528103919634501</v>
      </c>
      <c r="V124">
        <v>1.86</v>
      </c>
      <c r="W124">
        <v>4.16</v>
      </c>
      <c r="X124">
        <v>-133738</v>
      </c>
      <c r="Y124">
        <v>-7430</v>
      </c>
      <c r="Z124">
        <v>-0.4</v>
      </c>
      <c r="AA124">
        <v>18</v>
      </c>
      <c r="AB124">
        <v>11</v>
      </c>
      <c r="AC124">
        <v>7</v>
      </c>
      <c r="AD124">
        <v>61.11</v>
      </c>
      <c r="AE124">
        <v>11</v>
      </c>
      <c r="AF124">
        <v>4</v>
      </c>
      <c r="AG124">
        <v>6</v>
      </c>
      <c r="AH124">
        <v>8</v>
      </c>
    </row>
    <row r="125" spans="1:34">
      <c r="A125">
        <v>192</v>
      </c>
      <c r="B125">
        <v>3105</v>
      </c>
      <c r="C125" t="s">
        <v>238</v>
      </c>
      <c r="D125" t="s">
        <v>215</v>
      </c>
      <c r="E125">
        <v>839</v>
      </c>
      <c r="F125">
        <v>845</v>
      </c>
      <c r="G125">
        <v>1200</v>
      </c>
      <c r="H125" t="s">
        <v>204</v>
      </c>
      <c r="I125">
        <v>5334</v>
      </c>
      <c r="J125" t="s">
        <v>157</v>
      </c>
      <c r="K125" t="s">
        <v>213</v>
      </c>
      <c r="L125">
        <v>2033</v>
      </c>
      <c r="M125">
        <v>2041</v>
      </c>
      <c r="N125">
        <v>500</v>
      </c>
      <c r="O125" t="s">
        <v>206</v>
      </c>
      <c r="P125">
        <v>0.90570665409274298</v>
      </c>
      <c r="Q125">
        <v>0.90642456023828399</v>
      </c>
      <c r="R125">
        <v>5.1226838184069298E-2</v>
      </c>
      <c r="S125">
        <v>6.2986178496364897E-2</v>
      </c>
      <c r="T125">
        <v>-0.55181885462746305</v>
      </c>
      <c r="U125">
        <v>0.55181885462746305</v>
      </c>
      <c r="V125">
        <v>-1.46</v>
      </c>
      <c r="W125">
        <v>0.64</v>
      </c>
      <c r="X125">
        <v>65459</v>
      </c>
      <c r="Y125">
        <v>3851</v>
      </c>
      <c r="Z125">
        <v>7.0000000000000007E-2</v>
      </c>
      <c r="AA125">
        <v>17</v>
      </c>
      <c r="AB125">
        <v>8</v>
      </c>
      <c r="AC125">
        <v>9</v>
      </c>
      <c r="AD125">
        <v>47.06</v>
      </c>
      <c r="AE125">
        <v>11</v>
      </c>
      <c r="AF125">
        <v>5</v>
      </c>
      <c r="AG125">
        <v>7</v>
      </c>
      <c r="AH125">
        <v>5</v>
      </c>
    </row>
    <row r="126" spans="1:34">
      <c r="A126">
        <v>16</v>
      </c>
      <c r="B126">
        <v>7186</v>
      </c>
      <c r="C126" t="s">
        <v>87</v>
      </c>
      <c r="D126" t="s">
        <v>209</v>
      </c>
      <c r="E126">
        <v>410</v>
      </c>
      <c r="F126">
        <v>410</v>
      </c>
      <c r="G126">
        <v>2300</v>
      </c>
      <c r="H126" t="s">
        <v>204</v>
      </c>
      <c r="I126">
        <v>8341</v>
      </c>
      <c r="J126" t="s">
        <v>123</v>
      </c>
      <c r="K126" t="s">
        <v>209</v>
      </c>
      <c r="L126">
        <v>1590</v>
      </c>
      <c r="M126">
        <v>1601</v>
      </c>
      <c r="N126">
        <v>600</v>
      </c>
      <c r="O126" t="s">
        <v>206</v>
      </c>
      <c r="P126">
        <v>0.960123375270581</v>
      </c>
      <c r="Q126">
        <v>0.93426205221039005</v>
      </c>
      <c r="R126">
        <v>0.241796532395363</v>
      </c>
      <c r="S126">
        <v>0.13183036412632099</v>
      </c>
      <c r="T126">
        <v>-0.54730794973416097</v>
      </c>
      <c r="U126">
        <v>0.54730794973416097</v>
      </c>
      <c r="V126">
        <v>-1.29</v>
      </c>
      <c r="W126">
        <v>1.83</v>
      </c>
      <c r="X126">
        <v>27254</v>
      </c>
      <c r="Y126">
        <v>1514</v>
      </c>
      <c r="Z126">
        <v>0.05</v>
      </c>
      <c r="AA126">
        <v>18</v>
      </c>
      <c r="AB126">
        <v>8</v>
      </c>
      <c r="AC126">
        <v>10</v>
      </c>
      <c r="AD126">
        <v>44.44</v>
      </c>
      <c r="AE126">
        <v>13</v>
      </c>
      <c r="AF126">
        <v>6</v>
      </c>
      <c r="AG126">
        <v>3</v>
      </c>
      <c r="AH126">
        <v>9</v>
      </c>
    </row>
    <row r="127" spans="1:34">
      <c r="A127">
        <v>125</v>
      </c>
      <c r="B127">
        <v>3116</v>
      </c>
      <c r="C127" t="s">
        <v>217</v>
      </c>
      <c r="D127" t="s">
        <v>212</v>
      </c>
      <c r="E127">
        <v>1477</v>
      </c>
      <c r="F127">
        <v>1493</v>
      </c>
      <c r="G127">
        <v>700</v>
      </c>
      <c r="H127" t="s">
        <v>204</v>
      </c>
      <c r="I127">
        <v>8601</v>
      </c>
      <c r="J127" t="s">
        <v>92</v>
      </c>
      <c r="K127" t="s">
        <v>227</v>
      </c>
      <c r="L127">
        <v>491.7</v>
      </c>
      <c r="M127">
        <v>494.2</v>
      </c>
      <c r="N127">
        <v>2100</v>
      </c>
      <c r="O127" t="s">
        <v>206</v>
      </c>
      <c r="P127">
        <v>0.92465268892278796</v>
      </c>
      <c r="Q127">
        <v>0.92232827153475905</v>
      </c>
      <c r="R127">
        <v>7.21489569530109E-3</v>
      </c>
      <c r="S127">
        <v>0.21653773547813801</v>
      </c>
      <c r="T127">
        <v>-0.53597818826570998</v>
      </c>
      <c r="U127">
        <v>0.53597818826570998</v>
      </c>
      <c r="V127">
        <v>-1.19</v>
      </c>
      <c r="W127">
        <v>0.7</v>
      </c>
      <c r="X127">
        <v>200214</v>
      </c>
      <c r="Y127">
        <v>15401</v>
      </c>
      <c r="Z127">
        <v>0.71</v>
      </c>
      <c r="AA127">
        <v>13</v>
      </c>
      <c r="AB127">
        <v>9</v>
      </c>
      <c r="AC127">
        <v>4</v>
      </c>
      <c r="AD127">
        <v>69.23</v>
      </c>
      <c r="AE127">
        <v>13</v>
      </c>
      <c r="AF127">
        <v>5</v>
      </c>
      <c r="AG127">
        <v>3</v>
      </c>
      <c r="AH127">
        <v>5</v>
      </c>
    </row>
    <row r="128" spans="1:34">
      <c r="A128">
        <v>4</v>
      </c>
      <c r="B128">
        <v>5020</v>
      </c>
      <c r="C128" t="s">
        <v>154</v>
      </c>
      <c r="D128" t="s">
        <v>253</v>
      </c>
      <c r="E128">
        <v>493.5</v>
      </c>
      <c r="F128">
        <v>494.8</v>
      </c>
      <c r="G128">
        <v>2100</v>
      </c>
      <c r="H128" t="s">
        <v>204</v>
      </c>
      <c r="I128">
        <v>8795</v>
      </c>
      <c r="J128" t="s">
        <v>153</v>
      </c>
      <c r="K128" t="s">
        <v>237</v>
      </c>
      <c r="L128">
        <v>1150.5</v>
      </c>
      <c r="M128">
        <v>1165</v>
      </c>
      <c r="N128">
        <v>900</v>
      </c>
      <c r="O128" t="s">
        <v>206</v>
      </c>
      <c r="P128">
        <v>0.96682883798823405</v>
      </c>
      <c r="Q128">
        <v>0.96379706033247503</v>
      </c>
      <c r="R128">
        <v>2.1000064803825099E-2</v>
      </c>
      <c r="S128">
        <v>9.0891208641482105E-3</v>
      </c>
      <c r="T128">
        <v>-0.53381717968555897</v>
      </c>
      <c r="U128">
        <v>0.53381717968555897</v>
      </c>
      <c r="V128">
        <v>-1.49</v>
      </c>
      <c r="W128">
        <v>0.9</v>
      </c>
      <c r="X128">
        <v>13332</v>
      </c>
      <c r="Y128">
        <v>702</v>
      </c>
      <c r="Z128">
        <v>0.02</v>
      </c>
      <c r="AA128">
        <v>19</v>
      </c>
      <c r="AB128">
        <v>10</v>
      </c>
      <c r="AC128">
        <v>9</v>
      </c>
      <c r="AD128">
        <v>52.63</v>
      </c>
      <c r="AE128">
        <v>10</v>
      </c>
      <c r="AF128">
        <v>7</v>
      </c>
      <c r="AG128">
        <v>7</v>
      </c>
      <c r="AH128">
        <v>5</v>
      </c>
    </row>
    <row r="129" spans="1:34">
      <c r="A129">
        <v>182</v>
      </c>
      <c r="B129">
        <v>6752</v>
      </c>
      <c r="C129" t="s">
        <v>126</v>
      </c>
      <c r="D129" t="s">
        <v>215</v>
      </c>
      <c r="E129">
        <v>874.4</v>
      </c>
      <c r="F129">
        <v>877.9</v>
      </c>
      <c r="G129">
        <v>1200</v>
      </c>
      <c r="H129" t="s">
        <v>204</v>
      </c>
      <c r="I129">
        <v>9505</v>
      </c>
      <c r="J129" t="s">
        <v>147</v>
      </c>
      <c r="K129" t="s">
        <v>226</v>
      </c>
      <c r="L129">
        <v>727</v>
      </c>
      <c r="M129">
        <v>731</v>
      </c>
      <c r="N129">
        <v>1400</v>
      </c>
      <c r="O129" t="s">
        <v>206</v>
      </c>
      <c r="P129">
        <v>0.90744188041936702</v>
      </c>
      <c r="Q129">
        <v>0.91031516304280502</v>
      </c>
      <c r="R129">
        <v>2.41555200589731E-2</v>
      </c>
      <c r="S129">
        <v>0.186206523455615</v>
      </c>
      <c r="T129">
        <v>-0.53089687147793996</v>
      </c>
      <c r="U129">
        <v>0.53089687147793996</v>
      </c>
      <c r="V129">
        <v>-1.8</v>
      </c>
      <c r="W129">
        <v>2.86</v>
      </c>
      <c r="X129">
        <v>-11796</v>
      </c>
      <c r="Y129">
        <v>-513</v>
      </c>
      <c r="Z129">
        <v>-0.02</v>
      </c>
      <c r="AA129">
        <v>23</v>
      </c>
      <c r="AB129">
        <v>13</v>
      </c>
      <c r="AC129">
        <v>10</v>
      </c>
      <c r="AD129">
        <v>56.52</v>
      </c>
      <c r="AE129">
        <v>13</v>
      </c>
      <c r="AF129">
        <v>6</v>
      </c>
      <c r="AG129">
        <v>7</v>
      </c>
      <c r="AH129">
        <v>10</v>
      </c>
    </row>
    <row r="130" spans="1:34">
      <c r="A130">
        <v>157</v>
      </c>
      <c r="B130">
        <v>2768</v>
      </c>
      <c r="C130" t="s">
        <v>254</v>
      </c>
      <c r="D130" t="s">
        <v>234</v>
      </c>
      <c r="E130">
        <v>329</v>
      </c>
      <c r="F130">
        <v>330</v>
      </c>
      <c r="G130">
        <v>3300</v>
      </c>
      <c r="H130" t="s">
        <v>204</v>
      </c>
      <c r="I130">
        <v>7211</v>
      </c>
      <c r="J130" t="s">
        <v>101</v>
      </c>
      <c r="K130" t="s">
        <v>212</v>
      </c>
      <c r="L130">
        <v>468</v>
      </c>
      <c r="M130">
        <v>473</v>
      </c>
      <c r="N130">
        <v>2300</v>
      </c>
      <c r="O130" t="s">
        <v>206</v>
      </c>
      <c r="P130">
        <v>0.91326256673446304</v>
      </c>
      <c r="Q130">
        <v>0.90942600709497101</v>
      </c>
      <c r="R130">
        <v>9.6153820895851394E-2</v>
      </c>
      <c r="S130">
        <v>0.31496825110402799</v>
      </c>
      <c r="T130">
        <v>-0.52307652203574295</v>
      </c>
      <c r="U130">
        <v>0.52307652203574295</v>
      </c>
      <c r="V130">
        <v>-1.94</v>
      </c>
      <c r="W130">
        <v>0.1</v>
      </c>
      <c r="X130">
        <v>-77101</v>
      </c>
      <c r="Y130">
        <v>-3671</v>
      </c>
      <c r="Z130">
        <v>-0.18</v>
      </c>
      <c r="AA130">
        <v>21</v>
      </c>
      <c r="AB130">
        <v>9</v>
      </c>
      <c r="AC130">
        <v>12</v>
      </c>
      <c r="AD130">
        <v>42.86</v>
      </c>
      <c r="AE130">
        <v>13</v>
      </c>
      <c r="AF130">
        <v>4</v>
      </c>
      <c r="AG130">
        <v>5</v>
      </c>
      <c r="AH130">
        <v>12</v>
      </c>
    </row>
    <row r="131" spans="1:34">
      <c r="A131">
        <v>129</v>
      </c>
      <c r="B131">
        <v>6417</v>
      </c>
      <c r="C131" t="s">
        <v>249</v>
      </c>
      <c r="D131" t="s">
        <v>214</v>
      </c>
      <c r="E131">
        <v>3745</v>
      </c>
      <c r="F131">
        <v>3745</v>
      </c>
      <c r="G131">
        <v>200</v>
      </c>
      <c r="H131" t="s">
        <v>204</v>
      </c>
      <c r="I131">
        <v>9627</v>
      </c>
      <c r="J131" t="s">
        <v>171</v>
      </c>
      <c r="K131" t="s">
        <v>208</v>
      </c>
      <c r="L131">
        <v>6030</v>
      </c>
      <c r="M131">
        <v>6090</v>
      </c>
      <c r="N131">
        <v>100</v>
      </c>
      <c r="O131" t="s">
        <v>206</v>
      </c>
      <c r="P131">
        <v>0.92279805261317405</v>
      </c>
      <c r="Q131">
        <v>0.91792040423860599</v>
      </c>
      <c r="R131">
        <v>2.4551228280381599E-3</v>
      </c>
      <c r="S131">
        <v>3.3261631791689202E-3</v>
      </c>
      <c r="T131">
        <v>-0.52301418717563997</v>
      </c>
      <c r="U131">
        <v>0.52301418717563997</v>
      </c>
      <c r="V131">
        <v>-1.61</v>
      </c>
      <c r="W131">
        <v>22.99</v>
      </c>
      <c r="X131">
        <v>176932</v>
      </c>
      <c r="Y131">
        <v>14744</v>
      </c>
      <c r="Z131">
        <v>0.85</v>
      </c>
      <c r="AA131">
        <v>12</v>
      </c>
      <c r="AB131">
        <v>9</v>
      </c>
      <c r="AC131">
        <v>3</v>
      </c>
      <c r="AD131">
        <v>75</v>
      </c>
      <c r="AE131">
        <v>12</v>
      </c>
      <c r="AF131">
        <v>6</v>
      </c>
      <c r="AG131">
        <v>2</v>
      </c>
      <c r="AH131">
        <v>4</v>
      </c>
    </row>
    <row r="132" spans="1:34">
      <c r="A132">
        <v>135</v>
      </c>
      <c r="B132">
        <v>9072</v>
      </c>
      <c r="C132" t="s">
        <v>135</v>
      </c>
      <c r="D132" t="s">
        <v>246</v>
      </c>
      <c r="E132">
        <v>2500</v>
      </c>
      <c r="F132">
        <v>2504</v>
      </c>
      <c r="G132">
        <v>300</v>
      </c>
      <c r="H132" t="s">
        <v>204</v>
      </c>
      <c r="I132">
        <v>9810</v>
      </c>
      <c r="J132" t="s">
        <v>134</v>
      </c>
      <c r="K132" t="s">
        <v>234</v>
      </c>
      <c r="L132">
        <v>4375</v>
      </c>
      <c r="M132">
        <v>4365</v>
      </c>
      <c r="N132">
        <v>200</v>
      </c>
      <c r="O132" t="s">
        <v>206</v>
      </c>
      <c r="P132">
        <v>0.92011751748645798</v>
      </c>
      <c r="Q132">
        <v>0.93364605606796902</v>
      </c>
      <c r="R132">
        <v>7.5093649955768997E-3</v>
      </c>
      <c r="S132">
        <v>2.2340129123438399E-3</v>
      </c>
      <c r="T132">
        <v>-0.51253819538439904</v>
      </c>
      <c r="U132">
        <v>0.51253819538439904</v>
      </c>
      <c r="V132">
        <v>-0.82</v>
      </c>
      <c r="W132">
        <v>13.95</v>
      </c>
      <c r="X132">
        <v>225014</v>
      </c>
      <c r="Y132">
        <v>15001</v>
      </c>
      <c r="Z132">
        <v>0.93</v>
      </c>
      <c r="AA132">
        <v>15</v>
      </c>
      <c r="AB132">
        <v>10</v>
      </c>
      <c r="AC132">
        <v>5</v>
      </c>
      <c r="AD132">
        <v>66.67</v>
      </c>
      <c r="AE132">
        <v>14</v>
      </c>
      <c r="AF132">
        <v>7</v>
      </c>
      <c r="AG132">
        <v>1</v>
      </c>
      <c r="AH132">
        <v>7</v>
      </c>
    </row>
    <row r="133" spans="1:34">
      <c r="A133">
        <v>37</v>
      </c>
      <c r="B133">
        <v>5214</v>
      </c>
      <c r="C133" t="s">
        <v>91</v>
      </c>
      <c r="D133" t="s">
        <v>213</v>
      </c>
      <c r="E133">
        <v>2380</v>
      </c>
      <c r="F133">
        <v>2403</v>
      </c>
      <c r="G133">
        <v>400</v>
      </c>
      <c r="H133" t="s">
        <v>206</v>
      </c>
      <c r="I133">
        <v>5411</v>
      </c>
      <c r="J133" t="s">
        <v>136</v>
      </c>
      <c r="K133" t="s">
        <v>223</v>
      </c>
      <c r="L133">
        <v>1313.5</v>
      </c>
      <c r="M133">
        <v>1325</v>
      </c>
      <c r="N133">
        <v>700</v>
      </c>
      <c r="O133" t="s">
        <v>204</v>
      </c>
      <c r="P133">
        <v>0.95145457221235497</v>
      </c>
      <c r="Q133">
        <v>0.90709487156292201</v>
      </c>
      <c r="R133">
        <v>7.3104598286805704E-3</v>
      </c>
      <c r="S133">
        <v>8.9793966381281995E-2</v>
      </c>
      <c r="T133">
        <v>0.50865653328417304</v>
      </c>
      <c r="U133">
        <v>0.50865653328417304</v>
      </c>
      <c r="V133">
        <v>1.21</v>
      </c>
      <c r="W133">
        <v>3.51</v>
      </c>
      <c r="X133">
        <v>145032</v>
      </c>
      <c r="Y133">
        <v>9064</v>
      </c>
      <c r="Z133">
        <v>0.55000000000000004</v>
      </c>
      <c r="AA133">
        <v>16</v>
      </c>
      <c r="AB133">
        <v>8</v>
      </c>
      <c r="AC133">
        <v>8</v>
      </c>
      <c r="AD133">
        <v>50</v>
      </c>
      <c r="AE133">
        <v>13</v>
      </c>
      <c r="AF133">
        <v>6</v>
      </c>
      <c r="AG133">
        <v>4</v>
      </c>
      <c r="AH133">
        <v>6</v>
      </c>
    </row>
    <row r="134" spans="1:34">
      <c r="A134">
        <v>86</v>
      </c>
      <c r="B134">
        <v>7205</v>
      </c>
      <c r="C134" t="s">
        <v>163</v>
      </c>
      <c r="D134" t="s">
        <v>212</v>
      </c>
      <c r="E134">
        <v>891</v>
      </c>
      <c r="F134">
        <v>896</v>
      </c>
      <c r="G134">
        <v>1200</v>
      </c>
      <c r="H134" t="s">
        <v>204</v>
      </c>
      <c r="I134">
        <v>8601</v>
      </c>
      <c r="J134" t="s">
        <v>92</v>
      </c>
      <c r="K134" t="s">
        <v>227</v>
      </c>
      <c r="L134">
        <v>491.7</v>
      </c>
      <c r="M134">
        <v>494.2</v>
      </c>
      <c r="N134">
        <v>2200</v>
      </c>
      <c r="O134" t="s">
        <v>206</v>
      </c>
      <c r="P134">
        <v>0.93829309672558403</v>
      </c>
      <c r="Q134">
        <v>0.92694043743620502</v>
      </c>
      <c r="R134">
        <v>5.5213029631755797E-2</v>
      </c>
      <c r="S134">
        <v>0.124743112928362</v>
      </c>
      <c r="T134">
        <v>-0.50611487213353001</v>
      </c>
      <c r="U134">
        <v>0.50611487213353001</v>
      </c>
      <c r="V134">
        <v>-1</v>
      </c>
      <c r="W134">
        <v>1.1200000000000001</v>
      </c>
      <c r="X134">
        <v>275928</v>
      </c>
      <c r="Y134">
        <v>18395</v>
      </c>
      <c r="Z134">
        <v>0.88</v>
      </c>
      <c r="AA134">
        <v>15</v>
      </c>
      <c r="AB134">
        <v>12</v>
      </c>
      <c r="AC134">
        <v>3</v>
      </c>
      <c r="AD134">
        <v>80</v>
      </c>
      <c r="AE134">
        <v>14</v>
      </c>
      <c r="AF134">
        <v>6</v>
      </c>
      <c r="AG134">
        <v>1</v>
      </c>
      <c r="AH134">
        <v>8</v>
      </c>
    </row>
    <row r="135" spans="1:34">
      <c r="A135">
        <v>21</v>
      </c>
      <c r="B135">
        <v>5406</v>
      </c>
      <c r="C135" t="s">
        <v>129</v>
      </c>
      <c r="D135" t="s">
        <v>223</v>
      </c>
      <c r="E135">
        <v>565</v>
      </c>
      <c r="F135">
        <v>570</v>
      </c>
      <c r="G135">
        <v>1900</v>
      </c>
      <c r="H135" t="s">
        <v>204</v>
      </c>
      <c r="I135">
        <v>7731</v>
      </c>
      <c r="J135" t="s">
        <v>110</v>
      </c>
      <c r="K135" t="s">
        <v>228</v>
      </c>
      <c r="L135">
        <v>1307</v>
      </c>
      <c r="M135">
        <v>1345</v>
      </c>
      <c r="N135">
        <v>800</v>
      </c>
      <c r="O135" t="s">
        <v>206</v>
      </c>
      <c r="P135">
        <v>0.95699579166850701</v>
      </c>
      <c r="Q135">
        <v>0.91286837983711</v>
      </c>
      <c r="R135">
        <v>8.7098806329363797E-4</v>
      </c>
      <c r="S135">
        <v>0.33936719217363598</v>
      </c>
      <c r="T135">
        <v>-0.490524237247491</v>
      </c>
      <c r="U135">
        <v>0.490524237247491</v>
      </c>
      <c r="V135">
        <v>-2.2200000000000002</v>
      </c>
      <c r="W135">
        <v>0.65</v>
      </c>
      <c r="X135">
        <v>-3059</v>
      </c>
      <c r="Y135">
        <v>-170</v>
      </c>
      <c r="Z135">
        <v>-0.01</v>
      </c>
      <c r="AA135">
        <v>18</v>
      </c>
      <c r="AB135">
        <v>9</v>
      </c>
      <c r="AC135">
        <v>9</v>
      </c>
      <c r="AD135">
        <v>50</v>
      </c>
      <c r="AE135">
        <v>14</v>
      </c>
      <c r="AF135">
        <v>5</v>
      </c>
      <c r="AG135">
        <v>4</v>
      </c>
      <c r="AH135">
        <v>9</v>
      </c>
    </row>
    <row r="136" spans="1:34">
      <c r="A136">
        <v>112</v>
      </c>
      <c r="B136">
        <v>6178</v>
      </c>
      <c r="C136" t="s">
        <v>150</v>
      </c>
      <c r="D136" t="s">
        <v>256</v>
      </c>
      <c r="E136">
        <v>981</v>
      </c>
      <c r="F136">
        <v>981</v>
      </c>
      <c r="G136">
        <v>1100</v>
      </c>
      <c r="H136" t="s">
        <v>204</v>
      </c>
      <c r="I136">
        <v>7201</v>
      </c>
      <c r="J136" t="s">
        <v>100</v>
      </c>
      <c r="K136" t="s">
        <v>212</v>
      </c>
      <c r="L136">
        <v>662</v>
      </c>
      <c r="M136">
        <v>668.7</v>
      </c>
      <c r="N136">
        <v>1600</v>
      </c>
      <c r="O136" t="s">
        <v>206</v>
      </c>
      <c r="P136">
        <v>0.92950867703551299</v>
      </c>
      <c r="Q136">
        <v>0.92611433439537505</v>
      </c>
      <c r="R136">
        <v>0.25514464361684203</v>
      </c>
      <c r="S136">
        <v>0.38747316946870403</v>
      </c>
      <c r="T136">
        <v>-0.48939423842125901</v>
      </c>
      <c r="U136">
        <v>0.48939423842125901</v>
      </c>
      <c r="V136">
        <v>-1.66</v>
      </c>
      <c r="W136">
        <v>0.85</v>
      </c>
      <c r="X136">
        <v>113717</v>
      </c>
      <c r="Y136">
        <v>5985</v>
      </c>
      <c r="Z136">
        <v>0.27</v>
      </c>
      <c r="AA136">
        <v>19</v>
      </c>
      <c r="AB136">
        <v>10</v>
      </c>
      <c r="AC136">
        <v>9</v>
      </c>
      <c r="AD136">
        <v>52.63</v>
      </c>
      <c r="AE136">
        <v>14</v>
      </c>
      <c r="AF136">
        <v>4</v>
      </c>
      <c r="AG136">
        <v>2</v>
      </c>
      <c r="AH136">
        <v>13</v>
      </c>
    </row>
    <row r="137" spans="1:34">
      <c r="A137">
        <v>107</v>
      </c>
      <c r="B137">
        <v>3405</v>
      </c>
      <c r="C137" t="s">
        <v>222</v>
      </c>
      <c r="D137" t="s">
        <v>205</v>
      </c>
      <c r="E137">
        <v>1301</v>
      </c>
      <c r="F137">
        <v>1312</v>
      </c>
      <c r="G137">
        <v>800</v>
      </c>
      <c r="H137" t="s">
        <v>204</v>
      </c>
      <c r="I137">
        <v>4005</v>
      </c>
      <c r="J137" t="s">
        <v>148</v>
      </c>
      <c r="K137" t="s">
        <v>205</v>
      </c>
      <c r="L137">
        <v>498</v>
      </c>
      <c r="M137">
        <v>504</v>
      </c>
      <c r="N137">
        <v>2100</v>
      </c>
      <c r="O137" t="s">
        <v>206</v>
      </c>
      <c r="P137">
        <v>0.93136802801603502</v>
      </c>
      <c r="Q137">
        <v>0.93382528544259602</v>
      </c>
      <c r="R137">
        <v>6.0023470964403899E-2</v>
      </c>
      <c r="S137">
        <v>3.8193055716668201E-2</v>
      </c>
      <c r="T137">
        <v>-0.47326057997985499</v>
      </c>
      <c r="U137">
        <v>0.47326057997985499</v>
      </c>
      <c r="V137">
        <v>-0.9</v>
      </c>
      <c r="W137">
        <v>0.84</v>
      </c>
      <c r="X137">
        <v>-100439</v>
      </c>
      <c r="Y137">
        <v>-6277</v>
      </c>
      <c r="Z137">
        <v>-0.34</v>
      </c>
      <c r="AA137">
        <v>16</v>
      </c>
      <c r="AB137">
        <v>7</v>
      </c>
      <c r="AC137">
        <v>9</v>
      </c>
      <c r="AD137">
        <v>43.75</v>
      </c>
      <c r="AE137">
        <v>15</v>
      </c>
      <c r="AF137">
        <v>3</v>
      </c>
      <c r="AG137">
        <v>4</v>
      </c>
      <c r="AH137">
        <v>9</v>
      </c>
    </row>
    <row r="138" spans="1:34">
      <c r="A138">
        <v>80</v>
      </c>
      <c r="B138">
        <v>1963</v>
      </c>
      <c r="C138" t="s">
        <v>236</v>
      </c>
      <c r="D138" t="s">
        <v>230</v>
      </c>
      <c r="E138">
        <v>1411</v>
      </c>
      <c r="F138">
        <v>1438</v>
      </c>
      <c r="G138">
        <v>700</v>
      </c>
      <c r="H138" t="s">
        <v>204</v>
      </c>
      <c r="I138">
        <v>6472</v>
      </c>
      <c r="J138" t="s">
        <v>116</v>
      </c>
      <c r="K138" t="s">
        <v>214</v>
      </c>
      <c r="L138">
        <v>317</v>
      </c>
      <c r="M138">
        <v>322</v>
      </c>
      <c r="N138">
        <v>3100</v>
      </c>
      <c r="O138" t="s">
        <v>206</v>
      </c>
      <c r="P138">
        <v>0.93981992295883598</v>
      </c>
      <c r="Q138">
        <v>0.912652893732673</v>
      </c>
      <c r="R138">
        <v>5.5147466041657399E-2</v>
      </c>
      <c r="S138">
        <v>0.121490230028165</v>
      </c>
      <c r="T138">
        <v>-0.47068564527637102</v>
      </c>
      <c r="U138">
        <v>0.47068564527637102</v>
      </c>
      <c r="V138">
        <v>-1.32</v>
      </c>
      <c r="W138">
        <v>0.83</v>
      </c>
      <c r="X138">
        <v>39025</v>
      </c>
      <c r="Y138">
        <v>2054</v>
      </c>
      <c r="Z138">
        <v>0.09</v>
      </c>
      <c r="AA138">
        <v>19</v>
      </c>
      <c r="AB138">
        <v>10</v>
      </c>
      <c r="AC138">
        <v>9</v>
      </c>
      <c r="AD138">
        <v>52.63</v>
      </c>
      <c r="AE138">
        <v>11</v>
      </c>
      <c r="AF138">
        <v>7</v>
      </c>
      <c r="AG138">
        <v>7</v>
      </c>
      <c r="AH138">
        <v>5</v>
      </c>
    </row>
    <row r="139" spans="1:34">
      <c r="A139">
        <v>26</v>
      </c>
      <c r="B139">
        <v>6471</v>
      </c>
      <c r="C139" t="s">
        <v>232</v>
      </c>
      <c r="D139" t="s">
        <v>214</v>
      </c>
      <c r="E139">
        <v>941</v>
      </c>
      <c r="F139">
        <v>950</v>
      </c>
      <c r="G139">
        <v>1100</v>
      </c>
      <c r="H139" t="s">
        <v>206</v>
      </c>
      <c r="I139">
        <v>7259</v>
      </c>
      <c r="J139" t="s">
        <v>97</v>
      </c>
      <c r="K139" t="s">
        <v>212</v>
      </c>
      <c r="L139">
        <v>3445</v>
      </c>
      <c r="M139">
        <v>3510</v>
      </c>
      <c r="N139">
        <v>300</v>
      </c>
      <c r="O139" t="s">
        <v>204</v>
      </c>
      <c r="P139">
        <v>0.95606624293078701</v>
      </c>
      <c r="Q139">
        <v>0.91885323465509094</v>
      </c>
      <c r="R139">
        <v>1.32590371245235E-2</v>
      </c>
      <c r="S139">
        <v>0.11177931001543399</v>
      </c>
      <c r="T139">
        <v>0.47044812525614899</v>
      </c>
      <c r="U139">
        <v>0.47044812525614899</v>
      </c>
      <c r="V139">
        <v>1.22</v>
      </c>
      <c r="W139">
        <v>0.76</v>
      </c>
      <c r="X139">
        <v>114507</v>
      </c>
      <c r="Y139">
        <v>5725</v>
      </c>
      <c r="Z139">
        <v>0.39</v>
      </c>
      <c r="AA139">
        <v>20</v>
      </c>
      <c r="AB139">
        <v>12</v>
      </c>
      <c r="AC139">
        <v>8</v>
      </c>
      <c r="AD139">
        <v>60</v>
      </c>
      <c r="AE139">
        <v>12</v>
      </c>
      <c r="AF139">
        <v>7</v>
      </c>
      <c r="AG139">
        <v>4</v>
      </c>
      <c r="AH139">
        <v>9</v>
      </c>
    </row>
    <row r="140" spans="1:34">
      <c r="A140">
        <v>5</v>
      </c>
      <c r="B140">
        <v>6371</v>
      </c>
      <c r="C140" t="s">
        <v>121</v>
      </c>
      <c r="D140" t="s">
        <v>214</v>
      </c>
      <c r="E140">
        <v>3445</v>
      </c>
      <c r="F140">
        <v>3460</v>
      </c>
      <c r="G140">
        <v>300</v>
      </c>
      <c r="H140" t="s">
        <v>206</v>
      </c>
      <c r="I140">
        <v>7278</v>
      </c>
      <c r="J140" t="s">
        <v>83</v>
      </c>
      <c r="K140" t="s">
        <v>212</v>
      </c>
      <c r="L140">
        <v>2120</v>
      </c>
      <c r="M140">
        <v>2132</v>
      </c>
      <c r="N140">
        <v>500</v>
      </c>
      <c r="O140" t="s">
        <v>204</v>
      </c>
      <c r="P140">
        <v>0.96645380686605498</v>
      </c>
      <c r="Q140">
        <v>0.94032113483533297</v>
      </c>
      <c r="R140">
        <v>3.9448689841908399E-2</v>
      </c>
      <c r="S140">
        <v>6.1249848663867601E-3</v>
      </c>
      <c r="T140">
        <v>0.460597007999552</v>
      </c>
      <c r="U140">
        <v>0.460597007999552</v>
      </c>
      <c r="V140">
        <v>0.86</v>
      </c>
      <c r="W140">
        <v>2.7</v>
      </c>
      <c r="X140">
        <v>367982</v>
      </c>
      <c r="Y140">
        <v>36798</v>
      </c>
      <c r="Z140">
        <v>2.11</v>
      </c>
      <c r="AA140">
        <v>10</v>
      </c>
      <c r="AB140">
        <v>7</v>
      </c>
      <c r="AC140">
        <v>3</v>
      </c>
      <c r="AD140">
        <v>70</v>
      </c>
      <c r="AE140">
        <v>10</v>
      </c>
      <c r="AF140">
        <v>6</v>
      </c>
      <c r="AG140">
        <v>0</v>
      </c>
      <c r="AH140">
        <v>4</v>
      </c>
    </row>
    <row r="141" spans="1:34">
      <c r="A141">
        <v>111</v>
      </c>
      <c r="B141">
        <v>7167</v>
      </c>
      <c r="C141" t="s">
        <v>118</v>
      </c>
      <c r="D141" t="s">
        <v>209</v>
      </c>
      <c r="E141">
        <v>259</v>
      </c>
      <c r="F141">
        <v>263</v>
      </c>
      <c r="G141">
        <v>4100</v>
      </c>
      <c r="H141" t="s">
        <v>206</v>
      </c>
      <c r="I141">
        <v>7327</v>
      </c>
      <c r="J141" t="s">
        <v>139</v>
      </c>
      <c r="K141" t="s">
        <v>209</v>
      </c>
      <c r="L141">
        <v>2650</v>
      </c>
      <c r="M141">
        <v>2668</v>
      </c>
      <c r="N141">
        <v>400</v>
      </c>
      <c r="O141" t="s">
        <v>204</v>
      </c>
      <c r="P141">
        <v>0.93024733485705502</v>
      </c>
      <c r="Q141">
        <v>0.94451739853430605</v>
      </c>
      <c r="R141">
        <v>0.34764859998284398</v>
      </c>
      <c r="S141">
        <v>0.29756486973483298</v>
      </c>
      <c r="T141">
        <v>0.45253666922482899</v>
      </c>
      <c r="U141">
        <v>0.45253666922482899</v>
      </c>
      <c r="V141">
        <v>1.08</v>
      </c>
      <c r="W141">
        <v>1.04</v>
      </c>
      <c r="X141">
        <v>64321</v>
      </c>
      <c r="Y141">
        <v>32160</v>
      </c>
      <c r="Z141">
        <v>2.1</v>
      </c>
      <c r="AA141">
        <v>2</v>
      </c>
      <c r="AB141">
        <v>2</v>
      </c>
      <c r="AC141">
        <v>0</v>
      </c>
      <c r="AD141">
        <v>100</v>
      </c>
      <c r="AE141">
        <v>10</v>
      </c>
      <c r="AF141">
        <v>1</v>
      </c>
      <c r="AG141">
        <v>0</v>
      </c>
      <c r="AH141">
        <v>1</v>
      </c>
    </row>
    <row r="142" spans="1:34">
      <c r="A142">
        <v>42</v>
      </c>
      <c r="B142">
        <v>7167</v>
      </c>
      <c r="C142" t="s">
        <v>118</v>
      </c>
      <c r="D142" t="s">
        <v>209</v>
      </c>
      <c r="E142">
        <v>259</v>
      </c>
      <c r="F142">
        <v>263</v>
      </c>
      <c r="G142">
        <v>4200</v>
      </c>
      <c r="H142" t="s">
        <v>204</v>
      </c>
      <c r="I142">
        <v>9505</v>
      </c>
      <c r="J142" t="s">
        <v>147</v>
      </c>
      <c r="K142" t="s">
        <v>226</v>
      </c>
      <c r="L142">
        <v>727</v>
      </c>
      <c r="M142">
        <v>731</v>
      </c>
      <c r="N142">
        <v>1500</v>
      </c>
      <c r="O142" t="s">
        <v>206</v>
      </c>
      <c r="P142">
        <v>0.950671083585378</v>
      </c>
      <c r="Q142">
        <v>0.93003416292242103</v>
      </c>
      <c r="R142">
        <v>1.49192584607555E-3</v>
      </c>
      <c r="S142">
        <v>0.14382302740307601</v>
      </c>
      <c r="T142">
        <v>-0.45212821676382797</v>
      </c>
      <c r="U142">
        <v>0.45212821676382797</v>
      </c>
      <c r="V142">
        <v>-0.85</v>
      </c>
      <c r="W142">
        <v>0.74</v>
      </c>
      <c r="X142">
        <v>-15960</v>
      </c>
      <c r="Y142">
        <v>-798</v>
      </c>
      <c r="Z142">
        <v>-0.06</v>
      </c>
      <c r="AA142">
        <v>20</v>
      </c>
      <c r="AB142">
        <v>8</v>
      </c>
      <c r="AC142">
        <v>12</v>
      </c>
      <c r="AD142">
        <v>40</v>
      </c>
      <c r="AE142">
        <v>13</v>
      </c>
      <c r="AF142">
        <v>4</v>
      </c>
      <c r="AG142">
        <v>5</v>
      </c>
      <c r="AH142">
        <v>11</v>
      </c>
    </row>
    <row r="143" spans="1:34">
      <c r="A143">
        <v>139</v>
      </c>
      <c r="B143">
        <v>4005</v>
      </c>
      <c r="C143" t="s">
        <v>148</v>
      </c>
      <c r="D143" t="s">
        <v>205</v>
      </c>
      <c r="E143">
        <v>498</v>
      </c>
      <c r="F143">
        <v>504</v>
      </c>
      <c r="G143">
        <v>2200</v>
      </c>
      <c r="H143" t="s">
        <v>206</v>
      </c>
      <c r="I143">
        <v>5301</v>
      </c>
      <c r="J143" t="s">
        <v>89</v>
      </c>
      <c r="K143" t="s">
        <v>213</v>
      </c>
      <c r="L143">
        <v>1085</v>
      </c>
      <c r="M143">
        <v>1090</v>
      </c>
      <c r="N143">
        <v>1000</v>
      </c>
      <c r="O143" t="s">
        <v>204</v>
      </c>
      <c r="P143">
        <v>0.91908396734425302</v>
      </c>
      <c r="Q143">
        <v>0.904975447083885</v>
      </c>
      <c r="R143">
        <v>1.1746789356015501E-2</v>
      </c>
      <c r="S143">
        <v>0.15691681711404101</v>
      </c>
      <c r="T143">
        <v>0.445630657732135</v>
      </c>
      <c r="U143">
        <v>0.445630657732135</v>
      </c>
      <c r="V143">
        <v>1.05</v>
      </c>
      <c r="W143">
        <v>1.72</v>
      </c>
      <c r="X143">
        <v>195678</v>
      </c>
      <c r="Y143">
        <v>8508</v>
      </c>
      <c r="Z143">
        <v>0.42</v>
      </c>
      <c r="AA143">
        <v>23</v>
      </c>
      <c r="AB143">
        <v>14</v>
      </c>
      <c r="AC143">
        <v>9</v>
      </c>
      <c r="AD143">
        <v>60.87</v>
      </c>
      <c r="AE143">
        <v>9</v>
      </c>
      <c r="AF143">
        <v>13</v>
      </c>
      <c r="AG143">
        <v>7</v>
      </c>
      <c r="AH143">
        <v>3</v>
      </c>
    </row>
    <row r="144" spans="1:34">
      <c r="A144">
        <v>81</v>
      </c>
      <c r="B144">
        <v>1333</v>
      </c>
      <c r="C144" t="s">
        <v>244</v>
      </c>
      <c r="D144" t="s">
        <v>245</v>
      </c>
      <c r="E144">
        <v>2751</v>
      </c>
      <c r="F144">
        <v>2755</v>
      </c>
      <c r="G144">
        <v>300</v>
      </c>
      <c r="H144" t="s">
        <v>206</v>
      </c>
      <c r="I144">
        <v>5406</v>
      </c>
      <c r="J144" t="s">
        <v>129</v>
      </c>
      <c r="K144" t="s">
        <v>223</v>
      </c>
      <c r="L144">
        <v>565</v>
      </c>
      <c r="M144">
        <v>570</v>
      </c>
      <c r="N144">
        <v>1400</v>
      </c>
      <c r="O144" t="s">
        <v>204</v>
      </c>
      <c r="P144">
        <v>0.93976674711708597</v>
      </c>
      <c r="Q144">
        <v>0.94835725662968795</v>
      </c>
      <c r="R144">
        <v>0.303886052407979</v>
      </c>
      <c r="S144">
        <v>5.2606625991412402E-3</v>
      </c>
      <c r="T144">
        <v>0.44486449061539801</v>
      </c>
      <c r="U144">
        <v>0.44486449061539801</v>
      </c>
      <c r="V144">
        <v>1.79</v>
      </c>
      <c r="W144">
        <v>3.45</v>
      </c>
      <c r="X144">
        <v>-71417</v>
      </c>
      <c r="Y144">
        <v>-3759</v>
      </c>
      <c r="Z144">
        <v>-0.26</v>
      </c>
      <c r="AA144">
        <v>19</v>
      </c>
      <c r="AB144">
        <v>11</v>
      </c>
      <c r="AC144">
        <v>8</v>
      </c>
      <c r="AD144">
        <v>57.89</v>
      </c>
      <c r="AE144">
        <v>8</v>
      </c>
      <c r="AF144">
        <v>10</v>
      </c>
      <c r="AG144">
        <v>8</v>
      </c>
      <c r="AH144">
        <v>1</v>
      </c>
    </row>
    <row r="145" spans="1:34">
      <c r="A145">
        <v>174</v>
      </c>
      <c r="B145">
        <v>6586</v>
      </c>
      <c r="C145" t="s">
        <v>82</v>
      </c>
      <c r="D145" t="s">
        <v>214</v>
      </c>
      <c r="E145">
        <v>3170</v>
      </c>
      <c r="F145">
        <v>3270</v>
      </c>
      <c r="G145">
        <v>300</v>
      </c>
      <c r="H145" t="s">
        <v>204</v>
      </c>
      <c r="I145">
        <v>8377</v>
      </c>
      <c r="J145" t="s">
        <v>95</v>
      </c>
      <c r="K145" t="s">
        <v>209</v>
      </c>
      <c r="L145">
        <v>1032</v>
      </c>
      <c r="M145">
        <v>1036</v>
      </c>
      <c r="N145">
        <v>900</v>
      </c>
      <c r="O145" t="s">
        <v>206</v>
      </c>
      <c r="P145">
        <v>0.90892831618774605</v>
      </c>
      <c r="Q145">
        <v>0.92658544389706399</v>
      </c>
      <c r="R145">
        <v>0.14409051061240999</v>
      </c>
      <c r="S145">
        <v>1.39350638418824E-2</v>
      </c>
      <c r="T145">
        <v>-0.44472179483164698</v>
      </c>
      <c r="U145">
        <v>0.44472179483164698</v>
      </c>
      <c r="V145">
        <v>-1.17</v>
      </c>
      <c r="W145">
        <v>4.95</v>
      </c>
      <c r="X145">
        <v>116244</v>
      </c>
      <c r="Y145">
        <v>8303</v>
      </c>
      <c r="Z145">
        <v>0.27</v>
      </c>
      <c r="AA145">
        <v>14</v>
      </c>
      <c r="AB145">
        <v>7</v>
      </c>
      <c r="AC145">
        <v>7</v>
      </c>
      <c r="AD145">
        <v>50</v>
      </c>
      <c r="AE145">
        <v>12</v>
      </c>
      <c r="AF145">
        <v>5</v>
      </c>
      <c r="AG145">
        <v>4</v>
      </c>
      <c r="AH145">
        <v>5</v>
      </c>
    </row>
    <row r="146" spans="1:34">
      <c r="A146">
        <v>132</v>
      </c>
      <c r="B146">
        <v>7278</v>
      </c>
      <c r="C146" t="s">
        <v>83</v>
      </c>
      <c r="D146" t="s">
        <v>212</v>
      </c>
      <c r="E146">
        <v>2120</v>
      </c>
      <c r="F146">
        <v>2132</v>
      </c>
      <c r="G146">
        <v>500</v>
      </c>
      <c r="H146" t="s">
        <v>206</v>
      </c>
      <c r="I146">
        <v>7327</v>
      </c>
      <c r="J146" t="s">
        <v>139</v>
      </c>
      <c r="K146" t="s">
        <v>209</v>
      </c>
      <c r="L146">
        <v>2650</v>
      </c>
      <c r="M146">
        <v>2668</v>
      </c>
      <c r="N146">
        <v>400</v>
      </c>
      <c r="O146" t="s">
        <v>204</v>
      </c>
      <c r="P146">
        <v>0.92146553943905596</v>
      </c>
      <c r="Q146">
        <v>0.93363689849487097</v>
      </c>
      <c r="R146">
        <v>0.20908817439851399</v>
      </c>
      <c r="S146">
        <v>3.8781065000862702E-2</v>
      </c>
      <c r="T146">
        <v>0.44081741240133598</v>
      </c>
      <c r="U146">
        <v>0.44081741240133598</v>
      </c>
      <c r="V146">
        <v>0.9</v>
      </c>
      <c r="W146">
        <v>0.11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</row>
    <row r="147" spans="1:34">
      <c r="A147">
        <v>31</v>
      </c>
      <c r="B147">
        <v>8341</v>
      </c>
      <c r="C147" t="s">
        <v>123</v>
      </c>
      <c r="D147" t="s">
        <v>209</v>
      </c>
      <c r="E147">
        <v>1590</v>
      </c>
      <c r="F147">
        <v>1601</v>
      </c>
      <c r="G147">
        <v>600</v>
      </c>
      <c r="H147" t="s">
        <v>204</v>
      </c>
      <c r="I147">
        <v>8750</v>
      </c>
      <c r="J147" t="s">
        <v>125</v>
      </c>
      <c r="K147" t="s">
        <v>237</v>
      </c>
      <c r="L147">
        <v>1645.5</v>
      </c>
      <c r="M147">
        <v>1665</v>
      </c>
      <c r="N147">
        <v>600</v>
      </c>
      <c r="O147" t="s">
        <v>206</v>
      </c>
      <c r="P147">
        <v>0.95401523789875697</v>
      </c>
      <c r="Q147">
        <v>0.96360085291200004</v>
      </c>
      <c r="R147">
        <v>4.6475867928275601E-3</v>
      </c>
      <c r="S147">
        <v>9.7782589950287296E-2</v>
      </c>
      <c r="T147">
        <v>-0.43609258085191799</v>
      </c>
      <c r="U147">
        <v>0.43609258085191799</v>
      </c>
      <c r="V147">
        <v>-1.0900000000000001</v>
      </c>
      <c r="W147">
        <v>3.84</v>
      </c>
      <c r="X147">
        <v>-53235</v>
      </c>
      <c r="Y147">
        <v>-2958</v>
      </c>
      <c r="Z147">
        <v>-0.1</v>
      </c>
      <c r="AA147">
        <v>18</v>
      </c>
      <c r="AB147">
        <v>10</v>
      </c>
      <c r="AC147">
        <v>8</v>
      </c>
      <c r="AD147">
        <v>55.56</v>
      </c>
      <c r="AE147">
        <v>13</v>
      </c>
      <c r="AF147">
        <v>4</v>
      </c>
      <c r="AG147">
        <v>5</v>
      </c>
      <c r="AH147">
        <v>9</v>
      </c>
    </row>
    <row r="148" spans="1:34">
      <c r="A148">
        <v>82</v>
      </c>
      <c r="B148">
        <v>7180</v>
      </c>
      <c r="C148" t="s">
        <v>243</v>
      </c>
      <c r="D148" t="s">
        <v>209</v>
      </c>
      <c r="E148">
        <v>432</v>
      </c>
      <c r="F148">
        <v>435</v>
      </c>
      <c r="G148">
        <v>2500</v>
      </c>
      <c r="H148" t="s">
        <v>204</v>
      </c>
      <c r="I148">
        <v>7186</v>
      </c>
      <c r="J148" t="s">
        <v>87</v>
      </c>
      <c r="K148" t="s">
        <v>209</v>
      </c>
      <c r="L148">
        <v>410</v>
      </c>
      <c r="M148">
        <v>410</v>
      </c>
      <c r="N148">
        <v>2700</v>
      </c>
      <c r="O148" t="s">
        <v>206</v>
      </c>
      <c r="P148">
        <v>0.93972233287914197</v>
      </c>
      <c r="Q148">
        <v>0.92026300239367897</v>
      </c>
      <c r="R148">
        <v>9.3832867373789902E-2</v>
      </c>
      <c r="S148">
        <v>3.2274636439756699E-2</v>
      </c>
      <c r="T148">
        <v>-0.42975126647385697</v>
      </c>
      <c r="U148">
        <v>0.42975126647385697</v>
      </c>
      <c r="V148">
        <v>-1.25</v>
      </c>
      <c r="W148">
        <v>1.79</v>
      </c>
      <c r="X148">
        <v>63577</v>
      </c>
      <c r="Y148">
        <v>3179</v>
      </c>
      <c r="Z148">
        <v>0.16</v>
      </c>
      <c r="AA148">
        <v>20</v>
      </c>
      <c r="AB148">
        <v>10</v>
      </c>
      <c r="AC148">
        <v>10</v>
      </c>
      <c r="AD148">
        <v>50</v>
      </c>
      <c r="AE148">
        <v>14</v>
      </c>
      <c r="AF148">
        <v>6</v>
      </c>
      <c r="AG148">
        <v>4</v>
      </c>
      <c r="AH148">
        <v>10</v>
      </c>
    </row>
    <row r="149" spans="1:34">
      <c r="A149">
        <v>85</v>
      </c>
      <c r="B149">
        <v>1911</v>
      </c>
      <c r="C149" t="s">
        <v>229</v>
      </c>
      <c r="D149" t="s">
        <v>230</v>
      </c>
      <c r="E149">
        <v>1473</v>
      </c>
      <c r="F149">
        <v>1479</v>
      </c>
      <c r="G149">
        <v>700</v>
      </c>
      <c r="H149" t="s">
        <v>204</v>
      </c>
      <c r="I149">
        <v>6770</v>
      </c>
      <c r="J149" t="s">
        <v>84</v>
      </c>
      <c r="K149" t="s">
        <v>215</v>
      </c>
      <c r="L149">
        <v>2097</v>
      </c>
      <c r="M149">
        <v>2110</v>
      </c>
      <c r="N149">
        <v>500</v>
      </c>
      <c r="O149" t="s">
        <v>206</v>
      </c>
      <c r="P149">
        <v>0.93879835462571204</v>
      </c>
      <c r="Q149">
        <v>0.95451362329183298</v>
      </c>
      <c r="R149">
        <v>0.106625506940903</v>
      </c>
      <c r="S149">
        <v>3.7713192017591497E-2</v>
      </c>
      <c r="T149">
        <v>-0.41215312735345999</v>
      </c>
      <c r="U149">
        <v>0.41215312735345999</v>
      </c>
      <c r="V149">
        <v>-0.88</v>
      </c>
      <c r="W149">
        <v>1.87</v>
      </c>
      <c r="X149">
        <v>390260</v>
      </c>
      <c r="Y149">
        <v>22956</v>
      </c>
      <c r="Z149">
        <v>1.21</v>
      </c>
      <c r="AA149">
        <v>17</v>
      </c>
      <c r="AB149">
        <v>13</v>
      </c>
      <c r="AC149">
        <v>4</v>
      </c>
      <c r="AD149">
        <v>76.47</v>
      </c>
      <c r="AE149">
        <v>11</v>
      </c>
      <c r="AF149">
        <v>10</v>
      </c>
      <c r="AG149">
        <v>2</v>
      </c>
      <c r="AH149">
        <v>5</v>
      </c>
    </row>
    <row r="150" spans="1:34">
      <c r="A150">
        <v>14</v>
      </c>
      <c r="B150">
        <v>6752</v>
      </c>
      <c r="C150" t="s">
        <v>126</v>
      </c>
      <c r="D150" t="s">
        <v>215</v>
      </c>
      <c r="E150">
        <v>874.4</v>
      </c>
      <c r="F150">
        <v>877.9</v>
      </c>
      <c r="G150">
        <v>1200</v>
      </c>
      <c r="H150" t="s">
        <v>204</v>
      </c>
      <c r="I150">
        <v>7278</v>
      </c>
      <c r="J150" t="s">
        <v>83</v>
      </c>
      <c r="K150" t="s">
        <v>212</v>
      </c>
      <c r="L150">
        <v>2120</v>
      </c>
      <c r="M150">
        <v>2132</v>
      </c>
      <c r="N150">
        <v>500</v>
      </c>
      <c r="O150" t="s">
        <v>206</v>
      </c>
      <c r="P150">
        <v>0.96079357225192297</v>
      </c>
      <c r="Q150">
        <v>0.96331824202309901</v>
      </c>
      <c r="R150">
        <v>2.6892412210970398E-2</v>
      </c>
      <c r="S150">
        <v>4.9176227231249601E-3</v>
      </c>
      <c r="T150">
        <v>-0.40235272644665498</v>
      </c>
      <c r="U150">
        <v>0.40235272644665498</v>
      </c>
      <c r="V150">
        <v>-0.74</v>
      </c>
      <c r="W150">
        <v>1.17</v>
      </c>
      <c r="X150">
        <v>178895</v>
      </c>
      <c r="Y150">
        <v>10523</v>
      </c>
      <c r="Z150">
        <v>0.53</v>
      </c>
      <c r="AA150">
        <v>17</v>
      </c>
      <c r="AB150">
        <v>9</v>
      </c>
      <c r="AC150">
        <v>8</v>
      </c>
      <c r="AD150">
        <v>52.94</v>
      </c>
      <c r="AE150">
        <v>12</v>
      </c>
      <c r="AF150">
        <v>6</v>
      </c>
      <c r="AG150">
        <v>2</v>
      </c>
      <c r="AH150">
        <v>9</v>
      </c>
    </row>
    <row r="151" spans="1:34">
      <c r="A151">
        <v>119</v>
      </c>
      <c r="B151">
        <v>7327</v>
      </c>
      <c r="C151" t="s">
        <v>139</v>
      </c>
      <c r="D151" t="s">
        <v>209</v>
      </c>
      <c r="E151">
        <v>2650</v>
      </c>
      <c r="F151">
        <v>2668</v>
      </c>
      <c r="G151">
        <v>400</v>
      </c>
      <c r="H151" t="s">
        <v>206</v>
      </c>
      <c r="I151">
        <v>8316</v>
      </c>
      <c r="J151" t="s">
        <v>142</v>
      </c>
      <c r="K151" t="s">
        <v>209</v>
      </c>
      <c r="L151">
        <v>3657</v>
      </c>
      <c r="M151">
        <v>3651</v>
      </c>
      <c r="N151">
        <v>300</v>
      </c>
      <c r="O151" t="s">
        <v>204</v>
      </c>
      <c r="P151">
        <v>0.92670564618668005</v>
      </c>
      <c r="Q151">
        <v>0.93747482525416004</v>
      </c>
      <c r="R151">
        <v>4.0184727152624599E-3</v>
      </c>
      <c r="S151">
        <v>0.16725513688077101</v>
      </c>
      <c r="T151">
        <v>0.40113097893628002</v>
      </c>
      <c r="U151">
        <v>0.40113097893628002</v>
      </c>
      <c r="V151">
        <v>0.91</v>
      </c>
      <c r="W151">
        <v>2.57</v>
      </c>
      <c r="X151">
        <v>12378</v>
      </c>
      <c r="Y151">
        <v>12378</v>
      </c>
      <c r="Z151">
        <v>0.77</v>
      </c>
      <c r="AA151">
        <v>1</v>
      </c>
      <c r="AB151">
        <v>1</v>
      </c>
      <c r="AC151">
        <v>0</v>
      </c>
      <c r="AD151">
        <v>100</v>
      </c>
      <c r="AE151">
        <v>18</v>
      </c>
      <c r="AF151">
        <v>0</v>
      </c>
      <c r="AG151">
        <v>0</v>
      </c>
      <c r="AH151">
        <v>1</v>
      </c>
    </row>
    <row r="152" spans="1:34">
      <c r="A152">
        <v>64</v>
      </c>
      <c r="B152">
        <v>4061</v>
      </c>
      <c r="C152" t="s">
        <v>224</v>
      </c>
      <c r="D152" t="s">
        <v>205</v>
      </c>
      <c r="E152">
        <v>2950</v>
      </c>
      <c r="F152">
        <v>3015</v>
      </c>
      <c r="G152">
        <v>300</v>
      </c>
      <c r="H152" t="s">
        <v>206</v>
      </c>
      <c r="I152">
        <v>7327</v>
      </c>
      <c r="J152" t="s">
        <v>139</v>
      </c>
      <c r="K152" t="s">
        <v>209</v>
      </c>
      <c r="L152">
        <v>2650</v>
      </c>
      <c r="M152">
        <v>2668</v>
      </c>
      <c r="N152">
        <v>300</v>
      </c>
      <c r="O152" t="s">
        <v>204</v>
      </c>
      <c r="P152">
        <v>0.94513347151570204</v>
      </c>
      <c r="Q152">
        <v>0.91116989862830999</v>
      </c>
      <c r="R152">
        <v>2.4369772469783401E-2</v>
      </c>
      <c r="S152">
        <v>2.8190129336392099E-2</v>
      </c>
      <c r="T152">
        <v>0.39475817239559202</v>
      </c>
      <c r="U152">
        <v>0.39475817239559202</v>
      </c>
      <c r="V152">
        <v>0.79</v>
      </c>
      <c r="W152">
        <v>11.51</v>
      </c>
      <c r="X152">
        <v>77039</v>
      </c>
      <c r="Y152">
        <v>77039</v>
      </c>
      <c r="Z152">
        <v>3.92</v>
      </c>
      <c r="AA152">
        <v>1</v>
      </c>
      <c r="AB152">
        <v>1</v>
      </c>
      <c r="AC152">
        <v>0</v>
      </c>
      <c r="AD152">
        <v>100</v>
      </c>
      <c r="AE152">
        <v>15</v>
      </c>
      <c r="AF152">
        <v>1</v>
      </c>
      <c r="AG152">
        <v>0</v>
      </c>
      <c r="AH152">
        <v>0</v>
      </c>
    </row>
    <row r="153" spans="1:34">
      <c r="A153">
        <v>141</v>
      </c>
      <c r="B153">
        <v>8304</v>
      </c>
      <c r="C153" t="s">
        <v>239</v>
      </c>
      <c r="D153" t="s">
        <v>209</v>
      </c>
      <c r="E153">
        <v>2594</v>
      </c>
      <c r="F153">
        <v>2610</v>
      </c>
      <c r="G153">
        <v>400</v>
      </c>
      <c r="H153" t="s">
        <v>204</v>
      </c>
      <c r="I153">
        <v>8411</v>
      </c>
      <c r="J153" t="s">
        <v>145</v>
      </c>
      <c r="K153" t="s">
        <v>209</v>
      </c>
      <c r="L153">
        <v>162</v>
      </c>
      <c r="M153">
        <v>162.1</v>
      </c>
      <c r="N153">
        <v>6400</v>
      </c>
      <c r="O153" t="s">
        <v>206</v>
      </c>
      <c r="P153">
        <v>0.91854841320584601</v>
      </c>
      <c r="Q153">
        <v>0.92189899569982603</v>
      </c>
      <c r="R153">
        <v>0.10842849599925999</v>
      </c>
      <c r="S153">
        <v>4.6866194224771701E-2</v>
      </c>
      <c r="T153">
        <v>-0.385831471260565</v>
      </c>
      <c r="U153">
        <v>0.385831471260565</v>
      </c>
      <c r="V153">
        <v>-0.73</v>
      </c>
      <c r="W153">
        <v>0.63</v>
      </c>
      <c r="X153">
        <v>-111266</v>
      </c>
      <c r="Y153">
        <v>-5856</v>
      </c>
      <c r="Z153">
        <v>-0.34</v>
      </c>
      <c r="AA153">
        <v>19</v>
      </c>
      <c r="AB153">
        <v>6</v>
      </c>
      <c r="AC153">
        <v>13</v>
      </c>
      <c r="AD153">
        <v>31.58</v>
      </c>
      <c r="AE153">
        <v>18</v>
      </c>
      <c r="AF153">
        <v>2</v>
      </c>
      <c r="AG153">
        <v>2</v>
      </c>
      <c r="AH153">
        <v>15</v>
      </c>
    </row>
    <row r="154" spans="1:34">
      <c r="A154">
        <v>7</v>
      </c>
      <c r="B154">
        <v>6752</v>
      </c>
      <c r="C154" t="s">
        <v>126</v>
      </c>
      <c r="D154" t="s">
        <v>215</v>
      </c>
      <c r="E154">
        <v>874.4</v>
      </c>
      <c r="F154">
        <v>877.9</v>
      </c>
      <c r="G154">
        <v>1200</v>
      </c>
      <c r="H154" t="s">
        <v>204</v>
      </c>
      <c r="I154">
        <v>7167</v>
      </c>
      <c r="J154" t="s">
        <v>118</v>
      </c>
      <c r="K154" t="s">
        <v>209</v>
      </c>
      <c r="L154">
        <v>259</v>
      </c>
      <c r="M154">
        <v>263</v>
      </c>
      <c r="N154">
        <v>4000</v>
      </c>
      <c r="O154" t="s">
        <v>206</v>
      </c>
      <c r="P154">
        <v>0.96552613791810504</v>
      </c>
      <c r="Q154">
        <v>0.95775040893702601</v>
      </c>
      <c r="R154">
        <v>9.8498168748965206E-2</v>
      </c>
      <c r="S154">
        <v>5.32933405006977E-2</v>
      </c>
      <c r="T154">
        <v>-0.36497113419794103</v>
      </c>
      <c r="U154">
        <v>0.36497113419794103</v>
      </c>
      <c r="V154">
        <v>-0.94</v>
      </c>
      <c r="W154">
        <v>0.14000000000000001</v>
      </c>
      <c r="X154">
        <v>107959</v>
      </c>
      <c r="Y154">
        <v>5998</v>
      </c>
      <c r="Z154">
        <v>0.3</v>
      </c>
      <c r="AA154">
        <v>18</v>
      </c>
      <c r="AB154">
        <v>9</v>
      </c>
      <c r="AC154">
        <v>9</v>
      </c>
      <c r="AD154">
        <v>50</v>
      </c>
      <c r="AE154">
        <v>13</v>
      </c>
      <c r="AF154">
        <v>6</v>
      </c>
      <c r="AG154">
        <v>3</v>
      </c>
      <c r="AH154">
        <v>9</v>
      </c>
    </row>
    <row r="155" spans="1:34">
      <c r="A155">
        <v>202</v>
      </c>
      <c r="B155">
        <v>7278</v>
      </c>
      <c r="C155" t="s">
        <v>83</v>
      </c>
      <c r="D155" t="s">
        <v>212</v>
      </c>
      <c r="E155">
        <v>2120</v>
      </c>
      <c r="F155">
        <v>2132</v>
      </c>
      <c r="G155">
        <v>500</v>
      </c>
      <c r="H155" t="s">
        <v>204</v>
      </c>
      <c r="I155">
        <v>9505</v>
      </c>
      <c r="J155" t="s">
        <v>147</v>
      </c>
      <c r="K155" t="s">
        <v>226</v>
      </c>
      <c r="L155">
        <v>727</v>
      </c>
      <c r="M155">
        <v>731</v>
      </c>
      <c r="N155">
        <v>1500</v>
      </c>
      <c r="O155" t="s">
        <v>206</v>
      </c>
      <c r="P155">
        <v>0.90302490497004295</v>
      </c>
      <c r="Q155">
        <v>0.91500070728040495</v>
      </c>
      <c r="R155">
        <v>0.388791421087754</v>
      </c>
      <c r="S155">
        <v>1.81234343422246E-2</v>
      </c>
      <c r="T155">
        <v>-0.36300087609877801</v>
      </c>
      <c r="U155">
        <v>0.36300087609877801</v>
      </c>
      <c r="V155">
        <v>-1.06</v>
      </c>
      <c r="W155">
        <v>2.86</v>
      </c>
      <c r="X155">
        <v>197759</v>
      </c>
      <c r="Y155">
        <v>8989</v>
      </c>
      <c r="Z155">
        <v>0.52</v>
      </c>
      <c r="AA155">
        <v>22</v>
      </c>
      <c r="AB155">
        <v>14</v>
      </c>
      <c r="AC155">
        <v>8</v>
      </c>
      <c r="AD155">
        <v>63.64</v>
      </c>
      <c r="AE155">
        <v>12</v>
      </c>
      <c r="AF155">
        <v>8</v>
      </c>
      <c r="AG155">
        <v>6</v>
      </c>
      <c r="AH155">
        <v>8</v>
      </c>
    </row>
    <row r="156" spans="1:34">
      <c r="A156">
        <v>71</v>
      </c>
      <c r="B156">
        <v>5020</v>
      </c>
      <c r="C156" t="s">
        <v>154</v>
      </c>
      <c r="D156" t="s">
        <v>253</v>
      </c>
      <c r="E156">
        <v>493.5</v>
      </c>
      <c r="F156">
        <v>494.8</v>
      </c>
      <c r="G156">
        <v>2100</v>
      </c>
      <c r="H156" t="s">
        <v>206</v>
      </c>
      <c r="I156">
        <v>6752</v>
      </c>
      <c r="J156" t="s">
        <v>126</v>
      </c>
      <c r="K156" t="s">
        <v>215</v>
      </c>
      <c r="L156">
        <v>874.4</v>
      </c>
      <c r="M156">
        <v>877.9</v>
      </c>
      <c r="N156">
        <v>1200</v>
      </c>
      <c r="O156" t="s">
        <v>204</v>
      </c>
      <c r="P156">
        <v>0.94274402081379505</v>
      </c>
      <c r="Q156">
        <v>0.93135140854190901</v>
      </c>
      <c r="R156">
        <v>4.2362831704074302E-2</v>
      </c>
      <c r="S156">
        <v>0.15723159289581901</v>
      </c>
      <c r="T156">
        <v>0.35249191930381801</v>
      </c>
      <c r="U156">
        <v>0.35249191930381801</v>
      </c>
      <c r="V156">
        <v>1.24</v>
      </c>
      <c r="W156">
        <v>1.37</v>
      </c>
      <c r="X156">
        <v>43339</v>
      </c>
      <c r="Y156">
        <v>2167</v>
      </c>
      <c r="Z156">
        <v>0.08</v>
      </c>
      <c r="AA156">
        <v>20</v>
      </c>
      <c r="AB156">
        <v>9</v>
      </c>
      <c r="AC156">
        <v>11</v>
      </c>
      <c r="AD156">
        <v>45</v>
      </c>
      <c r="AE156">
        <v>12</v>
      </c>
      <c r="AF156">
        <v>7</v>
      </c>
      <c r="AG156">
        <v>5</v>
      </c>
      <c r="AH156">
        <v>8</v>
      </c>
    </row>
    <row r="157" spans="1:34">
      <c r="A157">
        <v>122</v>
      </c>
      <c r="B157">
        <v>6472</v>
      </c>
      <c r="C157" t="s">
        <v>116</v>
      </c>
      <c r="D157" t="s">
        <v>214</v>
      </c>
      <c r="E157">
        <v>317</v>
      </c>
      <c r="F157">
        <v>322</v>
      </c>
      <c r="G157">
        <v>3400</v>
      </c>
      <c r="H157" t="s">
        <v>206</v>
      </c>
      <c r="I157">
        <v>6988</v>
      </c>
      <c r="J157" t="s">
        <v>162</v>
      </c>
      <c r="K157" t="s">
        <v>205</v>
      </c>
      <c r="L157">
        <v>5358</v>
      </c>
      <c r="M157">
        <v>5415</v>
      </c>
      <c r="N157">
        <v>200</v>
      </c>
      <c r="O157" t="s">
        <v>204</v>
      </c>
      <c r="P157">
        <v>0.92597165753417898</v>
      </c>
      <c r="Q157">
        <v>0.93914558630567102</v>
      </c>
      <c r="R157">
        <v>0.25439313764545302</v>
      </c>
      <c r="S157">
        <v>0.12658622646832199</v>
      </c>
      <c r="T157">
        <v>0.34153914624394999</v>
      </c>
      <c r="U157">
        <v>0.34153914624394999</v>
      </c>
      <c r="V157">
        <v>1.29</v>
      </c>
      <c r="W157">
        <v>1.0900000000000001</v>
      </c>
      <c r="X157">
        <v>111707</v>
      </c>
      <c r="Y157">
        <v>7447</v>
      </c>
      <c r="Z157">
        <v>0.46</v>
      </c>
      <c r="AA157">
        <v>15</v>
      </c>
      <c r="AB157">
        <v>7</v>
      </c>
      <c r="AC157">
        <v>8</v>
      </c>
      <c r="AD157">
        <v>46.67</v>
      </c>
      <c r="AE157">
        <v>14</v>
      </c>
      <c r="AF157">
        <v>6</v>
      </c>
      <c r="AG157">
        <v>2</v>
      </c>
      <c r="AH157">
        <v>7</v>
      </c>
    </row>
    <row r="158" spans="1:34">
      <c r="A158">
        <v>72</v>
      </c>
      <c r="B158">
        <v>1333</v>
      </c>
      <c r="C158" t="s">
        <v>244</v>
      </c>
      <c r="D158" t="s">
        <v>245</v>
      </c>
      <c r="E158">
        <v>2751</v>
      </c>
      <c r="F158">
        <v>2755</v>
      </c>
      <c r="G158">
        <v>300</v>
      </c>
      <c r="H158" t="s">
        <v>206</v>
      </c>
      <c r="I158">
        <v>5401</v>
      </c>
      <c r="J158" t="s">
        <v>137</v>
      </c>
      <c r="K158" t="s">
        <v>223</v>
      </c>
      <c r="L158">
        <v>1504</v>
      </c>
      <c r="M158">
        <v>1504.5</v>
      </c>
      <c r="N158">
        <v>500</v>
      </c>
      <c r="O158" t="s">
        <v>204</v>
      </c>
      <c r="P158">
        <v>0.942306086693111</v>
      </c>
      <c r="Q158">
        <v>0.93756659747677695</v>
      </c>
      <c r="R158">
        <v>4.0012241830232102E-2</v>
      </c>
      <c r="S158">
        <v>7.9723200088770999E-2</v>
      </c>
      <c r="T158">
        <v>0.33825969284069901</v>
      </c>
      <c r="U158">
        <v>0.33825969284069901</v>
      </c>
      <c r="V158">
        <v>1.01</v>
      </c>
      <c r="W158">
        <v>8.98</v>
      </c>
      <c r="X158">
        <v>42346</v>
      </c>
      <c r="Y158">
        <v>2823</v>
      </c>
      <c r="Z158">
        <v>0.22</v>
      </c>
      <c r="AA158">
        <v>15</v>
      </c>
      <c r="AB158">
        <v>7</v>
      </c>
      <c r="AC158">
        <v>8</v>
      </c>
      <c r="AD158">
        <v>46.67</v>
      </c>
      <c r="AE158">
        <v>12</v>
      </c>
      <c r="AF158">
        <v>4</v>
      </c>
      <c r="AG158">
        <v>4</v>
      </c>
      <c r="AH158">
        <v>7</v>
      </c>
    </row>
    <row r="159" spans="1:34">
      <c r="A159">
        <v>151</v>
      </c>
      <c r="B159">
        <v>1860</v>
      </c>
      <c r="C159" t="s">
        <v>252</v>
      </c>
      <c r="D159" t="s">
        <v>230</v>
      </c>
      <c r="E159">
        <v>624</v>
      </c>
      <c r="F159">
        <v>625</v>
      </c>
      <c r="G159">
        <v>1500</v>
      </c>
      <c r="H159" t="s">
        <v>204</v>
      </c>
      <c r="I159">
        <v>6995</v>
      </c>
      <c r="J159" t="s">
        <v>104</v>
      </c>
      <c r="K159" t="s">
        <v>212</v>
      </c>
      <c r="L159">
        <v>1852</v>
      </c>
      <c r="M159">
        <v>1861</v>
      </c>
      <c r="N159">
        <v>500</v>
      </c>
      <c r="O159" t="s">
        <v>206</v>
      </c>
      <c r="P159">
        <v>0.91606539702745604</v>
      </c>
      <c r="Q159">
        <v>0.904199045201175</v>
      </c>
      <c r="R159">
        <v>0.245110700356061</v>
      </c>
      <c r="S159">
        <v>2.0629501464805401E-2</v>
      </c>
      <c r="T159">
        <v>-0.32463581784156798</v>
      </c>
      <c r="U159">
        <v>0.32463581784156798</v>
      </c>
      <c r="V159">
        <v>-0.8</v>
      </c>
      <c r="W159">
        <v>0.75</v>
      </c>
      <c r="X159">
        <v>54744</v>
      </c>
      <c r="Y159">
        <v>2737</v>
      </c>
      <c r="Z159">
        <v>0.11</v>
      </c>
      <c r="AA159">
        <v>20</v>
      </c>
      <c r="AB159">
        <v>12</v>
      </c>
      <c r="AC159">
        <v>8</v>
      </c>
      <c r="AD159">
        <v>60</v>
      </c>
      <c r="AE159">
        <v>14</v>
      </c>
      <c r="AF159">
        <v>6</v>
      </c>
      <c r="AG159">
        <v>5</v>
      </c>
      <c r="AH159">
        <v>9</v>
      </c>
    </row>
    <row r="160" spans="1:34">
      <c r="A160">
        <v>186</v>
      </c>
      <c r="B160">
        <v>6371</v>
      </c>
      <c r="C160" t="s">
        <v>121</v>
      </c>
      <c r="D160" t="s">
        <v>214</v>
      </c>
      <c r="E160">
        <v>3445</v>
      </c>
      <c r="F160">
        <v>3460</v>
      </c>
      <c r="G160">
        <v>300</v>
      </c>
      <c r="H160" t="s">
        <v>204</v>
      </c>
      <c r="I160">
        <v>7259</v>
      </c>
      <c r="J160" t="s">
        <v>97</v>
      </c>
      <c r="K160" t="s">
        <v>212</v>
      </c>
      <c r="L160">
        <v>3445</v>
      </c>
      <c r="M160">
        <v>3510</v>
      </c>
      <c r="N160">
        <v>300</v>
      </c>
      <c r="O160" t="s">
        <v>206</v>
      </c>
      <c r="P160">
        <v>0.90698910692805601</v>
      </c>
      <c r="Q160">
        <v>0.93007583217669298</v>
      </c>
      <c r="R160">
        <v>0.204646028859086</v>
      </c>
      <c r="S160">
        <v>4.1711545257491697E-2</v>
      </c>
      <c r="T160">
        <v>-0.31081176144296502</v>
      </c>
      <c r="U160">
        <v>0.31081176144296502</v>
      </c>
      <c r="V160">
        <v>-1.19</v>
      </c>
      <c r="W160">
        <v>1.42</v>
      </c>
      <c r="X160">
        <v>305033</v>
      </c>
      <c r="Y160">
        <v>38129</v>
      </c>
      <c r="Z160">
        <v>2.17</v>
      </c>
      <c r="AA160">
        <v>8</v>
      </c>
      <c r="AB160">
        <v>6</v>
      </c>
      <c r="AC160">
        <v>2</v>
      </c>
      <c r="AD160">
        <v>75</v>
      </c>
      <c r="AE160">
        <v>10</v>
      </c>
      <c r="AF160">
        <v>6</v>
      </c>
      <c r="AG160">
        <v>0</v>
      </c>
      <c r="AH160">
        <v>2</v>
      </c>
    </row>
    <row r="161" spans="1:34">
      <c r="A161">
        <v>109</v>
      </c>
      <c r="B161">
        <v>7846</v>
      </c>
      <c r="C161" t="s">
        <v>141</v>
      </c>
      <c r="D161" t="s">
        <v>242</v>
      </c>
      <c r="E161">
        <v>4000</v>
      </c>
      <c r="F161">
        <v>4015</v>
      </c>
      <c r="G161">
        <v>200</v>
      </c>
      <c r="H161" t="s">
        <v>206</v>
      </c>
      <c r="I161">
        <v>9505</v>
      </c>
      <c r="J161" t="s">
        <v>147</v>
      </c>
      <c r="K161" t="s">
        <v>226</v>
      </c>
      <c r="L161">
        <v>727</v>
      </c>
      <c r="M161">
        <v>731</v>
      </c>
      <c r="N161">
        <v>1100</v>
      </c>
      <c r="O161" t="s">
        <v>204</v>
      </c>
      <c r="P161">
        <v>0.93092242183825002</v>
      </c>
      <c r="Q161">
        <v>0.951021786941327</v>
      </c>
      <c r="R161">
        <v>5.18254884649215E-4</v>
      </c>
      <c r="S161">
        <v>4.6298802848014797E-2</v>
      </c>
      <c r="T161">
        <v>0.31024025601238903</v>
      </c>
      <c r="U161">
        <v>0.31024025601238903</v>
      </c>
      <c r="V161">
        <v>0.78</v>
      </c>
      <c r="W161">
        <v>0.14000000000000001</v>
      </c>
      <c r="X161">
        <v>77444</v>
      </c>
      <c r="Y161">
        <v>3520</v>
      </c>
      <c r="Z161">
        <v>0.21</v>
      </c>
      <c r="AA161">
        <v>22</v>
      </c>
      <c r="AB161">
        <v>10</v>
      </c>
      <c r="AC161">
        <v>12</v>
      </c>
      <c r="AD161">
        <v>45.45</v>
      </c>
      <c r="AE161">
        <v>12</v>
      </c>
      <c r="AF161">
        <v>7</v>
      </c>
      <c r="AG161">
        <v>4</v>
      </c>
      <c r="AH161">
        <v>11</v>
      </c>
    </row>
    <row r="162" spans="1:34">
      <c r="A162">
        <v>148</v>
      </c>
      <c r="B162">
        <v>7731</v>
      </c>
      <c r="C162" t="s">
        <v>110</v>
      </c>
      <c r="D162" t="s">
        <v>228</v>
      </c>
      <c r="E162">
        <v>1307</v>
      </c>
      <c r="F162">
        <v>1345</v>
      </c>
      <c r="G162">
        <v>700</v>
      </c>
      <c r="H162" t="s">
        <v>206</v>
      </c>
      <c r="I162">
        <v>9404</v>
      </c>
      <c r="J162" t="s">
        <v>107</v>
      </c>
      <c r="K162" t="s">
        <v>203</v>
      </c>
      <c r="L162">
        <v>1389</v>
      </c>
      <c r="M162">
        <v>1396</v>
      </c>
      <c r="N162">
        <v>700</v>
      </c>
      <c r="O162" t="s">
        <v>204</v>
      </c>
      <c r="P162">
        <v>0.91722331842970295</v>
      </c>
      <c r="Q162">
        <v>0.90612901888478103</v>
      </c>
      <c r="R162">
        <v>2.2389679882290899E-2</v>
      </c>
      <c r="S162">
        <v>3.1594258349620902E-2</v>
      </c>
      <c r="T162">
        <v>0.27329332709398502</v>
      </c>
      <c r="U162">
        <v>0.27329332709398502</v>
      </c>
      <c r="V162">
        <v>0.65</v>
      </c>
      <c r="W162">
        <v>3.65</v>
      </c>
      <c r="X162">
        <v>405195</v>
      </c>
      <c r="Y162">
        <v>22511</v>
      </c>
      <c r="Z162">
        <v>1.1399999999999999</v>
      </c>
      <c r="AA162">
        <v>18</v>
      </c>
      <c r="AB162">
        <v>13</v>
      </c>
      <c r="AC162">
        <v>5</v>
      </c>
      <c r="AD162">
        <v>72.22</v>
      </c>
      <c r="AE162">
        <v>13</v>
      </c>
      <c r="AF162">
        <v>11</v>
      </c>
      <c r="AG162">
        <v>3</v>
      </c>
      <c r="AH162">
        <v>4</v>
      </c>
    </row>
    <row r="163" spans="1:34">
      <c r="A163">
        <v>44</v>
      </c>
      <c r="B163">
        <v>4208</v>
      </c>
      <c r="C163" t="s">
        <v>115</v>
      </c>
      <c r="D163" t="s">
        <v>205</v>
      </c>
      <c r="E163">
        <v>2220</v>
      </c>
      <c r="F163">
        <v>2233</v>
      </c>
      <c r="G163">
        <v>500</v>
      </c>
      <c r="H163" t="s">
        <v>206</v>
      </c>
      <c r="I163">
        <v>7259</v>
      </c>
      <c r="J163" t="s">
        <v>97</v>
      </c>
      <c r="K163" t="s">
        <v>212</v>
      </c>
      <c r="L163">
        <v>3445</v>
      </c>
      <c r="M163">
        <v>3510</v>
      </c>
      <c r="N163">
        <v>300</v>
      </c>
      <c r="O163" t="s">
        <v>204</v>
      </c>
      <c r="P163">
        <v>0.950365538064042</v>
      </c>
      <c r="Q163">
        <v>0.92226230499065498</v>
      </c>
      <c r="R163">
        <v>6.3739233501993495E-2</v>
      </c>
      <c r="S163">
        <v>7.0453603248463196E-3</v>
      </c>
      <c r="T163">
        <v>0.26683755374212198</v>
      </c>
      <c r="U163">
        <v>0.26683755374212198</v>
      </c>
      <c r="V163">
        <v>0.93</v>
      </c>
      <c r="W163">
        <v>6.03</v>
      </c>
      <c r="X163">
        <v>114827</v>
      </c>
      <c r="Y163">
        <v>9569</v>
      </c>
      <c r="Z163">
        <v>0.74</v>
      </c>
      <c r="AA163">
        <v>12</v>
      </c>
      <c r="AB163">
        <v>7</v>
      </c>
      <c r="AC163">
        <v>5</v>
      </c>
      <c r="AD163">
        <v>58.33</v>
      </c>
      <c r="AE163">
        <v>13</v>
      </c>
      <c r="AF163">
        <v>6</v>
      </c>
      <c r="AG163">
        <v>2</v>
      </c>
      <c r="AH163">
        <v>4</v>
      </c>
    </row>
    <row r="164" spans="1:34">
      <c r="A164">
        <v>29</v>
      </c>
      <c r="B164">
        <v>6472</v>
      </c>
      <c r="C164" t="s">
        <v>116</v>
      </c>
      <c r="D164" t="s">
        <v>214</v>
      </c>
      <c r="E164">
        <v>317</v>
      </c>
      <c r="F164">
        <v>322</v>
      </c>
      <c r="G164">
        <v>2900</v>
      </c>
      <c r="H164" t="s">
        <v>206</v>
      </c>
      <c r="I164">
        <v>6995</v>
      </c>
      <c r="J164" t="s">
        <v>104</v>
      </c>
      <c r="K164" t="s">
        <v>212</v>
      </c>
      <c r="L164">
        <v>1852</v>
      </c>
      <c r="M164">
        <v>1861</v>
      </c>
      <c r="N164">
        <v>500</v>
      </c>
      <c r="O164" t="s">
        <v>204</v>
      </c>
      <c r="P164">
        <v>0.95534884747057902</v>
      </c>
      <c r="Q164">
        <v>0.94923177642205103</v>
      </c>
      <c r="R164">
        <v>0.26456599240985001</v>
      </c>
      <c r="S164">
        <v>4.0365675166713202E-2</v>
      </c>
      <c r="T164">
        <v>0.252416461889924</v>
      </c>
      <c r="U164">
        <v>0.252416461889924</v>
      </c>
      <c r="V164">
        <v>0.64</v>
      </c>
      <c r="W164">
        <v>0.35</v>
      </c>
      <c r="X164">
        <v>-1035</v>
      </c>
      <c r="Y164">
        <v>-74</v>
      </c>
      <c r="Z164">
        <v>-0.02</v>
      </c>
      <c r="AA164">
        <v>14</v>
      </c>
      <c r="AB164">
        <v>8</v>
      </c>
      <c r="AC164">
        <v>6</v>
      </c>
      <c r="AD164">
        <v>57.14</v>
      </c>
      <c r="AE164">
        <v>14</v>
      </c>
      <c r="AF164">
        <v>5</v>
      </c>
      <c r="AG164">
        <v>3</v>
      </c>
      <c r="AH164">
        <v>6</v>
      </c>
    </row>
    <row r="165" spans="1:34">
      <c r="A165">
        <v>138</v>
      </c>
      <c r="B165">
        <v>4061</v>
      </c>
      <c r="C165" t="s">
        <v>224</v>
      </c>
      <c r="D165" t="s">
        <v>205</v>
      </c>
      <c r="E165">
        <v>2950</v>
      </c>
      <c r="F165">
        <v>3015</v>
      </c>
      <c r="G165">
        <v>300</v>
      </c>
      <c r="H165" t="s">
        <v>206</v>
      </c>
      <c r="I165">
        <v>6752</v>
      </c>
      <c r="J165" t="s">
        <v>126</v>
      </c>
      <c r="K165" t="s">
        <v>215</v>
      </c>
      <c r="L165">
        <v>874.4</v>
      </c>
      <c r="M165">
        <v>877.9</v>
      </c>
      <c r="N165">
        <v>1000</v>
      </c>
      <c r="O165" t="s">
        <v>204</v>
      </c>
      <c r="P165">
        <v>0.919222566326655</v>
      </c>
      <c r="Q165">
        <v>0.91332477964269498</v>
      </c>
      <c r="R165">
        <v>0.26957380686938198</v>
      </c>
      <c r="S165">
        <v>7.3314736017161805E-2</v>
      </c>
      <c r="T165">
        <v>0.240718877015795</v>
      </c>
      <c r="U165">
        <v>0.240718877015795</v>
      </c>
      <c r="V165">
        <v>0.57999999999999996</v>
      </c>
      <c r="W165">
        <v>2.94</v>
      </c>
      <c r="X165">
        <v>252708</v>
      </c>
      <c r="Y165">
        <v>14039</v>
      </c>
      <c r="Z165">
        <v>0.78</v>
      </c>
      <c r="AA165">
        <v>18</v>
      </c>
      <c r="AB165">
        <v>12</v>
      </c>
      <c r="AC165">
        <v>6</v>
      </c>
      <c r="AD165">
        <v>66.67</v>
      </c>
      <c r="AE165">
        <v>13</v>
      </c>
      <c r="AF165">
        <v>7</v>
      </c>
      <c r="AG165">
        <v>3</v>
      </c>
      <c r="AH165">
        <v>8</v>
      </c>
    </row>
    <row r="166" spans="1:34">
      <c r="A166">
        <v>115</v>
      </c>
      <c r="B166">
        <v>2784</v>
      </c>
      <c r="C166" t="s">
        <v>271</v>
      </c>
      <c r="D166" t="s">
        <v>234</v>
      </c>
      <c r="E166">
        <v>2397</v>
      </c>
      <c r="F166">
        <v>2383</v>
      </c>
      <c r="G166">
        <v>400</v>
      </c>
      <c r="H166" t="s">
        <v>206</v>
      </c>
      <c r="I166">
        <v>6178</v>
      </c>
      <c r="J166" t="s">
        <v>150</v>
      </c>
      <c r="K166" t="s">
        <v>256</v>
      </c>
      <c r="L166">
        <v>981</v>
      </c>
      <c r="M166">
        <v>981</v>
      </c>
      <c r="N166">
        <v>1000</v>
      </c>
      <c r="O166" t="s">
        <v>204</v>
      </c>
      <c r="P166">
        <v>0.92784080517719003</v>
      </c>
      <c r="Q166">
        <v>0.91374070114947303</v>
      </c>
      <c r="R166">
        <v>1.34438721109289E-3</v>
      </c>
      <c r="S166">
        <v>0.17895895147089599</v>
      </c>
      <c r="T166">
        <v>0.23444019487725501</v>
      </c>
      <c r="U166">
        <v>0.23444019487725501</v>
      </c>
      <c r="V166">
        <v>0.92</v>
      </c>
      <c r="W166">
        <v>2.92</v>
      </c>
      <c r="X166">
        <v>-75218</v>
      </c>
      <c r="Y166">
        <v>-3959</v>
      </c>
      <c r="Z166">
        <v>-0.2</v>
      </c>
      <c r="AA166">
        <v>19</v>
      </c>
      <c r="AB166">
        <v>10</v>
      </c>
      <c r="AC166">
        <v>9</v>
      </c>
      <c r="AD166">
        <v>52.63</v>
      </c>
      <c r="AE166">
        <v>14</v>
      </c>
      <c r="AF166">
        <v>4</v>
      </c>
      <c r="AG166">
        <v>5</v>
      </c>
      <c r="AH166">
        <v>10</v>
      </c>
    </row>
    <row r="167" spans="1:34">
      <c r="A167">
        <v>56</v>
      </c>
      <c r="B167">
        <v>7013</v>
      </c>
      <c r="C167" t="s">
        <v>152</v>
      </c>
      <c r="D167" t="s">
        <v>214</v>
      </c>
      <c r="E167">
        <v>2400</v>
      </c>
      <c r="F167">
        <v>2431</v>
      </c>
      <c r="G167">
        <v>400</v>
      </c>
      <c r="H167" t="s">
        <v>206</v>
      </c>
      <c r="I167">
        <v>8795</v>
      </c>
      <c r="J167" t="s">
        <v>153</v>
      </c>
      <c r="K167" t="s">
        <v>237</v>
      </c>
      <c r="L167">
        <v>1150.5</v>
      </c>
      <c r="M167">
        <v>1165</v>
      </c>
      <c r="N167">
        <v>800</v>
      </c>
      <c r="O167" t="s">
        <v>204</v>
      </c>
      <c r="P167">
        <v>0.94680177749099803</v>
      </c>
      <c r="Q167">
        <v>0.96190058728908601</v>
      </c>
      <c r="R167">
        <v>2.55237394443566E-2</v>
      </c>
      <c r="S167">
        <v>8.8727922859686503E-2</v>
      </c>
      <c r="T167">
        <v>0.22663615788050601</v>
      </c>
      <c r="U167">
        <v>0.22663615788050601</v>
      </c>
      <c r="V167">
        <v>0.84</v>
      </c>
      <c r="W167">
        <v>4.1500000000000004</v>
      </c>
      <c r="X167">
        <v>133543</v>
      </c>
      <c r="Y167">
        <v>7029</v>
      </c>
      <c r="Z167">
        <v>0.47</v>
      </c>
      <c r="AA167">
        <v>19</v>
      </c>
      <c r="AB167">
        <v>11</v>
      </c>
      <c r="AC167">
        <v>8</v>
      </c>
      <c r="AD167">
        <v>57.89</v>
      </c>
      <c r="AE167">
        <v>10</v>
      </c>
      <c r="AF167">
        <v>9</v>
      </c>
      <c r="AG167">
        <v>7</v>
      </c>
      <c r="AH167">
        <v>3</v>
      </c>
    </row>
    <row r="168" spans="1:34">
      <c r="A168">
        <v>165</v>
      </c>
      <c r="B168">
        <v>7013</v>
      </c>
      <c r="C168" t="s">
        <v>152</v>
      </c>
      <c r="D168" t="s">
        <v>214</v>
      </c>
      <c r="E168">
        <v>2400</v>
      </c>
      <c r="F168">
        <v>2431</v>
      </c>
      <c r="G168">
        <v>300</v>
      </c>
      <c r="H168" t="s">
        <v>206</v>
      </c>
      <c r="I168">
        <v>7846</v>
      </c>
      <c r="J168" t="s">
        <v>141</v>
      </c>
      <c r="K168" t="s">
        <v>242</v>
      </c>
      <c r="L168">
        <v>4000</v>
      </c>
      <c r="M168">
        <v>4015</v>
      </c>
      <c r="N168">
        <v>200</v>
      </c>
      <c r="O168" t="s">
        <v>204</v>
      </c>
      <c r="P168">
        <v>0.911713872865348</v>
      </c>
      <c r="Q168">
        <v>0.96521391839666404</v>
      </c>
      <c r="R168">
        <v>1.86254664630685E-2</v>
      </c>
      <c r="S168">
        <v>6.6130225377706894E-2</v>
      </c>
      <c r="T168">
        <v>0.22556163369181201</v>
      </c>
      <c r="U168">
        <v>0.22556163369181201</v>
      </c>
      <c r="V168">
        <v>1.02</v>
      </c>
      <c r="W168">
        <v>9.18</v>
      </c>
      <c r="X168">
        <v>212602</v>
      </c>
      <c r="Y168">
        <v>23622</v>
      </c>
      <c r="Z168">
        <v>1.45</v>
      </c>
      <c r="AA168">
        <v>9</v>
      </c>
      <c r="AB168">
        <v>7</v>
      </c>
      <c r="AC168">
        <v>2</v>
      </c>
      <c r="AD168">
        <v>77.78</v>
      </c>
      <c r="AE168">
        <v>9</v>
      </c>
      <c r="AF168">
        <v>6</v>
      </c>
      <c r="AG168">
        <v>1</v>
      </c>
      <c r="AH168">
        <v>2</v>
      </c>
    </row>
    <row r="169" spans="1:34">
      <c r="A169">
        <v>150</v>
      </c>
      <c r="B169">
        <v>5991</v>
      </c>
      <c r="C169" t="s">
        <v>108</v>
      </c>
      <c r="D169" t="s">
        <v>216</v>
      </c>
      <c r="E169">
        <v>822</v>
      </c>
      <c r="F169">
        <v>825</v>
      </c>
      <c r="G169">
        <v>1300</v>
      </c>
      <c r="H169" t="s">
        <v>206</v>
      </c>
      <c r="I169">
        <v>6371</v>
      </c>
      <c r="J169" t="s">
        <v>121</v>
      </c>
      <c r="K169" t="s">
        <v>214</v>
      </c>
      <c r="L169">
        <v>3445</v>
      </c>
      <c r="M169">
        <v>3460</v>
      </c>
      <c r="N169">
        <v>300</v>
      </c>
      <c r="O169" t="s">
        <v>204</v>
      </c>
      <c r="P169">
        <v>0.91660053483519899</v>
      </c>
      <c r="Q169">
        <v>0.91821744370265701</v>
      </c>
      <c r="R169">
        <v>0.14315140494669801</v>
      </c>
      <c r="S169">
        <v>0.223177667590542</v>
      </c>
      <c r="T169">
        <v>0.216210306236818</v>
      </c>
      <c r="U169">
        <v>0.216210306236818</v>
      </c>
      <c r="V169">
        <v>0.56999999999999995</v>
      </c>
      <c r="W169">
        <v>3.32</v>
      </c>
      <c r="X169">
        <v>206398</v>
      </c>
      <c r="Y169">
        <v>10863</v>
      </c>
      <c r="Z169">
        <v>0.48</v>
      </c>
      <c r="AA169">
        <v>19</v>
      </c>
      <c r="AB169">
        <v>10</v>
      </c>
      <c r="AC169">
        <v>9</v>
      </c>
      <c r="AD169">
        <v>52.63</v>
      </c>
      <c r="AE169">
        <v>13</v>
      </c>
      <c r="AF169">
        <v>7</v>
      </c>
      <c r="AG169">
        <v>2</v>
      </c>
      <c r="AH169">
        <v>10</v>
      </c>
    </row>
    <row r="170" spans="1:34">
      <c r="A170">
        <v>40</v>
      </c>
      <c r="B170">
        <v>5411</v>
      </c>
      <c r="C170" t="s">
        <v>136</v>
      </c>
      <c r="D170" t="s">
        <v>223</v>
      </c>
      <c r="E170">
        <v>1313.5</v>
      </c>
      <c r="F170">
        <v>1325</v>
      </c>
      <c r="G170">
        <v>700</v>
      </c>
      <c r="H170" t="s">
        <v>204</v>
      </c>
      <c r="I170">
        <v>6586</v>
      </c>
      <c r="J170" t="s">
        <v>82</v>
      </c>
      <c r="K170" t="s">
        <v>214</v>
      </c>
      <c r="L170">
        <v>3170</v>
      </c>
      <c r="M170">
        <v>3270</v>
      </c>
      <c r="N170">
        <v>300</v>
      </c>
      <c r="O170" t="s">
        <v>206</v>
      </c>
      <c r="P170">
        <v>0.95097686710597995</v>
      </c>
      <c r="Q170">
        <v>0.924851336960541</v>
      </c>
      <c r="R170">
        <v>3.0155135555291999E-2</v>
      </c>
      <c r="S170">
        <v>6.0790172685769299E-2</v>
      </c>
      <c r="T170">
        <v>-0.212685730984466</v>
      </c>
      <c r="U170">
        <v>0.212685730984466</v>
      </c>
      <c r="V170">
        <v>-0.71</v>
      </c>
      <c r="W170">
        <v>5.45</v>
      </c>
      <c r="X170">
        <v>105655</v>
      </c>
      <c r="Y170">
        <v>10566</v>
      </c>
      <c r="Z170">
        <v>0.68</v>
      </c>
      <c r="AA170">
        <v>10</v>
      </c>
      <c r="AB170">
        <v>7</v>
      </c>
      <c r="AC170">
        <v>3</v>
      </c>
      <c r="AD170">
        <v>70</v>
      </c>
      <c r="AE170">
        <v>10</v>
      </c>
      <c r="AF170">
        <v>5</v>
      </c>
      <c r="AG170">
        <v>2</v>
      </c>
      <c r="AH170">
        <v>3</v>
      </c>
    </row>
    <row r="171" spans="1:34">
      <c r="A171">
        <v>38</v>
      </c>
      <c r="B171">
        <v>8242</v>
      </c>
      <c r="C171" t="s">
        <v>140</v>
      </c>
      <c r="D171" t="s">
        <v>208</v>
      </c>
      <c r="E171">
        <v>1222</v>
      </c>
      <c r="F171">
        <v>1216</v>
      </c>
      <c r="G171">
        <v>700</v>
      </c>
      <c r="H171" t="s">
        <v>204</v>
      </c>
      <c r="I171">
        <v>9810</v>
      </c>
      <c r="J171" t="s">
        <v>134</v>
      </c>
      <c r="K171" t="s">
        <v>234</v>
      </c>
      <c r="L171">
        <v>4375</v>
      </c>
      <c r="M171">
        <v>4365</v>
      </c>
      <c r="N171">
        <v>200</v>
      </c>
      <c r="O171" t="s">
        <v>206</v>
      </c>
      <c r="P171">
        <v>0.95143955377878398</v>
      </c>
      <c r="Q171">
        <v>0.91495918733916104</v>
      </c>
      <c r="R171">
        <v>3.4692039232415602E-3</v>
      </c>
      <c r="S171">
        <v>8.0776277285158404E-2</v>
      </c>
      <c r="T171">
        <v>-0.21114494041878601</v>
      </c>
      <c r="U171">
        <v>0.21114494041878601</v>
      </c>
      <c r="V171">
        <v>-0.48</v>
      </c>
      <c r="W171">
        <v>2.5</v>
      </c>
      <c r="X171">
        <v>56182</v>
      </c>
      <c r="Y171">
        <v>3511</v>
      </c>
      <c r="Z171">
        <v>0.13</v>
      </c>
      <c r="AA171">
        <v>16</v>
      </c>
      <c r="AB171">
        <v>7</v>
      </c>
      <c r="AC171">
        <v>9</v>
      </c>
      <c r="AD171">
        <v>43.75</v>
      </c>
      <c r="AE171">
        <v>14</v>
      </c>
      <c r="AF171">
        <v>4</v>
      </c>
      <c r="AG171">
        <v>1</v>
      </c>
      <c r="AH171">
        <v>11</v>
      </c>
    </row>
    <row r="172" spans="1:34">
      <c r="A172">
        <v>106</v>
      </c>
      <c r="B172">
        <v>1893</v>
      </c>
      <c r="C172" t="s">
        <v>261</v>
      </c>
      <c r="D172" t="s">
        <v>230</v>
      </c>
      <c r="E172">
        <v>586</v>
      </c>
      <c r="F172">
        <v>595</v>
      </c>
      <c r="G172">
        <v>1700</v>
      </c>
      <c r="H172" t="s">
        <v>206</v>
      </c>
      <c r="I172">
        <v>9989</v>
      </c>
      <c r="J172" t="s">
        <v>156</v>
      </c>
      <c r="K172" t="s">
        <v>208</v>
      </c>
      <c r="L172">
        <v>3400</v>
      </c>
      <c r="M172">
        <v>3415</v>
      </c>
      <c r="N172">
        <v>300</v>
      </c>
      <c r="O172" t="s">
        <v>204</v>
      </c>
      <c r="P172">
        <v>0.93141232127942997</v>
      </c>
      <c r="Q172">
        <v>0.92457657850015196</v>
      </c>
      <c r="R172">
        <v>5.2937705916043603E-4</v>
      </c>
      <c r="S172">
        <v>7.9105143414660004E-2</v>
      </c>
      <c r="T172">
        <v>0.20864235786513899</v>
      </c>
      <c r="U172">
        <v>0.20864235786513899</v>
      </c>
      <c r="V172">
        <v>0.6</v>
      </c>
      <c r="W172">
        <v>1.27</v>
      </c>
      <c r="X172">
        <v>311622</v>
      </c>
      <c r="Y172">
        <v>19476</v>
      </c>
      <c r="Z172">
        <v>1.1399999999999999</v>
      </c>
      <c r="AA172">
        <v>16</v>
      </c>
      <c r="AB172">
        <v>12</v>
      </c>
      <c r="AC172">
        <v>4</v>
      </c>
      <c r="AD172">
        <v>75</v>
      </c>
      <c r="AE172">
        <v>14</v>
      </c>
      <c r="AF172">
        <v>8</v>
      </c>
      <c r="AG172">
        <v>2</v>
      </c>
      <c r="AH172">
        <v>6</v>
      </c>
    </row>
    <row r="173" spans="1:34">
      <c r="A173">
        <v>34</v>
      </c>
      <c r="B173">
        <v>5401</v>
      </c>
      <c r="C173" t="s">
        <v>137</v>
      </c>
      <c r="D173" t="s">
        <v>223</v>
      </c>
      <c r="E173">
        <v>1504</v>
      </c>
      <c r="F173">
        <v>1504.5</v>
      </c>
      <c r="G173">
        <v>700</v>
      </c>
      <c r="H173" t="s">
        <v>204</v>
      </c>
      <c r="I173">
        <v>9404</v>
      </c>
      <c r="J173" t="s">
        <v>107</v>
      </c>
      <c r="K173" t="s">
        <v>203</v>
      </c>
      <c r="L173">
        <v>1389</v>
      </c>
      <c r="M173">
        <v>1396</v>
      </c>
      <c r="N173">
        <v>800</v>
      </c>
      <c r="O173" t="s">
        <v>206</v>
      </c>
      <c r="P173">
        <v>0.95226557135553302</v>
      </c>
      <c r="Q173">
        <v>0.94998317805805599</v>
      </c>
      <c r="R173">
        <v>0.21014598010159799</v>
      </c>
      <c r="S173">
        <v>2.3590781574305601E-2</v>
      </c>
      <c r="T173">
        <v>-0.20434174634330199</v>
      </c>
      <c r="U173">
        <v>0.20434174634330199</v>
      </c>
      <c r="V173">
        <v>-0.62</v>
      </c>
      <c r="W173">
        <v>6.04</v>
      </c>
      <c r="X173">
        <v>293779</v>
      </c>
      <c r="Y173">
        <v>17281</v>
      </c>
      <c r="Z173">
        <v>0.84</v>
      </c>
      <c r="AA173">
        <v>17</v>
      </c>
      <c r="AB173">
        <v>11</v>
      </c>
      <c r="AC173">
        <v>6</v>
      </c>
      <c r="AD173">
        <v>64.709999999999994</v>
      </c>
      <c r="AE173">
        <v>12</v>
      </c>
      <c r="AF173">
        <v>8</v>
      </c>
      <c r="AG173">
        <v>3</v>
      </c>
      <c r="AH173">
        <v>6</v>
      </c>
    </row>
    <row r="174" spans="1:34">
      <c r="A174">
        <v>126</v>
      </c>
      <c r="B174">
        <v>6674</v>
      </c>
      <c r="C174" t="s">
        <v>122</v>
      </c>
      <c r="D174" t="s">
        <v>215</v>
      </c>
      <c r="E174">
        <v>1841</v>
      </c>
      <c r="F174">
        <v>1851</v>
      </c>
      <c r="G174">
        <v>500</v>
      </c>
      <c r="H174" t="s">
        <v>204</v>
      </c>
      <c r="I174">
        <v>7181</v>
      </c>
      <c r="J174" t="s">
        <v>151</v>
      </c>
      <c r="K174" t="s">
        <v>237</v>
      </c>
      <c r="L174">
        <v>1607</v>
      </c>
      <c r="M174">
        <v>1637</v>
      </c>
      <c r="N174">
        <v>600</v>
      </c>
      <c r="O174" t="s">
        <v>206</v>
      </c>
      <c r="P174">
        <v>0.924439135391529</v>
      </c>
      <c r="Q174">
        <v>0.92869262874866698</v>
      </c>
      <c r="R174">
        <v>2.78268241395754E-2</v>
      </c>
      <c r="S174">
        <v>4.1479876505730297E-2</v>
      </c>
      <c r="T174">
        <v>-0.187273463320452</v>
      </c>
      <c r="U174">
        <v>0.187273463320452</v>
      </c>
      <c r="V174">
        <v>-0.76</v>
      </c>
      <c r="W174">
        <v>6.13</v>
      </c>
      <c r="X174">
        <v>-56743</v>
      </c>
      <c r="Y174">
        <v>-3338</v>
      </c>
      <c r="Z174">
        <v>-0.14000000000000001</v>
      </c>
      <c r="AA174">
        <v>17</v>
      </c>
      <c r="AB174">
        <v>9</v>
      </c>
      <c r="AC174">
        <v>8</v>
      </c>
      <c r="AD174">
        <v>52.94</v>
      </c>
      <c r="AE174">
        <v>13</v>
      </c>
      <c r="AF174">
        <v>7</v>
      </c>
      <c r="AG174">
        <v>6</v>
      </c>
      <c r="AH174">
        <v>4</v>
      </c>
    </row>
    <row r="175" spans="1:34">
      <c r="A175">
        <v>142</v>
      </c>
      <c r="B175">
        <v>6371</v>
      </c>
      <c r="C175" t="s">
        <v>121</v>
      </c>
      <c r="D175" t="s">
        <v>214</v>
      </c>
      <c r="E175">
        <v>3445</v>
      </c>
      <c r="F175">
        <v>3460</v>
      </c>
      <c r="G175">
        <v>300</v>
      </c>
      <c r="H175" t="s">
        <v>204</v>
      </c>
      <c r="I175">
        <v>9810</v>
      </c>
      <c r="J175" t="s">
        <v>134</v>
      </c>
      <c r="K175" t="s">
        <v>234</v>
      </c>
      <c r="L175">
        <v>4375</v>
      </c>
      <c r="M175">
        <v>4365</v>
      </c>
      <c r="N175">
        <v>200</v>
      </c>
      <c r="O175" t="s">
        <v>206</v>
      </c>
      <c r="P175">
        <v>0.91852500312088703</v>
      </c>
      <c r="Q175">
        <v>0.91054201532268797</v>
      </c>
      <c r="R175">
        <v>1.2988651842007501E-2</v>
      </c>
      <c r="S175">
        <v>0.18805377739718401</v>
      </c>
      <c r="T175">
        <v>-0.18488165119599101</v>
      </c>
      <c r="U175">
        <v>0.18488165119599101</v>
      </c>
      <c r="V175">
        <v>-0.34</v>
      </c>
      <c r="W175">
        <v>18.899999999999999</v>
      </c>
      <c r="X175">
        <v>17964</v>
      </c>
      <c r="Y175">
        <v>3593</v>
      </c>
      <c r="Z175">
        <v>0.5</v>
      </c>
      <c r="AA175">
        <v>5</v>
      </c>
      <c r="AB175">
        <v>3</v>
      </c>
      <c r="AC175">
        <v>2</v>
      </c>
      <c r="AD175">
        <v>60</v>
      </c>
      <c r="AE175">
        <v>11</v>
      </c>
      <c r="AF175">
        <v>2</v>
      </c>
      <c r="AG175">
        <v>2</v>
      </c>
      <c r="AH175">
        <v>1</v>
      </c>
    </row>
    <row r="176" spans="1:34">
      <c r="A176">
        <v>35</v>
      </c>
      <c r="B176">
        <v>5020</v>
      </c>
      <c r="C176" t="s">
        <v>154</v>
      </c>
      <c r="D176" t="s">
        <v>253</v>
      </c>
      <c r="E176">
        <v>493.5</v>
      </c>
      <c r="F176">
        <v>494.8</v>
      </c>
      <c r="G176">
        <v>2200</v>
      </c>
      <c r="H176" t="s">
        <v>206</v>
      </c>
      <c r="I176">
        <v>7167</v>
      </c>
      <c r="J176" t="s">
        <v>118</v>
      </c>
      <c r="K176" t="s">
        <v>209</v>
      </c>
      <c r="L176">
        <v>259</v>
      </c>
      <c r="M176">
        <v>263</v>
      </c>
      <c r="N176">
        <v>4100</v>
      </c>
      <c r="O176" t="s">
        <v>204</v>
      </c>
      <c r="P176">
        <v>0.95201109418260499</v>
      </c>
      <c r="Q176">
        <v>0.94904126679300904</v>
      </c>
      <c r="R176">
        <v>8.3700216050487705E-2</v>
      </c>
      <c r="S176">
        <v>6.3328250359019803E-2</v>
      </c>
      <c r="T176">
        <v>0.17825539595331899</v>
      </c>
      <c r="U176">
        <v>0.17825539595331899</v>
      </c>
      <c r="V176">
        <v>0.39</v>
      </c>
      <c r="W176">
        <v>0.94</v>
      </c>
      <c r="X176">
        <v>-139732</v>
      </c>
      <c r="Y176">
        <v>-8220</v>
      </c>
      <c r="Z176">
        <v>-0.4</v>
      </c>
      <c r="AA176">
        <v>17</v>
      </c>
      <c r="AB176">
        <v>7</v>
      </c>
      <c r="AC176">
        <v>10</v>
      </c>
      <c r="AD176">
        <v>41.18</v>
      </c>
      <c r="AE176">
        <v>14</v>
      </c>
      <c r="AF176">
        <v>3</v>
      </c>
      <c r="AG176">
        <v>5</v>
      </c>
      <c r="AH176">
        <v>9</v>
      </c>
    </row>
    <row r="177" spans="1:34">
      <c r="A177">
        <v>173</v>
      </c>
      <c r="B177">
        <v>1333</v>
      </c>
      <c r="C177" t="s">
        <v>244</v>
      </c>
      <c r="D177" t="s">
        <v>245</v>
      </c>
      <c r="E177">
        <v>2751</v>
      </c>
      <c r="F177">
        <v>2755</v>
      </c>
      <c r="G177">
        <v>300</v>
      </c>
      <c r="H177" t="s">
        <v>206</v>
      </c>
      <c r="I177">
        <v>9404</v>
      </c>
      <c r="J177" t="s">
        <v>107</v>
      </c>
      <c r="K177" t="s">
        <v>203</v>
      </c>
      <c r="L177">
        <v>1389</v>
      </c>
      <c r="M177">
        <v>1396</v>
      </c>
      <c r="N177">
        <v>600</v>
      </c>
      <c r="O177" t="s">
        <v>204</v>
      </c>
      <c r="P177">
        <v>0.90918143189478695</v>
      </c>
      <c r="Q177">
        <v>0.923613816439256</v>
      </c>
      <c r="R177">
        <v>2.9878898916690301E-2</v>
      </c>
      <c r="S177">
        <v>5.1161639397838798E-2</v>
      </c>
      <c r="T177">
        <v>0.174699537679645</v>
      </c>
      <c r="U177">
        <v>0.174699537679645</v>
      </c>
      <c r="V177">
        <v>0.45</v>
      </c>
      <c r="W177">
        <v>1.34</v>
      </c>
      <c r="X177">
        <v>107843</v>
      </c>
      <c r="Y177">
        <v>7190</v>
      </c>
      <c r="Z177">
        <v>0.43</v>
      </c>
      <c r="AA177">
        <v>15</v>
      </c>
      <c r="AB177">
        <v>10</v>
      </c>
      <c r="AC177">
        <v>5</v>
      </c>
      <c r="AD177">
        <v>66.67</v>
      </c>
      <c r="AE177">
        <v>14</v>
      </c>
      <c r="AF177">
        <v>6</v>
      </c>
      <c r="AG177">
        <v>2</v>
      </c>
      <c r="AH177">
        <v>7</v>
      </c>
    </row>
    <row r="178" spans="1:34">
      <c r="A178">
        <v>180</v>
      </c>
      <c r="B178">
        <v>7186</v>
      </c>
      <c r="C178" t="s">
        <v>87</v>
      </c>
      <c r="D178" t="s">
        <v>209</v>
      </c>
      <c r="E178">
        <v>410</v>
      </c>
      <c r="F178">
        <v>410</v>
      </c>
      <c r="G178">
        <v>2500</v>
      </c>
      <c r="H178" t="s">
        <v>206</v>
      </c>
      <c r="I178">
        <v>8002</v>
      </c>
      <c r="J178" t="s">
        <v>105</v>
      </c>
      <c r="K178" t="s">
        <v>234</v>
      </c>
      <c r="L178">
        <v>727.3</v>
      </c>
      <c r="M178">
        <v>734.5</v>
      </c>
      <c r="N178">
        <v>1400</v>
      </c>
      <c r="O178" t="s">
        <v>204</v>
      </c>
      <c r="P178">
        <v>0.90805964561939301</v>
      </c>
      <c r="Q178">
        <v>0.92233993262788105</v>
      </c>
      <c r="R178">
        <v>7.4240306485918006E-2</v>
      </c>
      <c r="S178">
        <v>0.18163353543420599</v>
      </c>
      <c r="T178">
        <v>0.17020842494108601</v>
      </c>
      <c r="U178">
        <v>0.17020842494108601</v>
      </c>
      <c r="V178">
        <v>0.52</v>
      </c>
      <c r="W178">
        <v>0.32</v>
      </c>
      <c r="X178">
        <v>-46992</v>
      </c>
      <c r="Y178">
        <v>-2764</v>
      </c>
      <c r="Z178">
        <v>-0.1</v>
      </c>
      <c r="AA178">
        <v>17</v>
      </c>
      <c r="AB178">
        <v>9</v>
      </c>
      <c r="AC178">
        <v>8</v>
      </c>
      <c r="AD178">
        <v>52.94</v>
      </c>
      <c r="AE178">
        <v>13</v>
      </c>
      <c r="AF178">
        <v>6</v>
      </c>
      <c r="AG178">
        <v>6</v>
      </c>
      <c r="AH178">
        <v>5</v>
      </c>
    </row>
    <row r="179" spans="1:34">
      <c r="A179">
        <v>19</v>
      </c>
      <c r="B179">
        <v>7211</v>
      </c>
      <c r="C179" t="s">
        <v>101</v>
      </c>
      <c r="D179" t="s">
        <v>212</v>
      </c>
      <c r="E179">
        <v>468</v>
      </c>
      <c r="F179">
        <v>473</v>
      </c>
      <c r="G179">
        <v>1600</v>
      </c>
      <c r="H179" t="s">
        <v>204</v>
      </c>
      <c r="I179">
        <v>8309</v>
      </c>
      <c r="J179" t="s">
        <v>88</v>
      </c>
      <c r="K179" t="s">
        <v>209</v>
      </c>
      <c r="L179">
        <v>3719</v>
      </c>
      <c r="M179">
        <v>3741</v>
      </c>
      <c r="N179">
        <v>200</v>
      </c>
      <c r="O179" t="s">
        <v>206</v>
      </c>
      <c r="P179">
        <v>0.95763667914269601</v>
      </c>
      <c r="Q179">
        <v>0.90467792859025997</v>
      </c>
      <c r="R179">
        <v>8.0276208684483402E-2</v>
      </c>
      <c r="S179">
        <v>0.17929538688343399</v>
      </c>
      <c r="T179">
        <v>-0.168657378120671</v>
      </c>
      <c r="U179">
        <v>0.168657378120671</v>
      </c>
      <c r="V179">
        <v>-0.4</v>
      </c>
      <c r="W179">
        <v>1.1499999999999999</v>
      </c>
      <c r="X179">
        <v>21888</v>
      </c>
      <c r="Y179">
        <v>1288</v>
      </c>
      <c r="Z179">
        <v>7.0000000000000007E-2</v>
      </c>
      <c r="AA179">
        <v>17</v>
      </c>
      <c r="AB179">
        <v>9</v>
      </c>
      <c r="AC179">
        <v>8</v>
      </c>
      <c r="AD179">
        <v>52.94</v>
      </c>
      <c r="AE179">
        <v>14</v>
      </c>
      <c r="AF179">
        <v>5</v>
      </c>
      <c r="AG179">
        <v>3</v>
      </c>
      <c r="AH179">
        <v>9</v>
      </c>
    </row>
    <row r="180" spans="1:34">
      <c r="A180">
        <v>158</v>
      </c>
      <c r="B180">
        <v>5214</v>
      </c>
      <c r="C180" t="s">
        <v>91</v>
      </c>
      <c r="D180" t="s">
        <v>213</v>
      </c>
      <c r="E180">
        <v>2380</v>
      </c>
      <c r="F180">
        <v>2403</v>
      </c>
      <c r="G180">
        <v>400</v>
      </c>
      <c r="H180" t="s">
        <v>206</v>
      </c>
      <c r="I180">
        <v>8058</v>
      </c>
      <c r="J180" t="s">
        <v>172</v>
      </c>
      <c r="K180" t="s">
        <v>234</v>
      </c>
      <c r="L180">
        <v>2665</v>
      </c>
      <c r="M180">
        <v>2681</v>
      </c>
      <c r="N180">
        <v>400</v>
      </c>
      <c r="O180" t="s">
        <v>204</v>
      </c>
      <c r="P180">
        <v>0.91316951587813</v>
      </c>
      <c r="Q180">
        <v>0.91910705283538596</v>
      </c>
      <c r="R180">
        <v>0.12617493013408301</v>
      </c>
      <c r="S180">
        <v>5.5481869874542601E-2</v>
      </c>
      <c r="T180">
        <v>0.167477087340692</v>
      </c>
      <c r="U180">
        <v>0.167477087340692</v>
      </c>
      <c r="V180">
        <v>0.76</v>
      </c>
      <c r="W180">
        <v>10.37</v>
      </c>
      <c r="X180">
        <v>-213117</v>
      </c>
      <c r="Y180">
        <v>-17760</v>
      </c>
      <c r="Z180">
        <v>-0.99</v>
      </c>
      <c r="AA180">
        <v>12</v>
      </c>
      <c r="AB180">
        <v>3</v>
      </c>
      <c r="AC180">
        <v>9</v>
      </c>
      <c r="AD180">
        <v>25</v>
      </c>
      <c r="AE180">
        <v>15</v>
      </c>
      <c r="AF180">
        <v>1</v>
      </c>
      <c r="AG180">
        <v>3</v>
      </c>
      <c r="AH180">
        <v>8</v>
      </c>
    </row>
    <row r="181" spans="1:34">
      <c r="A181">
        <v>153</v>
      </c>
      <c r="B181">
        <v>4118</v>
      </c>
      <c r="C181" t="s">
        <v>240</v>
      </c>
      <c r="D181" t="s">
        <v>205</v>
      </c>
      <c r="E181">
        <v>3440</v>
      </c>
      <c r="F181">
        <v>3465</v>
      </c>
      <c r="G181">
        <v>300</v>
      </c>
      <c r="H181" t="s">
        <v>204</v>
      </c>
      <c r="I181">
        <v>7751</v>
      </c>
      <c r="J181" t="s">
        <v>158</v>
      </c>
      <c r="K181" t="s">
        <v>215</v>
      </c>
      <c r="L181">
        <v>2853</v>
      </c>
      <c r="M181">
        <v>2864.5</v>
      </c>
      <c r="N181">
        <v>400</v>
      </c>
      <c r="O181" t="s">
        <v>206</v>
      </c>
      <c r="P181">
        <v>0.91418625685621002</v>
      </c>
      <c r="Q181">
        <v>0.91518759997509702</v>
      </c>
      <c r="R181">
        <v>0.25447660273856398</v>
      </c>
      <c r="S181">
        <v>1.5022645528148901E-2</v>
      </c>
      <c r="T181">
        <v>-0.16246935613014599</v>
      </c>
      <c r="U181">
        <v>0.16246935613014599</v>
      </c>
      <c r="V181">
        <v>-0.9</v>
      </c>
      <c r="W181">
        <v>10.23</v>
      </c>
      <c r="X181">
        <v>129977</v>
      </c>
      <c r="Y181">
        <v>43326</v>
      </c>
      <c r="Z181">
        <v>1.93</v>
      </c>
      <c r="AA181">
        <v>3</v>
      </c>
      <c r="AB181">
        <v>3</v>
      </c>
      <c r="AC181">
        <v>0</v>
      </c>
      <c r="AD181">
        <v>100</v>
      </c>
      <c r="AE181">
        <v>11</v>
      </c>
      <c r="AF181">
        <v>2</v>
      </c>
      <c r="AG181">
        <v>0</v>
      </c>
      <c r="AH181">
        <v>1</v>
      </c>
    </row>
    <row r="182" spans="1:34">
      <c r="A182">
        <v>84</v>
      </c>
      <c r="B182">
        <v>5214</v>
      </c>
      <c r="C182" t="s">
        <v>91</v>
      </c>
      <c r="D182" t="s">
        <v>213</v>
      </c>
      <c r="E182">
        <v>2380</v>
      </c>
      <c r="F182">
        <v>2403</v>
      </c>
      <c r="G182">
        <v>400</v>
      </c>
      <c r="H182" t="s">
        <v>206</v>
      </c>
      <c r="I182">
        <v>7751</v>
      </c>
      <c r="J182" t="s">
        <v>158</v>
      </c>
      <c r="K182" t="s">
        <v>215</v>
      </c>
      <c r="L182">
        <v>2853</v>
      </c>
      <c r="M182">
        <v>2864.5</v>
      </c>
      <c r="N182">
        <v>300</v>
      </c>
      <c r="O182" t="s">
        <v>204</v>
      </c>
      <c r="P182">
        <v>0.93886499287249903</v>
      </c>
      <c r="Q182">
        <v>0.90635353773499905</v>
      </c>
      <c r="R182">
        <v>2.56432353565967E-2</v>
      </c>
      <c r="S182">
        <v>7.1596460508749293E-2</v>
      </c>
      <c r="T182">
        <v>0.15970481933753999</v>
      </c>
      <c r="U182">
        <v>0.15970481933753999</v>
      </c>
      <c r="V182">
        <v>0.64</v>
      </c>
      <c r="W182">
        <v>11.85</v>
      </c>
      <c r="X182">
        <v>-117750</v>
      </c>
      <c r="Y182">
        <v>-10705</v>
      </c>
      <c r="Z182">
        <v>-0.57999999999999996</v>
      </c>
      <c r="AA182">
        <v>11</v>
      </c>
      <c r="AB182">
        <v>5</v>
      </c>
      <c r="AC182">
        <v>6</v>
      </c>
      <c r="AD182">
        <v>45.45</v>
      </c>
      <c r="AE182">
        <v>13</v>
      </c>
      <c r="AF182">
        <v>2</v>
      </c>
      <c r="AG182">
        <v>3</v>
      </c>
      <c r="AH182">
        <v>6</v>
      </c>
    </row>
    <row r="183" spans="1:34">
      <c r="A183">
        <v>49</v>
      </c>
      <c r="B183">
        <v>4005</v>
      </c>
      <c r="C183" t="s">
        <v>148</v>
      </c>
      <c r="D183" t="s">
        <v>205</v>
      </c>
      <c r="E183">
        <v>498</v>
      </c>
      <c r="F183">
        <v>504</v>
      </c>
      <c r="G183">
        <v>1700</v>
      </c>
      <c r="H183" t="s">
        <v>204</v>
      </c>
      <c r="I183">
        <v>7267</v>
      </c>
      <c r="J183" t="s">
        <v>131</v>
      </c>
      <c r="K183" t="s">
        <v>212</v>
      </c>
      <c r="L183">
        <v>2800</v>
      </c>
      <c r="M183">
        <v>2828.5</v>
      </c>
      <c r="N183">
        <v>300</v>
      </c>
      <c r="O183" t="s">
        <v>206</v>
      </c>
      <c r="P183">
        <v>0.94935875561328298</v>
      </c>
      <c r="Q183">
        <v>0.90827779418730903</v>
      </c>
      <c r="R183">
        <v>7.9716969587624099E-4</v>
      </c>
      <c r="S183">
        <v>0.38234404870994299</v>
      </c>
      <c r="T183">
        <v>-0.154679105243543</v>
      </c>
      <c r="U183">
        <v>0.154679105243543</v>
      </c>
      <c r="V183">
        <v>-0.41</v>
      </c>
      <c r="W183">
        <v>0.97</v>
      </c>
      <c r="X183">
        <v>269666</v>
      </c>
      <c r="Y183">
        <v>14193</v>
      </c>
      <c r="Z183">
        <v>0.7</v>
      </c>
      <c r="AA183">
        <v>19</v>
      </c>
      <c r="AB183">
        <v>13</v>
      </c>
      <c r="AC183">
        <v>6</v>
      </c>
      <c r="AD183">
        <v>68.42</v>
      </c>
      <c r="AE183">
        <v>14</v>
      </c>
      <c r="AF183">
        <v>5</v>
      </c>
      <c r="AG183">
        <v>1</v>
      </c>
      <c r="AH183">
        <v>13</v>
      </c>
    </row>
    <row r="184" spans="1:34">
      <c r="A184">
        <v>176</v>
      </c>
      <c r="B184">
        <v>7201</v>
      </c>
      <c r="C184" t="s">
        <v>100</v>
      </c>
      <c r="D184" t="s">
        <v>212</v>
      </c>
      <c r="E184">
        <v>662</v>
      </c>
      <c r="F184">
        <v>668.7</v>
      </c>
      <c r="G184">
        <v>1500</v>
      </c>
      <c r="H184" t="s">
        <v>206</v>
      </c>
      <c r="I184">
        <v>9404</v>
      </c>
      <c r="J184" t="s">
        <v>107</v>
      </c>
      <c r="K184" t="s">
        <v>203</v>
      </c>
      <c r="L184">
        <v>1389</v>
      </c>
      <c r="M184">
        <v>1396</v>
      </c>
      <c r="N184">
        <v>700</v>
      </c>
      <c r="O184" t="s">
        <v>204</v>
      </c>
      <c r="P184">
        <v>0.90858257751152005</v>
      </c>
      <c r="Q184">
        <v>0.923547312223026</v>
      </c>
      <c r="R184">
        <v>0.30155439507151599</v>
      </c>
      <c r="S184">
        <v>0.14657021937848899</v>
      </c>
      <c r="T184">
        <v>0.15092159899168101</v>
      </c>
      <c r="U184">
        <v>0.15092159899168101</v>
      </c>
      <c r="V184">
        <v>0.4</v>
      </c>
      <c r="W184">
        <v>2.65</v>
      </c>
      <c r="X184">
        <v>376971</v>
      </c>
      <c r="Y184">
        <v>22175</v>
      </c>
      <c r="Z184">
        <v>1.0900000000000001</v>
      </c>
      <c r="AA184">
        <v>17</v>
      </c>
      <c r="AB184">
        <v>14</v>
      </c>
      <c r="AC184">
        <v>3</v>
      </c>
      <c r="AD184">
        <v>82.35</v>
      </c>
      <c r="AE184">
        <v>14</v>
      </c>
      <c r="AF184">
        <v>5</v>
      </c>
      <c r="AG184">
        <v>1</v>
      </c>
      <c r="AH184">
        <v>11</v>
      </c>
    </row>
    <row r="185" spans="1:34">
      <c r="A185">
        <v>108</v>
      </c>
      <c r="B185">
        <v>7182</v>
      </c>
      <c r="C185" t="s">
        <v>98</v>
      </c>
      <c r="D185" t="s">
        <v>209</v>
      </c>
      <c r="E185">
        <v>1032</v>
      </c>
      <c r="F185">
        <v>1036</v>
      </c>
      <c r="G185">
        <v>1000</v>
      </c>
      <c r="H185" t="s">
        <v>204</v>
      </c>
      <c r="I185">
        <v>7211</v>
      </c>
      <c r="J185" t="s">
        <v>101</v>
      </c>
      <c r="K185" t="s">
        <v>212</v>
      </c>
      <c r="L185">
        <v>468</v>
      </c>
      <c r="M185">
        <v>473</v>
      </c>
      <c r="N185">
        <v>2200</v>
      </c>
      <c r="O185" t="s">
        <v>206</v>
      </c>
      <c r="P185">
        <v>0.93131314983681401</v>
      </c>
      <c r="Q185">
        <v>0.96246836248717105</v>
      </c>
      <c r="R185">
        <v>0.20184916451410201</v>
      </c>
      <c r="S185">
        <v>6.7949028755788501E-3</v>
      </c>
      <c r="T185">
        <v>-0.14284961759398601</v>
      </c>
      <c r="U185">
        <v>0.14284961759398601</v>
      </c>
      <c r="V185">
        <v>-0.4</v>
      </c>
      <c r="W185">
        <v>0.44</v>
      </c>
      <c r="X185">
        <v>160408</v>
      </c>
      <c r="Y185">
        <v>10694</v>
      </c>
      <c r="Z185">
        <v>0.5</v>
      </c>
      <c r="AA185">
        <v>15</v>
      </c>
      <c r="AB185">
        <v>8</v>
      </c>
      <c r="AC185">
        <v>7</v>
      </c>
      <c r="AD185">
        <v>53.33</v>
      </c>
      <c r="AE185">
        <v>16</v>
      </c>
      <c r="AF185">
        <v>3</v>
      </c>
      <c r="AG185">
        <v>1</v>
      </c>
      <c r="AH185">
        <v>11</v>
      </c>
    </row>
    <row r="186" spans="1:34">
      <c r="A186">
        <v>25</v>
      </c>
      <c r="B186">
        <v>3099</v>
      </c>
      <c r="C186" t="s">
        <v>218</v>
      </c>
      <c r="D186" t="s">
        <v>208</v>
      </c>
      <c r="E186">
        <v>879</v>
      </c>
      <c r="F186">
        <v>861</v>
      </c>
      <c r="G186">
        <v>1300</v>
      </c>
      <c r="H186" t="s">
        <v>206</v>
      </c>
      <c r="I186">
        <v>8242</v>
      </c>
      <c r="J186" t="s">
        <v>140</v>
      </c>
      <c r="K186" t="s">
        <v>208</v>
      </c>
      <c r="L186">
        <v>1222</v>
      </c>
      <c r="M186">
        <v>1216</v>
      </c>
      <c r="N186">
        <v>900</v>
      </c>
      <c r="O186" t="s">
        <v>204</v>
      </c>
      <c r="P186">
        <v>0.95616079561511302</v>
      </c>
      <c r="Q186">
        <v>0.97430934760566101</v>
      </c>
      <c r="R186">
        <v>3.4482298843376002E-2</v>
      </c>
      <c r="S186">
        <v>6.6584306606734902E-4</v>
      </c>
      <c r="T186">
        <v>0.13930726336920299</v>
      </c>
      <c r="U186">
        <v>0.13930726336920299</v>
      </c>
      <c r="V186">
        <v>0.22</v>
      </c>
      <c r="W186">
        <v>2.2799999999999998</v>
      </c>
      <c r="X186">
        <v>153254</v>
      </c>
      <c r="Y186">
        <v>11789</v>
      </c>
      <c r="Z186">
        <v>0.63</v>
      </c>
      <c r="AA186">
        <v>13</v>
      </c>
      <c r="AB186">
        <v>9</v>
      </c>
      <c r="AC186">
        <v>4</v>
      </c>
      <c r="AD186">
        <v>69.23</v>
      </c>
      <c r="AE186">
        <v>11</v>
      </c>
      <c r="AF186">
        <v>7</v>
      </c>
      <c r="AG186">
        <v>3</v>
      </c>
      <c r="AH186">
        <v>3</v>
      </c>
    </row>
    <row r="187" spans="1:34">
      <c r="A187">
        <v>48</v>
      </c>
      <c r="B187">
        <v>4202</v>
      </c>
      <c r="C187" t="s">
        <v>138</v>
      </c>
      <c r="D187" t="s">
        <v>205</v>
      </c>
      <c r="E187">
        <v>935</v>
      </c>
      <c r="F187">
        <v>930</v>
      </c>
      <c r="G187">
        <v>1100</v>
      </c>
      <c r="H187" t="s">
        <v>204</v>
      </c>
      <c r="I187">
        <v>7189</v>
      </c>
      <c r="J187" t="s">
        <v>143</v>
      </c>
      <c r="K187" t="s">
        <v>209</v>
      </c>
      <c r="L187">
        <v>751</v>
      </c>
      <c r="M187">
        <v>762</v>
      </c>
      <c r="N187">
        <v>1300</v>
      </c>
      <c r="O187" t="s">
        <v>206</v>
      </c>
      <c r="P187">
        <v>0.94945807859940601</v>
      </c>
      <c r="Q187">
        <v>0.93839528850751797</v>
      </c>
      <c r="R187">
        <v>0.20166728348259999</v>
      </c>
      <c r="S187">
        <v>0.381484134304796</v>
      </c>
      <c r="T187">
        <v>-0.126644573669077</v>
      </c>
      <c r="U187">
        <v>0.126644573669077</v>
      </c>
      <c r="V187">
        <v>-0.31</v>
      </c>
      <c r="W187">
        <v>3.17</v>
      </c>
      <c r="X187">
        <v>527044</v>
      </c>
      <c r="Y187">
        <v>25097</v>
      </c>
      <c r="Z187">
        <v>1.18</v>
      </c>
      <c r="AA187">
        <v>21</v>
      </c>
      <c r="AB187">
        <v>14</v>
      </c>
      <c r="AC187">
        <v>7</v>
      </c>
      <c r="AD187">
        <v>66.67</v>
      </c>
      <c r="AE187">
        <v>14</v>
      </c>
      <c r="AF187">
        <v>10</v>
      </c>
      <c r="AG187">
        <v>2</v>
      </c>
      <c r="AH187">
        <v>9</v>
      </c>
    </row>
    <row r="188" spans="1:34">
      <c r="A188">
        <v>74</v>
      </c>
      <c r="B188">
        <v>8242</v>
      </c>
      <c r="C188" t="s">
        <v>140</v>
      </c>
      <c r="D188" t="s">
        <v>208</v>
      </c>
      <c r="E188">
        <v>1222</v>
      </c>
      <c r="F188">
        <v>1216</v>
      </c>
      <c r="G188">
        <v>800</v>
      </c>
      <c r="H188" t="s">
        <v>206</v>
      </c>
      <c r="I188">
        <v>9072</v>
      </c>
      <c r="J188" t="s">
        <v>135</v>
      </c>
      <c r="K188" t="s">
        <v>246</v>
      </c>
      <c r="L188">
        <v>2500</v>
      </c>
      <c r="M188">
        <v>2504</v>
      </c>
      <c r="N188">
        <v>400</v>
      </c>
      <c r="O188" t="s">
        <v>204</v>
      </c>
      <c r="P188">
        <v>0.94201034483248502</v>
      </c>
      <c r="Q188">
        <v>0.90491554159171705</v>
      </c>
      <c r="R188">
        <v>1.6603913083388998E-2</v>
      </c>
      <c r="S188">
        <v>5.4220016063022403E-2</v>
      </c>
      <c r="T188">
        <v>0.124748050169425</v>
      </c>
      <c r="U188">
        <v>0.124748050169425</v>
      </c>
      <c r="V188">
        <v>0.32</v>
      </c>
      <c r="W188">
        <v>2.88</v>
      </c>
      <c r="X188">
        <v>31160</v>
      </c>
      <c r="Y188">
        <v>1948</v>
      </c>
      <c r="Z188">
        <v>0.13</v>
      </c>
      <c r="AA188">
        <v>16</v>
      </c>
      <c r="AB188">
        <v>9</v>
      </c>
      <c r="AC188">
        <v>7</v>
      </c>
      <c r="AD188">
        <v>56.25</v>
      </c>
      <c r="AE188">
        <v>14</v>
      </c>
      <c r="AF188">
        <v>5</v>
      </c>
      <c r="AG188">
        <v>3</v>
      </c>
      <c r="AH188">
        <v>8</v>
      </c>
    </row>
    <row r="189" spans="1:34">
      <c r="A189">
        <v>128</v>
      </c>
      <c r="B189">
        <v>8242</v>
      </c>
      <c r="C189" t="s">
        <v>140</v>
      </c>
      <c r="D189" t="s">
        <v>208</v>
      </c>
      <c r="E189">
        <v>1222</v>
      </c>
      <c r="F189">
        <v>1216</v>
      </c>
      <c r="G189">
        <v>900</v>
      </c>
      <c r="H189" t="s">
        <v>204</v>
      </c>
      <c r="I189">
        <v>9505</v>
      </c>
      <c r="J189" t="s">
        <v>147</v>
      </c>
      <c r="K189" t="s">
        <v>226</v>
      </c>
      <c r="L189">
        <v>727</v>
      </c>
      <c r="M189">
        <v>731</v>
      </c>
      <c r="N189">
        <v>1500</v>
      </c>
      <c r="O189" t="s">
        <v>206</v>
      </c>
      <c r="P189">
        <v>0.92372744040704202</v>
      </c>
      <c r="Q189">
        <v>0.920466638410392</v>
      </c>
      <c r="R189">
        <v>2.52160218550781E-2</v>
      </c>
      <c r="S189">
        <v>0.35705637350191899</v>
      </c>
      <c r="T189">
        <v>-0.105823976416376</v>
      </c>
      <c r="U189">
        <v>0.105823976416376</v>
      </c>
      <c r="V189">
        <v>-0.3</v>
      </c>
      <c r="W189">
        <v>0.19</v>
      </c>
      <c r="X189">
        <v>-279590</v>
      </c>
      <c r="Y189">
        <v>-17474</v>
      </c>
      <c r="Z189">
        <v>-0.88</v>
      </c>
      <c r="AA189">
        <v>16</v>
      </c>
      <c r="AB189">
        <v>5</v>
      </c>
      <c r="AC189">
        <v>11</v>
      </c>
      <c r="AD189">
        <v>31.25</v>
      </c>
      <c r="AE189">
        <v>13</v>
      </c>
      <c r="AF189">
        <v>3</v>
      </c>
      <c r="AG189">
        <v>6</v>
      </c>
      <c r="AH189">
        <v>7</v>
      </c>
    </row>
    <row r="190" spans="1:34">
      <c r="A190">
        <v>46</v>
      </c>
      <c r="B190">
        <v>7846</v>
      </c>
      <c r="C190" t="s">
        <v>141</v>
      </c>
      <c r="D190" t="s">
        <v>242</v>
      </c>
      <c r="E190">
        <v>4000</v>
      </c>
      <c r="F190">
        <v>4015</v>
      </c>
      <c r="G190">
        <v>200</v>
      </c>
      <c r="H190" t="s">
        <v>204</v>
      </c>
      <c r="I190">
        <v>8795</v>
      </c>
      <c r="J190" t="s">
        <v>153</v>
      </c>
      <c r="K190" t="s">
        <v>237</v>
      </c>
      <c r="L190">
        <v>1150.5</v>
      </c>
      <c r="M190">
        <v>1165</v>
      </c>
      <c r="N190">
        <v>700</v>
      </c>
      <c r="O190" t="s">
        <v>206</v>
      </c>
      <c r="P190">
        <v>0.94997563411615604</v>
      </c>
      <c r="Q190">
        <v>0.91534559438187102</v>
      </c>
      <c r="R190">
        <v>1.34878188980233E-2</v>
      </c>
      <c r="S190">
        <v>0.36769461153112698</v>
      </c>
      <c r="T190">
        <v>-9.8513098943853503E-2</v>
      </c>
      <c r="U190">
        <v>9.8513098943853503E-2</v>
      </c>
      <c r="V190">
        <v>-0.24</v>
      </c>
      <c r="W190">
        <v>1.56</v>
      </c>
      <c r="X190">
        <v>-41728</v>
      </c>
      <c r="Y190">
        <v>-2196</v>
      </c>
      <c r="Z190">
        <v>-0.01</v>
      </c>
      <c r="AA190">
        <v>19</v>
      </c>
      <c r="AB190">
        <v>9</v>
      </c>
      <c r="AC190">
        <v>10</v>
      </c>
      <c r="AD190">
        <v>47.37</v>
      </c>
      <c r="AE190">
        <v>12</v>
      </c>
      <c r="AF190">
        <v>8</v>
      </c>
      <c r="AG190">
        <v>6</v>
      </c>
      <c r="AH190">
        <v>5</v>
      </c>
    </row>
    <row r="191" spans="1:34">
      <c r="A191">
        <v>144</v>
      </c>
      <c r="B191">
        <v>6752</v>
      </c>
      <c r="C191" t="s">
        <v>126</v>
      </c>
      <c r="D191" t="s">
        <v>215</v>
      </c>
      <c r="E191">
        <v>874.4</v>
      </c>
      <c r="F191">
        <v>877.9</v>
      </c>
      <c r="G191">
        <v>1200</v>
      </c>
      <c r="H191" t="s">
        <v>206</v>
      </c>
      <c r="I191">
        <v>7327</v>
      </c>
      <c r="J191" t="s">
        <v>139</v>
      </c>
      <c r="K191" t="s">
        <v>209</v>
      </c>
      <c r="L191">
        <v>2650</v>
      </c>
      <c r="M191">
        <v>2668</v>
      </c>
      <c r="N191">
        <v>400</v>
      </c>
      <c r="O191" t="s">
        <v>204</v>
      </c>
      <c r="P191">
        <v>0.91815322725769699</v>
      </c>
      <c r="Q191">
        <v>0.94442227301302795</v>
      </c>
      <c r="R191">
        <v>0.26140855346983799</v>
      </c>
      <c r="S191">
        <v>0.20921872375824899</v>
      </c>
      <c r="T191">
        <v>9.7017991286332303E-2</v>
      </c>
      <c r="U191">
        <v>9.7017991286332303E-2</v>
      </c>
      <c r="V191">
        <v>0.19</v>
      </c>
      <c r="W191">
        <v>1.29</v>
      </c>
      <c r="X191">
        <v>61534</v>
      </c>
      <c r="Y191">
        <v>61534</v>
      </c>
      <c r="Z191">
        <v>3.06</v>
      </c>
      <c r="AA191">
        <v>1</v>
      </c>
      <c r="AB191">
        <v>1</v>
      </c>
      <c r="AC191">
        <v>0</v>
      </c>
      <c r="AD191">
        <v>100</v>
      </c>
      <c r="AE191">
        <v>16</v>
      </c>
      <c r="AF191">
        <v>1</v>
      </c>
      <c r="AG191">
        <v>0</v>
      </c>
      <c r="AH191">
        <v>0</v>
      </c>
    </row>
    <row r="192" spans="1:34">
      <c r="A192">
        <v>136</v>
      </c>
      <c r="B192">
        <v>4114</v>
      </c>
      <c r="C192" t="s">
        <v>270</v>
      </c>
      <c r="D192" t="s">
        <v>205</v>
      </c>
      <c r="E192">
        <v>6330</v>
      </c>
      <c r="F192">
        <v>6370</v>
      </c>
      <c r="G192">
        <v>100</v>
      </c>
      <c r="H192" t="s">
        <v>204</v>
      </c>
      <c r="I192">
        <v>5214</v>
      </c>
      <c r="J192" t="s">
        <v>91</v>
      </c>
      <c r="K192" t="s">
        <v>213</v>
      </c>
      <c r="L192">
        <v>2380</v>
      </c>
      <c r="M192">
        <v>2403</v>
      </c>
      <c r="N192">
        <v>300</v>
      </c>
      <c r="O192" t="s">
        <v>206</v>
      </c>
      <c r="P192">
        <v>0.92008915407568403</v>
      </c>
      <c r="Q192">
        <v>0.93102640742644704</v>
      </c>
      <c r="R192">
        <v>1.5434576529469201E-3</v>
      </c>
      <c r="S192">
        <v>4.24872924126928E-4</v>
      </c>
      <c r="T192">
        <v>-8.4156760679320902E-2</v>
      </c>
      <c r="U192">
        <v>8.4156760679320902E-2</v>
      </c>
      <c r="V192">
        <v>-0.26</v>
      </c>
      <c r="W192">
        <v>13.17</v>
      </c>
      <c r="X192">
        <v>14130</v>
      </c>
      <c r="Y192">
        <v>1570</v>
      </c>
      <c r="Z192">
        <v>0.05</v>
      </c>
      <c r="AA192">
        <v>9</v>
      </c>
      <c r="AB192">
        <v>4</v>
      </c>
      <c r="AC192">
        <v>5</v>
      </c>
      <c r="AD192">
        <v>44.44</v>
      </c>
      <c r="AE192">
        <v>11</v>
      </c>
      <c r="AF192">
        <v>3</v>
      </c>
      <c r="AG192">
        <v>3</v>
      </c>
      <c r="AH192">
        <v>3</v>
      </c>
    </row>
    <row r="193" spans="1:34">
      <c r="A193">
        <v>9</v>
      </c>
      <c r="B193">
        <v>5019</v>
      </c>
      <c r="C193" t="s">
        <v>155</v>
      </c>
      <c r="D193" t="s">
        <v>253</v>
      </c>
      <c r="E193">
        <v>3130</v>
      </c>
      <c r="F193">
        <v>3120</v>
      </c>
      <c r="G193">
        <v>300</v>
      </c>
      <c r="H193" t="s">
        <v>204</v>
      </c>
      <c r="I193">
        <v>8002</v>
      </c>
      <c r="J193" t="s">
        <v>105</v>
      </c>
      <c r="K193" t="s">
        <v>234</v>
      </c>
      <c r="L193">
        <v>727.3</v>
      </c>
      <c r="M193">
        <v>734.5</v>
      </c>
      <c r="N193">
        <v>1300</v>
      </c>
      <c r="O193" t="s">
        <v>206</v>
      </c>
      <c r="P193">
        <v>0.964361712732826</v>
      </c>
      <c r="Q193">
        <v>0.94158668589447603</v>
      </c>
      <c r="R193">
        <v>1.51855576792632E-2</v>
      </c>
      <c r="S193">
        <v>5.0997696268089802E-2</v>
      </c>
      <c r="T193">
        <v>-8.1645875837744394E-2</v>
      </c>
      <c r="U193">
        <v>8.1645875837744394E-2</v>
      </c>
      <c r="V193">
        <v>-0.23</v>
      </c>
      <c r="W193">
        <v>2.0099999999999998</v>
      </c>
      <c r="X193">
        <v>-240945</v>
      </c>
      <c r="Y193">
        <v>-11474</v>
      </c>
      <c r="Z193">
        <v>-0.65</v>
      </c>
      <c r="AA193">
        <v>21</v>
      </c>
      <c r="AB193">
        <v>8</v>
      </c>
      <c r="AC193">
        <v>13</v>
      </c>
      <c r="AD193">
        <v>38.1</v>
      </c>
      <c r="AE193">
        <v>11</v>
      </c>
      <c r="AF193">
        <v>6</v>
      </c>
      <c r="AG193">
        <v>8</v>
      </c>
      <c r="AH193">
        <v>7</v>
      </c>
    </row>
    <row r="194" spans="1:34">
      <c r="A194">
        <v>36</v>
      </c>
      <c r="B194">
        <v>7167</v>
      </c>
      <c r="C194" t="s">
        <v>118</v>
      </c>
      <c r="D194" t="s">
        <v>209</v>
      </c>
      <c r="E194">
        <v>259</v>
      </c>
      <c r="F194">
        <v>263</v>
      </c>
      <c r="G194">
        <v>4100</v>
      </c>
      <c r="H194" t="s">
        <v>206</v>
      </c>
      <c r="I194">
        <v>7278</v>
      </c>
      <c r="J194" t="s">
        <v>83</v>
      </c>
      <c r="K194" t="s">
        <v>212</v>
      </c>
      <c r="L194">
        <v>2120</v>
      </c>
      <c r="M194">
        <v>2132</v>
      </c>
      <c r="N194">
        <v>500</v>
      </c>
      <c r="O194" t="s">
        <v>204</v>
      </c>
      <c r="P194">
        <v>0.95175416292841497</v>
      </c>
      <c r="Q194">
        <v>0.93426418528434196</v>
      </c>
      <c r="R194">
        <v>0.19405342900335401</v>
      </c>
      <c r="S194">
        <v>6.2636794969053805E-2</v>
      </c>
      <c r="T194">
        <v>8.0298064283795295E-2</v>
      </c>
      <c r="U194">
        <v>8.0298064283795295E-2</v>
      </c>
      <c r="V194">
        <v>0.16</v>
      </c>
      <c r="W194">
        <v>1.1499999999999999</v>
      </c>
      <c r="X194">
        <v>391489</v>
      </c>
      <c r="Y194">
        <v>23029</v>
      </c>
      <c r="Z194">
        <v>1.04</v>
      </c>
      <c r="AA194">
        <v>17</v>
      </c>
      <c r="AB194">
        <v>10</v>
      </c>
      <c r="AC194">
        <v>7</v>
      </c>
      <c r="AD194">
        <v>58.82</v>
      </c>
      <c r="AE194">
        <v>14</v>
      </c>
      <c r="AF194">
        <v>7</v>
      </c>
      <c r="AG194">
        <v>1</v>
      </c>
      <c r="AH194">
        <v>9</v>
      </c>
    </row>
    <row r="195" spans="1:34">
      <c r="A195">
        <v>172</v>
      </c>
      <c r="B195">
        <v>4581</v>
      </c>
      <c r="C195" t="s">
        <v>99</v>
      </c>
      <c r="D195" t="s">
        <v>231</v>
      </c>
      <c r="E195">
        <v>7580</v>
      </c>
      <c r="F195">
        <v>7630</v>
      </c>
      <c r="G195">
        <v>100</v>
      </c>
      <c r="H195" t="s">
        <v>206</v>
      </c>
      <c r="I195">
        <v>7181</v>
      </c>
      <c r="J195" t="s">
        <v>151</v>
      </c>
      <c r="K195" t="s">
        <v>237</v>
      </c>
      <c r="L195">
        <v>1607</v>
      </c>
      <c r="M195">
        <v>1637</v>
      </c>
      <c r="N195">
        <v>500</v>
      </c>
      <c r="O195" t="s">
        <v>204</v>
      </c>
      <c r="P195">
        <v>0.90928140697151005</v>
      </c>
      <c r="Q195">
        <v>0.96781317500581099</v>
      </c>
      <c r="R195">
        <v>3.84750889656299E-2</v>
      </c>
      <c r="S195">
        <v>7.9127225360469705E-2</v>
      </c>
      <c r="T195">
        <v>7.6047287098783597E-2</v>
      </c>
      <c r="U195">
        <v>7.6047287098783597E-2</v>
      </c>
      <c r="V195">
        <v>0.37</v>
      </c>
      <c r="W195">
        <v>7.27</v>
      </c>
      <c r="X195">
        <v>127968</v>
      </c>
      <c r="Y195">
        <v>12797</v>
      </c>
      <c r="Z195">
        <v>0.84</v>
      </c>
      <c r="AA195">
        <v>10</v>
      </c>
      <c r="AB195">
        <v>6</v>
      </c>
      <c r="AC195">
        <v>4</v>
      </c>
      <c r="AD195">
        <v>60</v>
      </c>
      <c r="AE195">
        <v>12</v>
      </c>
      <c r="AF195">
        <v>4</v>
      </c>
      <c r="AG195">
        <v>2</v>
      </c>
      <c r="AH195">
        <v>4</v>
      </c>
    </row>
    <row r="196" spans="1:34">
      <c r="A196">
        <v>98</v>
      </c>
      <c r="B196">
        <v>8273</v>
      </c>
      <c r="C196" t="s">
        <v>113</v>
      </c>
      <c r="D196" t="s">
        <v>208</v>
      </c>
      <c r="E196">
        <v>4165</v>
      </c>
      <c r="F196">
        <v>4160</v>
      </c>
      <c r="G196">
        <v>200</v>
      </c>
      <c r="H196" t="s">
        <v>204</v>
      </c>
      <c r="I196">
        <v>8309</v>
      </c>
      <c r="J196" t="s">
        <v>88</v>
      </c>
      <c r="K196" t="s">
        <v>209</v>
      </c>
      <c r="L196">
        <v>3719</v>
      </c>
      <c r="M196">
        <v>3741</v>
      </c>
      <c r="N196">
        <v>200</v>
      </c>
      <c r="O196" t="s">
        <v>206</v>
      </c>
      <c r="P196">
        <v>0.93535216620495998</v>
      </c>
      <c r="Q196">
        <v>0.91510440707963803</v>
      </c>
      <c r="R196">
        <v>0.15877781646634601</v>
      </c>
      <c r="S196">
        <v>0.15752310373675901</v>
      </c>
      <c r="T196">
        <v>-7.5931770573666804E-2</v>
      </c>
      <c r="U196">
        <v>7.5931770573666804E-2</v>
      </c>
      <c r="V196">
        <v>-0.18</v>
      </c>
      <c r="W196">
        <v>10.07</v>
      </c>
      <c r="X196">
        <v>129319</v>
      </c>
      <c r="Y196">
        <v>64660</v>
      </c>
      <c r="Z196">
        <v>3.55</v>
      </c>
      <c r="AA196">
        <v>2</v>
      </c>
      <c r="AB196">
        <v>2</v>
      </c>
      <c r="AC196">
        <v>0</v>
      </c>
      <c r="AD196">
        <v>100</v>
      </c>
      <c r="AE196">
        <v>12</v>
      </c>
      <c r="AF196">
        <v>2</v>
      </c>
      <c r="AG196">
        <v>0</v>
      </c>
      <c r="AH196">
        <v>0</v>
      </c>
    </row>
    <row r="197" spans="1:34">
      <c r="A197">
        <v>17</v>
      </c>
      <c r="B197">
        <v>5233</v>
      </c>
      <c r="C197" t="s">
        <v>268</v>
      </c>
      <c r="D197" t="s">
        <v>213</v>
      </c>
      <c r="E197">
        <v>2846</v>
      </c>
      <c r="F197">
        <v>2841</v>
      </c>
      <c r="G197">
        <v>300</v>
      </c>
      <c r="H197" t="s">
        <v>204</v>
      </c>
      <c r="I197">
        <v>7261</v>
      </c>
      <c r="J197" t="s">
        <v>161</v>
      </c>
      <c r="K197" t="s">
        <v>212</v>
      </c>
      <c r="L197">
        <v>953</v>
      </c>
      <c r="M197">
        <v>966.1</v>
      </c>
      <c r="N197">
        <v>900</v>
      </c>
      <c r="O197" t="s">
        <v>206</v>
      </c>
      <c r="P197">
        <v>0.95914761367262402</v>
      </c>
      <c r="Q197">
        <v>0.91253050297856098</v>
      </c>
      <c r="R197">
        <v>2.2782301222656698E-3</v>
      </c>
      <c r="S197">
        <v>0.22204839815423</v>
      </c>
      <c r="T197">
        <v>-6.9625924085285298E-2</v>
      </c>
      <c r="U197">
        <v>6.9625924085285298E-2</v>
      </c>
      <c r="V197">
        <v>-0.18</v>
      </c>
      <c r="W197">
        <v>2.02</v>
      </c>
      <c r="X197">
        <v>-105010</v>
      </c>
      <c r="Y197">
        <v>-4773</v>
      </c>
      <c r="Z197">
        <v>-0.17</v>
      </c>
      <c r="AA197">
        <v>22</v>
      </c>
      <c r="AB197">
        <v>12</v>
      </c>
      <c r="AC197">
        <v>10</v>
      </c>
      <c r="AD197">
        <v>54.55</v>
      </c>
      <c r="AE197">
        <v>12</v>
      </c>
      <c r="AF197">
        <v>8</v>
      </c>
      <c r="AG197">
        <v>7</v>
      </c>
      <c r="AH197">
        <v>7</v>
      </c>
    </row>
    <row r="198" spans="1:34">
      <c r="A198">
        <v>87</v>
      </c>
      <c r="B198">
        <v>4005</v>
      </c>
      <c r="C198" t="s">
        <v>148</v>
      </c>
      <c r="D198" t="s">
        <v>205</v>
      </c>
      <c r="E198">
        <v>498</v>
      </c>
      <c r="F198">
        <v>504</v>
      </c>
      <c r="G198">
        <v>1900</v>
      </c>
      <c r="H198" t="s">
        <v>204</v>
      </c>
      <c r="I198">
        <v>5802</v>
      </c>
      <c r="J198" t="s">
        <v>114</v>
      </c>
      <c r="K198" t="s">
        <v>211</v>
      </c>
      <c r="L198">
        <v>1372</v>
      </c>
      <c r="M198">
        <v>1385</v>
      </c>
      <c r="N198">
        <v>700</v>
      </c>
      <c r="O198" t="s">
        <v>206</v>
      </c>
      <c r="P198">
        <v>0.93790730825076896</v>
      </c>
      <c r="Q198">
        <v>0.93324394637780606</v>
      </c>
      <c r="R198">
        <v>2.3742264544259001E-2</v>
      </c>
      <c r="S198">
        <v>0.205802748972995</v>
      </c>
      <c r="T198">
        <v>-6.0428701414496098E-2</v>
      </c>
      <c r="U198">
        <v>6.0428701414496098E-2</v>
      </c>
      <c r="V198">
        <v>-0.18</v>
      </c>
      <c r="W198">
        <v>1.23</v>
      </c>
      <c r="X198">
        <v>106941</v>
      </c>
      <c r="Y198">
        <v>6684</v>
      </c>
      <c r="Z198">
        <v>0.35</v>
      </c>
      <c r="AA198">
        <v>16</v>
      </c>
      <c r="AB198">
        <v>9</v>
      </c>
      <c r="AC198">
        <v>7</v>
      </c>
      <c r="AD198">
        <v>56.25</v>
      </c>
      <c r="AE198">
        <v>14</v>
      </c>
      <c r="AF198">
        <v>6</v>
      </c>
      <c r="AG198">
        <v>1</v>
      </c>
      <c r="AH198">
        <v>9</v>
      </c>
    </row>
    <row r="199" spans="1:34">
      <c r="A199">
        <v>102</v>
      </c>
      <c r="B199">
        <v>4061</v>
      </c>
      <c r="C199" t="s">
        <v>224</v>
      </c>
      <c r="D199" t="s">
        <v>205</v>
      </c>
      <c r="E199">
        <v>2950</v>
      </c>
      <c r="F199">
        <v>3015</v>
      </c>
      <c r="G199">
        <v>300</v>
      </c>
      <c r="H199" t="s">
        <v>204</v>
      </c>
      <c r="I199">
        <v>7278</v>
      </c>
      <c r="J199" t="s">
        <v>83</v>
      </c>
      <c r="K199" t="s">
        <v>212</v>
      </c>
      <c r="L199">
        <v>2120</v>
      </c>
      <c r="M199">
        <v>2132</v>
      </c>
      <c r="N199">
        <v>400</v>
      </c>
      <c r="O199" t="s">
        <v>206</v>
      </c>
      <c r="P199">
        <v>0.93407861321709695</v>
      </c>
      <c r="Q199">
        <v>0.90546434023469002</v>
      </c>
      <c r="R199">
        <v>0.13837587316539901</v>
      </c>
      <c r="S199">
        <v>1.32072406200783E-2</v>
      </c>
      <c r="T199">
        <v>-5.9623988338659402E-2</v>
      </c>
      <c r="U199">
        <v>5.9623988338659402E-2</v>
      </c>
      <c r="V199">
        <v>-0.14000000000000001</v>
      </c>
      <c r="W199">
        <v>5.72</v>
      </c>
      <c r="X199">
        <v>74431</v>
      </c>
      <c r="Y199">
        <v>6766</v>
      </c>
      <c r="Z199">
        <v>0.28000000000000003</v>
      </c>
      <c r="AA199">
        <v>11</v>
      </c>
      <c r="AB199">
        <v>6</v>
      </c>
      <c r="AC199">
        <v>5</v>
      </c>
      <c r="AD199">
        <v>54.55</v>
      </c>
      <c r="AE199">
        <v>11</v>
      </c>
      <c r="AF199">
        <v>5</v>
      </c>
      <c r="AG199">
        <v>3</v>
      </c>
      <c r="AH199">
        <v>3</v>
      </c>
    </row>
    <row r="200" spans="1:34">
      <c r="A200">
        <v>52</v>
      </c>
      <c r="B200">
        <v>4005</v>
      </c>
      <c r="C200" t="s">
        <v>148</v>
      </c>
      <c r="D200" t="s">
        <v>205</v>
      </c>
      <c r="E200">
        <v>498</v>
      </c>
      <c r="F200">
        <v>504</v>
      </c>
      <c r="G200">
        <v>2000</v>
      </c>
      <c r="H200" t="s">
        <v>204</v>
      </c>
      <c r="I200">
        <v>8002</v>
      </c>
      <c r="J200" t="s">
        <v>105</v>
      </c>
      <c r="K200" t="s">
        <v>234</v>
      </c>
      <c r="L200">
        <v>727.3</v>
      </c>
      <c r="M200">
        <v>734.5</v>
      </c>
      <c r="N200">
        <v>1400</v>
      </c>
      <c r="O200" t="s">
        <v>206</v>
      </c>
      <c r="P200">
        <v>0.94880424239755201</v>
      </c>
      <c r="Q200">
        <v>0.91954191742992597</v>
      </c>
      <c r="R200">
        <v>3.0667315543064602E-3</v>
      </c>
      <c r="S200">
        <v>0.29932737534438802</v>
      </c>
      <c r="T200">
        <v>-5.9395400075853699E-2</v>
      </c>
      <c r="U200">
        <v>5.9395400075853699E-2</v>
      </c>
      <c r="V200">
        <v>-0.09</v>
      </c>
      <c r="W200">
        <v>1.97</v>
      </c>
      <c r="X200">
        <v>-151457</v>
      </c>
      <c r="Y200">
        <v>-9466</v>
      </c>
      <c r="Z200">
        <v>-0.43</v>
      </c>
      <c r="AA200">
        <v>16</v>
      </c>
      <c r="AB200">
        <v>8</v>
      </c>
      <c r="AC200">
        <v>8</v>
      </c>
      <c r="AD200">
        <v>50</v>
      </c>
      <c r="AE200">
        <v>15</v>
      </c>
      <c r="AF200">
        <v>3</v>
      </c>
      <c r="AG200">
        <v>3</v>
      </c>
      <c r="AH200">
        <v>10</v>
      </c>
    </row>
    <row r="201" spans="1:34">
      <c r="A201">
        <v>53</v>
      </c>
      <c r="B201">
        <v>1963</v>
      </c>
      <c r="C201" t="s">
        <v>236</v>
      </c>
      <c r="D201" t="s">
        <v>230</v>
      </c>
      <c r="E201">
        <v>1411</v>
      </c>
      <c r="F201">
        <v>1438</v>
      </c>
      <c r="G201">
        <v>600</v>
      </c>
      <c r="H201" t="s">
        <v>206</v>
      </c>
      <c r="I201">
        <v>5021</v>
      </c>
      <c r="J201" t="s">
        <v>169</v>
      </c>
      <c r="K201" t="s">
        <v>253</v>
      </c>
      <c r="L201">
        <v>2260</v>
      </c>
      <c r="M201">
        <v>2258</v>
      </c>
      <c r="N201">
        <v>400</v>
      </c>
      <c r="O201" t="s">
        <v>204</v>
      </c>
      <c r="P201">
        <v>0.94758645168421896</v>
      </c>
      <c r="Q201">
        <v>0.91224402062384502</v>
      </c>
      <c r="R201">
        <v>1.52569461990824E-2</v>
      </c>
      <c r="S201">
        <v>8.3709858978065002E-3</v>
      </c>
      <c r="T201">
        <v>5.4717289392704802E-2</v>
      </c>
      <c r="U201">
        <v>5.4717289392704802E-2</v>
      </c>
      <c r="V201">
        <v>0.19</v>
      </c>
      <c r="W201">
        <v>4.47</v>
      </c>
      <c r="X201">
        <v>188639</v>
      </c>
      <c r="Y201">
        <v>11096</v>
      </c>
      <c r="Z201">
        <v>0.59</v>
      </c>
      <c r="AA201">
        <v>17</v>
      </c>
      <c r="AB201">
        <v>8</v>
      </c>
      <c r="AC201">
        <v>9</v>
      </c>
      <c r="AD201">
        <v>47.06</v>
      </c>
      <c r="AE201">
        <v>9</v>
      </c>
      <c r="AF201">
        <v>8</v>
      </c>
      <c r="AG201">
        <v>5</v>
      </c>
      <c r="AH201">
        <v>4</v>
      </c>
    </row>
    <row r="202" spans="1:34">
      <c r="A202">
        <v>140</v>
      </c>
      <c r="B202">
        <v>4507</v>
      </c>
      <c r="C202" t="s">
        <v>128</v>
      </c>
      <c r="D202" t="s">
        <v>231</v>
      </c>
      <c r="E202">
        <v>5940</v>
      </c>
      <c r="F202">
        <v>5884</v>
      </c>
      <c r="G202">
        <v>100</v>
      </c>
      <c r="H202" t="s">
        <v>204</v>
      </c>
      <c r="I202">
        <v>8377</v>
      </c>
      <c r="J202" t="s">
        <v>95</v>
      </c>
      <c r="K202" t="s">
        <v>209</v>
      </c>
      <c r="L202">
        <v>1032</v>
      </c>
      <c r="M202">
        <v>1036</v>
      </c>
      <c r="N202">
        <v>600</v>
      </c>
      <c r="O202" t="s">
        <v>206</v>
      </c>
      <c r="P202">
        <v>0.91861172876721897</v>
      </c>
      <c r="Q202">
        <v>0.91354299072189105</v>
      </c>
      <c r="R202">
        <v>6.0424663144881801E-3</v>
      </c>
      <c r="S202">
        <v>9.47421207673378E-3</v>
      </c>
      <c r="T202">
        <v>-4.7177187488472799E-2</v>
      </c>
      <c r="U202">
        <v>4.7177187488472799E-2</v>
      </c>
      <c r="V202">
        <v>-0.19</v>
      </c>
      <c r="W202">
        <v>5.64</v>
      </c>
      <c r="X202">
        <v>56732</v>
      </c>
      <c r="Y202">
        <v>3337</v>
      </c>
      <c r="Z202">
        <v>0</v>
      </c>
      <c r="AA202">
        <v>17</v>
      </c>
      <c r="AB202">
        <v>9</v>
      </c>
      <c r="AC202">
        <v>8</v>
      </c>
      <c r="AD202">
        <v>52.94</v>
      </c>
      <c r="AE202">
        <v>11</v>
      </c>
      <c r="AF202">
        <v>5</v>
      </c>
      <c r="AG202">
        <v>7</v>
      </c>
      <c r="AH202">
        <v>5</v>
      </c>
    </row>
    <row r="203" spans="1:34">
      <c r="A203">
        <v>169</v>
      </c>
      <c r="B203">
        <v>5802</v>
      </c>
      <c r="C203" t="s">
        <v>114</v>
      </c>
      <c r="D203" t="s">
        <v>211</v>
      </c>
      <c r="E203">
        <v>1372</v>
      </c>
      <c r="F203">
        <v>1385</v>
      </c>
      <c r="G203">
        <v>700</v>
      </c>
      <c r="H203" t="s">
        <v>206</v>
      </c>
      <c r="I203">
        <v>8385</v>
      </c>
      <c r="J203" t="s">
        <v>106</v>
      </c>
      <c r="K203" t="s">
        <v>209</v>
      </c>
      <c r="L203">
        <v>555</v>
      </c>
      <c r="M203">
        <v>558</v>
      </c>
      <c r="N203">
        <v>1700</v>
      </c>
      <c r="O203" t="s">
        <v>204</v>
      </c>
      <c r="P203">
        <v>0.91021747309888501</v>
      </c>
      <c r="Q203">
        <v>0.91449268641546899</v>
      </c>
      <c r="R203">
        <v>3.22380879000893E-4</v>
      </c>
      <c r="S203">
        <v>0.30000587088084102</v>
      </c>
      <c r="T203">
        <v>4.5909134929973401E-2</v>
      </c>
      <c r="U203">
        <v>4.5909134929973401E-2</v>
      </c>
      <c r="V203">
        <v>0.11</v>
      </c>
      <c r="W203">
        <v>2.16</v>
      </c>
      <c r="X203">
        <v>23702</v>
      </c>
      <c r="Y203">
        <v>1975</v>
      </c>
      <c r="Z203">
        <v>0.15</v>
      </c>
      <c r="AA203">
        <v>12</v>
      </c>
      <c r="AB203">
        <v>6</v>
      </c>
      <c r="AC203">
        <v>6</v>
      </c>
      <c r="AD203">
        <v>50</v>
      </c>
      <c r="AE203">
        <v>14</v>
      </c>
      <c r="AF203">
        <v>3</v>
      </c>
      <c r="AG203">
        <v>2</v>
      </c>
      <c r="AH203">
        <v>7</v>
      </c>
    </row>
    <row r="204" spans="1:34">
      <c r="A204">
        <v>203</v>
      </c>
      <c r="B204">
        <v>3105</v>
      </c>
      <c r="C204" t="s">
        <v>238</v>
      </c>
      <c r="D204" t="s">
        <v>215</v>
      </c>
      <c r="E204">
        <v>839</v>
      </c>
      <c r="F204">
        <v>845</v>
      </c>
      <c r="G204">
        <v>1100</v>
      </c>
      <c r="H204" t="s">
        <v>206</v>
      </c>
      <c r="I204">
        <v>8078</v>
      </c>
      <c r="J204" t="s">
        <v>133</v>
      </c>
      <c r="K204" t="s">
        <v>234</v>
      </c>
      <c r="L204">
        <v>2950</v>
      </c>
      <c r="M204">
        <v>2972</v>
      </c>
      <c r="N204">
        <v>300</v>
      </c>
      <c r="O204" t="s">
        <v>204</v>
      </c>
      <c r="P204">
        <v>0.901954008684273</v>
      </c>
      <c r="Q204">
        <v>0.91670092879729703</v>
      </c>
      <c r="R204">
        <v>0.33112020822932697</v>
      </c>
      <c r="S204">
        <v>2.8390971993252599E-2</v>
      </c>
      <c r="T204">
        <v>3.9310667688865798E-2</v>
      </c>
      <c r="U204">
        <v>3.9310667688865798E-2</v>
      </c>
      <c r="V204">
        <v>0.08</v>
      </c>
      <c r="W204">
        <v>4.25</v>
      </c>
      <c r="X204">
        <v>150170</v>
      </c>
      <c r="Y204">
        <v>11552</v>
      </c>
      <c r="Z204">
        <v>0.67</v>
      </c>
      <c r="AA204">
        <v>13</v>
      </c>
      <c r="AB204">
        <v>8</v>
      </c>
      <c r="AC204">
        <v>5</v>
      </c>
      <c r="AD204">
        <v>61.54</v>
      </c>
      <c r="AE204">
        <v>13</v>
      </c>
      <c r="AF204">
        <v>3</v>
      </c>
      <c r="AG204">
        <v>3</v>
      </c>
      <c r="AH204">
        <v>7</v>
      </c>
    </row>
    <row r="205" spans="1:34">
      <c r="A205">
        <v>123</v>
      </c>
      <c r="B205">
        <v>3099</v>
      </c>
      <c r="C205" t="s">
        <v>218</v>
      </c>
      <c r="D205" t="s">
        <v>208</v>
      </c>
      <c r="E205">
        <v>879</v>
      </c>
      <c r="F205">
        <v>861</v>
      </c>
      <c r="G205">
        <v>1200</v>
      </c>
      <c r="H205" t="s">
        <v>204</v>
      </c>
      <c r="I205">
        <v>9505</v>
      </c>
      <c r="J205" t="s">
        <v>147</v>
      </c>
      <c r="K205" t="s">
        <v>226</v>
      </c>
      <c r="L205">
        <v>727</v>
      </c>
      <c r="M205">
        <v>731</v>
      </c>
      <c r="N205">
        <v>1400</v>
      </c>
      <c r="O205" t="s">
        <v>206</v>
      </c>
      <c r="P205">
        <v>0.92554560694239396</v>
      </c>
      <c r="Q205">
        <v>0.94784939972523896</v>
      </c>
      <c r="R205">
        <v>1.54088529479505E-2</v>
      </c>
      <c r="S205">
        <v>0.14988582712996501</v>
      </c>
      <c r="T205">
        <v>-2.2270658375571101E-2</v>
      </c>
      <c r="U205">
        <v>2.2270658375571101E-2</v>
      </c>
      <c r="V205">
        <v>-0.06</v>
      </c>
      <c r="W205">
        <v>0.95</v>
      </c>
      <c r="X205">
        <v>-90972</v>
      </c>
      <c r="Y205">
        <v>-4135</v>
      </c>
      <c r="Z205">
        <v>-0.21</v>
      </c>
      <c r="AA205">
        <v>22</v>
      </c>
      <c r="AB205">
        <v>11</v>
      </c>
      <c r="AC205">
        <v>11</v>
      </c>
      <c r="AD205">
        <v>50</v>
      </c>
      <c r="AE205">
        <v>11</v>
      </c>
      <c r="AF205">
        <v>9</v>
      </c>
      <c r="AG205">
        <v>9</v>
      </c>
      <c r="AH205">
        <v>4</v>
      </c>
    </row>
    <row r="206" spans="1:34">
      <c r="A206">
        <v>47</v>
      </c>
      <c r="B206">
        <v>4208</v>
      </c>
      <c r="C206" t="s">
        <v>115</v>
      </c>
      <c r="D206" t="s">
        <v>205</v>
      </c>
      <c r="E206">
        <v>2220</v>
      </c>
      <c r="F206">
        <v>2233</v>
      </c>
      <c r="G206">
        <v>400</v>
      </c>
      <c r="H206" t="s">
        <v>206</v>
      </c>
      <c r="I206">
        <v>5802</v>
      </c>
      <c r="J206" t="s">
        <v>114</v>
      </c>
      <c r="K206" t="s">
        <v>211</v>
      </c>
      <c r="L206">
        <v>1372</v>
      </c>
      <c r="M206">
        <v>1385</v>
      </c>
      <c r="N206">
        <v>600</v>
      </c>
      <c r="O206" t="s">
        <v>204</v>
      </c>
      <c r="P206">
        <v>0.94995619503376605</v>
      </c>
      <c r="Q206">
        <v>0.93984118053782395</v>
      </c>
      <c r="R206">
        <v>0.15745639705932801</v>
      </c>
      <c r="S206">
        <v>9.2053480015078903E-2</v>
      </c>
      <c r="T206">
        <v>1.4004417898573001E-2</v>
      </c>
      <c r="U206">
        <v>1.4004417898573001E-2</v>
      </c>
      <c r="V206">
        <v>0.03</v>
      </c>
      <c r="W206">
        <v>6.96</v>
      </c>
      <c r="X206">
        <v>89209</v>
      </c>
      <c r="Y206">
        <v>6862</v>
      </c>
      <c r="Z206">
        <v>0.28000000000000003</v>
      </c>
      <c r="AA206">
        <v>13</v>
      </c>
      <c r="AB206">
        <v>7</v>
      </c>
      <c r="AC206">
        <v>6</v>
      </c>
      <c r="AD206">
        <v>53.85</v>
      </c>
      <c r="AE206">
        <v>13</v>
      </c>
      <c r="AF206">
        <v>5</v>
      </c>
      <c r="AG206">
        <v>3</v>
      </c>
      <c r="AH206">
        <v>5</v>
      </c>
    </row>
    <row r="207" spans="1:34">
      <c r="A207">
        <v>11</v>
      </c>
      <c r="B207">
        <v>6371</v>
      </c>
      <c r="C207" t="s">
        <v>121</v>
      </c>
      <c r="D207" t="s">
        <v>214</v>
      </c>
      <c r="E207">
        <v>3445</v>
      </c>
      <c r="F207">
        <v>3460</v>
      </c>
      <c r="G207">
        <v>300</v>
      </c>
      <c r="H207" t="s">
        <v>206</v>
      </c>
      <c r="I207">
        <v>6473</v>
      </c>
      <c r="J207" t="s">
        <v>144</v>
      </c>
      <c r="K207" t="s">
        <v>214</v>
      </c>
      <c r="L207">
        <v>1245</v>
      </c>
      <c r="M207">
        <v>1260</v>
      </c>
      <c r="N207">
        <v>800</v>
      </c>
      <c r="O207" t="s">
        <v>204</v>
      </c>
      <c r="P207">
        <v>0.96159078340085502</v>
      </c>
      <c r="Q207">
        <v>0.90989941651427497</v>
      </c>
      <c r="R207">
        <v>3.9919694886431196E-3</v>
      </c>
      <c r="S207">
        <v>0.18854383304839401</v>
      </c>
      <c r="T207">
        <v>2.4243496474306799E-3</v>
      </c>
      <c r="U207">
        <v>2.4243496474306799E-3</v>
      </c>
      <c r="V207">
        <v>0</v>
      </c>
      <c r="W207">
        <v>2.89</v>
      </c>
      <c r="X207">
        <v>-143311</v>
      </c>
      <c r="Y207">
        <v>-7962</v>
      </c>
      <c r="Z207">
        <v>-0.47</v>
      </c>
      <c r="AA207">
        <v>18</v>
      </c>
      <c r="AB207">
        <v>7</v>
      </c>
      <c r="AC207">
        <v>11</v>
      </c>
      <c r="AD207">
        <v>38.89</v>
      </c>
      <c r="AE207">
        <v>15</v>
      </c>
      <c r="AF207">
        <v>2</v>
      </c>
      <c r="AG207">
        <v>2</v>
      </c>
      <c r="AH207">
        <v>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G30" sqref="G30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J42" sqref="J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AE2"/>
  <sheetViews>
    <sheetView topLeftCell="G1" workbookViewId="0">
      <selection activeCell="T1" sqref="T1"/>
    </sheetView>
  </sheetViews>
  <sheetFormatPr defaultRowHeight="14.25"/>
  <cols>
    <col min="1" max="1" width="12.625" customWidth="1"/>
  </cols>
  <sheetData>
    <row r="1" spans="1:31"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81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283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</row>
    <row r="2" spans="1:31" s="14" customFormat="1">
      <c r="A2" s="58">
        <v>43747</v>
      </c>
      <c r="B2" s="14">
        <v>4118</v>
      </c>
      <c r="C2" s="14" t="s">
        <v>240</v>
      </c>
      <c r="D2" s="14" t="s">
        <v>205</v>
      </c>
      <c r="E2" s="14">
        <v>3355</v>
      </c>
      <c r="F2" s="14">
        <v>3335</v>
      </c>
      <c r="G2" s="14">
        <v>300</v>
      </c>
      <c r="H2" s="14" t="s">
        <v>204</v>
      </c>
      <c r="I2" s="14">
        <v>4401</v>
      </c>
      <c r="J2" s="14" t="s">
        <v>170</v>
      </c>
      <c r="K2" s="14" t="s">
        <v>205</v>
      </c>
      <c r="L2" s="14">
        <v>1360</v>
      </c>
      <c r="M2" s="14">
        <v>1383</v>
      </c>
      <c r="N2" s="14">
        <v>700</v>
      </c>
      <c r="O2" s="14" t="s">
        <v>206</v>
      </c>
      <c r="P2" s="14">
        <v>0.99112049275594205</v>
      </c>
      <c r="Q2" s="14">
        <v>0.92847769206103203</v>
      </c>
      <c r="R2" s="14">
        <v>2.59073358063936E-3</v>
      </c>
      <c r="S2" s="14">
        <v>0.37229189533196</v>
      </c>
      <c r="T2" s="14">
        <v>-2.9124033128576698</v>
      </c>
      <c r="U2" s="14">
        <v>2.9124033128576698</v>
      </c>
      <c r="V2" s="14">
        <v>-3.88</v>
      </c>
      <c r="W2" s="14">
        <v>3.24</v>
      </c>
      <c r="X2" s="14">
        <v>306774</v>
      </c>
      <c r="Y2" s="14">
        <v>21912</v>
      </c>
      <c r="Z2" s="14">
        <v>1.0900000000000001</v>
      </c>
      <c r="AA2" s="14">
        <v>14</v>
      </c>
      <c r="AB2" s="14">
        <v>9</v>
      </c>
      <c r="AC2" s="14">
        <v>5</v>
      </c>
      <c r="AD2" s="14">
        <v>64.290000000000006</v>
      </c>
      <c r="AE2" s="14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表紙-</vt:lpstr>
      <vt:lpstr>建玉管理</vt:lpstr>
      <vt:lpstr>建玉管理＿ｔｍｐ</vt:lpstr>
      <vt:lpstr>資産状況</vt:lpstr>
      <vt:lpstr>取引履歴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参考</vt:lpstr>
      <vt:lpstr>改訂欄</vt:lpstr>
      <vt:lpstr>Refer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2019-10-12T07:43:43Z</dcterms:modified>
</cp:coreProperties>
</file>