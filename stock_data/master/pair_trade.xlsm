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05" windowWidth="12765" windowHeight="5715" activeTab="1"/>
  </bookViews>
  <sheets>
    <sheet name="表紙-" sheetId="1" r:id="rId1"/>
    <sheet name="建玉管理" sheetId="2" r:id="rId2"/>
    <sheet name="取引履歴" sheetId="13" r:id="rId3"/>
    <sheet name="監視" sheetId="3" r:id="rId4"/>
    <sheet name="シミュレーション" sheetId="4" r:id="rId5"/>
    <sheet name="抽出結果" sheetId="5" r:id="rId6"/>
    <sheet name="個別計算" sheetId="6" r:id="rId7"/>
    <sheet name="日経サヤ計算" sheetId="11" r:id="rId8"/>
    <sheet name="グラフ" sheetId="7" r:id="rId9"/>
    <sheet name="code" sheetId="8" r:id="rId10"/>
    <sheet name="元データ" sheetId="9" r:id="rId11"/>
    <sheet name="改訂欄" sheetId="10" r:id="rId12"/>
    <sheet name="Sheet1" sheetId="12" r:id="rId13"/>
  </sheets>
  <calcPr calcId="125725"/>
</workbook>
</file>

<file path=xl/calcChain.xml><?xml version="1.0" encoding="utf-8"?>
<calcChain xmlns="http://schemas.openxmlformats.org/spreadsheetml/2006/main">
  <c r="S6" i="2"/>
  <c r="S8"/>
  <c r="S10"/>
  <c r="S12"/>
  <c r="S4"/>
  <c r="R4"/>
  <c r="P13"/>
  <c r="M13"/>
  <c r="J13"/>
  <c r="Q13" s="1"/>
  <c r="U12"/>
  <c r="V12" s="1"/>
  <c r="Q12"/>
  <c r="P12"/>
  <c r="R12" s="1"/>
  <c r="M12"/>
  <c r="J12"/>
  <c r="C12"/>
  <c r="P11"/>
  <c r="M11"/>
  <c r="J11"/>
  <c r="U10"/>
  <c r="V10" s="1"/>
  <c r="P10"/>
  <c r="Q10" s="1"/>
  <c r="M10"/>
  <c r="J10"/>
  <c r="C10"/>
  <c r="P8"/>
  <c r="P6"/>
  <c r="Q6" s="1"/>
  <c r="P9"/>
  <c r="M9"/>
  <c r="J9"/>
  <c r="U8"/>
  <c r="V8" s="1"/>
  <c r="M8"/>
  <c r="J8"/>
  <c r="C8"/>
  <c r="C6"/>
  <c r="C4"/>
  <c r="P5" i="13"/>
  <c r="M5"/>
  <c r="J5"/>
  <c r="M4"/>
  <c r="P4" s="1"/>
  <c r="J4"/>
  <c r="M7" i="2"/>
  <c r="P7" s="1"/>
  <c r="J7"/>
  <c r="U6"/>
  <c r="V6" s="1"/>
  <c r="M6"/>
  <c r="J6"/>
  <c r="M4"/>
  <c r="P4" s="1"/>
  <c r="M5"/>
  <c r="P5" s="1"/>
  <c r="J5"/>
  <c r="U4"/>
  <c r="V4" s="1"/>
  <c r="J4"/>
  <c r="R8" l="1"/>
  <c r="Q11"/>
  <c r="R10"/>
  <c r="Q9"/>
  <c r="Q8"/>
  <c r="Q5" i="13"/>
  <c r="Q4"/>
  <c r="S4" s="1"/>
  <c r="R4"/>
  <c r="R2" s="1"/>
  <c r="R6" i="2"/>
  <c r="Q7"/>
  <c r="Q5"/>
  <c r="Q4"/>
  <c r="R2" l="1"/>
</calcChain>
</file>

<file path=xl/sharedStrings.xml><?xml version="1.0" encoding="utf-8"?>
<sst xmlns="http://schemas.openxmlformats.org/spreadsheetml/2006/main" count="2180" uniqueCount="366">
  <si>
    <t>サヤ</t>
    <phoneticPr fontId="1" type="noConversion"/>
  </si>
  <si>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</si>
  <si>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</si>
  <si>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</si>
  <si>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</si>
  <si>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</si>
  <si>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</si>
  <si>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</si>
  <si>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</si>
  <si>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相関係数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</si>
  <si>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</si>
  <si>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</si>
  <si>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</si>
  <si>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</si>
  <si>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</si>
  <si>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</si>
  <si>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</si>
  <si>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</si>
  <si>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</si>
  <si>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</si>
  <si>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損切り水準</t>
    <phoneticPr fontId="1" type="noConversion"/>
  </si>
  <si>
    <t>仕掛けタイミング</t>
    <phoneticPr fontId="1" type="noConversion"/>
  </si>
  <si>
    <t>サヤ移動平均（σ）</t>
    <phoneticPr fontId="1" type="noConversion"/>
  </si>
  <si>
    <r>
      <t>サヤ移動平均（</t>
    </r>
    <r>
      <rPr>
        <sz val="11"/>
        <color theme="1"/>
        <rFont val="Tahoma"/>
        <family val="2"/>
        <charset val="134"/>
      </rPr>
      <t>σ</t>
    </r>
    <r>
      <rPr>
        <sz val="11"/>
        <color theme="1"/>
        <rFont val="FangSong"/>
        <family val="3"/>
        <charset val="134"/>
      </rPr>
      <t>）</t>
    </r>
  </si>
  <si>
    <t>同業/異業</t>
    <phoneticPr fontId="1" type="noConversion"/>
  </si>
  <si>
    <t>選択</t>
    <phoneticPr fontId="1" type="noConversion"/>
  </si>
  <si>
    <t>コード</t>
    <phoneticPr fontId="1" type="noConversion"/>
  </si>
  <si>
    <t>売</t>
    <phoneticPr fontId="1" type="noConversion"/>
  </si>
  <si>
    <t>銘柄名</t>
    <phoneticPr fontId="1" type="noConversion"/>
  </si>
  <si>
    <t>業種分類</t>
    <phoneticPr fontId="1" type="noConversion"/>
  </si>
  <si>
    <t>銘柄２（買い銘柄）</t>
    <phoneticPr fontId="1" type="noConversion"/>
  </si>
  <si>
    <t>銘柄１（売り銘柄）</t>
    <phoneticPr fontId="1" type="noConversion"/>
  </si>
  <si>
    <t>バックテスト</t>
    <phoneticPr fontId="1" type="noConversion"/>
  </si>
  <si>
    <t>損益</t>
    <phoneticPr fontId="1" type="noConversion"/>
  </si>
  <si>
    <t>勝率</t>
    <phoneticPr fontId="1" type="noConversion"/>
  </si>
  <si>
    <t>銘柄コード１</t>
    <phoneticPr fontId="1" type="noConversion"/>
  </si>
  <si>
    <t>１年間で最大サヤ</t>
    <phoneticPr fontId="1" type="noConversion"/>
  </si>
  <si>
    <t>今日時点のサヤ</t>
    <phoneticPr fontId="1" type="noConversion"/>
  </si>
  <si>
    <t>標準偏差</t>
    <phoneticPr fontId="1" type="noConversion"/>
  </si>
  <si>
    <t>サヤ移動平均（+1σ）</t>
    <phoneticPr fontId="1" type="noConversion"/>
  </si>
  <si>
    <t>指数（σ）</t>
    <phoneticPr fontId="1" type="noConversion"/>
  </si>
  <si>
    <t>売買指示</t>
    <phoneticPr fontId="1" type="noConversion"/>
  </si>
  <si>
    <t>売買金額</t>
    <phoneticPr fontId="1" type="noConversion"/>
  </si>
  <si>
    <t>売り　６，０００</t>
    <phoneticPr fontId="1" type="noConversion"/>
  </si>
  <si>
    <t>株価１（今日）</t>
    <phoneticPr fontId="1" type="noConversion"/>
  </si>
  <si>
    <t>株価２（今日）</t>
    <phoneticPr fontId="1" type="noConversion"/>
  </si>
  <si>
    <t>銘柄コード２</t>
    <phoneticPr fontId="1" type="noConversion"/>
  </si>
  <si>
    <t>銘柄１の株価</t>
    <phoneticPr fontId="1" type="noConversion"/>
  </si>
  <si>
    <t>銘柄２の株価</t>
    <phoneticPr fontId="1" type="noConversion"/>
  </si>
  <si>
    <t>銘柄１の変動率</t>
    <phoneticPr fontId="1" type="noConversion"/>
  </si>
  <si>
    <t>銘柄２の変動率</t>
    <phoneticPr fontId="1" type="noConversion"/>
  </si>
  <si>
    <t>銘柄１－２</t>
    <phoneticPr fontId="1" type="noConversion"/>
  </si>
  <si>
    <t>バッグテスト収益率</t>
    <phoneticPr fontId="1" type="noConversion"/>
  </si>
  <si>
    <t>勝ち回数</t>
    <phoneticPr fontId="1" type="noConversion"/>
  </si>
  <si>
    <t>負け回数</t>
    <phoneticPr fontId="1" type="noConversion"/>
  </si>
  <si>
    <t>銘柄コード</t>
    <phoneticPr fontId="1" type="noConversion"/>
  </si>
  <si>
    <t>会社名</t>
    <phoneticPr fontId="1" type="noConversion"/>
  </si>
  <si>
    <t>損益率</t>
    <phoneticPr fontId="1" type="noConversion"/>
  </si>
  <si>
    <t>保有銘柄</t>
    <phoneticPr fontId="1" type="noConversion"/>
  </si>
  <si>
    <t>現在値</t>
    <phoneticPr fontId="1" type="noConversion"/>
  </si>
  <si>
    <t>損益率合計</t>
    <phoneticPr fontId="1" type="noConversion"/>
  </si>
  <si>
    <t>約定単価</t>
    <phoneticPr fontId="1" type="noConversion"/>
  </si>
  <si>
    <t>約定数量</t>
    <phoneticPr fontId="1" type="noConversion"/>
  </si>
  <si>
    <t>約定代金</t>
    <phoneticPr fontId="1" type="noConversion"/>
  </si>
  <si>
    <t>区分</t>
    <phoneticPr fontId="1" type="noConversion"/>
  </si>
  <si>
    <t>損益額合計</t>
    <phoneticPr fontId="1" type="noConversion"/>
  </si>
  <si>
    <t>決済管理</t>
    <phoneticPr fontId="1" type="noConversion"/>
  </si>
  <si>
    <t>建玉管理</t>
    <phoneticPr fontId="1" type="noConversion"/>
  </si>
  <si>
    <t>新規約定日</t>
    <phoneticPr fontId="1" type="noConversion"/>
  </si>
  <si>
    <t>経過日数</t>
    <phoneticPr fontId="1" type="noConversion"/>
  </si>
  <si>
    <t>結果</t>
    <phoneticPr fontId="1" type="noConversion"/>
  </si>
  <si>
    <t>実行</t>
    <phoneticPr fontId="1" type="noConversion"/>
  </si>
  <si>
    <t>決済</t>
    <phoneticPr fontId="1" type="noConversion"/>
  </si>
  <si>
    <t>No.</t>
    <phoneticPr fontId="1" type="noConversion"/>
  </si>
  <si>
    <t>現在参照日</t>
    <phoneticPr fontId="1" type="noConversion"/>
  </si>
  <si>
    <t>MTN</t>
    <phoneticPr fontId="1" type="noConversion"/>
  </si>
  <si>
    <t>B</t>
    <phoneticPr fontId="1" type="noConversion"/>
  </si>
  <si>
    <r>
      <rPr>
        <sz val="11"/>
        <color theme="1"/>
        <rFont val="FangSong"/>
        <family val="3"/>
        <charset val="134"/>
      </rPr>
      <t>売</t>
    </r>
    <phoneticPr fontId="1" type="noConversion"/>
  </si>
  <si>
    <r>
      <rPr>
        <sz val="11"/>
        <color theme="1"/>
        <rFont val="FangSong"/>
        <family val="3"/>
        <charset val="134"/>
      </rPr>
      <t>制度信用</t>
    </r>
    <phoneticPr fontId="1" type="noConversion"/>
  </si>
  <si>
    <r>
      <rPr>
        <sz val="11"/>
        <color theme="1"/>
        <rFont val="FangSong"/>
        <family val="3"/>
        <charset val="134"/>
      </rPr>
      <t>買</t>
    </r>
    <phoneticPr fontId="1" type="noConversion"/>
  </si>
  <si>
    <t>手数料+税</t>
    <phoneticPr fontId="1" type="noConversion"/>
  </si>
  <si>
    <t>金利</t>
    <phoneticPr fontId="1" type="noConversion"/>
  </si>
  <si>
    <t>その他費用</t>
    <phoneticPr fontId="1" type="noConversion"/>
  </si>
  <si>
    <t>日立建機</t>
    <phoneticPr fontId="1" type="noConversion"/>
  </si>
  <si>
    <t>王子ホールディングス</t>
    <phoneticPr fontId="1" type="noConversion"/>
  </si>
  <si>
    <t>選択</t>
    <phoneticPr fontId="1" type="noConversion"/>
  </si>
  <si>
    <t>抽出データパス</t>
    <phoneticPr fontId="1" type="noConversion"/>
  </si>
  <si>
    <t>G:\Stock\pairs_trade\pair_trade\stock_data</t>
    <phoneticPr fontId="1" type="noConversion"/>
  </si>
  <si>
    <t>データ更新日</t>
    <phoneticPr fontId="1" type="noConversion"/>
  </si>
  <si>
    <t>決済値</t>
    <phoneticPr fontId="1" type="noConversion"/>
  </si>
  <si>
    <t>手数料未チェック</t>
    <phoneticPr fontId="1" type="noConversion"/>
  </si>
  <si>
    <t>手数料+税</t>
    <phoneticPr fontId="1" type="noConversion"/>
  </si>
  <si>
    <t>制度信用</t>
    <phoneticPr fontId="1" type="noConversion"/>
  </si>
  <si>
    <t>現物</t>
    <phoneticPr fontId="1" type="noConversion"/>
  </si>
  <si>
    <t>SYM_B_NAME</t>
  </si>
  <si>
    <t>マキタ</t>
  </si>
  <si>
    <t>エクセディ</t>
  </si>
  <si>
    <t>アルプスアルパイン</t>
  </si>
  <si>
    <t>三菱ＵＦＪフィナンシャル・グループ</t>
  </si>
  <si>
    <t>日本ペイントホールディングス</t>
  </si>
  <si>
    <t>コンコルディア・フィナンシャルグループ</t>
  </si>
  <si>
    <t>三井住友トラスト・ホールディングス</t>
  </si>
  <si>
    <t>東海カーボン</t>
  </si>
  <si>
    <t>ケーヒン</t>
  </si>
  <si>
    <t>日本電気硝子</t>
  </si>
  <si>
    <t>大和証券グループ本社</t>
  </si>
  <si>
    <t>川崎重工業</t>
  </si>
  <si>
    <t>りそなホールディングス</t>
  </si>
  <si>
    <t>ほくほくフィナンシャルグループ</t>
  </si>
  <si>
    <t>フジクラ</t>
  </si>
  <si>
    <t>アイシン精機</t>
  </si>
  <si>
    <t>ゆうちょ銀行</t>
  </si>
  <si>
    <t>イオンフィナンシャルサービス</t>
  </si>
  <si>
    <t>大正製薬ホールディングス</t>
  </si>
  <si>
    <t>日産自動車</t>
  </si>
  <si>
    <t>三菱自動車工業</t>
  </si>
  <si>
    <t>大同特殊鋼</t>
  </si>
  <si>
    <t>堀場製作所</t>
  </si>
  <si>
    <t>東海理化電機製作所</t>
  </si>
  <si>
    <t>丸紅</t>
  </si>
  <si>
    <t>伊予銀行</t>
  </si>
  <si>
    <t>日本テレビホールディングス</t>
  </si>
  <si>
    <t>日本発條</t>
  </si>
  <si>
    <t>荏原製作所</t>
  </si>
  <si>
    <t>小松製作所</t>
  </si>
  <si>
    <t>ニコン</t>
  </si>
  <si>
    <t>スタンレー電気</t>
  </si>
  <si>
    <t>ヤマハ発動機</t>
  </si>
  <si>
    <t>イズミ</t>
  </si>
  <si>
    <t>住友電気工業</t>
  </si>
  <si>
    <t>エレコム</t>
  </si>
  <si>
    <t>レーザーテック</t>
  </si>
  <si>
    <t>長瀬産業</t>
  </si>
  <si>
    <t>宇部興産</t>
  </si>
  <si>
    <t>ＮＴＮ</t>
  </si>
  <si>
    <t>大阪瓦斯</t>
  </si>
  <si>
    <t>めぶきフィナンシャルグループ</t>
  </si>
  <si>
    <t>住友ゴム工業</t>
  </si>
  <si>
    <t>ニチアス</t>
  </si>
  <si>
    <t>椿本チエイン</t>
  </si>
  <si>
    <t>ジーエス・ユアサ　コーポレーション</t>
  </si>
  <si>
    <t>七十七銀行</t>
  </si>
  <si>
    <t>三菱瓦斯化学</t>
  </si>
  <si>
    <t>第一生命ホールディングス</t>
  </si>
  <si>
    <t>パナソニック</t>
  </si>
  <si>
    <t>ＤＩＣ</t>
  </si>
  <si>
    <t>塩野義製薬</t>
  </si>
  <si>
    <t>神戸製鋼所</t>
  </si>
  <si>
    <t>いすゞ自動車</t>
  </si>
  <si>
    <t>本田技研工業</t>
  </si>
  <si>
    <t>コニカミノルタ</t>
  </si>
  <si>
    <t>阪和興業</t>
  </si>
  <si>
    <t>日鉄物産</t>
  </si>
  <si>
    <t>ニッコンホールディングス</t>
  </si>
  <si>
    <t>ジェイ　エフ　イー　ホールディングス</t>
  </si>
  <si>
    <t>日本製鉄</t>
  </si>
  <si>
    <t>ダイセル</t>
  </si>
  <si>
    <t>第四北越フィナンシャルグループ</t>
  </si>
  <si>
    <t>エイチ・ツー・オー　リテイリング</t>
  </si>
  <si>
    <t>パイロットコーポレーション</t>
  </si>
  <si>
    <t>相鉄ホールディングス</t>
  </si>
  <si>
    <t>三井住友フィナンシャルグループ</t>
  </si>
  <si>
    <t>西日本フィナンシャルホールディングス</t>
  </si>
  <si>
    <t>サンリオ</t>
  </si>
  <si>
    <t>ジェイテクト</t>
  </si>
  <si>
    <t>みずほフィナンシャルグループ</t>
  </si>
  <si>
    <t>アドバンテスト</t>
  </si>
  <si>
    <t>北陸電力</t>
  </si>
  <si>
    <t>住友化学</t>
  </si>
  <si>
    <t>スカパーＪＳＡＴホールディングス</t>
  </si>
  <si>
    <t>日本郵政</t>
  </si>
  <si>
    <t>かんぽ生命保険</t>
  </si>
  <si>
    <t>ＩＨＩ</t>
  </si>
  <si>
    <t>Ｔ＆Ｄホールディングス</t>
  </si>
  <si>
    <t>ＪＸＴＧホールディングス</t>
  </si>
  <si>
    <t>出光興産</t>
  </si>
  <si>
    <t>サンドラッグ</t>
  </si>
  <si>
    <t>日本特殊陶業</t>
  </si>
  <si>
    <t>キヤノン</t>
  </si>
  <si>
    <t>東京放送ホールディングス</t>
  </si>
  <si>
    <t>九電工</t>
  </si>
  <si>
    <t>マツダ</t>
  </si>
  <si>
    <t>日東電工</t>
  </si>
  <si>
    <t>ニプロ</t>
  </si>
  <si>
    <t>日野自動車</t>
  </si>
  <si>
    <t>日立キャピタル</t>
  </si>
  <si>
    <t>コクヨ</t>
  </si>
  <si>
    <t>日立建機</t>
  </si>
  <si>
    <t>シチズン時計</t>
  </si>
  <si>
    <t>オムロン</t>
  </si>
  <si>
    <t>コスモエネルギーホールディングス</t>
  </si>
  <si>
    <t>ＡＤＥＫＡ</t>
  </si>
  <si>
    <t>アインホールディングス</t>
  </si>
  <si>
    <t>バローホールディングス</t>
  </si>
  <si>
    <t>ホシザキ</t>
  </si>
  <si>
    <t>三菱商事</t>
  </si>
  <si>
    <t>SYM_A</t>
    <phoneticPr fontId="1" type="noConversion"/>
  </si>
  <si>
    <t>SYM_A_NAME</t>
    <phoneticPr fontId="1" type="noConversion"/>
  </si>
  <si>
    <t>SYM_A_INDUSTRY</t>
    <phoneticPr fontId="1" type="noConversion"/>
  </si>
  <si>
    <t>OPEN_A</t>
    <phoneticPr fontId="1" type="noConversion"/>
  </si>
  <si>
    <t>CLOSE_A</t>
    <phoneticPr fontId="1" type="noConversion"/>
  </si>
  <si>
    <t>AXIS_LOT_SIZE</t>
    <phoneticPr fontId="1" type="noConversion"/>
  </si>
  <si>
    <t>TRADE_A</t>
    <phoneticPr fontId="1" type="noConversion"/>
  </si>
  <si>
    <t>SYM_B</t>
    <phoneticPr fontId="1" type="noConversion"/>
  </si>
  <si>
    <t>SYM_B_INDUSTRY</t>
    <phoneticPr fontId="1" type="noConversion"/>
  </si>
  <si>
    <t>OPEN_B</t>
    <phoneticPr fontId="1" type="noConversion"/>
  </si>
  <si>
    <t>CLOSE_B</t>
    <phoneticPr fontId="1" type="noConversion"/>
  </si>
  <si>
    <t>PAIR_LOT_SIZE</t>
    <phoneticPr fontId="1" type="noConversion"/>
  </si>
  <si>
    <t>TRADE_B</t>
    <phoneticPr fontId="1" type="noConversion"/>
  </si>
  <si>
    <t>CORR_3M</t>
    <phoneticPr fontId="1" type="noConversion"/>
  </si>
  <si>
    <t>CORR_1Y</t>
    <phoneticPr fontId="1" type="noConversion"/>
  </si>
  <si>
    <t>COINT_3M</t>
    <phoneticPr fontId="1" type="noConversion"/>
  </si>
  <si>
    <t>COINT_1Y</t>
    <phoneticPr fontId="1" type="noConversion"/>
  </si>
  <si>
    <t>SIGMA</t>
    <phoneticPr fontId="1" type="noConversion"/>
  </si>
  <si>
    <t>ABS_SIGMA</t>
    <phoneticPr fontId="1" type="noConversion"/>
  </si>
  <si>
    <t>DEV_RATE</t>
    <phoneticPr fontId="1" type="noConversion"/>
  </si>
  <si>
    <t>LOT_SIZE_DIFF</t>
    <phoneticPr fontId="1" type="noConversion"/>
  </si>
  <si>
    <t>total_profit</t>
    <phoneticPr fontId="1" type="noConversion"/>
  </si>
  <si>
    <t>average_profit</t>
    <phoneticPr fontId="1" type="noConversion"/>
  </si>
  <si>
    <t>average_pl</t>
    <phoneticPr fontId="1" type="noConversion"/>
  </si>
  <si>
    <t>total_times</t>
    <phoneticPr fontId="1" type="noConversion"/>
  </si>
  <si>
    <t>plus_times</t>
    <phoneticPr fontId="1" type="noConversion"/>
  </si>
  <si>
    <t>minus_times</t>
    <phoneticPr fontId="1" type="noConversion"/>
  </si>
  <si>
    <t>pl_times</t>
    <phoneticPr fontId="1" type="noConversion"/>
  </si>
  <si>
    <t>open_days</t>
    <phoneticPr fontId="1" type="noConversion"/>
  </si>
  <si>
    <t>マキタ</t>
    <phoneticPr fontId="1" type="noConversion"/>
  </si>
  <si>
    <t>機械</t>
    <phoneticPr fontId="1" type="noConversion"/>
  </si>
  <si>
    <t>BUY</t>
    <phoneticPr fontId="1" type="noConversion"/>
  </si>
  <si>
    <t>輸送用機器</t>
    <phoneticPr fontId="1" type="noConversion"/>
  </si>
  <si>
    <t>SELL</t>
    <phoneticPr fontId="1" type="noConversion"/>
  </si>
  <si>
    <t>アルプスアルパイン</t>
    <phoneticPr fontId="1" type="noConversion"/>
  </si>
  <si>
    <t>電気機器</t>
    <phoneticPr fontId="1" type="noConversion"/>
  </si>
  <si>
    <t>銀行業</t>
    <phoneticPr fontId="1" type="noConversion"/>
  </si>
  <si>
    <t>コーエーテクモホールディングス</t>
    <phoneticPr fontId="1" type="noConversion"/>
  </si>
  <si>
    <t>情報・通信業</t>
    <phoneticPr fontId="1" type="noConversion"/>
  </si>
  <si>
    <t>化学</t>
    <phoneticPr fontId="1" type="noConversion"/>
  </si>
  <si>
    <t>コンコルディア・フィナンシャルグループ</t>
    <phoneticPr fontId="1" type="noConversion"/>
  </si>
  <si>
    <t>東海カーボン</t>
    <phoneticPr fontId="1" type="noConversion"/>
  </si>
  <si>
    <t>ガラス・土石製品</t>
    <phoneticPr fontId="1" type="noConversion"/>
  </si>
  <si>
    <t>トヨタ紡織</t>
    <phoneticPr fontId="1" type="noConversion"/>
  </si>
  <si>
    <t>ＡＧＣ</t>
    <phoneticPr fontId="1" type="noConversion"/>
  </si>
  <si>
    <t>ケーヒン</t>
    <phoneticPr fontId="1" type="noConversion"/>
  </si>
  <si>
    <t>証券、商品先物取引業</t>
    <phoneticPr fontId="1" type="noConversion"/>
  </si>
  <si>
    <t>日本電気硝子</t>
    <phoneticPr fontId="1" type="noConversion"/>
  </si>
  <si>
    <t>良品計画</t>
    <phoneticPr fontId="1" type="noConversion"/>
  </si>
  <si>
    <t>小売業</t>
    <phoneticPr fontId="1" type="noConversion"/>
  </si>
  <si>
    <t>フジクラ</t>
    <phoneticPr fontId="1" type="noConversion"/>
  </si>
  <si>
    <t>非鉄金属</t>
    <phoneticPr fontId="1" type="noConversion"/>
  </si>
  <si>
    <t>ゆうちょ銀行</t>
    <phoneticPr fontId="1" type="noConversion"/>
  </si>
  <si>
    <t>その他金融業</t>
    <phoneticPr fontId="1" type="noConversion"/>
  </si>
  <si>
    <t>大正製薬ホールディングス</t>
    <phoneticPr fontId="1" type="noConversion"/>
  </si>
  <si>
    <t>医薬品</t>
    <phoneticPr fontId="1" type="noConversion"/>
  </si>
  <si>
    <t>鉄鋼</t>
    <phoneticPr fontId="1" type="noConversion"/>
  </si>
  <si>
    <t>東芝プラントシステム</t>
    <phoneticPr fontId="1" type="noConversion"/>
  </si>
  <si>
    <t>建設業</t>
    <phoneticPr fontId="1" type="noConversion"/>
  </si>
  <si>
    <t>ＴＨＫ</t>
    <phoneticPr fontId="1" type="noConversion"/>
  </si>
  <si>
    <t>東海理化電機製作所</t>
    <phoneticPr fontId="1" type="noConversion"/>
  </si>
  <si>
    <t>卸売業</t>
    <phoneticPr fontId="1" type="noConversion"/>
  </si>
  <si>
    <t>戸田建設</t>
    <phoneticPr fontId="1" type="noConversion"/>
  </si>
  <si>
    <t>三井住友トラスト・ホールディングス</t>
    <phoneticPr fontId="1" type="noConversion"/>
  </si>
  <si>
    <t>ヤマトホールディングス</t>
    <phoneticPr fontId="1" type="noConversion"/>
  </si>
  <si>
    <t>陸運業</t>
    <phoneticPr fontId="1" type="noConversion"/>
  </si>
  <si>
    <t>金属製品</t>
    <phoneticPr fontId="1" type="noConversion"/>
  </si>
  <si>
    <t>デンカ</t>
    <phoneticPr fontId="1" type="noConversion"/>
  </si>
  <si>
    <t>三井海洋開発</t>
    <phoneticPr fontId="1" type="noConversion"/>
  </si>
  <si>
    <t>三越伊勢丹ホールディングス</t>
    <phoneticPr fontId="1" type="noConversion"/>
  </si>
  <si>
    <t>小松製作所</t>
    <phoneticPr fontId="1" type="noConversion"/>
  </si>
  <si>
    <t>ニコン</t>
    <phoneticPr fontId="1" type="noConversion"/>
  </si>
  <si>
    <t>精密機器</t>
    <phoneticPr fontId="1" type="noConversion"/>
  </si>
  <si>
    <t>住友林業</t>
    <phoneticPr fontId="1" type="noConversion"/>
  </si>
  <si>
    <t>日清紡ホールディングス</t>
    <phoneticPr fontId="1" type="noConversion"/>
  </si>
  <si>
    <t>イズミ</t>
    <phoneticPr fontId="1" type="noConversion"/>
  </si>
  <si>
    <t>住友電気工業</t>
    <phoneticPr fontId="1" type="noConversion"/>
  </si>
  <si>
    <t>エレコム</t>
    <phoneticPr fontId="1" type="noConversion"/>
  </si>
  <si>
    <t>荏原製作所</t>
    <phoneticPr fontId="1" type="noConversion"/>
  </si>
  <si>
    <t>宇部興産</t>
    <phoneticPr fontId="1" type="noConversion"/>
  </si>
  <si>
    <t>九州フィナンシャルグループ</t>
    <phoneticPr fontId="1" type="noConversion"/>
  </si>
  <si>
    <t>東洋インキＳＣホールディングス</t>
    <phoneticPr fontId="1" type="noConversion"/>
  </si>
  <si>
    <t>日本精工</t>
    <phoneticPr fontId="1" type="noConversion"/>
  </si>
  <si>
    <t>双日</t>
    <phoneticPr fontId="1" type="noConversion"/>
  </si>
  <si>
    <t>東京瓦斯</t>
    <phoneticPr fontId="1" type="noConversion"/>
  </si>
  <si>
    <t>電気・ガス業</t>
    <phoneticPr fontId="1" type="noConversion"/>
  </si>
  <si>
    <t>日立化成</t>
    <phoneticPr fontId="1" type="noConversion"/>
  </si>
  <si>
    <t>住友ゴム工業</t>
    <phoneticPr fontId="1" type="noConversion"/>
  </si>
  <si>
    <t>ゴム製品</t>
    <phoneticPr fontId="1" type="noConversion"/>
  </si>
  <si>
    <t>ニチアス</t>
    <phoneticPr fontId="1" type="noConversion"/>
  </si>
  <si>
    <t>三菱瓦斯化学</t>
    <phoneticPr fontId="1" type="noConversion"/>
  </si>
  <si>
    <t>日揮</t>
    <phoneticPr fontId="1" type="noConversion"/>
  </si>
  <si>
    <t>保険業</t>
    <phoneticPr fontId="1" type="noConversion"/>
  </si>
  <si>
    <t>大同特殊鋼</t>
    <phoneticPr fontId="1" type="noConversion"/>
  </si>
  <si>
    <t>クラレ</t>
    <phoneticPr fontId="1" type="noConversion"/>
  </si>
  <si>
    <t>塩野義製薬</t>
    <phoneticPr fontId="1" type="noConversion"/>
  </si>
  <si>
    <t>いすゞ自動車</t>
    <phoneticPr fontId="1" type="noConversion"/>
  </si>
  <si>
    <t>カネカ</t>
    <phoneticPr fontId="1" type="noConversion"/>
  </si>
  <si>
    <t>ニッコンホールディングス</t>
    <phoneticPr fontId="1" type="noConversion"/>
  </si>
  <si>
    <t>日本製鉄</t>
    <phoneticPr fontId="1" type="noConversion"/>
  </si>
  <si>
    <t>スタンレー電気</t>
    <phoneticPr fontId="1" type="noConversion"/>
  </si>
  <si>
    <t>ダイセル</t>
    <phoneticPr fontId="1" type="noConversion"/>
  </si>
  <si>
    <t>椿本チエイン</t>
    <phoneticPr fontId="1" type="noConversion"/>
  </si>
  <si>
    <t>めぶきフィナンシャルグループ</t>
    <phoneticPr fontId="1" type="noConversion"/>
  </si>
  <si>
    <t>関電工</t>
    <phoneticPr fontId="1" type="noConversion"/>
  </si>
  <si>
    <t>ＮＴＮ</t>
    <phoneticPr fontId="1" type="noConversion"/>
  </si>
  <si>
    <t>ワコールホールディングス</t>
    <phoneticPr fontId="1" type="noConversion"/>
  </si>
  <si>
    <t>繊維製品</t>
    <phoneticPr fontId="1" type="noConversion"/>
  </si>
  <si>
    <t>マルハニチロ</t>
    <phoneticPr fontId="1" type="noConversion"/>
  </si>
  <si>
    <t>水産・農林業</t>
    <phoneticPr fontId="1" type="noConversion"/>
  </si>
  <si>
    <t>パイロットコーポレーション</t>
    <phoneticPr fontId="1" type="noConversion"/>
  </si>
  <si>
    <t>その他製品</t>
    <phoneticPr fontId="1" type="noConversion"/>
  </si>
  <si>
    <t>パナソニック</t>
    <phoneticPr fontId="1" type="noConversion"/>
  </si>
  <si>
    <t>西日本フィナンシャルホールディングス</t>
    <phoneticPr fontId="1" type="noConversion"/>
  </si>
  <si>
    <t>日清製粉グループ本社</t>
    <phoneticPr fontId="1" type="noConversion"/>
  </si>
  <si>
    <t>食料品</t>
    <phoneticPr fontId="1" type="noConversion"/>
  </si>
  <si>
    <t>あおぞら銀行</t>
    <phoneticPr fontId="1" type="noConversion"/>
  </si>
  <si>
    <t>コニカミノルタ</t>
    <phoneticPr fontId="1" type="noConversion"/>
  </si>
  <si>
    <t>クミアイ化学工業</t>
    <phoneticPr fontId="1" type="noConversion"/>
  </si>
  <si>
    <t>ほくほくフィナンシャルグループ</t>
    <phoneticPr fontId="1" type="noConversion"/>
  </si>
  <si>
    <t>エイチ・ツー・オー　リテイリング</t>
    <phoneticPr fontId="1" type="noConversion"/>
  </si>
  <si>
    <t>日本発條</t>
    <phoneticPr fontId="1" type="noConversion"/>
  </si>
  <si>
    <t>日本郵政</t>
    <phoneticPr fontId="1" type="noConversion"/>
  </si>
  <si>
    <t>サービス業</t>
    <phoneticPr fontId="1" type="noConversion"/>
  </si>
  <si>
    <t>宝ホールディングス</t>
    <phoneticPr fontId="1" type="noConversion"/>
  </si>
  <si>
    <t>ＩＨＩ</t>
    <phoneticPr fontId="1" type="noConversion"/>
  </si>
  <si>
    <t>西松建設</t>
    <phoneticPr fontId="1" type="noConversion"/>
  </si>
  <si>
    <t>フジ・メディア・ホールディングス</t>
    <phoneticPr fontId="1" type="noConversion"/>
  </si>
  <si>
    <t>ＪＸＴＧホールディングス</t>
    <phoneticPr fontId="1" type="noConversion"/>
  </si>
  <si>
    <t>石油・石炭製品</t>
    <phoneticPr fontId="1" type="noConversion"/>
  </si>
  <si>
    <t>日本たばこ産業</t>
    <phoneticPr fontId="1" type="noConversion"/>
  </si>
  <si>
    <t>出光興産</t>
    <phoneticPr fontId="1" type="noConversion"/>
  </si>
  <si>
    <t>クリエイトＳＤホールディングス</t>
    <phoneticPr fontId="1" type="noConversion"/>
  </si>
  <si>
    <t>五洋建設</t>
    <phoneticPr fontId="1" type="noConversion"/>
  </si>
  <si>
    <t>住友化学</t>
    <phoneticPr fontId="1" type="noConversion"/>
  </si>
  <si>
    <t>きんでん</t>
    <phoneticPr fontId="1" type="noConversion"/>
  </si>
  <si>
    <t>イビデン</t>
    <phoneticPr fontId="1" type="noConversion"/>
  </si>
  <si>
    <t>三菱自動車工業</t>
    <phoneticPr fontId="1" type="noConversion"/>
  </si>
  <si>
    <t>王子ホールディングス</t>
    <phoneticPr fontId="1" type="noConversion"/>
  </si>
  <si>
    <t>パルプ・紙</t>
    <phoneticPr fontId="1" type="noConversion"/>
  </si>
  <si>
    <t>ジーエス・ユアサ　コーポレーション</t>
    <phoneticPr fontId="1" type="noConversion"/>
  </si>
  <si>
    <t>神戸製鋼所</t>
    <phoneticPr fontId="1" type="noConversion"/>
  </si>
  <si>
    <t>日本軽金属ホールディングス</t>
    <phoneticPr fontId="1" type="noConversion"/>
  </si>
  <si>
    <t>エクセディ</t>
    <phoneticPr fontId="1" type="noConversion"/>
  </si>
  <si>
    <t>ジェイ　エフ　イー　ホールディングス</t>
    <phoneticPr fontId="1" type="noConversion"/>
  </si>
  <si>
    <t>日本製粉</t>
    <phoneticPr fontId="1" type="noConversion"/>
  </si>
  <si>
    <t>丸一鋼管</t>
    <phoneticPr fontId="1" type="noConversion"/>
  </si>
  <si>
    <t>三菱ケミカルホールディングス</t>
    <phoneticPr fontId="1" type="noConversion"/>
  </si>
  <si>
    <t>ロート製薬</t>
    <phoneticPr fontId="1" type="noConversion"/>
  </si>
  <si>
    <t>日野自動車</t>
    <phoneticPr fontId="1" type="noConversion"/>
  </si>
  <si>
    <t>日本触媒</t>
    <phoneticPr fontId="1" type="noConversion"/>
  </si>
  <si>
    <t>三井住友フィナンシャルグループ</t>
    <phoneticPr fontId="1" type="noConversion"/>
  </si>
  <si>
    <t>安川電機</t>
    <phoneticPr fontId="1" type="noConversion"/>
  </si>
  <si>
    <t>日立キャピタル</t>
    <phoneticPr fontId="1" type="noConversion"/>
  </si>
  <si>
    <t>アルフレッサ　ホールディングス</t>
    <phoneticPr fontId="1" type="noConversion"/>
  </si>
  <si>
    <t>ＡＤＥＫＡ</t>
    <phoneticPr fontId="1" type="noConversion"/>
  </si>
  <si>
    <t>三井金属鉱業</t>
    <phoneticPr fontId="1" type="noConversion"/>
  </si>
  <si>
    <t>東洋製罐グループホールディングス</t>
    <phoneticPr fontId="1" type="noConversion"/>
  </si>
  <si>
    <t>第四北越フィナンシャルグループ</t>
    <phoneticPr fontId="1" type="noConversion"/>
  </si>
  <si>
    <t>七十七銀行</t>
    <phoneticPr fontId="1" type="noConversion"/>
  </si>
  <si>
    <t>ＳＡＮＫＹＯ</t>
    <phoneticPr fontId="1" type="noConversion"/>
  </si>
  <si>
    <t>国際石油開発帝石</t>
    <phoneticPr fontId="1" type="noConversion"/>
  </si>
  <si>
    <t>鉱業</t>
    <phoneticPr fontId="1" type="noConversion"/>
  </si>
  <si>
    <t>飯田グループホールディングス</t>
    <phoneticPr fontId="1" type="noConversion"/>
  </si>
  <si>
    <t>不動産業</t>
    <phoneticPr fontId="1" type="noConversion"/>
  </si>
  <si>
    <t>太平洋セメント</t>
    <phoneticPr fontId="1" type="noConversion"/>
  </si>
  <si>
    <t>アイシン精機</t>
    <phoneticPr fontId="1" type="noConversion"/>
  </si>
  <si>
    <t>八十二銀行</t>
    <phoneticPr fontId="1" type="noConversion"/>
  </si>
  <si>
    <t>サトーホールディングス</t>
    <phoneticPr fontId="1" type="noConversion"/>
  </si>
  <si>
    <t>日産自動車</t>
    <phoneticPr fontId="1" type="noConversion"/>
  </si>
</sst>
</file>

<file path=xl/styles.xml><?xml version="1.0" encoding="utf-8"?>
<styleSheet xmlns="http://schemas.openxmlformats.org/spreadsheetml/2006/main">
  <numFmts count="6">
    <numFmt numFmtId="6" formatCode="&quot;¥&quot;#,##0;[Red]\-&quot;¥&quot;#,##0"/>
    <numFmt numFmtId="176" formatCode="&quot;¥&quot;#,##0_);\(&quot;¥&quot;#,##0\)"/>
    <numFmt numFmtId="177" formatCode="yyyy/m/d;@"/>
    <numFmt numFmtId="178" formatCode="0_);\(0\)"/>
    <numFmt numFmtId="179" formatCode="0.0_ "/>
    <numFmt numFmtId="180" formatCode="0.00_ "/>
  </numFmts>
  <fonts count="10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0"/>
      <name val="FangSong"/>
      <family val="3"/>
      <charset val="134"/>
    </font>
    <font>
      <b/>
      <sz val="11"/>
      <color theme="0"/>
      <name val="Tahoma"/>
      <family val="2"/>
      <charset val="134"/>
    </font>
    <font>
      <b/>
      <sz val="11"/>
      <color rgb="FFFF0000"/>
      <name val="FangSong"/>
      <family val="3"/>
      <charset val="134"/>
    </font>
    <font>
      <b/>
      <sz val="11"/>
      <color rgb="FFFF0000"/>
      <name val="FangSong"/>
      <family val="3"/>
    </font>
    <font>
      <b/>
      <sz val="11"/>
      <color theme="1"/>
      <name val="FangSong"/>
      <family val="3"/>
      <charset val="134"/>
    </font>
    <font>
      <sz val="11"/>
      <color theme="1"/>
      <name val="Tahoma"/>
      <family val="2"/>
    </font>
    <font>
      <sz val="11"/>
      <color rgb="FF000000"/>
      <name val="FangSong"/>
      <family val="3"/>
    </font>
  </fonts>
  <fills count="11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3" borderId="1" xfId="0" applyFont="1" applyFill="1" applyBorder="1"/>
    <xf numFmtId="14" fontId="2" fillId="0" borderId="1" xfId="0" applyNumberFormat="1" applyFont="1" applyBorder="1"/>
    <xf numFmtId="0" fontId="0" fillId="5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6" borderId="3" xfId="0" applyFill="1" applyBorder="1"/>
    <xf numFmtId="0" fontId="0" fillId="0" borderId="0" xfId="0" applyBorder="1"/>
    <xf numFmtId="176" fontId="0" fillId="0" borderId="1" xfId="0" applyNumberFormat="1" applyBorder="1"/>
    <xf numFmtId="0" fontId="0" fillId="0" borderId="4" xfId="0" applyBorder="1"/>
    <xf numFmtId="0" fontId="2" fillId="0" borderId="2" xfId="0" applyFont="1" applyBorder="1"/>
    <xf numFmtId="0" fontId="2" fillId="7" borderId="0" xfId="0" applyFont="1" applyFill="1"/>
    <xf numFmtId="0" fontId="0" fillId="7" borderId="0" xfId="0" applyFill="1"/>
    <xf numFmtId="0" fontId="2" fillId="2" borderId="0" xfId="0" applyFont="1" applyFill="1"/>
    <xf numFmtId="0" fontId="0" fillId="2" borderId="0" xfId="0" applyFill="1"/>
    <xf numFmtId="0" fontId="2" fillId="8" borderId="0" xfId="0" applyFont="1" applyFill="1"/>
    <xf numFmtId="0" fontId="2" fillId="8" borderId="1" xfId="0" applyFont="1" applyFill="1" applyBorder="1"/>
    <xf numFmtId="14" fontId="0" fillId="2" borderId="1" xfId="0" applyNumberFormat="1" applyFill="1" applyBorder="1"/>
    <xf numFmtId="0" fontId="0" fillId="2" borderId="1" xfId="0" applyFill="1" applyBorder="1"/>
    <xf numFmtId="0" fontId="3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7" fillId="0" borderId="0" xfId="0" applyFont="1"/>
    <xf numFmtId="0" fontId="3" fillId="9" borderId="1" xfId="0" applyFont="1" applyFill="1" applyBorder="1" applyAlignment="1">
      <alignment horizontal="center"/>
    </xf>
    <xf numFmtId="0" fontId="2" fillId="10" borderId="1" xfId="0" applyFont="1" applyFill="1" applyBorder="1" applyAlignment="1">
      <alignment horizontal="center" vertical="center"/>
    </xf>
    <xf numFmtId="0" fontId="8" fillId="10" borderId="1" xfId="0" applyFont="1" applyFill="1" applyBorder="1"/>
    <xf numFmtId="179" fontId="8" fillId="10" borderId="1" xfId="0" applyNumberFormat="1" applyFont="1" applyFill="1" applyBorder="1"/>
    <xf numFmtId="177" fontId="8" fillId="4" borderId="1" xfId="0" applyNumberFormat="1" applyFont="1" applyFill="1" applyBorder="1"/>
    <xf numFmtId="0" fontId="8" fillId="4" borderId="1" xfId="0" applyFont="1" applyFill="1" applyBorder="1" applyAlignment="1">
      <alignment horizontal="center"/>
    </xf>
    <xf numFmtId="178" fontId="8" fillId="4" borderId="1" xfId="0" applyNumberFormat="1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6" fontId="8" fillId="10" borderId="1" xfId="0" applyNumberFormat="1" applyFont="1" applyFill="1" applyBorder="1"/>
    <xf numFmtId="10" fontId="8" fillId="10" borderId="1" xfId="0" applyNumberFormat="1" applyFont="1" applyFill="1" applyBorder="1"/>
    <xf numFmtId="0" fontId="2" fillId="10" borderId="1" xfId="0" applyFont="1" applyFill="1" applyBorder="1"/>
    <xf numFmtId="14" fontId="0" fillId="0" borderId="0" xfId="0" applyNumberFormat="1"/>
    <xf numFmtId="0" fontId="2" fillId="10" borderId="1" xfId="0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180" fontId="8" fillId="10" borderId="1" xfId="0" applyNumberFormat="1" applyFont="1" applyFill="1" applyBorder="1"/>
    <xf numFmtId="11" fontId="0" fillId="0" borderId="0" xfId="0" applyNumberFormat="1"/>
    <xf numFmtId="0" fontId="3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10" fontId="8" fillId="10" borderId="1" xfId="0" applyNumberFormat="1" applyFont="1" applyFill="1" applyBorder="1" applyAlignment="1">
      <alignment horizontal="center" vertical="center"/>
    </xf>
    <xf numFmtId="14" fontId="0" fillId="10" borderId="1" xfId="0" applyNumberFormat="1" applyFill="1" applyBorder="1" applyAlignment="1">
      <alignment horizontal="center" vertical="center"/>
    </xf>
    <xf numFmtId="14" fontId="2" fillId="0" borderId="4" xfId="0" applyNumberFormat="1" applyFont="1" applyBorder="1" applyAlignment="1"/>
    <xf numFmtId="0" fontId="0" fillId="0" borderId="0" xfId="0" applyBorder="1" applyAlignment="1"/>
    <xf numFmtId="0" fontId="0" fillId="0" borderId="0" xfId="0" applyAlignment="1"/>
    <xf numFmtId="0" fontId="2" fillId="2" borderId="0" xfId="0" applyFont="1" applyFill="1" applyAlignment="1"/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layout/>
    </c:title>
    <c:plotArea>
      <c:layout>
        <c:manualLayout>
          <c:layoutTarget val="inner"/>
          <c:xMode val="edge"/>
          <c:yMode val="edge"/>
          <c:x val="0.10761277057364668"/>
          <c:y val="0.32811630502904959"/>
          <c:w val="0.65364151343754706"/>
          <c:h val="0.61719517455522965"/>
        </c:manualLayout>
      </c:layout>
      <c:lineChart>
        <c:grouping val="standard"/>
        <c:ser>
          <c:idx val="0"/>
          <c:order val="0"/>
          <c:tx>
            <c:strRef>
              <c:f>個別計算!$G$5</c:f>
              <c:strCache>
                <c:ptCount val="1"/>
              </c:strCache>
            </c:strRef>
          </c:tx>
          <c:cat>
            <c:numRef>
              <c:f>個別計算!$F$6:$F$11</c:f>
              <c:numCache>
                <c:formatCode>General</c:formatCode>
                <c:ptCount val="6"/>
              </c:numCache>
            </c:numRef>
          </c:cat>
          <c:val>
            <c:numRef>
              <c:f>個別計算!$G$6:$G$11</c:f>
              <c:numCache>
                <c:formatCode>General</c:formatCode>
                <c:ptCount val="6"/>
              </c:numCache>
            </c:numRef>
          </c:val>
        </c:ser>
        <c:marker val="1"/>
        <c:axId val="89928448"/>
        <c:axId val="89929984"/>
      </c:lineChart>
      <c:catAx>
        <c:axId val="89928448"/>
        <c:scaling>
          <c:orientation val="minMax"/>
        </c:scaling>
        <c:axPos val="b"/>
        <c:numFmt formatCode="General" sourceLinked="1"/>
        <c:tickLblPos val="nextTo"/>
        <c:crossAx val="89929984"/>
        <c:crosses val="autoZero"/>
        <c:auto val="1"/>
        <c:lblAlgn val="ctr"/>
        <c:lblOffset val="100"/>
      </c:catAx>
      <c:valAx>
        <c:axId val="89929984"/>
        <c:scaling>
          <c:orientation val="minMax"/>
        </c:scaling>
        <c:axPos val="l"/>
        <c:majorGridlines/>
        <c:numFmt formatCode="General" sourceLinked="1"/>
        <c:tickLblPos val="nextTo"/>
        <c:crossAx val="899284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99390</xdr:colOff>
      <xdr:row>3</xdr:row>
      <xdr:rowOff>132523</xdr:rowOff>
    </xdr:from>
    <xdr:to>
      <xdr:col>8</xdr:col>
      <xdr:colOff>289890</xdr:colOff>
      <xdr:row>13</xdr:row>
      <xdr:rowOff>132523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A4" sqref="A4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X13"/>
  <sheetViews>
    <sheetView showGridLines="0" tabSelected="1" topLeftCell="D1" zoomScaleNormal="100" workbookViewId="0">
      <selection activeCell="T37" sqref="T37"/>
    </sheetView>
  </sheetViews>
  <sheetFormatPr defaultRowHeight="14.25"/>
  <cols>
    <col min="1" max="1" width="2.5" customWidth="1"/>
    <col min="2" max="2" width="6.25" customWidth="1"/>
    <col min="3" max="3" width="4.25" customWidth="1"/>
    <col min="4" max="4" width="11.75" customWidth="1"/>
    <col min="5" max="5" width="3.5" customWidth="1"/>
    <col min="6" max="6" width="8.875" customWidth="1"/>
    <col min="7" max="7" width="22" customWidth="1"/>
    <col min="8" max="8" width="9.625" customWidth="1"/>
    <col min="9" max="9" width="10.75" customWidth="1"/>
    <col min="10" max="10" width="10" customWidth="1"/>
    <col min="11" max="11" width="10.25" customWidth="1"/>
    <col min="12" max="12" width="9.5" customWidth="1"/>
    <col min="13" max="13" width="12.125" customWidth="1"/>
    <col min="14" max="14" width="9.5" customWidth="1"/>
    <col min="15" max="15" width="11" customWidth="1"/>
    <col min="16" max="16" width="14" customWidth="1"/>
    <col min="18" max="18" width="12.75" customWidth="1"/>
    <col min="19" max="19" width="12.125" customWidth="1"/>
    <col min="21" max="21" width="11.25" customWidth="1"/>
    <col min="22" max="22" width="10" customWidth="1"/>
    <col min="23" max="23" width="12.25" customWidth="1"/>
    <col min="24" max="24" width="11.875" customWidth="1"/>
  </cols>
  <sheetData>
    <row r="1" spans="2:24">
      <c r="C1" s="25" t="s">
        <v>67</v>
      </c>
      <c r="D1" s="25"/>
      <c r="H1" s="1"/>
      <c r="I1" s="1" t="s">
        <v>88</v>
      </c>
      <c r="K1" s="37">
        <v>43745</v>
      </c>
      <c r="U1" s="25" t="s">
        <v>66</v>
      </c>
    </row>
    <row r="2" spans="2:24">
      <c r="R2">
        <f>SUM(R4:R98)</f>
        <v>42181.000000000073</v>
      </c>
    </row>
    <row r="3" spans="2:24">
      <c r="C3" s="22" t="s">
        <v>73</v>
      </c>
      <c r="D3" s="22" t="s">
        <v>68</v>
      </c>
      <c r="E3" s="42" t="s">
        <v>58</v>
      </c>
      <c r="F3" s="43"/>
      <c r="G3" s="43"/>
      <c r="H3" s="22" t="s">
        <v>61</v>
      </c>
      <c r="I3" s="22" t="s">
        <v>62</v>
      </c>
      <c r="J3" s="22" t="s">
        <v>63</v>
      </c>
      <c r="K3" s="22" t="s">
        <v>64</v>
      </c>
      <c r="L3" s="23" t="s">
        <v>59</v>
      </c>
      <c r="M3" s="22" t="s">
        <v>80</v>
      </c>
      <c r="N3" s="22" t="s">
        <v>81</v>
      </c>
      <c r="O3" s="22" t="s">
        <v>82</v>
      </c>
      <c r="P3" s="22" t="s">
        <v>91</v>
      </c>
      <c r="Q3" s="24" t="s">
        <v>57</v>
      </c>
      <c r="R3" s="24" t="s">
        <v>65</v>
      </c>
      <c r="S3" s="24" t="s">
        <v>60</v>
      </c>
      <c r="U3" s="22" t="s">
        <v>74</v>
      </c>
      <c r="V3" s="26" t="s">
        <v>69</v>
      </c>
      <c r="W3" s="26" t="s">
        <v>70</v>
      </c>
      <c r="X3" s="26" t="s">
        <v>71</v>
      </c>
    </row>
    <row r="4" spans="2:24">
      <c r="B4" s="1" t="s">
        <v>25</v>
      </c>
      <c r="C4" s="46">
        <f>ROW()/2-1</f>
        <v>1</v>
      </c>
      <c r="D4" s="30">
        <v>43732</v>
      </c>
      <c r="E4" s="28" t="s">
        <v>77</v>
      </c>
      <c r="F4" s="31">
        <v>6305</v>
      </c>
      <c r="G4" s="36" t="s">
        <v>83</v>
      </c>
      <c r="H4" s="40">
        <v>2638</v>
      </c>
      <c r="I4" s="32">
        <v>300</v>
      </c>
      <c r="J4" s="34">
        <f t="shared" ref="J4:J13" si="0">H4*I4</f>
        <v>791400</v>
      </c>
      <c r="K4" s="28" t="s">
        <v>78</v>
      </c>
      <c r="L4" s="29">
        <v>2438</v>
      </c>
      <c r="M4" s="27">
        <f t="shared" ref="M4:M13" si="1">360*2</f>
        <v>720</v>
      </c>
      <c r="N4" s="33">
        <v>162</v>
      </c>
      <c r="O4" s="33">
        <v>92</v>
      </c>
      <c r="P4" s="28">
        <f>(H4-L4)*I4-M4-N4-O4</f>
        <v>59026</v>
      </c>
      <c r="Q4" s="35">
        <f t="shared" ref="Q4:Q13" si="2">P4/J4</f>
        <v>7.4584281020975488E-2</v>
      </c>
      <c r="R4" s="48">
        <f>P4+P5</f>
        <v>32012</v>
      </c>
      <c r="S4" s="49">
        <f>R4/(J4+J5)</f>
        <v>2.0274874912914055E-2</v>
      </c>
      <c r="U4" s="50">
        <f ca="1">TODAY()</f>
        <v>43745</v>
      </c>
      <c r="V4" s="44">
        <f ca="1">DATEDIF(D4,U4,"d")</f>
        <v>13</v>
      </c>
      <c r="W4" s="44"/>
      <c r="X4" s="45" t="s">
        <v>72</v>
      </c>
    </row>
    <row r="5" spans="2:24">
      <c r="B5" s="1"/>
      <c r="C5" s="47"/>
      <c r="D5" s="30">
        <v>43732</v>
      </c>
      <c r="E5" s="28" t="s">
        <v>79</v>
      </c>
      <c r="F5" s="31">
        <v>3861</v>
      </c>
      <c r="G5" s="36" t="s">
        <v>84</v>
      </c>
      <c r="H5" s="40">
        <v>525</v>
      </c>
      <c r="I5" s="32">
        <v>1500</v>
      </c>
      <c r="J5" s="34">
        <f t="shared" si="0"/>
        <v>787500</v>
      </c>
      <c r="K5" s="28" t="s">
        <v>78</v>
      </c>
      <c r="L5" s="29">
        <v>508</v>
      </c>
      <c r="M5" s="27">
        <f t="shared" si="1"/>
        <v>720</v>
      </c>
      <c r="N5" s="33">
        <v>386</v>
      </c>
      <c r="O5" s="33">
        <v>408</v>
      </c>
      <c r="P5" s="28">
        <f>(L5-H5)*I5-M5-N5-O5</f>
        <v>-27014</v>
      </c>
      <c r="Q5" s="35">
        <f t="shared" si="2"/>
        <v>-3.4303492063492064E-2</v>
      </c>
      <c r="R5" s="48"/>
      <c r="S5" s="48"/>
      <c r="U5" s="44"/>
      <c r="V5" s="44"/>
      <c r="W5" s="44"/>
      <c r="X5" s="44"/>
    </row>
    <row r="6" spans="2:24">
      <c r="B6" s="1" t="s">
        <v>25</v>
      </c>
      <c r="C6" s="46">
        <f>ROW()/2-1</f>
        <v>2</v>
      </c>
      <c r="D6" s="30">
        <v>43742</v>
      </c>
      <c r="E6" s="28" t="s">
        <v>77</v>
      </c>
      <c r="F6" s="31">
        <v>8750</v>
      </c>
      <c r="G6" s="36"/>
      <c r="H6" s="40">
        <v>1635</v>
      </c>
      <c r="I6" s="32">
        <v>600</v>
      </c>
      <c r="J6" s="34">
        <f t="shared" si="0"/>
        <v>981000</v>
      </c>
      <c r="K6" s="36" t="s">
        <v>92</v>
      </c>
      <c r="L6" s="29">
        <v>1624</v>
      </c>
      <c r="M6" s="38">
        <f t="shared" si="1"/>
        <v>720</v>
      </c>
      <c r="N6" s="39">
        <v>162</v>
      </c>
      <c r="O6" s="39">
        <v>92</v>
      </c>
      <c r="P6" s="28">
        <f>(H6-L6)*I6-M6-N6-O6</f>
        <v>5626</v>
      </c>
      <c r="Q6" s="35">
        <f t="shared" si="2"/>
        <v>5.7349643221202857E-3</v>
      </c>
      <c r="R6" s="48">
        <f>P6+P7</f>
        <v>3160.00000000007</v>
      </c>
      <c r="S6" s="49">
        <f t="shared" ref="S6" si="3">R6/(J6+J7)</f>
        <v>1.6168711292310191E-3</v>
      </c>
      <c r="U6" s="50">
        <f ca="1">TODAY()</f>
        <v>43745</v>
      </c>
      <c r="V6" s="44">
        <f ca="1">DATEDIF(D6,U6,"d")</f>
        <v>3</v>
      </c>
      <c r="W6" s="44"/>
      <c r="X6" s="45" t="s">
        <v>72</v>
      </c>
    </row>
    <row r="7" spans="2:24">
      <c r="B7" s="1"/>
      <c r="C7" s="47"/>
      <c r="D7" s="30">
        <v>43742</v>
      </c>
      <c r="E7" s="28" t="s">
        <v>79</v>
      </c>
      <c r="F7" s="31">
        <v>8002</v>
      </c>
      <c r="G7" s="36"/>
      <c r="H7" s="40">
        <v>695.28</v>
      </c>
      <c r="I7" s="32">
        <v>1400</v>
      </c>
      <c r="J7" s="34">
        <f t="shared" si="0"/>
        <v>973392</v>
      </c>
      <c r="K7" s="36" t="s">
        <v>93</v>
      </c>
      <c r="L7" s="29">
        <v>694.6</v>
      </c>
      <c r="M7" s="38">
        <f t="shared" si="1"/>
        <v>720</v>
      </c>
      <c r="N7" s="39">
        <v>386</v>
      </c>
      <c r="O7" s="39">
        <v>408</v>
      </c>
      <c r="P7" s="28">
        <f>(L7-H7)*I7-M7-N7-O7</f>
        <v>-2465.99999999993</v>
      </c>
      <c r="Q7" s="35">
        <f t="shared" si="2"/>
        <v>-2.5334089452141891E-3</v>
      </c>
      <c r="R7" s="48"/>
      <c r="S7" s="48"/>
      <c r="U7" s="44"/>
      <c r="V7" s="44"/>
      <c r="W7" s="44"/>
      <c r="X7" s="44"/>
    </row>
    <row r="8" spans="2:24">
      <c r="B8" s="1" t="s">
        <v>25</v>
      </c>
      <c r="C8" s="46">
        <f>ROW()/2-1</f>
        <v>3</v>
      </c>
      <c r="D8" s="30">
        <v>43745</v>
      </c>
      <c r="E8" s="28" t="s">
        <v>77</v>
      </c>
      <c r="F8" s="31">
        <v>6770</v>
      </c>
      <c r="G8" s="36"/>
      <c r="H8" s="40">
        <v>2105</v>
      </c>
      <c r="I8" s="32">
        <v>400</v>
      </c>
      <c r="J8" s="34">
        <f t="shared" si="0"/>
        <v>842000</v>
      </c>
      <c r="K8" s="28" t="s">
        <v>78</v>
      </c>
      <c r="L8" s="29">
        <v>2043</v>
      </c>
      <c r="M8" s="38">
        <f t="shared" si="1"/>
        <v>720</v>
      </c>
      <c r="N8" s="39">
        <v>162</v>
      </c>
      <c r="O8" s="39">
        <v>92</v>
      </c>
      <c r="P8" s="28">
        <f>(H8-L8)*I8-M8-N8-O8</f>
        <v>23826</v>
      </c>
      <c r="Q8" s="35">
        <f t="shared" si="2"/>
        <v>2.8296912114014253E-2</v>
      </c>
      <c r="R8" s="48">
        <f>P8+P9</f>
        <v>11584.999999999996</v>
      </c>
      <c r="S8" s="49">
        <f t="shared" ref="S8" si="4">R8/(J8+J9)</f>
        <v>6.9240778006953345E-3</v>
      </c>
      <c r="U8" s="50">
        <f ca="1">TODAY()</f>
        <v>43745</v>
      </c>
      <c r="V8" s="44">
        <f ca="1">DATEDIF(D8,U8,"d")</f>
        <v>0</v>
      </c>
      <c r="W8" s="44"/>
      <c r="X8" s="45" t="s">
        <v>72</v>
      </c>
    </row>
    <row r="9" spans="2:24">
      <c r="B9" s="1"/>
      <c r="C9" s="47"/>
      <c r="D9" s="30">
        <v>43745</v>
      </c>
      <c r="E9" s="28" t="s">
        <v>79</v>
      </c>
      <c r="F9" s="31">
        <v>8601</v>
      </c>
      <c r="G9" s="36"/>
      <c r="H9" s="40">
        <v>488.91</v>
      </c>
      <c r="I9" s="32">
        <v>1700</v>
      </c>
      <c r="J9" s="34">
        <f t="shared" si="0"/>
        <v>831147</v>
      </c>
      <c r="K9" s="36" t="s">
        <v>93</v>
      </c>
      <c r="L9" s="29">
        <v>482.6</v>
      </c>
      <c r="M9" s="38">
        <f t="shared" si="1"/>
        <v>720</v>
      </c>
      <c r="N9" s="39">
        <v>386</v>
      </c>
      <c r="O9" s="39">
        <v>408</v>
      </c>
      <c r="P9" s="28">
        <f>(L9-H9)*I9-M9-N9-O9</f>
        <v>-12241.000000000004</v>
      </c>
      <c r="Q9" s="35">
        <f t="shared" si="2"/>
        <v>-1.4727839960921477E-2</v>
      </c>
      <c r="R9" s="48"/>
      <c r="S9" s="48"/>
      <c r="U9" s="44"/>
      <c r="V9" s="44"/>
      <c r="W9" s="44"/>
      <c r="X9" s="44"/>
    </row>
    <row r="10" spans="2:24">
      <c r="B10" s="1" t="s">
        <v>25</v>
      </c>
      <c r="C10" s="46">
        <f>ROW()/2-1</f>
        <v>4</v>
      </c>
      <c r="D10" s="30">
        <v>43745</v>
      </c>
      <c r="E10" s="28" t="s">
        <v>77</v>
      </c>
      <c r="F10" s="31">
        <v>5803</v>
      </c>
      <c r="G10" s="36"/>
      <c r="H10" s="40">
        <v>413</v>
      </c>
      <c r="I10" s="32">
        <v>1700</v>
      </c>
      <c r="J10" s="34">
        <f t="shared" si="0"/>
        <v>702100</v>
      </c>
      <c r="K10" s="28" t="s">
        <v>78</v>
      </c>
      <c r="L10" s="29">
        <v>411</v>
      </c>
      <c r="M10" s="38">
        <f t="shared" si="1"/>
        <v>720</v>
      </c>
      <c r="N10" s="39">
        <v>162</v>
      </c>
      <c r="O10" s="39">
        <v>92</v>
      </c>
      <c r="P10" s="28">
        <f>(H10-L10)*I10-M10-N10-O10</f>
        <v>2426</v>
      </c>
      <c r="Q10" s="35">
        <f t="shared" si="2"/>
        <v>3.455348240991312E-3</v>
      </c>
      <c r="R10" s="48">
        <f>P10+P11</f>
        <v>-2088</v>
      </c>
      <c r="S10" s="49">
        <f t="shared" ref="S10" si="5">R10/(J10+J11)</f>
        <v>-1.510744519209898E-3</v>
      </c>
      <c r="U10" s="50">
        <f ca="1">TODAY()</f>
        <v>43745</v>
      </c>
      <c r="V10" s="44">
        <f ca="1">DATEDIF(D10,U10,"d")</f>
        <v>0</v>
      </c>
      <c r="W10" s="44"/>
      <c r="X10" s="45" t="s">
        <v>72</v>
      </c>
    </row>
    <row r="11" spans="2:24">
      <c r="B11" s="1"/>
      <c r="C11" s="47"/>
      <c r="D11" s="30">
        <v>43745</v>
      </c>
      <c r="E11" s="28" t="s">
        <v>79</v>
      </c>
      <c r="F11" s="31">
        <v>7259</v>
      </c>
      <c r="G11" s="36"/>
      <c r="H11" s="40">
        <v>3400</v>
      </c>
      <c r="I11" s="32">
        <v>200</v>
      </c>
      <c r="J11" s="34">
        <f t="shared" si="0"/>
        <v>680000</v>
      </c>
      <c r="K11" s="36" t="s">
        <v>93</v>
      </c>
      <c r="L11" s="29">
        <v>3385</v>
      </c>
      <c r="M11" s="38">
        <f t="shared" si="1"/>
        <v>720</v>
      </c>
      <c r="N11" s="39">
        <v>386</v>
      </c>
      <c r="O11" s="39">
        <v>408</v>
      </c>
      <c r="P11" s="28">
        <f>(L11-H11)*I11-M11-N11-O11</f>
        <v>-4514</v>
      </c>
      <c r="Q11" s="35">
        <f t="shared" si="2"/>
        <v>-6.638235294117647E-3</v>
      </c>
      <c r="R11" s="48"/>
      <c r="S11" s="48"/>
      <c r="U11" s="44"/>
      <c r="V11" s="44"/>
      <c r="W11" s="44"/>
      <c r="X11" s="44"/>
    </row>
    <row r="12" spans="2:24">
      <c r="B12" s="1" t="s">
        <v>25</v>
      </c>
      <c r="C12" s="46">
        <f>ROW()/2-1</f>
        <v>5</v>
      </c>
      <c r="D12" s="30"/>
      <c r="E12" s="28"/>
      <c r="F12" s="31"/>
      <c r="G12" s="36"/>
      <c r="H12" s="40"/>
      <c r="I12" s="32"/>
      <c r="J12" s="34">
        <f t="shared" si="0"/>
        <v>0</v>
      </c>
      <c r="K12" s="28" t="s">
        <v>78</v>
      </c>
      <c r="L12" s="29"/>
      <c r="M12" s="38">
        <f t="shared" si="1"/>
        <v>720</v>
      </c>
      <c r="N12" s="39">
        <v>162</v>
      </c>
      <c r="O12" s="39">
        <v>92</v>
      </c>
      <c r="P12" s="28">
        <f>(H12-L12)*I12-M12-N12-O12</f>
        <v>-974</v>
      </c>
      <c r="Q12" s="35" t="e">
        <f t="shared" si="2"/>
        <v>#DIV/0!</v>
      </c>
      <c r="R12" s="48">
        <f>P12+P13</f>
        <v>-2488</v>
      </c>
      <c r="S12" s="49" t="e">
        <f t="shared" ref="S12" si="6">R12/(J12+J13)</f>
        <v>#DIV/0!</v>
      </c>
      <c r="U12" s="50">
        <f ca="1">TODAY()</f>
        <v>43745</v>
      </c>
      <c r="V12" s="44">
        <f ca="1">DATEDIF(D12,U12,"d")</f>
        <v>43745</v>
      </c>
      <c r="W12" s="44"/>
      <c r="X12" s="45" t="s">
        <v>72</v>
      </c>
    </row>
    <row r="13" spans="2:24">
      <c r="B13" s="1"/>
      <c r="C13" s="47"/>
      <c r="D13" s="30"/>
      <c r="E13" s="28"/>
      <c r="F13" s="31"/>
      <c r="G13" s="36"/>
      <c r="H13" s="40"/>
      <c r="I13" s="32"/>
      <c r="J13" s="34">
        <f t="shared" si="0"/>
        <v>0</v>
      </c>
      <c r="K13" s="36" t="s">
        <v>93</v>
      </c>
      <c r="L13" s="29"/>
      <c r="M13" s="38">
        <f t="shared" si="1"/>
        <v>720</v>
      </c>
      <c r="N13" s="39">
        <v>386</v>
      </c>
      <c r="O13" s="39">
        <v>408</v>
      </c>
      <c r="P13" s="28">
        <f>(L13-H13)*I13-M13-N13-O13</f>
        <v>-1514</v>
      </c>
      <c r="Q13" s="35" t="e">
        <f t="shared" si="2"/>
        <v>#DIV/0!</v>
      </c>
      <c r="R13" s="48"/>
      <c r="S13" s="48"/>
      <c r="U13" s="44"/>
      <c r="V13" s="44"/>
      <c r="W13" s="44"/>
      <c r="X13" s="44"/>
    </row>
  </sheetData>
  <mergeCells count="36">
    <mergeCell ref="W10:W11"/>
    <mergeCell ref="X10:X11"/>
    <mergeCell ref="C12:C13"/>
    <mergeCell ref="R12:R13"/>
    <mergeCell ref="S12:S13"/>
    <mergeCell ref="U12:U13"/>
    <mergeCell ref="V12:V13"/>
    <mergeCell ref="W12:W13"/>
    <mergeCell ref="X12:X13"/>
    <mergeCell ref="C10:C11"/>
    <mergeCell ref="R10:R11"/>
    <mergeCell ref="S10:S11"/>
    <mergeCell ref="U10:U11"/>
    <mergeCell ref="V10:V11"/>
    <mergeCell ref="W6:W7"/>
    <mergeCell ref="X6:X7"/>
    <mergeCell ref="C8:C9"/>
    <mergeCell ref="R8:R9"/>
    <mergeCell ref="S8:S9"/>
    <mergeCell ref="U8:U9"/>
    <mergeCell ref="V8:V9"/>
    <mergeCell ref="W8:W9"/>
    <mergeCell ref="X8:X9"/>
    <mergeCell ref="C6:C7"/>
    <mergeCell ref="R6:R7"/>
    <mergeCell ref="S6:S7"/>
    <mergeCell ref="U6:U7"/>
    <mergeCell ref="V6:V7"/>
    <mergeCell ref="E3:G3"/>
    <mergeCell ref="W4:W5"/>
    <mergeCell ref="X4:X5"/>
    <mergeCell ref="C4:C5"/>
    <mergeCell ref="R4:R5"/>
    <mergeCell ref="S4:S5"/>
    <mergeCell ref="U4:U5"/>
    <mergeCell ref="V4:V5"/>
  </mergeCells>
  <phoneticPr fontId="1" type="noConversion"/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3"/>
  <dimension ref="B1:T5"/>
  <sheetViews>
    <sheetView showGridLines="0" zoomScaleNormal="100" workbookViewId="0">
      <selection activeCell="F34" sqref="F34"/>
    </sheetView>
  </sheetViews>
  <sheetFormatPr defaultRowHeight="14.25"/>
  <cols>
    <col min="1" max="1" width="2.5" customWidth="1"/>
    <col min="2" max="2" width="6.25" customWidth="1"/>
    <col min="3" max="3" width="4.25" customWidth="1"/>
    <col min="4" max="4" width="11.75" customWidth="1"/>
    <col min="5" max="5" width="3.5" customWidth="1"/>
    <col min="6" max="6" width="8.875" customWidth="1"/>
    <col min="7" max="7" width="22" customWidth="1"/>
    <col min="8" max="8" width="9.625" customWidth="1"/>
    <col min="9" max="9" width="10.75" customWidth="1"/>
    <col min="10" max="10" width="10" customWidth="1"/>
    <col min="11" max="11" width="10.25" customWidth="1"/>
    <col min="12" max="12" width="9.5" customWidth="1"/>
    <col min="13" max="13" width="12.125" customWidth="1"/>
    <col min="14" max="14" width="9.5" customWidth="1"/>
    <col min="15" max="15" width="11" customWidth="1"/>
    <col min="16" max="16" width="14" customWidth="1"/>
    <col min="18" max="18" width="12.75" customWidth="1"/>
    <col min="19" max="19" width="12.125" customWidth="1"/>
  </cols>
  <sheetData>
    <row r="1" spans="2:20">
      <c r="C1" s="25" t="s">
        <v>67</v>
      </c>
      <c r="D1" s="25"/>
      <c r="H1" s="1"/>
      <c r="I1" s="1" t="s">
        <v>88</v>
      </c>
      <c r="K1" s="37">
        <v>43742</v>
      </c>
    </row>
    <row r="2" spans="2:20">
      <c r="R2">
        <f>SUM(R4:R96)</f>
        <v>32</v>
      </c>
    </row>
    <row r="3" spans="2:20">
      <c r="C3" s="22" t="s">
        <v>73</v>
      </c>
      <c r="D3" s="22" t="s">
        <v>68</v>
      </c>
      <c r="E3" s="42" t="s">
        <v>58</v>
      </c>
      <c r="F3" s="43"/>
      <c r="G3" s="43"/>
      <c r="H3" s="22" t="s">
        <v>61</v>
      </c>
      <c r="I3" s="22" t="s">
        <v>62</v>
      </c>
      <c r="J3" s="22" t="s">
        <v>63</v>
      </c>
      <c r="K3" s="22" t="s">
        <v>64</v>
      </c>
      <c r="L3" s="23" t="s">
        <v>89</v>
      </c>
      <c r="M3" s="22" t="s">
        <v>80</v>
      </c>
      <c r="N3" s="22" t="s">
        <v>81</v>
      </c>
      <c r="O3" s="22" t="s">
        <v>82</v>
      </c>
      <c r="P3" s="22" t="s">
        <v>80</v>
      </c>
      <c r="Q3" s="24" t="s">
        <v>57</v>
      </c>
      <c r="R3" s="24" t="s">
        <v>65</v>
      </c>
      <c r="S3" s="24" t="s">
        <v>60</v>
      </c>
    </row>
    <row r="4" spans="2:20">
      <c r="B4" s="1" t="s">
        <v>85</v>
      </c>
      <c r="C4" s="44">
        <v>1</v>
      </c>
      <c r="D4" s="30">
        <v>43726</v>
      </c>
      <c r="E4" s="28" t="s">
        <v>77</v>
      </c>
      <c r="F4" s="31">
        <v>6472</v>
      </c>
      <c r="G4" s="28" t="s">
        <v>75</v>
      </c>
      <c r="H4" s="29">
        <v>320</v>
      </c>
      <c r="I4" s="32">
        <v>1200</v>
      </c>
      <c r="J4" s="34">
        <f>H4*I4</f>
        <v>384000</v>
      </c>
      <c r="K4" s="28" t="s">
        <v>78</v>
      </c>
      <c r="L4" s="39">
        <v>313</v>
      </c>
      <c r="M4" s="38">
        <f>180*2</f>
        <v>360</v>
      </c>
      <c r="N4" s="39">
        <v>162</v>
      </c>
      <c r="O4" s="39">
        <v>92</v>
      </c>
      <c r="P4" s="28">
        <f>(H4-L4)*I4-M4-N4-O4</f>
        <v>7786</v>
      </c>
      <c r="Q4" s="35">
        <f>P4/J4</f>
        <v>2.0276041666666668E-2</v>
      </c>
      <c r="R4" s="48">
        <f>P4+P5</f>
        <v>32</v>
      </c>
      <c r="S4" s="49">
        <f>Q4+Q5</f>
        <v>-1.3372931532686649E-3</v>
      </c>
    </row>
    <row r="5" spans="2:20">
      <c r="B5" s="1"/>
      <c r="C5" s="44"/>
      <c r="D5" s="30">
        <v>43726</v>
      </c>
      <c r="E5" s="28" t="s">
        <v>79</v>
      </c>
      <c r="F5" s="31">
        <v>6752</v>
      </c>
      <c r="G5" s="28" t="s">
        <v>76</v>
      </c>
      <c r="H5" s="29">
        <v>896.9</v>
      </c>
      <c r="I5" s="32">
        <v>400</v>
      </c>
      <c r="J5" s="34">
        <f>H5*I5</f>
        <v>358760</v>
      </c>
      <c r="K5" s="28" t="s">
        <v>78</v>
      </c>
      <c r="L5" s="39">
        <v>880.4</v>
      </c>
      <c r="M5" s="38">
        <f>180*2</f>
        <v>360</v>
      </c>
      <c r="N5" s="39">
        <v>386</v>
      </c>
      <c r="O5" s="39">
        <v>408</v>
      </c>
      <c r="P5" s="28">
        <f>(L5-H5)*I5-M5-N5-O5</f>
        <v>-7754</v>
      </c>
      <c r="Q5" s="35">
        <f>P5/J5</f>
        <v>-2.1613334819935333E-2</v>
      </c>
      <c r="R5" s="48"/>
      <c r="S5" s="48"/>
      <c r="T5" s="1" t="s">
        <v>90</v>
      </c>
    </row>
  </sheetData>
  <mergeCells count="4">
    <mergeCell ref="E3:G3"/>
    <mergeCell ref="C4:C5"/>
    <mergeCell ref="R4:R5"/>
    <mergeCell ref="S4:S5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H17"/>
  <sheetViews>
    <sheetView showGridLines="0" zoomScale="115" zoomScaleNormal="115" workbookViewId="0">
      <selection activeCell="I11" sqref="I11"/>
    </sheetView>
  </sheetViews>
  <sheetFormatPr defaultRowHeight="14.25"/>
  <cols>
    <col min="2" max="2" width="16.375" customWidth="1"/>
    <col min="3" max="3" width="13.375" customWidth="1"/>
    <col min="4" max="4" width="13.625" customWidth="1"/>
    <col min="6" max="6" width="19" customWidth="1"/>
    <col min="7" max="7" width="11.625" bestFit="1" customWidth="1"/>
  </cols>
  <sheetData>
    <row r="1" spans="1:8">
      <c r="B1" s="1" t="s">
        <v>1</v>
      </c>
    </row>
    <row r="3" spans="1:8">
      <c r="B3" s="4" t="s">
        <v>2</v>
      </c>
      <c r="C3" s="2" t="s">
        <v>3</v>
      </c>
      <c r="F3" s="4" t="s">
        <v>16</v>
      </c>
      <c r="G3" s="11">
        <v>2000000</v>
      </c>
    </row>
    <row r="4" spans="1:8">
      <c r="B4" s="4" t="s">
        <v>4</v>
      </c>
      <c r="C4" s="5">
        <v>43737</v>
      </c>
      <c r="F4" s="4" t="s">
        <v>17</v>
      </c>
      <c r="G4" s="7">
        <v>0.1</v>
      </c>
    </row>
    <row r="5" spans="1:8">
      <c r="B5" s="8"/>
    </row>
    <row r="6" spans="1:8">
      <c r="A6" s="10"/>
      <c r="B6" s="9"/>
      <c r="C6" s="2" t="s">
        <v>6</v>
      </c>
      <c r="D6" s="2" t="s">
        <v>7</v>
      </c>
      <c r="F6" s="1" t="s">
        <v>18</v>
      </c>
    </row>
    <row r="7" spans="1:8">
      <c r="B7" s="4" t="s">
        <v>5</v>
      </c>
      <c r="C7" s="7">
        <v>0.05</v>
      </c>
      <c r="D7" s="7">
        <v>0.2</v>
      </c>
      <c r="F7" s="4" t="s">
        <v>19</v>
      </c>
      <c r="G7" s="7">
        <v>0.05</v>
      </c>
    </row>
    <row r="8" spans="1:8">
      <c r="B8" s="4" t="s">
        <v>8</v>
      </c>
      <c r="C8" s="3">
        <v>1.5</v>
      </c>
      <c r="D8" s="3">
        <v>3</v>
      </c>
      <c r="F8" s="4" t="s">
        <v>20</v>
      </c>
      <c r="G8" s="7">
        <v>0.05</v>
      </c>
    </row>
    <row r="9" spans="1:8">
      <c r="B9" s="4" t="s">
        <v>9</v>
      </c>
      <c r="C9" s="3">
        <v>0.8</v>
      </c>
      <c r="D9" s="3">
        <v>1</v>
      </c>
      <c r="E9" s="1"/>
      <c r="F9" s="4" t="s">
        <v>21</v>
      </c>
      <c r="G9" s="3">
        <v>2</v>
      </c>
      <c r="H9" s="1" t="s">
        <v>23</v>
      </c>
    </row>
    <row r="10" spans="1:8">
      <c r="B10" s="4" t="s">
        <v>10</v>
      </c>
      <c r="C10" s="3">
        <v>2</v>
      </c>
      <c r="D10" s="3">
        <v>3</v>
      </c>
      <c r="E10" s="12"/>
      <c r="F10" s="13"/>
      <c r="G10" s="8"/>
      <c r="H10" s="10"/>
    </row>
    <row r="11" spans="1:8">
      <c r="B11" s="4" t="s">
        <v>11</v>
      </c>
      <c r="C11" s="2" t="s">
        <v>15</v>
      </c>
      <c r="D11" s="6"/>
      <c r="E11" s="1" t="s">
        <v>24</v>
      </c>
    </row>
    <row r="12" spans="1:8">
      <c r="B12" s="4" t="s">
        <v>12</v>
      </c>
      <c r="C12" s="2" t="s">
        <v>14</v>
      </c>
      <c r="D12" s="6"/>
    </row>
    <row r="13" spans="1:8">
      <c r="B13" s="4" t="s">
        <v>13</v>
      </c>
      <c r="C13" s="3">
        <v>200</v>
      </c>
      <c r="D13" s="6"/>
    </row>
    <row r="16" spans="1:8">
      <c r="B16" s="1"/>
    </row>
    <row r="17" spans="2:6">
      <c r="B17" s="4" t="s">
        <v>86</v>
      </c>
      <c r="C17" s="51" t="s">
        <v>87</v>
      </c>
      <c r="D17" s="52"/>
      <c r="E17" s="53"/>
      <c r="F17" s="53"/>
    </row>
  </sheetData>
  <mergeCells count="1">
    <mergeCell ref="C17:F17"/>
  </mergeCells>
  <phoneticPr fontId="1" type="noConversion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2:L4"/>
  <sheetViews>
    <sheetView showGridLines="0" zoomScale="130" zoomScaleNormal="130" workbookViewId="0">
      <selection activeCell="J30" sqref="J30"/>
    </sheetView>
  </sheetViews>
  <sheetFormatPr defaultRowHeight="14.25"/>
  <cols>
    <col min="1" max="1" width="5.625" customWidth="1"/>
    <col min="2" max="2" width="3.5" bestFit="1" customWidth="1"/>
  </cols>
  <sheetData>
    <row r="2" spans="1:12">
      <c r="C2" s="14" t="s">
        <v>31</v>
      </c>
      <c r="D2" s="15"/>
      <c r="E2" s="15"/>
      <c r="F2" s="15"/>
      <c r="G2" s="16" t="s">
        <v>30</v>
      </c>
      <c r="H2" s="17"/>
      <c r="I2" s="17"/>
      <c r="J2" s="17"/>
      <c r="K2" s="1" t="s">
        <v>32</v>
      </c>
    </row>
    <row r="3" spans="1:12">
      <c r="A3" s="1"/>
      <c r="B3" s="1"/>
      <c r="C3" s="14" t="s">
        <v>26</v>
      </c>
      <c r="D3" s="14" t="s">
        <v>28</v>
      </c>
      <c r="E3" s="14" t="s">
        <v>29</v>
      </c>
      <c r="F3" s="14" t="s">
        <v>12</v>
      </c>
      <c r="G3" s="16" t="s">
        <v>26</v>
      </c>
      <c r="H3" s="16" t="s">
        <v>28</v>
      </c>
      <c r="I3" s="16" t="s">
        <v>29</v>
      </c>
      <c r="J3" s="16" t="s">
        <v>12</v>
      </c>
      <c r="K3" s="1" t="s">
        <v>33</v>
      </c>
      <c r="L3" s="1" t="s">
        <v>34</v>
      </c>
    </row>
    <row r="4" spans="1:12">
      <c r="A4" s="1" t="s">
        <v>25</v>
      </c>
      <c r="B4" s="1" t="s">
        <v>27</v>
      </c>
      <c r="C4">
        <v>8804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B1:K26"/>
  <sheetViews>
    <sheetView showGridLines="0" zoomScale="115" zoomScaleNormal="115" workbookViewId="0">
      <selection activeCell="K12" sqref="K12"/>
    </sheetView>
  </sheetViews>
  <sheetFormatPr defaultRowHeight="14.25"/>
  <cols>
    <col min="1" max="1" width="1.25" customWidth="1"/>
    <col min="2" max="2" width="11.375" customWidth="1"/>
    <col min="3" max="3" width="15.375" customWidth="1"/>
    <col min="4" max="4" width="13.375" customWidth="1"/>
    <col min="5" max="5" width="10.875" customWidth="1"/>
    <col min="6" max="6" width="13" customWidth="1"/>
    <col min="7" max="7" width="15.75" customWidth="1"/>
  </cols>
  <sheetData>
    <row r="1" spans="3:11">
      <c r="F1" s="16" t="s">
        <v>28</v>
      </c>
      <c r="G1" s="16" t="s">
        <v>41</v>
      </c>
      <c r="H1" s="16" t="s">
        <v>42</v>
      </c>
      <c r="I1" s="16" t="s">
        <v>29</v>
      </c>
      <c r="J1" s="16" t="s">
        <v>12</v>
      </c>
    </row>
    <row r="2" spans="3:11">
      <c r="C2" s="54" t="s">
        <v>35</v>
      </c>
      <c r="D2" s="53"/>
      <c r="E2">
        <v>8804</v>
      </c>
      <c r="G2" s="1" t="s">
        <v>43</v>
      </c>
    </row>
    <row r="3" spans="3:11">
      <c r="C3" s="54" t="s">
        <v>46</v>
      </c>
      <c r="D3" s="53"/>
      <c r="E3">
        <v>5711</v>
      </c>
    </row>
    <row r="4" spans="3:11">
      <c r="C4" s="54" t="s">
        <v>36</v>
      </c>
      <c r="D4" s="53"/>
    </row>
    <row r="5" spans="3:11">
      <c r="C5" s="54" t="s">
        <v>37</v>
      </c>
      <c r="D5" s="53"/>
    </row>
    <row r="6" spans="3:11">
      <c r="C6" s="54" t="s">
        <v>39</v>
      </c>
      <c r="D6" s="53"/>
    </row>
    <row r="7" spans="3:11">
      <c r="C7" s="54" t="s">
        <v>38</v>
      </c>
      <c r="D7" s="53"/>
    </row>
    <row r="8" spans="3:11">
      <c r="C8" s="54" t="s">
        <v>40</v>
      </c>
      <c r="D8" s="53"/>
      <c r="K8" s="1" t="s">
        <v>52</v>
      </c>
    </row>
    <row r="9" spans="3:11">
      <c r="C9" s="54" t="s">
        <v>22</v>
      </c>
      <c r="D9" s="53"/>
      <c r="K9" s="1" t="s">
        <v>53</v>
      </c>
    </row>
    <row r="10" spans="3:11">
      <c r="C10" s="54" t="s">
        <v>9</v>
      </c>
      <c r="D10" s="53"/>
      <c r="K10" s="1" t="s">
        <v>54</v>
      </c>
    </row>
    <row r="11" spans="3:11">
      <c r="K11" s="1" t="s">
        <v>34</v>
      </c>
    </row>
    <row r="16" spans="3:11">
      <c r="C16" s="18" t="s">
        <v>44</v>
      </c>
      <c r="D16" s="18" t="s">
        <v>45</v>
      </c>
      <c r="E16" s="1"/>
    </row>
    <row r="17" spans="2:8">
      <c r="C17">
        <v>333</v>
      </c>
      <c r="D17">
        <v>222</v>
      </c>
    </row>
    <row r="18" spans="2:8">
      <c r="B18" s="3"/>
      <c r="C18" s="19" t="s">
        <v>47</v>
      </c>
      <c r="D18" s="19" t="s">
        <v>48</v>
      </c>
      <c r="E18" s="19" t="s">
        <v>49</v>
      </c>
      <c r="F18" s="19" t="s">
        <v>50</v>
      </c>
      <c r="G18" s="19" t="s">
        <v>51</v>
      </c>
      <c r="H18" s="19" t="s">
        <v>0</v>
      </c>
    </row>
    <row r="19" spans="2:8">
      <c r="B19" s="20">
        <v>43737</v>
      </c>
      <c r="C19" s="3"/>
      <c r="D19" s="3"/>
      <c r="E19" s="3"/>
      <c r="F19" s="3"/>
      <c r="G19" s="3"/>
      <c r="H19" s="3"/>
    </row>
    <row r="20" spans="2:8">
      <c r="B20" s="20">
        <v>43737</v>
      </c>
      <c r="C20" s="3"/>
      <c r="D20" s="3"/>
      <c r="E20" s="3"/>
      <c r="F20" s="3"/>
      <c r="G20" s="3"/>
      <c r="H20" s="3"/>
    </row>
    <row r="21" spans="2:8">
      <c r="B21" s="21"/>
      <c r="C21" s="3"/>
      <c r="D21" s="3"/>
      <c r="E21" s="3"/>
      <c r="F21" s="3"/>
      <c r="G21" s="3"/>
      <c r="H21" s="3"/>
    </row>
    <row r="22" spans="2:8">
      <c r="B22" s="21"/>
      <c r="C22" s="3"/>
      <c r="D22" s="3"/>
      <c r="E22" s="3"/>
      <c r="F22" s="3"/>
      <c r="G22" s="3"/>
      <c r="H22" s="3"/>
    </row>
    <row r="23" spans="2:8">
      <c r="B23" s="21"/>
      <c r="C23" s="3"/>
      <c r="D23" s="3"/>
      <c r="E23" s="3"/>
      <c r="F23" s="3"/>
      <c r="G23" s="3"/>
      <c r="H23" s="3"/>
    </row>
    <row r="24" spans="2:8">
      <c r="B24" s="21"/>
      <c r="C24" s="3"/>
      <c r="D24" s="3"/>
      <c r="E24" s="3"/>
      <c r="F24" s="3"/>
      <c r="G24" s="3"/>
      <c r="H24" s="3"/>
    </row>
    <row r="25" spans="2:8">
      <c r="B25" s="21"/>
      <c r="C25" s="3"/>
      <c r="D25" s="3"/>
      <c r="E25" s="3"/>
      <c r="F25" s="3"/>
      <c r="G25" s="3"/>
      <c r="H25" s="3"/>
    </row>
    <row r="26" spans="2:8">
      <c r="B26" s="21"/>
      <c r="C26" s="3"/>
      <c r="D26" s="3"/>
      <c r="E26" s="3"/>
      <c r="F26" s="3"/>
      <c r="G26" s="3"/>
      <c r="H26" s="3"/>
    </row>
  </sheetData>
  <mergeCells count="9">
    <mergeCell ref="C8:D8"/>
    <mergeCell ref="C9:D9"/>
    <mergeCell ref="C10:D10"/>
    <mergeCell ref="C2:D2"/>
    <mergeCell ref="C3:D3"/>
    <mergeCell ref="C4:D4"/>
    <mergeCell ref="C5:D5"/>
    <mergeCell ref="C6:D6"/>
    <mergeCell ref="C7:D7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:A2"/>
  <sheetViews>
    <sheetView workbookViewId="0">
      <selection activeCell="A6" sqref="A6"/>
    </sheetView>
  </sheetViews>
  <sheetFormatPr defaultRowHeight="14.25"/>
  <sheetData>
    <row r="1" spans="1:1">
      <c r="A1" s="1" t="s">
        <v>55</v>
      </c>
    </row>
    <row r="2" spans="1:1">
      <c r="A2" s="1" t="s">
        <v>56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showGridLines="0" workbookViewId="0">
      <selection activeCell="F42" sqref="F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F42" sqref="F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A1:AE335"/>
  <sheetViews>
    <sheetView workbookViewId="0">
      <selection activeCell="F39" sqref="F39"/>
    </sheetView>
  </sheetViews>
  <sheetFormatPr defaultRowHeight="14.25"/>
  <sheetData>
    <row r="1" spans="1:31">
      <c r="B1" t="s">
        <v>196</v>
      </c>
      <c r="C1" t="s">
        <v>197</v>
      </c>
      <c r="D1" t="s">
        <v>198</v>
      </c>
      <c r="E1" t="s">
        <v>199</v>
      </c>
      <c r="F1" t="s">
        <v>200</v>
      </c>
      <c r="G1" t="s">
        <v>201</v>
      </c>
      <c r="H1" t="s">
        <v>202</v>
      </c>
      <c r="I1" t="s">
        <v>203</v>
      </c>
      <c r="J1" t="s">
        <v>94</v>
      </c>
      <c r="K1" t="s">
        <v>204</v>
      </c>
      <c r="L1" t="s">
        <v>205</v>
      </c>
      <c r="M1" t="s">
        <v>206</v>
      </c>
      <c r="N1" t="s">
        <v>207</v>
      </c>
      <c r="O1" t="s">
        <v>208</v>
      </c>
      <c r="P1" t="s">
        <v>209</v>
      </c>
      <c r="Q1" t="s">
        <v>210</v>
      </c>
      <c r="R1" t="s">
        <v>211</v>
      </c>
      <c r="S1" t="s">
        <v>212</v>
      </c>
      <c r="T1" t="s">
        <v>213</v>
      </c>
      <c r="U1" t="s">
        <v>214</v>
      </c>
      <c r="V1" t="s">
        <v>215</v>
      </c>
      <c r="W1" t="s">
        <v>216</v>
      </c>
      <c r="X1" t="s">
        <v>217</v>
      </c>
      <c r="Y1" t="s">
        <v>218</v>
      </c>
      <c r="Z1" t="s">
        <v>219</v>
      </c>
      <c r="AA1" t="s">
        <v>220</v>
      </c>
      <c r="AB1" t="s">
        <v>221</v>
      </c>
      <c r="AC1" t="s">
        <v>222</v>
      </c>
      <c r="AD1" t="s">
        <v>223</v>
      </c>
      <c r="AE1" t="s">
        <v>224</v>
      </c>
    </row>
    <row r="2" spans="1:31">
      <c r="A2">
        <v>275</v>
      </c>
      <c r="B2">
        <v>6586</v>
      </c>
      <c r="C2" t="s">
        <v>225</v>
      </c>
      <c r="D2" t="s">
        <v>226</v>
      </c>
      <c r="E2">
        <v>3030</v>
      </c>
      <c r="F2">
        <v>3045</v>
      </c>
      <c r="G2">
        <v>300</v>
      </c>
      <c r="H2" t="s">
        <v>227</v>
      </c>
      <c r="I2">
        <v>7278</v>
      </c>
      <c r="J2" t="s">
        <v>96</v>
      </c>
      <c r="K2" t="s">
        <v>228</v>
      </c>
      <c r="L2">
        <v>2092</v>
      </c>
      <c r="M2">
        <v>2080</v>
      </c>
      <c r="N2">
        <v>400</v>
      </c>
      <c r="O2" t="s">
        <v>229</v>
      </c>
      <c r="P2">
        <v>0.91054653161398003</v>
      </c>
      <c r="Q2">
        <v>0.93846099472410205</v>
      </c>
      <c r="R2">
        <v>0.25117832840225202</v>
      </c>
      <c r="S2">
        <v>6.0311570747236401E-3</v>
      </c>
      <c r="T2">
        <v>-2.6599587224944399</v>
      </c>
      <c r="U2">
        <v>2.6599587224944399</v>
      </c>
      <c r="V2">
        <v>-8.5</v>
      </c>
      <c r="W2">
        <v>8.92</v>
      </c>
      <c r="X2">
        <v>216672</v>
      </c>
      <c r="Y2">
        <v>27084</v>
      </c>
      <c r="Z2">
        <v>1.39</v>
      </c>
      <c r="AA2">
        <v>8</v>
      </c>
      <c r="AB2">
        <v>6</v>
      </c>
      <c r="AC2">
        <v>2</v>
      </c>
      <c r="AD2">
        <v>75</v>
      </c>
      <c r="AE2">
        <v>12</v>
      </c>
    </row>
    <row r="3" spans="1:31">
      <c r="A3">
        <v>268</v>
      </c>
      <c r="B3">
        <v>6770</v>
      </c>
      <c r="C3" t="s">
        <v>230</v>
      </c>
      <c r="D3" t="s">
        <v>231</v>
      </c>
      <c r="E3">
        <v>2105</v>
      </c>
      <c r="F3">
        <v>2043</v>
      </c>
      <c r="G3">
        <v>400</v>
      </c>
      <c r="H3" t="s">
        <v>229</v>
      </c>
      <c r="I3">
        <v>8306</v>
      </c>
      <c r="J3" t="s">
        <v>98</v>
      </c>
      <c r="K3" t="s">
        <v>232</v>
      </c>
      <c r="L3">
        <v>538.29999999999995</v>
      </c>
      <c r="M3">
        <v>532.79999999999995</v>
      </c>
      <c r="N3">
        <v>1500</v>
      </c>
      <c r="O3" t="s">
        <v>227</v>
      </c>
      <c r="P3">
        <v>0.91135245864583403</v>
      </c>
      <c r="Q3">
        <v>0.93370632099857098</v>
      </c>
      <c r="R3">
        <v>2.9166759793773998E-2</v>
      </c>
      <c r="S3">
        <v>0.33429866088043703</v>
      </c>
      <c r="T3">
        <v>2.64535393146785</v>
      </c>
      <c r="U3">
        <v>2.64535393146785</v>
      </c>
      <c r="V3">
        <v>6.41</v>
      </c>
      <c r="W3">
        <v>2.2000000000000002</v>
      </c>
      <c r="X3">
        <v>-95865</v>
      </c>
      <c r="Y3">
        <v>-7374</v>
      </c>
      <c r="Z3">
        <v>-0.49</v>
      </c>
      <c r="AA3">
        <v>13</v>
      </c>
      <c r="AB3">
        <v>6</v>
      </c>
      <c r="AC3">
        <v>7</v>
      </c>
      <c r="AD3">
        <v>46.15</v>
      </c>
      <c r="AE3">
        <v>13</v>
      </c>
    </row>
    <row r="4" spans="1:31">
      <c r="A4">
        <v>137</v>
      </c>
      <c r="B4">
        <v>3635</v>
      </c>
      <c r="C4" t="s">
        <v>233</v>
      </c>
      <c r="D4" t="s">
        <v>234</v>
      </c>
      <c r="E4">
        <v>2275</v>
      </c>
      <c r="F4">
        <v>2287</v>
      </c>
      <c r="G4">
        <v>300</v>
      </c>
      <c r="H4" t="s">
        <v>227</v>
      </c>
      <c r="I4">
        <v>4612</v>
      </c>
      <c r="J4" t="s">
        <v>99</v>
      </c>
      <c r="K4" t="s">
        <v>235</v>
      </c>
      <c r="L4">
        <v>5770</v>
      </c>
      <c r="M4">
        <v>5890</v>
      </c>
      <c r="N4">
        <v>100</v>
      </c>
      <c r="O4" t="s">
        <v>229</v>
      </c>
      <c r="P4">
        <v>0.93750204587389496</v>
      </c>
      <c r="Q4">
        <v>0.92852841862079105</v>
      </c>
      <c r="R4">
        <v>0.23474414510816899</v>
      </c>
      <c r="S4">
        <v>3.5226340404108901E-4</v>
      </c>
      <c r="T4">
        <v>-2.6338342278377298</v>
      </c>
      <c r="U4">
        <v>2.6338342278377298</v>
      </c>
      <c r="V4">
        <v>-14.56</v>
      </c>
      <c r="W4">
        <v>16.489999999999998</v>
      </c>
      <c r="X4">
        <v>35256</v>
      </c>
      <c r="Y4">
        <v>2518</v>
      </c>
      <c r="Z4">
        <v>0.16</v>
      </c>
      <c r="AA4">
        <v>14</v>
      </c>
      <c r="AB4">
        <v>8</v>
      </c>
      <c r="AC4">
        <v>6</v>
      </c>
      <c r="AD4">
        <v>57.14</v>
      </c>
      <c r="AE4">
        <v>10</v>
      </c>
    </row>
    <row r="5" spans="1:31">
      <c r="A5">
        <v>10</v>
      </c>
      <c r="B5">
        <v>7186</v>
      </c>
      <c r="C5" t="s">
        <v>236</v>
      </c>
      <c r="D5" t="s">
        <v>232</v>
      </c>
      <c r="E5">
        <v>407</v>
      </c>
      <c r="F5">
        <v>409</v>
      </c>
      <c r="G5">
        <v>1800</v>
      </c>
      <c r="H5" t="s">
        <v>229</v>
      </c>
      <c r="I5">
        <v>8309</v>
      </c>
      <c r="J5" t="s">
        <v>101</v>
      </c>
      <c r="K5" t="s">
        <v>232</v>
      </c>
      <c r="L5">
        <v>3780</v>
      </c>
      <c r="M5">
        <v>3739</v>
      </c>
      <c r="N5">
        <v>200</v>
      </c>
      <c r="O5" t="s">
        <v>227</v>
      </c>
      <c r="P5">
        <v>0.97174741928105002</v>
      </c>
      <c r="Q5">
        <v>0.95366726938979696</v>
      </c>
      <c r="R5">
        <v>3.5989595977424599E-2</v>
      </c>
      <c r="S5">
        <v>5.5724937445811099E-2</v>
      </c>
      <c r="T5">
        <v>2.5491687500661202</v>
      </c>
      <c r="U5">
        <v>2.5491687500661202</v>
      </c>
      <c r="V5">
        <v>4.4800000000000004</v>
      </c>
      <c r="W5">
        <v>1.55</v>
      </c>
      <c r="X5">
        <v>43713</v>
      </c>
      <c r="Y5">
        <v>2428</v>
      </c>
      <c r="Z5">
        <v>0.13</v>
      </c>
      <c r="AA5">
        <v>18</v>
      </c>
      <c r="AB5">
        <v>9</v>
      </c>
      <c r="AC5">
        <v>9</v>
      </c>
      <c r="AD5">
        <v>50</v>
      </c>
      <c r="AE5">
        <v>13</v>
      </c>
    </row>
    <row r="6" spans="1:31">
      <c r="A6">
        <v>287</v>
      </c>
      <c r="B6">
        <v>5301</v>
      </c>
      <c r="C6" t="s">
        <v>237</v>
      </c>
      <c r="D6" t="s">
        <v>238</v>
      </c>
      <c r="E6">
        <v>1074</v>
      </c>
      <c r="F6">
        <v>1061</v>
      </c>
      <c r="G6">
        <v>900</v>
      </c>
      <c r="H6" t="s">
        <v>227</v>
      </c>
      <c r="I6">
        <v>7251</v>
      </c>
      <c r="J6" t="s">
        <v>103</v>
      </c>
      <c r="K6" t="s">
        <v>228</v>
      </c>
      <c r="L6">
        <v>1633</v>
      </c>
      <c r="M6">
        <v>1636</v>
      </c>
      <c r="N6">
        <v>600</v>
      </c>
      <c r="O6" t="s">
        <v>229</v>
      </c>
      <c r="P6">
        <v>0.90900356968092999</v>
      </c>
      <c r="Q6">
        <v>0.95677700444907798</v>
      </c>
      <c r="R6">
        <v>2.5544183546094201E-3</v>
      </c>
      <c r="S6" s="41">
        <v>8.0248493640059095E-5</v>
      </c>
      <c r="T6">
        <v>-2.5398514692429601</v>
      </c>
      <c r="U6">
        <v>2.5398514692429601</v>
      </c>
      <c r="V6">
        <v>-8.92</v>
      </c>
      <c r="W6">
        <v>2.72</v>
      </c>
      <c r="X6">
        <v>252875</v>
      </c>
      <c r="Y6">
        <v>9031</v>
      </c>
      <c r="Z6">
        <v>0.46</v>
      </c>
      <c r="AA6">
        <v>28</v>
      </c>
      <c r="AB6">
        <v>15</v>
      </c>
      <c r="AC6">
        <v>13</v>
      </c>
      <c r="AD6">
        <v>53.57</v>
      </c>
      <c r="AE6">
        <v>8</v>
      </c>
    </row>
    <row r="7" spans="1:31">
      <c r="A7">
        <v>175</v>
      </c>
      <c r="B7">
        <v>3116</v>
      </c>
      <c r="C7" t="s">
        <v>239</v>
      </c>
      <c r="D7" t="s">
        <v>228</v>
      </c>
      <c r="E7">
        <v>1475</v>
      </c>
      <c r="F7">
        <v>1469</v>
      </c>
      <c r="G7">
        <v>600</v>
      </c>
      <c r="H7" t="s">
        <v>227</v>
      </c>
      <c r="I7">
        <v>6770</v>
      </c>
      <c r="J7" t="s">
        <v>97</v>
      </c>
      <c r="K7" t="s">
        <v>231</v>
      </c>
      <c r="L7">
        <v>2105</v>
      </c>
      <c r="M7">
        <v>2043</v>
      </c>
      <c r="N7">
        <v>400</v>
      </c>
      <c r="O7" t="s">
        <v>229</v>
      </c>
      <c r="P7">
        <v>0.93072881742047797</v>
      </c>
      <c r="Q7">
        <v>0.93596139586153304</v>
      </c>
      <c r="R7">
        <v>8.1105166594626897E-4</v>
      </c>
      <c r="S7">
        <v>8.3405567165325697E-2</v>
      </c>
      <c r="T7">
        <v>-2.4367373493007598</v>
      </c>
      <c r="U7">
        <v>2.4367373493007598</v>
      </c>
      <c r="V7">
        <v>-6.83</v>
      </c>
      <c r="W7">
        <v>7.86</v>
      </c>
      <c r="X7">
        <v>36275</v>
      </c>
      <c r="Y7">
        <v>2418</v>
      </c>
      <c r="Z7">
        <v>0.16</v>
      </c>
      <c r="AA7">
        <v>15</v>
      </c>
      <c r="AB7">
        <v>8</v>
      </c>
      <c r="AC7">
        <v>7</v>
      </c>
      <c r="AD7">
        <v>53.33</v>
      </c>
      <c r="AE7">
        <v>12</v>
      </c>
    </row>
    <row r="8" spans="1:31">
      <c r="A8">
        <v>1</v>
      </c>
      <c r="B8">
        <v>5201</v>
      </c>
      <c r="C8" t="s">
        <v>240</v>
      </c>
      <c r="D8" t="s">
        <v>238</v>
      </c>
      <c r="E8">
        <v>3360</v>
      </c>
      <c r="F8">
        <v>3320</v>
      </c>
      <c r="G8">
        <v>300</v>
      </c>
      <c r="H8" t="s">
        <v>229</v>
      </c>
      <c r="I8">
        <v>5214</v>
      </c>
      <c r="J8" t="s">
        <v>104</v>
      </c>
      <c r="K8" t="s">
        <v>238</v>
      </c>
      <c r="L8">
        <v>2355</v>
      </c>
      <c r="M8">
        <v>2340</v>
      </c>
      <c r="N8">
        <v>400</v>
      </c>
      <c r="O8" t="s">
        <v>227</v>
      </c>
      <c r="P8">
        <v>0.98269449437367595</v>
      </c>
      <c r="Q8">
        <v>0.93066267466632602</v>
      </c>
      <c r="R8">
        <v>6.7567123485038196E-4</v>
      </c>
      <c r="S8">
        <v>5.0249614966207702E-2</v>
      </c>
      <c r="T8">
        <v>2.4319852140845999</v>
      </c>
      <c r="U8">
        <v>2.4319852140845999</v>
      </c>
      <c r="V8">
        <v>3.54</v>
      </c>
      <c r="W8">
        <v>6.02</v>
      </c>
      <c r="X8">
        <v>102655</v>
      </c>
      <c r="Y8">
        <v>14665</v>
      </c>
      <c r="Z8">
        <v>0.82</v>
      </c>
      <c r="AA8">
        <v>7</v>
      </c>
      <c r="AB8">
        <v>3</v>
      </c>
      <c r="AC8">
        <v>4</v>
      </c>
      <c r="AD8">
        <v>42.86</v>
      </c>
      <c r="AE8">
        <v>15</v>
      </c>
    </row>
    <row r="9" spans="1:31">
      <c r="A9">
        <v>97</v>
      </c>
      <c r="B9">
        <v>7251</v>
      </c>
      <c r="C9" t="s">
        <v>241</v>
      </c>
      <c r="D9" t="s">
        <v>228</v>
      </c>
      <c r="E9">
        <v>1633</v>
      </c>
      <c r="F9">
        <v>1636</v>
      </c>
      <c r="G9">
        <v>600</v>
      </c>
      <c r="H9" t="s">
        <v>229</v>
      </c>
      <c r="I9">
        <v>8601</v>
      </c>
      <c r="J9" t="s">
        <v>105</v>
      </c>
      <c r="K9" t="s">
        <v>242</v>
      </c>
      <c r="L9">
        <v>488.6</v>
      </c>
      <c r="M9">
        <v>482.6</v>
      </c>
      <c r="N9">
        <v>2000</v>
      </c>
      <c r="O9" t="s">
        <v>227</v>
      </c>
      <c r="P9">
        <v>0.945417435723099</v>
      </c>
      <c r="Q9">
        <v>0.94055521309211398</v>
      </c>
      <c r="R9">
        <v>4.1872088408845404E-3</v>
      </c>
      <c r="S9">
        <v>0.13658035707567101</v>
      </c>
      <c r="T9">
        <v>2.3972881962739101</v>
      </c>
      <c r="U9">
        <v>2.3972881962739101</v>
      </c>
      <c r="V9">
        <v>6.2</v>
      </c>
      <c r="W9">
        <v>1.67</v>
      </c>
      <c r="X9">
        <v>172806</v>
      </c>
      <c r="Y9">
        <v>10800</v>
      </c>
      <c r="Z9">
        <v>0.56000000000000005</v>
      </c>
      <c r="AA9">
        <v>16</v>
      </c>
      <c r="AB9">
        <v>10</v>
      </c>
      <c r="AC9">
        <v>6</v>
      </c>
      <c r="AD9">
        <v>62.5</v>
      </c>
      <c r="AE9">
        <v>14</v>
      </c>
    </row>
    <row r="10" spans="1:31">
      <c r="A10">
        <v>70</v>
      </c>
      <c r="B10">
        <v>5214</v>
      </c>
      <c r="C10" t="s">
        <v>243</v>
      </c>
      <c r="D10" t="s">
        <v>238</v>
      </c>
      <c r="E10">
        <v>2355</v>
      </c>
      <c r="F10">
        <v>2340</v>
      </c>
      <c r="G10">
        <v>400</v>
      </c>
      <c r="H10" t="s">
        <v>227</v>
      </c>
      <c r="I10">
        <v>7012</v>
      </c>
      <c r="J10" t="s">
        <v>106</v>
      </c>
      <c r="K10" t="s">
        <v>228</v>
      </c>
      <c r="L10">
        <v>2367</v>
      </c>
      <c r="M10">
        <v>2360</v>
      </c>
      <c r="N10">
        <v>400</v>
      </c>
      <c r="O10" t="s">
        <v>229</v>
      </c>
      <c r="P10">
        <v>0.95137479216141496</v>
      </c>
      <c r="Q10">
        <v>0.94691990843238505</v>
      </c>
      <c r="R10">
        <v>0.24885104471365799</v>
      </c>
      <c r="S10">
        <v>2.93951439716019E-3</v>
      </c>
      <c r="T10">
        <v>-2.3789170553409398</v>
      </c>
      <c r="U10">
        <v>2.3789170553409398</v>
      </c>
      <c r="V10">
        <v>-6.91</v>
      </c>
      <c r="W10">
        <v>0.85</v>
      </c>
      <c r="X10">
        <v>-229739</v>
      </c>
      <c r="Y10">
        <v>-22974</v>
      </c>
      <c r="Z10">
        <v>-1.5</v>
      </c>
      <c r="AA10">
        <v>10</v>
      </c>
      <c r="AB10">
        <v>3</v>
      </c>
      <c r="AC10">
        <v>7</v>
      </c>
      <c r="AD10">
        <v>30</v>
      </c>
      <c r="AE10">
        <v>13</v>
      </c>
    </row>
    <row r="11" spans="1:31">
      <c r="A11">
        <v>169</v>
      </c>
      <c r="B11">
        <v>7453</v>
      </c>
      <c r="C11" t="s">
        <v>244</v>
      </c>
      <c r="D11" t="s">
        <v>245</v>
      </c>
      <c r="E11">
        <v>2028</v>
      </c>
      <c r="F11">
        <v>2033</v>
      </c>
      <c r="G11">
        <v>400</v>
      </c>
      <c r="H11" t="s">
        <v>229</v>
      </c>
      <c r="I11">
        <v>8308</v>
      </c>
      <c r="J11" t="s">
        <v>107</v>
      </c>
      <c r="K11" t="s">
        <v>232</v>
      </c>
      <c r="L11">
        <v>449.7</v>
      </c>
      <c r="M11">
        <v>444.6</v>
      </c>
      <c r="N11">
        <v>1800</v>
      </c>
      <c r="O11" t="s">
        <v>227</v>
      </c>
      <c r="P11">
        <v>0.93203751016701197</v>
      </c>
      <c r="Q11">
        <v>0.90963332710852696</v>
      </c>
      <c r="R11">
        <v>2.3711881002312302E-3</v>
      </c>
      <c r="S11">
        <v>0.31384740058914601</v>
      </c>
      <c r="T11">
        <v>2.2791297344906498</v>
      </c>
      <c r="U11">
        <v>2.2791297344906498</v>
      </c>
      <c r="V11">
        <v>4.3</v>
      </c>
      <c r="W11">
        <v>1.59</v>
      </c>
      <c r="X11">
        <v>317180</v>
      </c>
      <c r="Y11">
        <v>16694</v>
      </c>
      <c r="Z11">
        <v>1.07</v>
      </c>
      <c r="AA11">
        <v>19</v>
      </c>
      <c r="AB11">
        <v>12</v>
      </c>
      <c r="AC11">
        <v>7</v>
      </c>
      <c r="AD11">
        <v>63.16</v>
      </c>
      <c r="AE11">
        <v>11</v>
      </c>
    </row>
    <row r="12" spans="1:31">
      <c r="A12">
        <v>76</v>
      </c>
      <c r="B12">
        <v>6586</v>
      </c>
      <c r="C12" t="s">
        <v>225</v>
      </c>
      <c r="D12" t="s">
        <v>226</v>
      </c>
      <c r="E12">
        <v>3030</v>
      </c>
      <c r="F12">
        <v>3045</v>
      </c>
      <c r="G12">
        <v>300</v>
      </c>
      <c r="H12" t="s">
        <v>227</v>
      </c>
      <c r="I12">
        <v>8377</v>
      </c>
      <c r="J12" t="s">
        <v>108</v>
      </c>
      <c r="K12" t="s">
        <v>232</v>
      </c>
      <c r="L12">
        <v>1021</v>
      </c>
      <c r="M12">
        <v>1017</v>
      </c>
      <c r="N12">
        <v>900</v>
      </c>
      <c r="O12" t="s">
        <v>229</v>
      </c>
      <c r="P12">
        <v>0.95031664672087601</v>
      </c>
      <c r="Q12">
        <v>0.92865311376537696</v>
      </c>
      <c r="R12">
        <v>3.49655880623743E-3</v>
      </c>
      <c r="S12">
        <v>1.37287877617962E-2</v>
      </c>
      <c r="T12">
        <v>-2.2781281400437998</v>
      </c>
      <c r="U12">
        <v>2.2781281400437998</v>
      </c>
      <c r="V12">
        <v>-6.58</v>
      </c>
      <c r="W12">
        <v>0.2</v>
      </c>
      <c r="X12">
        <v>94701</v>
      </c>
      <c r="Y12">
        <v>6764</v>
      </c>
      <c r="Z12">
        <v>0.34</v>
      </c>
      <c r="AA12">
        <v>14</v>
      </c>
      <c r="AB12">
        <v>7</v>
      </c>
      <c r="AC12">
        <v>7</v>
      </c>
      <c r="AD12">
        <v>50</v>
      </c>
      <c r="AE12">
        <v>11</v>
      </c>
    </row>
    <row r="13" spans="1:31">
      <c r="A13">
        <v>229</v>
      </c>
      <c r="B13">
        <v>5803</v>
      </c>
      <c r="C13" t="s">
        <v>246</v>
      </c>
      <c r="D13" t="s">
        <v>247</v>
      </c>
      <c r="E13">
        <v>413</v>
      </c>
      <c r="F13">
        <v>411</v>
      </c>
      <c r="G13">
        <v>1600</v>
      </c>
      <c r="H13" t="s">
        <v>229</v>
      </c>
      <c r="I13">
        <v>7259</v>
      </c>
      <c r="J13" t="s">
        <v>110</v>
      </c>
      <c r="K13" t="s">
        <v>228</v>
      </c>
      <c r="L13">
        <v>3400</v>
      </c>
      <c r="M13">
        <v>3385</v>
      </c>
      <c r="N13">
        <v>200</v>
      </c>
      <c r="O13" t="s">
        <v>227</v>
      </c>
      <c r="P13">
        <v>0.91844086934701996</v>
      </c>
      <c r="Q13">
        <v>0.92958360699350595</v>
      </c>
      <c r="R13">
        <v>0.363334823053168</v>
      </c>
      <c r="S13">
        <v>3.5614857738063999E-2</v>
      </c>
      <c r="T13">
        <v>2.2616103334337598</v>
      </c>
      <c r="U13">
        <v>2.2616103334337598</v>
      </c>
      <c r="V13">
        <v>8.11</v>
      </c>
      <c r="W13">
        <v>2.87</v>
      </c>
      <c r="X13">
        <v>76912</v>
      </c>
      <c r="Y13">
        <v>3846</v>
      </c>
      <c r="Z13">
        <v>0.1</v>
      </c>
      <c r="AA13">
        <v>20</v>
      </c>
      <c r="AB13">
        <v>12</v>
      </c>
      <c r="AC13">
        <v>8</v>
      </c>
      <c r="AD13">
        <v>60</v>
      </c>
      <c r="AE13">
        <v>14</v>
      </c>
    </row>
    <row r="14" spans="1:31">
      <c r="A14">
        <v>280</v>
      </c>
      <c r="B14">
        <v>7182</v>
      </c>
      <c r="C14" t="s">
        <v>248</v>
      </c>
      <c r="D14" t="s">
        <v>232</v>
      </c>
      <c r="E14">
        <v>1030</v>
      </c>
      <c r="F14">
        <v>1026</v>
      </c>
      <c r="G14">
        <v>900</v>
      </c>
      <c r="H14" t="s">
        <v>229</v>
      </c>
      <c r="I14">
        <v>8570</v>
      </c>
      <c r="J14" t="s">
        <v>112</v>
      </c>
      <c r="K14" t="s">
        <v>249</v>
      </c>
      <c r="L14">
        <v>1591</v>
      </c>
      <c r="M14">
        <v>1566</v>
      </c>
      <c r="N14">
        <v>600</v>
      </c>
      <c r="O14" t="s">
        <v>227</v>
      </c>
      <c r="P14">
        <v>0.90995255583150902</v>
      </c>
      <c r="Q14">
        <v>0.93046407756690097</v>
      </c>
      <c r="R14">
        <v>0.28461276088447102</v>
      </c>
      <c r="S14">
        <v>0.35305048810957201</v>
      </c>
      <c r="T14">
        <v>2.2424096474453998</v>
      </c>
      <c r="U14">
        <v>2.2424096474453998</v>
      </c>
      <c r="V14">
        <v>4.2</v>
      </c>
      <c r="W14">
        <v>1.72</v>
      </c>
      <c r="X14">
        <v>244487</v>
      </c>
      <c r="Y14">
        <v>13583</v>
      </c>
      <c r="Z14">
        <v>0.73</v>
      </c>
      <c r="AA14">
        <v>18</v>
      </c>
      <c r="AB14">
        <v>12</v>
      </c>
      <c r="AC14">
        <v>6</v>
      </c>
      <c r="AD14">
        <v>66.67</v>
      </c>
      <c r="AE14">
        <v>15</v>
      </c>
    </row>
    <row r="15" spans="1:31">
      <c r="A15">
        <v>255</v>
      </c>
      <c r="B15">
        <v>4581</v>
      </c>
      <c r="C15" t="s">
        <v>250</v>
      </c>
      <c r="D15" t="s">
        <v>251</v>
      </c>
      <c r="E15">
        <v>7770</v>
      </c>
      <c r="F15">
        <v>7760</v>
      </c>
      <c r="G15">
        <v>100</v>
      </c>
      <c r="H15" t="s">
        <v>229</v>
      </c>
      <c r="I15">
        <v>7201</v>
      </c>
      <c r="J15" t="s">
        <v>114</v>
      </c>
      <c r="K15" t="s">
        <v>228</v>
      </c>
      <c r="L15">
        <v>664.5</v>
      </c>
      <c r="M15">
        <v>657.1</v>
      </c>
      <c r="N15">
        <v>1200</v>
      </c>
      <c r="O15" t="s">
        <v>227</v>
      </c>
      <c r="P15">
        <v>0.91293306726993195</v>
      </c>
      <c r="Q15">
        <v>0.94726409164850001</v>
      </c>
      <c r="R15">
        <v>5.5099374080689802E-2</v>
      </c>
      <c r="S15">
        <v>0.166760291264892</v>
      </c>
      <c r="T15">
        <v>2.23521000160894</v>
      </c>
      <c r="U15">
        <v>2.23521000160894</v>
      </c>
      <c r="V15">
        <v>5.52</v>
      </c>
      <c r="W15">
        <v>1.61</v>
      </c>
      <c r="X15">
        <v>60147</v>
      </c>
      <c r="Y15">
        <v>6683</v>
      </c>
      <c r="Z15">
        <v>0.36</v>
      </c>
      <c r="AA15">
        <v>9</v>
      </c>
      <c r="AB15">
        <v>5</v>
      </c>
      <c r="AC15">
        <v>4</v>
      </c>
      <c r="AD15">
        <v>55.56</v>
      </c>
      <c r="AE15">
        <v>12</v>
      </c>
    </row>
    <row r="16" spans="1:31">
      <c r="A16">
        <v>196</v>
      </c>
      <c r="B16">
        <v>5803</v>
      </c>
      <c r="C16" t="s">
        <v>246</v>
      </c>
      <c r="D16" t="s">
        <v>247</v>
      </c>
      <c r="E16">
        <v>413</v>
      </c>
      <c r="F16">
        <v>411</v>
      </c>
      <c r="G16">
        <v>2400</v>
      </c>
      <c r="H16" t="s">
        <v>229</v>
      </c>
      <c r="I16">
        <v>7211</v>
      </c>
      <c r="J16" t="s">
        <v>115</v>
      </c>
      <c r="K16" t="s">
        <v>228</v>
      </c>
      <c r="L16">
        <v>470</v>
      </c>
      <c r="M16">
        <v>469</v>
      </c>
      <c r="N16">
        <v>2100</v>
      </c>
      <c r="O16" t="s">
        <v>227</v>
      </c>
      <c r="P16">
        <v>0.92535256972869595</v>
      </c>
      <c r="Q16">
        <v>0.91174028528301798</v>
      </c>
      <c r="R16">
        <v>0.17121608861688201</v>
      </c>
      <c r="S16">
        <v>3.3826409439808303E-2</v>
      </c>
      <c r="T16">
        <v>2.22812744685785</v>
      </c>
      <c r="U16">
        <v>2.22812744685785</v>
      </c>
      <c r="V16">
        <v>8.66</v>
      </c>
      <c r="W16">
        <v>0.15</v>
      </c>
      <c r="X16">
        <v>134490</v>
      </c>
      <c r="Y16">
        <v>8406</v>
      </c>
      <c r="Z16">
        <v>0.44</v>
      </c>
      <c r="AA16">
        <v>16</v>
      </c>
      <c r="AB16">
        <v>9</v>
      </c>
      <c r="AC16">
        <v>7</v>
      </c>
      <c r="AD16">
        <v>56.25</v>
      </c>
      <c r="AE16">
        <v>12</v>
      </c>
    </row>
    <row r="17" spans="1:31">
      <c r="A17">
        <v>281</v>
      </c>
      <c r="B17">
        <v>3116</v>
      </c>
      <c r="C17" t="s">
        <v>239</v>
      </c>
      <c r="D17" t="s">
        <v>228</v>
      </c>
      <c r="E17">
        <v>1475</v>
      </c>
      <c r="F17">
        <v>1469</v>
      </c>
      <c r="G17">
        <v>600</v>
      </c>
      <c r="H17" t="s">
        <v>227</v>
      </c>
      <c r="I17">
        <v>5471</v>
      </c>
      <c r="J17" t="s">
        <v>116</v>
      </c>
      <c r="K17" t="s">
        <v>252</v>
      </c>
      <c r="L17">
        <v>4250</v>
      </c>
      <c r="M17">
        <v>4330</v>
      </c>
      <c r="N17">
        <v>200</v>
      </c>
      <c r="O17" t="s">
        <v>229</v>
      </c>
      <c r="P17">
        <v>0.909836065706491</v>
      </c>
      <c r="Q17">
        <v>0.90852637433468897</v>
      </c>
      <c r="R17">
        <v>1.34076156382387E-4</v>
      </c>
      <c r="S17">
        <v>1.6022820495677201E-2</v>
      </c>
      <c r="T17">
        <v>-2.2094796429358001</v>
      </c>
      <c r="U17">
        <v>2.2094796429358001</v>
      </c>
      <c r="V17">
        <v>-5.55</v>
      </c>
      <c r="W17">
        <v>1.78</v>
      </c>
      <c r="X17">
        <v>94089</v>
      </c>
      <c r="Y17">
        <v>13441</v>
      </c>
      <c r="Z17">
        <v>0.97</v>
      </c>
      <c r="AA17">
        <v>7</v>
      </c>
      <c r="AB17">
        <v>3</v>
      </c>
      <c r="AC17">
        <v>4</v>
      </c>
      <c r="AD17">
        <v>42.86</v>
      </c>
      <c r="AE17">
        <v>15</v>
      </c>
    </row>
    <row r="18" spans="1:31">
      <c r="A18">
        <v>251</v>
      </c>
      <c r="B18">
        <v>1983</v>
      </c>
      <c r="C18" t="s">
        <v>253</v>
      </c>
      <c r="D18" t="s">
        <v>254</v>
      </c>
      <c r="E18">
        <v>1913</v>
      </c>
      <c r="F18">
        <v>1908</v>
      </c>
      <c r="G18">
        <v>500</v>
      </c>
      <c r="H18" t="s">
        <v>229</v>
      </c>
      <c r="I18">
        <v>8377</v>
      </c>
      <c r="J18" t="s">
        <v>108</v>
      </c>
      <c r="K18" t="s">
        <v>232</v>
      </c>
      <c r="L18">
        <v>1021</v>
      </c>
      <c r="M18">
        <v>1017</v>
      </c>
      <c r="N18">
        <v>900</v>
      </c>
      <c r="O18" t="s">
        <v>227</v>
      </c>
      <c r="P18">
        <v>0.91355807715520698</v>
      </c>
      <c r="Q18">
        <v>0.94901877180276495</v>
      </c>
      <c r="R18">
        <v>0.12986676875269901</v>
      </c>
      <c r="S18">
        <v>6.3525005111660596E-3</v>
      </c>
      <c r="T18">
        <v>2.1995786375842199</v>
      </c>
      <c r="U18">
        <v>2.1995786375842199</v>
      </c>
      <c r="V18">
        <v>6.16</v>
      </c>
      <c r="W18">
        <v>4.0599999999999996</v>
      </c>
      <c r="X18">
        <v>-309966</v>
      </c>
      <c r="Y18">
        <v>-17220</v>
      </c>
      <c r="Z18">
        <v>-0.93</v>
      </c>
      <c r="AA18">
        <v>18</v>
      </c>
      <c r="AB18">
        <v>8</v>
      </c>
      <c r="AC18">
        <v>10</v>
      </c>
      <c r="AD18">
        <v>44.44</v>
      </c>
      <c r="AE18">
        <v>13</v>
      </c>
    </row>
    <row r="19" spans="1:31">
      <c r="A19">
        <v>180</v>
      </c>
      <c r="B19">
        <v>6481</v>
      </c>
      <c r="C19" t="s">
        <v>255</v>
      </c>
      <c r="D19" t="s">
        <v>226</v>
      </c>
      <c r="E19">
        <v>2773</v>
      </c>
      <c r="F19">
        <v>2747</v>
      </c>
      <c r="G19">
        <v>200</v>
      </c>
      <c r="H19" t="s">
        <v>227</v>
      </c>
      <c r="I19">
        <v>6856</v>
      </c>
      <c r="J19" t="s">
        <v>117</v>
      </c>
      <c r="K19" t="s">
        <v>231</v>
      </c>
      <c r="L19">
        <v>6460</v>
      </c>
      <c r="M19">
        <v>6380</v>
      </c>
      <c r="N19">
        <v>100</v>
      </c>
      <c r="O19" t="s">
        <v>229</v>
      </c>
      <c r="P19">
        <v>0.92926828959340901</v>
      </c>
      <c r="Q19">
        <v>0.92218579769783904</v>
      </c>
      <c r="R19">
        <v>8.8601175721273698E-2</v>
      </c>
      <c r="S19">
        <v>4.8633949684202104E-3</v>
      </c>
      <c r="T19">
        <v>-2.1924337640841198</v>
      </c>
      <c r="U19">
        <v>2.1924337640841198</v>
      </c>
      <c r="V19">
        <v>-5.8</v>
      </c>
      <c r="W19">
        <v>13.89</v>
      </c>
      <c r="X19">
        <v>-45625</v>
      </c>
      <c r="Y19">
        <v>-4148</v>
      </c>
      <c r="Z19">
        <v>-0.12</v>
      </c>
      <c r="AA19">
        <v>11</v>
      </c>
      <c r="AB19">
        <v>6</v>
      </c>
      <c r="AC19">
        <v>5</v>
      </c>
      <c r="AD19">
        <v>54.55</v>
      </c>
      <c r="AE19">
        <v>12</v>
      </c>
    </row>
    <row r="20" spans="1:31">
      <c r="A20">
        <v>74</v>
      </c>
      <c r="B20">
        <v>6995</v>
      </c>
      <c r="C20" t="s">
        <v>256</v>
      </c>
      <c r="D20" t="s">
        <v>228</v>
      </c>
      <c r="E20">
        <v>1815</v>
      </c>
      <c r="F20">
        <v>1812</v>
      </c>
      <c r="G20">
        <v>500</v>
      </c>
      <c r="H20" t="s">
        <v>229</v>
      </c>
      <c r="I20">
        <v>8002</v>
      </c>
      <c r="J20" t="s">
        <v>119</v>
      </c>
      <c r="K20" t="s">
        <v>257</v>
      </c>
      <c r="L20">
        <v>698.5</v>
      </c>
      <c r="M20">
        <v>694.6</v>
      </c>
      <c r="N20">
        <v>1300</v>
      </c>
      <c r="O20" t="s">
        <v>227</v>
      </c>
      <c r="P20">
        <v>0.95069617472696899</v>
      </c>
      <c r="Q20">
        <v>0.92846852416340497</v>
      </c>
      <c r="R20">
        <v>4.11682094564991E-2</v>
      </c>
      <c r="S20">
        <v>2.1099798180599001E-2</v>
      </c>
      <c r="T20">
        <v>2.1316162773960401</v>
      </c>
      <c r="U20">
        <v>2.1316162773960401</v>
      </c>
      <c r="V20">
        <v>4.8099999999999996</v>
      </c>
      <c r="W20">
        <v>0.33</v>
      </c>
      <c r="X20">
        <v>62066</v>
      </c>
      <c r="Y20">
        <v>4138</v>
      </c>
      <c r="Z20">
        <v>0.24</v>
      </c>
      <c r="AA20">
        <v>15</v>
      </c>
      <c r="AB20">
        <v>9</v>
      </c>
      <c r="AC20">
        <v>6</v>
      </c>
      <c r="AD20">
        <v>60</v>
      </c>
      <c r="AE20">
        <v>13</v>
      </c>
    </row>
    <row r="21" spans="1:31">
      <c r="A21">
        <v>320</v>
      </c>
      <c r="B21">
        <v>1860</v>
      </c>
      <c r="C21" t="s">
        <v>258</v>
      </c>
      <c r="D21" t="s">
        <v>254</v>
      </c>
      <c r="E21">
        <v>611</v>
      </c>
      <c r="F21">
        <v>611</v>
      </c>
      <c r="G21">
        <v>1600</v>
      </c>
      <c r="H21" t="s">
        <v>229</v>
      </c>
      <c r="I21">
        <v>8002</v>
      </c>
      <c r="J21" t="s">
        <v>119</v>
      </c>
      <c r="K21" t="s">
        <v>257</v>
      </c>
      <c r="L21">
        <v>698.5</v>
      </c>
      <c r="M21">
        <v>694.6</v>
      </c>
      <c r="N21">
        <v>1400</v>
      </c>
      <c r="O21" t="s">
        <v>227</v>
      </c>
      <c r="P21">
        <v>0.90177169885352104</v>
      </c>
      <c r="Q21">
        <v>0.94839538358266495</v>
      </c>
      <c r="R21">
        <v>8.2184189014404593E-2</v>
      </c>
      <c r="S21">
        <v>0.30354902949291002</v>
      </c>
      <c r="T21">
        <v>2.1030667360184201</v>
      </c>
      <c r="U21">
        <v>2.1030667360184201</v>
      </c>
      <c r="V21">
        <v>4.3600000000000003</v>
      </c>
      <c r="W21">
        <v>0.53</v>
      </c>
      <c r="X21">
        <v>107158</v>
      </c>
      <c r="Y21">
        <v>5640</v>
      </c>
      <c r="Z21">
        <v>0.25</v>
      </c>
      <c r="AA21">
        <v>19</v>
      </c>
      <c r="AB21">
        <v>11</v>
      </c>
      <c r="AC21">
        <v>8</v>
      </c>
      <c r="AD21">
        <v>57.89</v>
      </c>
      <c r="AE21">
        <v>12</v>
      </c>
    </row>
    <row r="22" spans="1:31">
      <c r="A22">
        <v>314</v>
      </c>
      <c r="B22">
        <v>6770</v>
      </c>
      <c r="C22" t="s">
        <v>230</v>
      </c>
      <c r="D22" t="s">
        <v>231</v>
      </c>
      <c r="E22">
        <v>2105</v>
      </c>
      <c r="F22">
        <v>2043</v>
      </c>
      <c r="G22">
        <v>400</v>
      </c>
      <c r="H22" t="s">
        <v>229</v>
      </c>
      <c r="I22">
        <v>8601</v>
      </c>
      <c r="J22" t="s">
        <v>105</v>
      </c>
      <c r="K22" t="s">
        <v>242</v>
      </c>
      <c r="L22">
        <v>488.6</v>
      </c>
      <c r="M22">
        <v>482.6</v>
      </c>
      <c r="N22">
        <v>1700</v>
      </c>
      <c r="O22" t="s">
        <v>227</v>
      </c>
      <c r="P22">
        <v>0.90366181825365799</v>
      </c>
      <c r="Q22">
        <v>0.93456805223620398</v>
      </c>
      <c r="R22">
        <v>3.6080386693911601E-2</v>
      </c>
      <c r="S22">
        <v>0.114484923485162</v>
      </c>
      <c r="T22">
        <v>2.05646042241119</v>
      </c>
      <c r="U22">
        <v>2.05646042241119</v>
      </c>
      <c r="V22">
        <v>6.08</v>
      </c>
      <c r="W22">
        <v>0.39</v>
      </c>
      <c r="X22">
        <v>149065</v>
      </c>
      <c r="Y22">
        <v>7846</v>
      </c>
      <c r="Z22">
        <v>0.43</v>
      </c>
      <c r="AA22">
        <v>19</v>
      </c>
      <c r="AB22">
        <v>11</v>
      </c>
      <c r="AC22">
        <v>8</v>
      </c>
      <c r="AD22">
        <v>57.89</v>
      </c>
      <c r="AE22">
        <v>12</v>
      </c>
    </row>
    <row r="23" spans="1:31">
      <c r="A23">
        <v>170</v>
      </c>
      <c r="B23">
        <v>8309</v>
      </c>
      <c r="C23" t="s">
        <v>259</v>
      </c>
      <c r="D23" t="s">
        <v>232</v>
      </c>
      <c r="E23">
        <v>3780</v>
      </c>
      <c r="F23">
        <v>3739</v>
      </c>
      <c r="G23">
        <v>200</v>
      </c>
      <c r="H23" t="s">
        <v>227</v>
      </c>
      <c r="I23">
        <v>8385</v>
      </c>
      <c r="J23" t="s">
        <v>120</v>
      </c>
      <c r="K23" t="s">
        <v>232</v>
      </c>
      <c r="L23">
        <v>565</v>
      </c>
      <c r="M23">
        <v>560</v>
      </c>
      <c r="N23">
        <v>1300</v>
      </c>
      <c r="O23" t="s">
        <v>229</v>
      </c>
      <c r="P23">
        <v>0.93191578276213205</v>
      </c>
      <c r="Q23">
        <v>0.94140236435625502</v>
      </c>
      <c r="R23">
        <v>1.9280943391957701E-2</v>
      </c>
      <c r="S23">
        <v>0.15397102918599101</v>
      </c>
      <c r="T23">
        <v>-2.0541290891528101</v>
      </c>
      <c r="U23">
        <v>2.0541290891528101</v>
      </c>
      <c r="V23">
        <v>-4.59</v>
      </c>
      <c r="W23">
        <v>2.65</v>
      </c>
      <c r="X23">
        <v>-86749</v>
      </c>
      <c r="Y23">
        <v>-5103</v>
      </c>
      <c r="Z23">
        <v>-0.27</v>
      </c>
      <c r="AA23">
        <v>17</v>
      </c>
      <c r="AB23">
        <v>8</v>
      </c>
      <c r="AC23">
        <v>9</v>
      </c>
      <c r="AD23">
        <v>47.06</v>
      </c>
      <c r="AE23">
        <v>16</v>
      </c>
    </row>
    <row r="24" spans="1:31">
      <c r="A24">
        <v>305</v>
      </c>
      <c r="B24">
        <v>9064</v>
      </c>
      <c r="C24" t="s">
        <v>260</v>
      </c>
      <c r="D24" t="s">
        <v>261</v>
      </c>
      <c r="E24">
        <v>1621.5</v>
      </c>
      <c r="F24">
        <v>1642.5</v>
      </c>
      <c r="G24">
        <v>600</v>
      </c>
      <c r="H24" t="s">
        <v>227</v>
      </c>
      <c r="I24">
        <v>9404</v>
      </c>
      <c r="J24" t="s">
        <v>121</v>
      </c>
      <c r="K24" t="s">
        <v>234</v>
      </c>
      <c r="L24">
        <v>1372</v>
      </c>
      <c r="M24">
        <v>1380</v>
      </c>
      <c r="N24">
        <v>700</v>
      </c>
      <c r="O24" t="s">
        <v>229</v>
      </c>
      <c r="P24">
        <v>0.90549348919025596</v>
      </c>
      <c r="Q24">
        <v>0.91533419069894295</v>
      </c>
      <c r="R24">
        <v>0.27023171127328299</v>
      </c>
      <c r="S24">
        <v>0.19489240610941899</v>
      </c>
      <c r="T24">
        <v>-2.0242924275363201</v>
      </c>
      <c r="U24">
        <v>2.0242924275363201</v>
      </c>
      <c r="V24">
        <v>-10.58</v>
      </c>
      <c r="W24">
        <v>1.98</v>
      </c>
      <c r="X24">
        <v>-77061</v>
      </c>
      <c r="Y24">
        <v>-3503</v>
      </c>
      <c r="Z24">
        <v>-0.13</v>
      </c>
      <c r="AA24">
        <v>22</v>
      </c>
      <c r="AB24">
        <v>12</v>
      </c>
      <c r="AC24">
        <v>10</v>
      </c>
      <c r="AD24">
        <v>54.55</v>
      </c>
      <c r="AE24">
        <v>12</v>
      </c>
    </row>
    <row r="25" spans="1:31">
      <c r="A25">
        <v>284</v>
      </c>
      <c r="B25">
        <v>7186</v>
      </c>
      <c r="C25" t="s">
        <v>236</v>
      </c>
      <c r="D25" t="s">
        <v>232</v>
      </c>
      <c r="E25">
        <v>407</v>
      </c>
      <c r="F25">
        <v>409</v>
      </c>
      <c r="G25">
        <v>2400</v>
      </c>
      <c r="H25" t="s">
        <v>229</v>
      </c>
      <c r="I25">
        <v>8002</v>
      </c>
      <c r="J25" t="s">
        <v>119</v>
      </c>
      <c r="K25" t="s">
        <v>257</v>
      </c>
      <c r="L25">
        <v>698.5</v>
      </c>
      <c r="M25">
        <v>694.6</v>
      </c>
      <c r="N25">
        <v>1400</v>
      </c>
      <c r="O25" t="s">
        <v>227</v>
      </c>
      <c r="P25">
        <v>0.90943200149953796</v>
      </c>
      <c r="Q25">
        <v>0.92551956067270802</v>
      </c>
      <c r="R25">
        <v>0.163471445003564</v>
      </c>
      <c r="S25">
        <v>0.28357606997491203</v>
      </c>
      <c r="T25">
        <v>2.01195671752405</v>
      </c>
      <c r="U25">
        <v>2.01195671752405</v>
      </c>
      <c r="V25">
        <v>5.84</v>
      </c>
      <c r="W25">
        <v>0.94</v>
      </c>
      <c r="X25">
        <v>5425</v>
      </c>
      <c r="Y25">
        <v>301</v>
      </c>
      <c r="Z25">
        <v>0.01</v>
      </c>
      <c r="AA25">
        <v>18</v>
      </c>
      <c r="AB25">
        <v>10</v>
      </c>
      <c r="AC25">
        <v>8</v>
      </c>
      <c r="AD25">
        <v>55.56</v>
      </c>
      <c r="AE25">
        <v>13</v>
      </c>
    </row>
    <row r="26" spans="1:31">
      <c r="A26">
        <v>114</v>
      </c>
      <c r="B26">
        <v>5803</v>
      </c>
      <c r="C26" t="s">
        <v>246</v>
      </c>
      <c r="D26" t="s">
        <v>247</v>
      </c>
      <c r="E26">
        <v>413</v>
      </c>
      <c r="F26">
        <v>411</v>
      </c>
      <c r="G26">
        <v>2400</v>
      </c>
      <c r="H26" t="s">
        <v>229</v>
      </c>
      <c r="I26">
        <v>5991</v>
      </c>
      <c r="J26" t="s">
        <v>122</v>
      </c>
      <c r="K26" t="s">
        <v>262</v>
      </c>
      <c r="L26">
        <v>813</v>
      </c>
      <c r="M26">
        <v>807</v>
      </c>
      <c r="N26">
        <v>1200</v>
      </c>
      <c r="O26" t="s">
        <v>227</v>
      </c>
      <c r="P26">
        <v>0.94127306912960196</v>
      </c>
      <c r="Q26">
        <v>0.93117266045355396</v>
      </c>
      <c r="R26">
        <v>8.7357777616242901E-2</v>
      </c>
      <c r="S26">
        <v>4.5635296367456397E-2</v>
      </c>
      <c r="T26">
        <v>1.9736226755089701</v>
      </c>
      <c r="U26">
        <v>1.9736226755089701</v>
      </c>
      <c r="V26">
        <v>7.03</v>
      </c>
      <c r="W26">
        <v>1.86</v>
      </c>
      <c r="X26">
        <v>-105097</v>
      </c>
      <c r="Y26">
        <v>-6182</v>
      </c>
      <c r="Z26">
        <v>-0.37</v>
      </c>
      <c r="AA26">
        <v>17</v>
      </c>
      <c r="AB26">
        <v>8</v>
      </c>
      <c r="AC26">
        <v>9</v>
      </c>
      <c r="AD26">
        <v>47.06</v>
      </c>
      <c r="AE26">
        <v>13</v>
      </c>
    </row>
    <row r="27" spans="1:31">
      <c r="A27">
        <v>119</v>
      </c>
      <c r="B27">
        <v>4061</v>
      </c>
      <c r="C27" t="s">
        <v>263</v>
      </c>
      <c r="D27" t="s">
        <v>235</v>
      </c>
      <c r="E27">
        <v>2861</v>
      </c>
      <c r="F27">
        <v>2888</v>
      </c>
      <c r="G27">
        <v>300</v>
      </c>
      <c r="H27" t="s">
        <v>229</v>
      </c>
      <c r="I27">
        <v>6586</v>
      </c>
      <c r="J27" t="s">
        <v>95</v>
      </c>
      <c r="K27" t="s">
        <v>226</v>
      </c>
      <c r="L27">
        <v>3030</v>
      </c>
      <c r="M27">
        <v>3045</v>
      </c>
      <c r="N27">
        <v>300</v>
      </c>
      <c r="O27" t="s">
        <v>227</v>
      </c>
      <c r="P27">
        <v>0.940573489740687</v>
      </c>
      <c r="Q27">
        <v>0.91211485125477498</v>
      </c>
      <c r="R27">
        <v>2.1688011680081502E-2</v>
      </c>
      <c r="S27">
        <v>4.7995537128011002E-4</v>
      </c>
      <c r="T27">
        <v>1.9663553034468899</v>
      </c>
      <c r="U27">
        <v>1.9663553034468899</v>
      </c>
      <c r="V27">
        <v>5.71</v>
      </c>
      <c r="W27">
        <v>5.16</v>
      </c>
      <c r="X27">
        <v>13928</v>
      </c>
      <c r="Y27">
        <v>1741</v>
      </c>
      <c r="Z27">
        <v>0.23</v>
      </c>
      <c r="AA27">
        <v>8</v>
      </c>
      <c r="AB27">
        <v>4</v>
      </c>
      <c r="AC27">
        <v>4</v>
      </c>
      <c r="AD27">
        <v>50</v>
      </c>
      <c r="AE27">
        <v>10</v>
      </c>
    </row>
    <row r="28" spans="1:31">
      <c r="A28">
        <v>311</v>
      </c>
      <c r="B28">
        <v>6269</v>
      </c>
      <c r="C28" t="s">
        <v>264</v>
      </c>
      <c r="D28" t="s">
        <v>226</v>
      </c>
      <c r="E28">
        <v>2532</v>
      </c>
      <c r="F28">
        <v>2517</v>
      </c>
      <c r="G28">
        <v>300</v>
      </c>
      <c r="H28" t="s">
        <v>227</v>
      </c>
      <c r="I28">
        <v>6361</v>
      </c>
      <c r="J28" t="s">
        <v>123</v>
      </c>
      <c r="K28" t="s">
        <v>226</v>
      </c>
      <c r="L28">
        <v>2827</v>
      </c>
      <c r="M28">
        <v>2829</v>
      </c>
      <c r="N28">
        <v>300</v>
      </c>
      <c r="O28" t="s">
        <v>229</v>
      </c>
      <c r="P28">
        <v>0.90417617058577004</v>
      </c>
      <c r="Q28">
        <v>0.90634376413322504</v>
      </c>
      <c r="R28">
        <v>0.38270572732298702</v>
      </c>
      <c r="S28">
        <v>2.0492371254287298E-2</v>
      </c>
      <c r="T28">
        <v>-1.9122709833682501</v>
      </c>
      <c r="U28">
        <v>1.9122709833682501</v>
      </c>
      <c r="V28">
        <v>-8.86</v>
      </c>
      <c r="W28">
        <v>11.03</v>
      </c>
      <c r="X28">
        <v>621608</v>
      </c>
      <c r="Y28">
        <v>38850</v>
      </c>
      <c r="Z28">
        <v>2.52</v>
      </c>
      <c r="AA28">
        <v>16</v>
      </c>
      <c r="AB28">
        <v>12</v>
      </c>
      <c r="AC28">
        <v>4</v>
      </c>
      <c r="AD28">
        <v>75</v>
      </c>
      <c r="AE28">
        <v>8</v>
      </c>
    </row>
    <row r="29" spans="1:31">
      <c r="A29">
        <v>223</v>
      </c>
      <c r="B29">
        <v>3099</v>
      </c>
      <c r="C29" t="s">
        <v>265</v>
      </c>
      <c r="D29" t="s">
        <v>245</v>
      </c>
      <c r="E29">
        <v>855</v>
      </c>
      <c r="F29">
        <v>865</v>
      </c>
      <c r="G29">
        <v>1100</v>
      </c>
      <c r="H29" t="s">
        <v>229</v>
      </c>
      <c r="I29">
        <v>7182</v>
      </c>
      <c r="J29" t="s">
        <v>111</v>
      </c>
      <c r="K29" t="s">
        <v>232</v>
      </c>
      <c r="L29">
        <v>1030</v>
      </c>
      <c r="M29">
        <v>1026</v>
      </c>
      <c r="N29">
        <v>900</v>
      </c>
      <c r="O29" t="s">
        <v>227</v>
      </c>
      <c r="P29">
        <v>0.919768638048863</v>
      </c>
      <c r="Q29">
        <v>0.93446353631159496</v>
      </c>
      <c r="R29">
        <v>2.0142017872136701E-2</v>
      </c>
      <c r="S29">
        <v>0.31595371741082501</v>
      </c>
      <c r="T29">
        <v>1.9013278637500499</v>
      </c>
      <c r="U29">
        <v>1.9013278637500499</v>
      </c>
      <c r="V29">
        <v>4.21</v>
      </c>
      <c r="W29">
        <v>3.04</v>
      </c>
      <c r="X29">
        <v>324463</v>
      </c>
      <c r="Y29">
        <v>16223</v>
      </c>
      <c r="Z29">
        <v>0.88</v>
      </c>
      <c r="AA29">
        <v>20</v>
      </c>
      <c r="AB29">
        <v>14</v>
      </c>
      <c r="AC29">
        <v>6</v>
      </c>
      <c r="AD29">
        <v>70</v>
      </c>
      <c r="AE29">
        <v>13</v>
      </c>
    </row>
    <row r="30" spans="1:31">
      <c r="A30">
        <v>164</v>
      </c>
      <c r="B30">
        <v>6301</v>
      </c>
      <c r="C30" t="s">
        <v>266</v>
      </c>
      <c r="D30" t="s">
        <v>226</v>
      </c>
      <c r="E30">
        <v>2400</v>
      </c>
      <c r="F30">
        <v>2375</v>
      </c>
      <c r="G30">
        <v>400</v>
      </c>
      <c r="H30" t="s">
        <v>227</v>
      </c>
      <c r="I30">
        <v>7186</v>
      </c>
      <c r="J30" t="s">
        <v>100</v>
      </c>
      <c r="K30" t="s">
        <v>232</v>
      </c>
      <c r="L30">
        <v>407</v>
      </c>
      <c r="M30">
        <v>409</v>
      </c>
      <c r="N30">
        <v>2300</v>
      </c>
      <c r="O30" t="s">
        <v>229</v>
      </c>
      <c r="P30">
        <v>0.93319550068208301</v>
      </c>
      <c r="Q30">
        <v>0.90873452771573504</v>
      </c>
      <c r="R30">
        <v>0.27771554946291099</v>
      </c>
      <c r="S30">
        <v>4.9584279354873098E-2</v>
      </c>
      <c r="T30">
        <v>-1.89160363301848</v>
      </c>
      <c r="U30">
        <v>1.89160363301848</v>
      </c>
      <c r="V30">
        <v>-6.44</v>
      </c>
      <c r="W30">
        <v>0.98</v>
      </c>
      <c r="X30">
        <v>306602</v>
      </c>
      <c r="Y30">
        <v>18035</v>
      </c>
      <c r="Z30">
        <v>0.96</v>
      </c>
      <c r="AA30">
        <v>17</v>
      </c>
      <c r="AB30">
        <v>11</v>
      </c>
      <c r="AC30">
        <v>6</v>
      </c>
      <c r="AD30">
        <v>64.709999999999994</v>
      </c>
      <c r="AE30">
        <v>10</v>
      </c>
    </row>
    <row r="31" spans="1:31">
      <c r="A31">
        <v>95</v>
      </c>
      <c r="B31">
        <v>7731</v>
      </c>
      <c r="C31" t="s">
        <v>267</v>
      </c>
      <c r="D31" t="s">
        <v>268</v>
      </c>
      <c r="E31">
        <v>1322</v>
      </c>
      <c r="F31">
        <v>1315</v>
      </c>
      <c r="G31">
        <v>700</v>
      </c>
      <c r="H31" t="s">
        <v>227</v>
      </c>
      <c r="I31">
        <v>8377</v>
      </c>
      <c r="J31" t="s">
        <v>108</v>
      </c>
      <c r="K31" t="s">
        <v>232</v>
      </c>
      <c r="L31">
        <v>1021</v>
      </c>
      <c r="M31">
        <v>1017</v>
      </c>
      <c r="N31">
        <v>900</v>
      </c>
      <c r="O31" t="s">
        <v>229</v>
      </c>
      <c r="P31">
        <v>0.94593216804864</v>
      </c>
      <c r="Q31">
        <v>0.91083007415039796</v>
      </c>
      <c r="R31">
        <v>0.210729019317869</v>
      </c>
      <c r="S31">
        <v>7.1390813138634504E-2</v>
      </c>
      <c r="T31">
        <v>-1.8712624415211201</v>
      </c>
      <c r="U31">
        <v>1.8712624415211201</v>
      </c>
      <c r="V31">
        <v>-4.68</v>
      </c>
      <c r="W31">
        <v>0.56000000000000005</v>
      </c>
      <c r="X31">
        <v>-130307</v>
      </c>
      <c r="Y31">
        <v>-8144</v>
      </c>
      <c r="Z31">
        <v>-0.51</v>
      </c>
      <c r="AA31">
        <v>16</v>
      </c>
      <c r="AB31">
        <v>7</v>
      </c>
      <c r="AC31">
        <v>9</v>
      </c>
      <c r="AD31">
        <v>43.75</v>
      </c>
      <c r="AE31">
        <v>12</v>
      </c>
    </row>
    <row r="32" spans="1:31">
      <c r="A32">
        <v>219</v>
      </c>
      <c r="B32">
        <v>7186</v>
      </c>
      <c r="C32" t="s">
        <v>236</v>
      </c>
      <c r="D32" t="s">
        <v>232</v>
      </c>
      <c r="E32">
        <v>407</v>
      </c>
      <c r="F32">
        <v>409</v>
      </c>
      <c r="G32">
        <v>2400</v>
      </c>
      <c r="H32" t="s">
        <v>229</v>
      </c>
      <c r="I32">
        <v>7211</v>
      </c>
      <c r="J32" t="s">
        <v>115</v>
      </c>
      <c r="K32" t="s">
        <v>228</v>
      </c>
      <c r="L32">
        <v>470</v>
      </c>
      <c r="M32">
        <v>469</v>
      </c>
      <c r="N32">
        <v>2100</v>
      </c>
      <c r="O32" t="s">
        <v>227</v>
      </c>
      <c r="P32">
        <v>0.920362148635675</v>
      </c>
      <c r="Q32">
        <v>0.90577796537774202</v>
      </c>
      <c r="R32">
        <v>0.38933740215921098</v>
      </c>
      <c r="S32">
        <v>0.31954046521023599</v>
      </c>
      <c r="T32">
        <v>1.8543211596668501</v>
      </c>
      <c r="U32">
        <v>1.8543211596668501</v>
      </c>
      <c r="V32">
        <v>5.68</v>
      </c>
      <c r="W32">
        <v>0.34</v>
      </c>
      <c r="X32">
        <v>83508</v>
      </c>
      <c r="Y32">
        <v>5219</v>
      </c>
      <c r="Z32">
        <v>0.28000000000000003</v>
      </c>
      <c r="AA32">
        <v>16</v>
      </c>
      <c r="AB32">
        <v>7</v>
      </c>
      <c r="AC32">
        <v>9</v>
      </c>
      <c r="AD32">
        <v>43.75</v>
      </c>
      <c r="AE32">
        <v>13</v>
      </c>
    </row>
    <row r="33" spans="1:31">
      <c r="A33">
        <v>47</v>
      </c>
      <c r="B33">
        <v>3099</v>
      </c>
      <c r="C33" t="s">
        <v>265</v>
      </c>
      <c r="D33" t="s">
        <v>245</v>
      </c>
      <c r="E33">
        <v>855</v>
      </c>
      <c r="F33">
        <v>865</v>
      </c>
      <c r="G33">
        <v>1100</v>
      </c>
      <c r="H33" t="s">
        <v>229</v>
      </c>
      <c r="I33">
        <v>7211</v>
      </c>
      <c r="J33" t="s">
        <v>115</v>
      </c>
      <c r="K33" t="s">
        <v>228</v>
      </c>
      <c r="L33">
        <v>470</v>
      </c>
      <c r="M33">
        <v>469</v>
      </c>
      <c r="N33">
        <v>2000</v>
      </c>
      <c r="O33" t="s">
        <v>227</v>
      </c>
      <c r="P33">
        <v>0.95793185132806002</v>
      </c>
      <c r="Q33">
        <v>0.95286713728969497</v>
      </c>
      <c r="R33">
        <v>3.64574080662758E-3</v>
      </c>
      <c r="S33">
        <v>7.4385358656351999E-2</v>
      </c>
      <c r="T33">
        <v>1.83583527817228</v>
      </c>
      <c r="U33">
        <v>1.83583527817228</v>
      </c>
      <c r="V33">
        <v>3.89</v>
      </c>
      <c r="W33">
        <v>1.42</v>
      </c>
      <c r="X33">
        <v>151213</v>
      </c>
      <c r="Y33">
        <v>9451</v>
      </c>
      <c r="Z33">
        <v>0.5</v>
      </c>
      <c r="AA33">
        <v>16</v>
      </c>
      <c r="AB33">
        <v>9</v>
      </c>
      <c r="AC33">
        <v>7</v>
      </c>
      <c r="AD33">
        <v>56.25</v>
      </c>
      <c r="AE33">
        <v>13</v>
      </c>
    </row>
    <row r="34" spans="1:31">
      <c r="A34">
        <v>139</v>
      </c>
      <c r="B34">
        <v>1911</v>
      </c>
      <c r="C34" t="s">
        <v>269</v>
      </c>
      <c r="D34" t="s">
        <v>254</v>
      </c>
      <c r="E34">
        <v>1440</v>
      </c>
      <c r="F34">
        <v>1430</v>
      </c>
      <c r="G34">
        <v>600</v>
      </c>
      <c r="H34" t="s">
        <v>229</v>
      </c>
      <c r="I34">
        <v>6923</v>
      </c>
      <c r="J34" t="s">
        <v>126</v>
      </c>
      <c r="K34" t="s">
        <v>231</v>
      </c>
      <c r="L34">
        <v>2800</v>
      </c>
      <c r="M34">
        <v>2780</v>
      </c>
      <c r="N34">
        <v>300</v>
      </c>
      <c r="O34" t="s">
        <v>227</v>
      </c>
      <c r="P34">
        <v>0.93736186949203504</v>
      </c>
      <c r="Q34">
        <v>0.92566929624384497</v>
      </c>
      <c r="R34">
        <v>3.5352958779339203E-4</v>
      </c>
      <c r="S34">
        <v>0.18068406701770301</v>
      </c>
      <c r="T34">
        <v>1.8301879414392801</v>
      </c>
      <c r="U34">
        <v>1.8301879414392801</v>
      </c>
      <c r="V34">
        <v>3.31</v>
      </c>
      <c r="W34">
        <v>2.88</v>
      </c>
      <c r="X34">
        <v>171718</v>
      </c>
      <c r="Y34">
        <v>9540</v>
      </c>
      <c r="Z34">
        <v>0.49</v>
      </c>
      <c r="AA34">
        <v>18</v>
      </c>
      <c r="AB34">
        <v>9</v>
      </c>
      <c r="AC34">
        <v>9</v>
      </c>
      <c r="AD34">
        <v>50</v>
      </c>
      <c r="AE34">
        <v>13</v>
      </c>
    </row>
    <row r="35" spans="1:31">
      <c r="A35">
        <v>292</v>
      </c>
      <c r="B35">
        <v>5803</v>
      </c>
      <c r="C35" t="s">
        <v>246</v>
      </c>
      <c r="D35" t="s">
        <v>247</v>
      </c>
      <c r="E35">
        <v>413</v>
      </c>
      <c r="F35">
        <v>411</v>
      </c>
      <c r="G35">
        <v>2200</v>
      </c>
      <c r="H35" t="s">
        <v>229</v>
      </c>
      <c r="I35">
        <v>7182</v>
      </c>
      <c r="J35" t="s">
        <v>111</v>
      </c>
      <c r="K35" t="s">
        <v>232</v>
      </c>
      <c r="L35">
        <v>1030</v>
      </c>
      <c r="M35">
        <v>1026</v>
      </c>
      <c r="N35">
        <v>900</v>
      </c>
      <c r="O35" t="s">
        <v>227</v>
      </c>
      <c r="P35">
        <v>0.90803935974662997</v>
      </c>
      <c r="Q35">
        <v>0.90782022815071395</v>
      </c>
      <c r="R35">
        <v>0.11059821688770199</v>
      </c>
      <c r="S35">
        <v>2.0641186826083902E-2</v>
      </c>
      <c r="T35">
        <v>1.8264764775938001</v>
      </c>
      <c r="U35">
        <v>1.8264764775938001</v>
      </c>
      <c r="V35">
        <v>8.91</v>
      </c>
      <c r="W35">
        <v>2.08</v>
      </c>
      <c r="X35">
        <v>-229047</v>
      </c>
      <c r="Y35">
        <v>-12055</v>
      </c>
      <c r="Z35">
        <v>-0.7</v>
      </c>
      <c r="AA35">
        <v>19</v>
      </c>
      <c r="AB35">
        <v>8</v>
      </c>
      <c r="AC35">
        <v>11</v>
      </c>
      <c r="AD35">
        <v>42.11</v>
      </c>
      <c r="AE35">
        <v>13</v>
      </c>
    </row>
    <row r="36" spans="1:31">
      <c r="A36">
        <v>317</v>
      </c>
      <c r="B36">
        <v>3105</v>
      </c>
      <c r="C36" t="s">
        <v>270</v>
      </c>
      <c r="D36" t="s">
        <v>231</v>
      </c>
      <c r="E36">
        <v>824</v>
      </c>
      <c r="F36">
        <v>817</v>
      </c>
      <c r="G36">
        <v>1200</v>
      </c>
      <c r="H36" t="s">
        <v>227</v>
      </c>
      <c r="I36">
        <v>7272</v>
      </c>
      <c r="J36" t="s">
        <v>127</v>
      </c>
      <c r="K36" t="s">
        <v>228</v>
      </c>
      <c r="L36">
        <v>1950</v>
      </c>
      <c r="M36">
        <v>1938</v>
      </c>
      <c r="N36">
        <v>500</v>
      </c>
      <c r="O36" t="s">
        <v>229</v>
      </c>
      <c r="P36">
        <v>0.90295982593728696</v>
      </c>
      <c r="Q36">
        <v>0.91789091305081105</v>
      </c>
      <c r="R36">
        <v>1.25261969647988E-2</v>
      </c>
      <c r="S36">
        <v>0.270662700137137</v>
      </c>
      <c r="T36">
        <v>-1.8137410110738099</v>
      </c>
      <c r="U36">
        <v>1.8137410110738099</v>
      </c>
      <c r="V36">
        <v>-4.92</v>
      </c>
      <c r="W36">
        <v>1.18</v>
      </c>
      <c r="X36">
        <v>310918</v>
      </c>
      <c r="Y36">
        <v>18289</v>
      </c>
      <c r="Z36">
        <v>0.97</v>
      </c>
      <c r="AA36">
        <v>17</v>
      </c>
      <c r="AB36">
        <v>10</v>
      </c>
      <c r="AC36">
        <v>7</v>
      </c>
      <c r="AD36">
        <v>58.82</v>
      </c>
      <c r="AE36">
        <v>12</v>
      </c>
    </row>
    <row r="37" spans="1:31">
      <c r="A37">
        <v>135</v>
      </c>
      <c r="B37">
        <v>8273</v>
      </c>
      <c r="C37" t="s">
        <v>271</v>
      </c>
      <c r="D37" t="s">
        <v>245</v>
      </c>
      <c r="E37">
        <v>4130</v>
      </c>
      <c r="F37">
        <v>4165</v>
      </c>
      <c r="G37">
        <v>200</v>
      </c>
      <c r="H37" t="s">
        <v>227</v>
      </c>
      <c r="I37">
        <v>8385</v>
      </c>
      <c r="J37" t="s">
        <v>120</v>
      </c>
      <c r="K37" t="s">
        <v>232</v>
      </c>
      <c r="L37">
        <v>565</v>
      </c>
      <c r="M37">
        <v>560</v>
      </c>
      <c r="N37">
        <v>1500</v>
      </c>
      <c r="O37" t="s">
        <v>229</v>
      </c>
      <c r="P37">
        <v>0.93780388939453996</v>
      </c>
      <c r="Q37">
        <v>0.91932349111539602</v>
      </c>
      <c r="R37">
        <v>2.7761824188845499E-2</v>
      </c>
      <c r="S37">
        <v>0.13227555760232601</v>
      </c>
      <c r="T37">
        <v>-1.74628210433843</v>
      </c>
      <c r="U37">
        <v>1.74628210433843</v>
      </c>
      <c r="V37">
        <v>-4.5199999999999996</v>
      </c>
      <c r="W37">
        <v>0.84</v>
      </c>
      <c r="X37">
        <v>190417</v>
      </c>
      <c r="Y37">
        <v>12694</v>
      </c>
      <c r="Z37">
        <v>0.75</v>
      </c>
      <c r="AA37">
        <v>15</v>
      </c>
      <c r="AB37">
        <v>8</v>
      </c>
      <c r="AC37">
        <v>7</v>
      </c>
      <c r="AD37">
        <v>53.33</v>
      </c>
      <c r="AE37">
        <v>14</v>
      </c>
    </row>
    <row r="38" spans="1:31">
      <c r="A38">
        <v>206</v>
      </c>
      <c r="B38">
        <v>6770</v>
      </c>
      <c r="C38" t="s">
        <v>230</v>
      </c>
      <c r="D38" t="s">
        <v>231</v>
      </c>
      <c r="E38">
        <v>2105</v>
      </c>
      <c r="F38">
        <v>2043</v>
      </c>
      <c r="G38">
        <v>400</v>
      </c>
      <c r="H38" t="s">
        <v>229</v>
      </c>
      <c r="I38">
        <v>6923</v>
      </c>
      <c r="J38" t="s">
        <v>126</v>
      </c>
      <c r="K38" t="s">
        <v>231</v>
      </c>
      <c r="L38">
        <v>2800</v>
      </c>
      <c r="M38">
        <v>2780</v>
      </c>
      <c r="N38">
        <v>300</v>
      </c>
      <c r="O38" t="s">
        <v>227</v>
      </c>
      <c r="P38">
        <v>0.92414472587222996</v>
      </c>
      <c r="Q38">
        <v>0.95258397881424595</v>
      </c>
      <c r="R38">
        <v>0.103508339845089</v>
      </c>
      <c r="S38">
        <v>5.3658266306285301E-3</v>
      </c>
      <c r="T38">
        <v>1.72009562073773</v>
      </c>
      <c r="U38">
        <v>1.72009562073773</v>
      </c>
      <c r="V38">
        <v>4.25</v>
      </c>
      <c r="W38">
        <v>2.0099999999999998</v>
      </c>
      <c r="X38">
        <v>66110</v>
      </c>
      <c r="Y38">
        <v>6010</v>
      </c>
      <c r="Z38">
        <v>0.53</v>
      </c>
      <c r="AA38">
        <v>11</v>
      </c>
      <c r="AB38">
        <v>7</v>
      </c>
      <c r="AC38">
        <v>4</v>
      </c>
      <c r="AD38">
        <v>63.64</v>
      </c>
      <c r="AE38">
        <v>11</v>
      </c>
    </row>
    <row r="39" spans="1:31">
      <c r="A39">
        <v>181</v>
      </c>
      <c r="B39">
        <v>4061</v>
      </c>
      <c r="C39" t="s">
        <v>263</v>
      </c>
      <c r="D39" t="s">
        <v>235</v>
      </c>
      <c r="E39">
        <v>2861</v>
      </c>
      <c r="F39">
        <v>2888</v>
      </c>
      <c r="G39">
        <v>300</v>
      </c>
      <c r="H39" t="s">
        <v>229</v>
      </c>
      <c r="I39">
        <v>7731</v>
      </c>
      <c r="J39" t="s">
        <v>125</v>
      </c>
      <c r="K39" t="s">
        <v>268</v>
      </c>
      <c r="L39">
        <v>1322</v>
      </c>
      <c r="M39">
        <v>1315</v>
      </c>
      <c r="N39">
        <v>700</v>
      </c>
      <c r="O39" t="s">
        <v>227</v>
      </c>
      <c r="P39">
        <v>0.92909328340846498</v>
      </c>
      <c r="Q39">
        <v>0.93229085127817601</v>
      </c>
      <c r="R39">
        <v>3.98480360938522E-2</v>
      </c>
      <c r="S39">
        <v>6.1626126531249604E-4</v>
      </c>
      <c r="T39">
        <v>1.69811650341702</v>
      </c>
      <c r="U39">
        <v>1.69811650341702</v>
      </c>
      <c r="V39">
        <v>4.0199999999999996</v>
      </c>
      <c r="W39">
        <v>6.24</v>
      </c>
      <c r="X39">
        <v>-147502</v>
      </c>
      <c r="Y39">
        <v>-8195</v>
      </c>
      <c r="Z39">
        <v>-0.54</v>
      </c>
      <c r="AA39">
        <v>18</v>
      </c>
      <c r="AB39">
        <v>8</v>
      </c>
      <c r="AC39">
        <v>10</v>
      </c>
      <c r="AD39">
        <v>44.44</v>
      </c>
      <c r="AE39">
        <v>12</v>
      </c>
    </row>
    <row r="40" spans="1:31">
      <c r="A40">
        <v>46</v>
      </c>
      <c r="B40">
        <v>5802</v>
      </c>
      <c r="C40" t="s">
        <v>272</v>
      </c>
      <c r="D40" t="s">
        <v>247</v>
      </c>
      <c r="E40">
        <v>1343</v>
      </c>
      <c r="F40">
        <v>1341.5</v>
      </c>
      <c r="G40">
        <v>700</v>
      </c>
      <c r="H40" t="s">
        <v>227</v>
      </c>
      <c r="I40">
        <v>5803</v>
      </c>
      <c r="J40" t="s">
        <v>109</v>
      </c>
      <c r="K40" t="s">
        <v>247</v>
      </c>
      <c r="L40">
        <v>413</v>
      </c>
      <c r="M40">
        <v>411</v>
      </c>
      <c r="N40">
        <v>2300</v>
      </c>
      <c r="O40" t="s">
        <v>229</v>
      </c>
      <c r="P40">
        <v>0.95811616310330405</v>
      </c>
      <c r="Q40">
        <v>0.96092944800199198</v>
      </c>
      <c r="R40">
        <v>0.32981856435523499</v>
      </c>
      <c r="S40">
        <v>6.3437577268021699E-3</v>
      </c>
      <c r="T40">
        <v>-1.68904127590269</v>
      </c>
      <c r="U40">
        <v>1.68904127590269</v>
      </c>
      <c r="V40">
        <v>-7.24</v>
      </c>
      <c r="W40">
        <v>0.67</v>
      </c>
      <c r="X40">
        <v>-308964</v>
      </c>
      <c r="Y40">
        <v>-17165</v>
      </c>
      <c r="Z40">
        <v>-0.91</v>
      </c>
      <c r="AA40">
        <v>18</v>
      </c>
      <c r="AB40">
        <v>7</v>
      </c>
      <c r="AC40">
        <v>11</v>
      </c>
      <c r="AD40">
        <v>38.89</v>
      </c>
      <c r="AE40">
        <v>14</v>
      </c>
    </row>
    <row r="41" spans="1:31">
      <c r="A41">
        <v>38</v>
      </c>
      <c r="B41">
        <v>7186</v>
      </c>
      <c r="C41" t="s">
        <v>236</v>
      </c>
      <c r="D41" t="s">
        <v>232</v>
      </c>
      <c r="E41">
        <v>407</v>
      </c>
      <c r="F41">
        <v>409</v>
      </c>
      <c r="G41">
        <v>2400</v>
      </c>
      <c r="H41" t="s">
        <v>229</v>
      </c>
      <c r="I41">
        <v>8308</v>
      </c>
      <c r="J41" t="s">
        <v>107</v>
      </c>
      <c r="K41" t="s">
        <v>232</v>
      </c>
      <c r="L41">
        <v>449.7</v>
      </c>
      <c r="M41">
        <v>444.6</v>
      </c>
      <c r="N41">
        <v>2200</v>
      </c>
      <c r="O41" t="s">
        <v>227</v>
      </c>
      <c r="P41">
        <v>0.95942525233222797</v>
      </c>
      <c r="Q41">
        <v>0.94123740959012003</v>
      </c>
      <c r="R41">
        <v>0.20396090083687299</v>
      </c>
      <c r="S41">
        <v>0.25414616563596498</v>
      </c>
      <c r="T41">
        <v>1.68452524402177</v>
      </c>
      <c r="U41">
        <v>1.68452524402177</v>
      </c>
      <c r="V41">
        <v>3.65</v>
      </c>
      <c r="W41">
        <v>0.36</v>
      </c>
      <c r="X41">
        <v>233700</v>
      </c>
      <c r="Y41">
        <v>13747</v>
      </c>
      <c r="Z41">
        <v>0.72</v>
      </c>
      <c r="AA41">
        <v>17</v>
      </c>
      <c r="AB41">
        <v>10</v>
      </c>
      <c r="AC41">
        <v>7</v>
      </c>
      <c r="AD41">
        <v>58.82</v>
      </c>
      <c r="AE41">
        <v>15</v>
      </c>
    </row>
    <row r="42" spans="1:31">
      <c r="A42">
        <v>315</v>
      </c>
      <c r="B42">
        <v>6750</v>
      </c>
      <c r="C42" t="s">
        <v>273</v>
      </c>
      <c r="D42" t="s">
        <v>231</v>
      </c>
      <c r="E42">
        <v>4165</v>
      </c>
      <c r="F42">
        <v>4225</v>
      </c>
      <c r="G42">
        <v>200</v>
      </c>
      <c r="H42" t="s">
        <v>227</v>
      </c>
      <c r="I42">
        <v>6920</v>
      </c>
      <c r="J42" t="s">
        <v>131</v>
      </c>
      <c r="K42" t="s">
        <v>231</v>
      </c>
      <c r="L42">
        <v>6960</v>
      </c>
      <c r="M42">
        <v>7250</v>
      </c>
      <c r="N42">
        <v>100</v>
      </c>
      <c r="O42" t="s">
        <v>229</v>
      </c>
      <c r="P42">
        <v>0.903291813106325</v>
      </c>
      <c r="Q42">
        <v>0.92076966130330196</v>
      </c>
      <c r="R42">
        <v>7.3135227653208998E-4</v>
      </c>
      <c r="S42">
        <v>0.101397573521601</v>
      </c>
      <c r="T42">
        <v>-1.6645270474215199</v>
      </c>
      <c r="U42">
        <v>1.6645270474215199</v>
      </c>
      <c r="V42">
        <v>-26.68</v>
      </c>
      <c r="W42">
        <v>16.55</v>
      </c>
      <c r="X42">
        <v>84605</v>
      </c>
      <c r="Y42">
        <v>5640</v>
      </c>
      <c r="Z42">
        <v>0.47</v>
      </c>
      <c r="AA42">
        <v>15</v>
      </c>
      <c r="AB42">
        <v>9</v>
      </c>
      <c r="AC42">
        <v>6</v>
      </c>
      <c r="AD42">
        <v>60</v>
      </c>
      <c r="AE42">
        <v>10</v>
      </c>
    </row>
    <row r="43" spans="1:31">
      <c r="A43">
        <v>204</v>
      </c>
      <c r="B43">
        <v>6361</v>
      </c>
      <c r="C43" t="s">
        <v>274</v>
      </c>
      <c r="D43" t="s">
        <v>226</v>
      </c>
      <c r="E43">
        <v>2827</v>
      </c>
      <c r="F43">
        <v>2829</v>
      </c>
      <c r="G43">
        <v>300</v>
      </c>
      <c r="H43" t="s">
        <v>229</v>
      </c>
      <c r="I43">
        <v>8012</v>
      </c>
      <c r="J43" t="s">
        <v>132</v>
      </c>
      <c r="K43" t="s">
        <v>257</v>
      </c>
      <c r="L43">
        <v>1495</v>
      </c>
      <c r="M43">
        <v>1490</v>
      </c>
      <c r="N43">
        <v>600</v>
      </c>
      <c r="O43" t="s">
        <v>227</v>
      </c>
      <c r="P43">
        <v>0.92429838721115698</v>
      </c>
      <c r="Q43">
        <v>0.90199618973439</v>
      </c>
      <c r="R43">
        <v>0.269180072463576</v>
      </c>
      <c r="S43">
        <v>6.7557223487356198E-3</v>
      </c>
      <c r="T43">
        <v>1.62221590083825</v>
      </c>
      <c r="U43">
        <v>1.62221590083825</v>
      </c>
      <c r="V43">
        <v>4.87</v>
      </c>
      <c r="W43">
        <v>5.34</v>
      </c>
      <c r="X43">
        <v>350145</v>
      </c>
      <c r="Y43">
        <v>21884</v>
      </c>
      <c r="Z43">
        <v>1.26</v>
      </c>
      <c r="AA43">
        <v>16</v>
      </c>
      <c r="AB43">
        <v>12</v>
      </c>
      <c r="AC43">
        <v>4</v>
      </c>
      <c r="AD43">
        <v>75</v>
      </c>
      <c r="AE43">
        <v>13</v>
      </c>
    </row>
    <row r="44" spans="1:31">
      <c r="A44">
        <v>67</v>
      </c>
      <c r="B44">
        <v>4208</v>
      </c>
      <c r="C44" t="s">
        <v>275</v>
      </c>
      <c r="D44" t="s">
        <v>235</v>
      </c>
      <c r="E44">
        <v>2138</v>
      </c>
      <c r="F44">
        <v>2130</v>
      </c>
      <c r="G44">
        <v>400</v>
      </c>
      <c r="H44" t="s">
        <v>227</v>
      </c>
      <c r="I44">
        <v>5803</v>
      </c>
      <c r="J44" t="s">
        <v>109</v>
      </c>
      <c r="K44" t="s">
        <v>247</v>
      </c>
      <c r="L44">
        <v>413</v>
      </c>
      <c r="M44">
        <v>411</v>
      </c>
      <c r="N44">
        <v>2100</v>
      </c>
      <c r="O44" t="s">
        <v>229</v>
      </c>
      <c r="P44">
        <v>0.95256778177720702</v>
      </c>
      <c r="Q44">
        <v>0.93443914056680899</v>
      </c>
      <c r="R44">
        <v>3.3493977184964399E-2</v>
      </c>
      <c r="S44">
        <v>0.116602107887793</v>
      </c>
      <c r="T44">
        <v>-1.62085731032745</v>
      </c>
      <c r="U44">
        <v>1.62085731032745</v>
      </c>
      <c r="V44">
        <v>-8.77</v>
      </c>
      <c r="W44">
        <v>1.3</v>
      </c>
      <c r="X44">
        <v>-75245</v>
      </c>
      <c r="Y44">
        <v>-4703</v>
      </c>
      <c r="Z44">
        <v>-0.36</v>
      </c>
      <c r="AA44">
        <v>16</v>
      </c>
      <c r="AB44">
        <v>9</v>
      </c>
      <c r="AC44">
        <v>7</v>
      </c>
      <c r="AD44">
        <v>56.25</v>
      </c>
      <c r="AE44">
        <v>13</v>
      </c>
    </row>
    <row r="45" spans="1:31">
      <c r="A45">
        <v>73</v>
      </c>
      <c r="B45">
        <v>7180</v>
      </c>
      <c r="C45" t="s">
        <v>276</v>
      </c>
      <c r="D45" t="s">
        <v>232</v>
      </c>
      <c r="E45">
        <v>427</v>
      </c>
      <c r="F45">
        <v>424</v>
      </c>
      <c r="G45">
        <v>2200</v>
      </c>
      <c r="H45" t="s">
        <v>227</v>
      </c>
      <c r="I45">
        <v>8385</v>
      </c>
      <c r="J45" t="s">
        <v>120</v>
      </c>
      <c r="K45" t="s">
        <v>232</v>
      </c>
      <c r="L45">
        <v>565</v>
      </c>
      <c r="M45">
        <v>560</v>
      </c>
      <c r="N45">
        <v>1700</v>
      </c>
      <c r="O45" t="s">
        <v>229</v>
      </c>
      <c r="P45">
        <v>0.95078133602484904</v>
      </c>
      <c r="Q45">
        <v>0.92860495647241104</v>
      </c>
      <c r="R45">
        <v>7.8707800243623893E-2</v>
      </c>
      <c r="S45">
        <v>0.364983366356395</v>
      </c>
      <c r="T45">
        <v>-1.5937275920915199</v>
      </c>
      <c r="U45">
        <v>1.5937275920915199</v>
      </c>
      <c r="V45">
        <v>-3.52</v>
      </c>
      <c r="W45">
        <v>2.02</v>
      </c>
      <c r="X45">
        <v>-134415</v>
      </c>
      <c r="Y45">
        <v>-7074</v>
      </c>
      <c r="Z45">
        <v>-0.38</v>
      </c>
      <c r="AA45">
        <v>19</v>
      </c>
      <c r="AB45">
        <v>7</v>
      </c>
      <c r="AC45">
        <v>12</v>
      </c>
      <c r="AD45">
        <v>36.840000000000003</v>
      </c>
      <c r="AE45">
        <v>16</v>
      </c>
    </row>
    <row r="46" spans="1:31">
      <c r="A46">
        <v>65</v>
      </c>
      <c r="B46">
        <v>4634</v>
      </c>
      <c r="C46" t="s">
        <v>277</v>
      </c>
      <c r="D46" t="s">
        <v>235</v>
      </c>
      <c r="E46">
        <v>2454</v>
      </c>
      <c r="F46">
        <v>2452</v>
      </c>
      <c r="G46">
        <v>400</v>
      </c>
      <c r="H46" t="s">
        <v>229</v>
      </c>
      <c r="I46">
        <v>6995</v>
      </c>
      <c r="J46" t="s">
        <v>118</v>
      </c>
      <c r="K46" t="s">
        <v>228</v>
      </c>
      <c r="L46">
        <v>1815</v>
      </c>
      <c r="M46">
        <v>1812</v>
      </c>
      <c r="N46">
        <v>500</v>
      </c>
      <c r="O46" t="s">
        <v>227</v>
      </c>
      <c r="P46">
        <v>0.95350129479058399</v>
      </c>
      <c r="Q46">
        <v>0.921539923830063</v>
      </c>
      <c r="R46">
        <v>2.7564689631931899E-2</v>
      </c>
      <c r="S46">
        <v>0.20634012481980801</v>
      </c>
      <c r="T46">
        <v>1.59118971490779</v>
      </c>
      <c r="U46">
        <v>1.59118971490779</v>
      </c>
      <c r="V46">
        <v>2.84</v>
      </c>
      <c r="W46">
        <v>7.63</v>
      </c>
      <c r="X46">
        <v>18752</v>
      </c>
      <c r="Y46">
        <v>1172</v>
      </c>
      <c r="Z46">
        <v>7.0000000000000007E-2</v>
      </c>
      <c r="AA46">
        <v>16</v>
      </c>
      <c r="AB46">
        <v>8</v>
      </c>
      <c r="AC46">
        <v>8</v>
      </c>
      <c r="AD46">
        <v>50</v>
      </c>
      <c r="AE46">
        <v>13</v>
      </c>
    </row>
    <row r="47" spans="1:31">
      <c r="A47">
        <v>329</v>
      </c>
      <c r="B47">
        <v>3116</v>
      </c>
      <c r="C47" t="s">
        <v>239</v>
      </c>
      <c r="D47" t="s">
        <v>228</v>
      </c>
      <c r="E47">
        <v>1475</v>
      </c>
      <c r="F47">
        <v>1469</v>
      </c>
      <c r="G47">
        <v>700</v>
      </c>
      <c r="H47" t="s">
        <v>227</v>
      </c>
      <c r="I47">
        <v>7251</v>
      </c>
      <c r="J47" t="s">
        <v>103</v>
      </c>
      <c r="K47" t="s">
        <v>228</v>
      </c>
      <c r="L47">
        <v>1633</v>
      </c>
      <c r="M47">
        <v>1636</v>
      </c>
      <c r="N47">
        <v>600</v>
      </c>
      <c r="O47" t="s">
        <v>229</v>
      </c>
      <c r="P47">
        <v>0.90048067173193502</v>
      </c>
      <c r="Q47">
        <v>0.97132555894230699</v>
      </c>
      <c r="R47">
        <v>6.7993318964189794E-2</v>
      </c>
      <c r="S47">
        <v>4.2711689541406903E-2</v>
      </c>
      <c r="T47">
        <v>-1.58460028242753</v>
      </c>
      <c r="U47">
        <v>1.58460028242753</v>
      </c>
      <c r="V47">
        <v>-7.01</v>
      </c>
      <c r="W47">
        <v>4.76</v>
      </c>
      <c r="X47">
        <v>226205</v>
      </c>
      <c r="Y47">
        <v>13306</v>
      </c>
      <c r="Z47">
        <v>0.71</v>
      </c>
      <c r="AA47">
        <v>17</v>
      </c>
      <c r="AB47">
        <v>10</v>
      </c>
      <c r="AC47">
        <v>7</v>
      </c>
      <c r="AD47">
        <v>58.82</v>
      </c>
      <c r="AE47">
        <v>13</v>
      </c>
    </row>
    <row r="48" spans="1:31">
      <c r="A48">
        <v>3</v>
      </c>
      <c r="B48">
        <v>6471</v>
      </c>
      <c r="C48" t="s">
        <v>278</v>
      </c>
      <c r="D48" t="s">
        <v>226</v>
      </c>
      <c r="E48">
        <v>918</v>
      </c>
      <c r="F48">
        <v>910</v>
      </c>
      <c r="G48">
        <v>1000</v>
      </c>
      <c r="H48" t="s">
        <v>227</v>
      </c>
      <c r="I48">
        <v>6472</v>
      </c>
      <c r="J48" t="s">
        <v>134</v>
      </c>
      <c r="K48" t="s">
        <v>226</v>
      </c>
      <c r="L48">
        <v>311</v>
      </c>
      <c r="M48">
        <v>309</v>
      </c>
      <c r="N48">
        <v>2900</v>
      </c>
      <c r="O48" t="s">
        <v>229</v>
      </c>
      <c r="P48">
        <v>0.98142636540394501</v>
      </c>
      <c r="Q48">
        <v>0.95128711417925005</v>
      </c>
      <c r="R48">
        <v>1.1593685444450099E-2</v>
      </c>
      <c r="S48">
        <v>0.168991797596206</v>
      </c>
      <c r="T48">
        <v>-1.58192837278086</v>
      </c>
      <c r="U48">
        <v>1.58192837278086</v>
      </c>
      <c r="V48">
        <v>-2.27</v>
      </c>
      <c r="W48">
        <v>1.53</v>
      </c>
      <c r="X48">
        <v>-58228</v>
      </c>
      <c r="Y48">
        <v>-3882</v>
      </c>
      <c r="Z48">
        <v>-0.21</v>
      </c>
      <c r="AA48">
        <v>15</v>
      </c>
      <c r="AB48">
        <v>8</v>
      </c>
      <c r="AC48">
        <v>7</v>
      </c>
      <c r="AD48">
        <v>53.33</v>
      </c>
      <c r="AE48">
        <v>16</v>
      </c>
    </row>
    <row r="49" spans="1:31">
      <c r="A49">
        <v>249</v>
      </c>
      <c r="B49">
        <v>2768</v>
      </c>
      <c r="C49" t="s">
        <v>279</v>
      </c>
      <c r="D49" t="s">
        <v>257</v>
      </c>
      <c r="E49">
        <v>326</v>
      </c>
      <c r="F49">
        <v>325</v>
      </c>
      <c r="G49">
        <v>2900</v>
      </c>
      <c r="H49" t="s">
        <v>227</v>
      </c>
      <c r="I49">
        <v>5802</v>
      </c>
      <c r="J49" t="s">
        <v>129</v>
      </c>
      <c r="K49" t="s">
        <v>247</v>
      </c>
      <c r="L49">
        <v>1343</v>
      </c>
      <c r="M49">
        <v>1341.5</v>
      </c>
      <c r="N49">
        <v>700</v>
      </c>
      <c r="O49" t="s">
        <v>229</v>
      </c>
      <c r="P49">
        <v>0.91406974797998797</v>
      </c>
      <c r="Q49">
        <v>0.90814383813937305</v>
      </c>
      <c r="R49">
        <v>2.29061740178075E-2</v>
      </c>
      <c r="S49">
        <v>0.19080191050558001</v>
      </c>
      <c r="T49">
        <v>-1.5702406604204899</v>
      </c>
      <c r="U49">
        <v>1.5702406604204899</v>
      </c>
      <c r="V49">
        <v>-4.8600000000000003</v>
      </c>
      <c r="W49">
        <v>0.37</v>
      </c>
      <c r="X49">
        <v>-3024</v>
      </c>
      <c r="Y49">
        <v>-202</v>
      </c>
      <c r="Z49">
        <v>0</v>
      </c>
      <c r="AA49">
        <v>15</v>
      </c>
      <c r="AB49">
        <v>8</v>
      </c>
      <c r="AC49">
        <v>7</v>
      </c>
      <c r="AD49">
        <v>53.33</v>
      </c>
      <c r="AE49">
        <v>15</v>
      </c>
    </row>
    <row r="50" spans="1:31">
      <c r="A50">
        <v>222</v>
      </c>
      <c r="B50">
        <v>9531</v>
      </c>
      <c r="C50" t="s">
        <v>280</v>
      </c>
      <c r="D50" t="s">
        <v>281</v>
      </c>
      <c r="E50">
        <v>2787.5</v>
      </c>
      <c r="F50">
        <v>2769.5</v>
      </c>
      <c r="G50">
        <v>300</v>
      </c>
      <c r="H50" t="s">
        <v>227</v>
      </c>
      <c r="I50">
        <v>9532</v>
      </c>
      <c r="J50" t="s">
        <v>135</v>
      </c>
      <c r="K50" t="s">
        <v>281</v>
      </c>
      <c r="L50">
        <v>2081</v>
      </c>
      <c r="M50">
        <v>2074</v>
      </c>
      <c r="N50">
        <v>400</v>
      </c>
      <c r="O50" t="s">
        <v>229</v>
      </c>
      <c r="P50">
        <v>0.91982622611418496</v>
      </c>
      <c r="Q50">
        <v>0.93387927595362197</v>
      </c>
      <c r="R50">
        <v>4.1992801432758103E-2</v>
      </c>
      <c r="S50">
        <v>0.29195088073402697</v>
      </c>
      <c r="T50">
        <v>-1.5482391789521699</v>
      </c>
      <c r="U50">
        <v>1.5482391789521699</v>
      </c>
      <c r="V50">
        <v>-2.81</v>
      </c>
      <c r="W50">
        <v>0.15</v>
      </c>
      <c r="X50">
        <v>-135404</v>
      </c>
      <c r="Y50">
        <v>-11284</v>
      </c>
      <c r="Z50">
        <v>-0.68</v>
      </c>
      <c r="AA50">
        <v>12</v>
      </c>
      <c r="AB50">
        <v>3</v>
      </c>
      <c r="AC50">
        <v>9</v>
      </c>
      <c r="AD50">
        <v>25</v>
      </c>
      <c r="AE50">
        <v>15</v>
      </c>
    </row>
    <row r="51" spans="1:31">
      <c r="A51">
        <v>312</v>
      </c>
      <c r="B51">
        <v>4217</v>
      </c>
      <c r="C51" t="s">
        <v>282</v>
      </c>
      <c r="D51" t="s">
        <v>235</v>
      </c>
      <c r="E51">
        <v>3510</v>
      </c>
      <c r="F51">
        <v>3545</v>
      </c>
      <c r="G51">
        <v>200</v>
      </c>
      <c r="H51" t="s">
        <v>229</v>
      </c>
      <c r="I51">
        <v>6750</v>
      </c>
      <c r="J51" t="s">
        <v>130</v>
      </c>
      <c r="K51" t="s">
        <v>231</v>
      </c>
      <c r="L51">
        <v>4165</v>
      </c>
      <c r="M51">
        <v>4225</v>
      </c>
      <c r="N51">
        <v>200</v>
      </c>
      <c r="O51" t="s">
        <v>227</v>
      </c>
      <c r="P51">
        <v>0.904135248423794</v>
      </c>
      <c r="Q51">
        <v>0.92457174404498499</v>
      </c>
      <c r="R51">
        <v>9.5707186753251194E-3</v>
      </c>
      <c r="S51">
        <v>0.372675655228841</v>
      </c>
      <c r="T51">
        <v>1.5403440494404299</v>
      </c>
      <c r="U51">
        <v>1.5403440494404299</v>
      </c>
      <c r="V51">
        <v>5.15</v>
      </c>
      <c r="W51">
        <v>16.09</v>
      </c>
      <c r="X51">
        <v>32257</v>
      </c>
      <c r="Y51">
        <v>2481</v>
      </c>
      <c r="Z51">
        <v>0.1</v>
      </c>
      <c r="AA51">
        <v>13</v>
      </c>
      <c r="AB51">
        <v>7</v>
      </c>
      <c r="AC51">
        <v>6</v>
      </c>
      <c r="AD51">
        <v>53.85</v>
      </c>
      <c r="AE51">
        <v>11</v>
      </c>
    </row>
    <row r="52" spans="1:31">
      <c r="A52">
        <v>167</v>
      </c>
      <c r="B52">
        <v>4061</v>
      </c>
      <c r="C52" t="s">
        <v>263</v>
      </c>
      <c r="D52" t="s">
        <v>235</v>
      </c>
      <c r="E52">
        <v>2861</v>
      </c>
      <c r="F52">
        <v>2888</v>
      </c>
      <c r="G52">
        <v>300</v>
      </c>
      <c r="H52" t="s">
        <v>227</v>
      </c>
      <c r="I52">
        <v>7167</v>
      </c>
      <c r="J52" t="s">
        <v>136</v>
      </c>
      <c r="K52" t="s">
        <v>232</v>
      </c>
      <c r="L52">
        <v>262</v>
      </c>
      <c r="M52">
        <v>261</v>
      </c>
      <c r="N52">
        <v>3300</v>
      </c>
      <c r="O52" t="s">
        <v>229</v>
      </c>
      <c r="P52">
        <v>0.93258617522589904</v>
      </c>
      <c r="Q52">
        <v>0.93922647062051201</v>
      </c>
      <c r="R52">
        <v>0.227848957089341</v>
      </c>
      <c r="S52">
        <v>3.8489095373485202E-2</v>
      </c>
      <c r="T52">
        <v>-1.51554518652732</v>
      </c>
      <c r="U52">
        <v>1.51554518652732</v>
      </c>
      <c r="V52">
        <v>-4.0999999999999996</v>
      </c>
      <c r="W52">
        <v>0.59</v>
      </c>
      <c r="X52">
        <v>-19532</v>
      </c>
      <c r="Y52">
        <v>-977</v>
      </c>
      <c r="Z52">
        <v>-7.0000000000000007E-2</v>
      </c>
      <c r="AA52">
        <v>20</v>
      </c>
      <c r="AB52">
        <v>10</v>
      </c>
      <c r="AC52">
        <v>10</v>
      </c>
      <c r="AD52">
        <v>50</v>
      </c>
      <c r="AE52">
        <v>15</v>
      </c>
    </row>
    <row r="53" spans="1:31">
      <c r="A53">
        <v>271</v>
      </c>
      <c r="B53">
        <v>5110</v>
      </c>
      <c r="C53" t="s">
        <v>283</v>
      </c>
      <c r="D53" t="s">
        <v>284</v>
      </c>
      <c r="E53">
        <v>1281</v>
      </c>
      <c r="F53">
        <v>1264</v>
      </c>
      <c r="G53">
        <v>800</v>
      </c>
      <c r="H53" t="s">
        <v>227</v>
      </c>
      <c r="I53">
        <v>7251</v>
      </c>
      <c r="J53" t="s">
        <v>103</v>
      </c>
      <c r="K53" t="s">
        <v>228</v>
      </c>
      <c r="L53">
        <v>1633</v>
      </c>
      <c r="M53">
        <v>1636</v>
      </c>
      <c r="N53">
        <v>600</v>
      </c>
      <c r="O53" t="s">
        <v>229</v>
      </c>
      <c r="P53">
        <v>0.911134855941379</v>
      </c>
      <c r="Q53">
        <v>0.94851191106016497</v>
      </c>
      <c r="R53">
        <v>0.104218187783745</v>
      </c>
      <c r="S53">
        <v>0.107050048732068</v>
      </c>
      <c r="T53">
        <v>-1.5147694142774799</v>
      </c>
      <c r="U53">
        <v>1.5147694142774799</v>
      </c>
      <c r="V53">
        <v>-5.05</v>
      </c>
      <c r="W53">
        <v>3.02</v>
      </c>
      <c r="X53">
        <v>-327119</v>
      </c>
      <c r="Y53">
        <v>-19242</v>
      </c>
      <c r="Z53">
        <v>-1.04</v>
      </c>
      <c r="AA53">
        <v>17</v>
      </c>
      <c r="AB53">
        <v>4</v>
      </c>
      <c r="AC53">
        <v>13</v>
      </c>
      <c r="AD53">
        <v>23.53</v>
      </c>
      <c r="AE53">
        <v>12</v>
      </c>
    </row>
    <row r="54" spans="1:31">
      <c r="A54">
        <v>307</v>
      </c>
      <c r="B54">
        <v>4208</v>
      </c>
      <c r="C54" t="s">
        <v>275</v>
      </c>
      <c r="D54" t="s">
        <v>235</v>
      </c>
      <c r="E54">
        <v>2138</v>
      </c>
      <c r="F54">
        <v>2130</v>
      </c>
      <c r="G54">
        <v>400</v>
      </c>
      <c r="H54" t="s">
        <v>227</v>
      </c>
      <c r="I54">
        <v>6995</v>
      </c>
      <c r="J54" t="s">
        <v>118</v>
      </c>
      <c r="K54" t="s">
        <v>228</v>
      </c>
      <c r="L54">
        <v>1815</v>
      </c>
      <c r="M54">
        <v>1812</v>
      </c>
      <c r="N54">
        <v>500</v>
      </c>
      <c r="O54" t="s">
        <v>229</v>
      </c>
      <c r="P54">
        <v>0.90488364228623897</v>
      </c>
      <c r="Q54">
        <v>0.93028000914261799</v>
      </c>
      <c r="R54">
        <v>0.33401442314032098</v>
      </c>
      <c r="S54">
        <v>4.55458992371766E-3</v>
      </c>
      <c r="T54">
        <v>-1.50935574113476</v>
      </c>
      <c r="U54">
        <v>1.50935574113476</v>
      </c>
      <c r="V54">
        <v>-4.04</v>
      </c>
      <c r="W54">
        <v>6.34</v>
      </c>
      <c r="X54">
        <v>101285</v>
      </c>
      <c r="Y54">
        <v>6752</v>
      </c>
      <c r="Z54">
        <v>0.45</v>
      </c>
      <c r="AA54">
        <v>15</v>
      </c>
      <c r="AB54">
        <v>8</v>
      </c>
      <c r="AC54">
        <v>7</v>
      </c>
      <c r="AD54">
        <v>53.33</v>
      </c>
      <c r="AE54">
        <v>12</v>
      </c>
    </row>
    <row r="55" spans="1:31">
      <c r="A55">
        <v>113</v>
      </c>
      <c r="B55">
        <v>5393</v>
      </c>
      <c r="C55" t="s">
        <v>285</v>
      </c>
      <c r="D55" t="s">
        <v>238</v>
      </c>
      <c r="E55">
        <v>1822</v>
      </c>
      <c r="F55">
        <v>1824</v>
      </c>
      <c r="G55">
        <v>500</v>
      </c>
      <c r="H55" t="s">
        <v>227</v>
      </c>
      <c r="I55">
        <v>6472</v>
      </c>
      <c r="J55" t="s">
        <v>134</v>
      </c>
      <c r="K55" t="s">
        <v>226</v>
      </c>
      <c r="L55">
        <v>311</v>
      </c>
      <c r="M55">
        <v>309</v>
      </c>
      <c r="N55">
        <v>3000</v>
      </c>
      <c r="O55" t="s">
        <v>229</v>
      </c>
      <c r="P55">
        <v>0.94162254681289403</v>
      </c>
      <c r="Q55">
        <v>0.91486922073079802</v>
      </c>
      <c r="R55">
        <v>8.9890428147541099E-2</v>
      </c>
      <c r="S55">
        <v>0.103967013824686</v>
      </c>
      <c r="T55">
        <v>-1.4952984542941901</v>
      </c>
      <c r="U55">
        <v>1.4952984542941901</v>
      </c>
      <c r="V55">
        <v>-3.82</v>
      </c>
      <c r="W55">
        <v>1.64</v>
      </c>
      <c r="X55">
        <v>149532</v>
      </c>
      <c r="Y55">
        <v>8796</v>
      </c>
      <c r="Z55">
        <v>0.47</v>
      </c>
      <c r="AA55">
        <v>17</v>
      </c>
      <c r="AB55">
        <v>9</v>
      </c>
      <c r="AC55">
        <v>8</v>
      </c>
      <c r="AD55">
        <v>52.94</v>
      </c>
      <c r="AE55">
        <v>11</v>
      </c>
    </row>
    <row r="56" spans="1:31">
      <c r="A56">
        <v>243</v>
      </c>
      <c r="B56">
        <v>5803</v>
      </c>
      <c r="C56" t="s">
        <v>246</v>
      </c>
      <c r="D56" t="s">
        <v>247</v>
      </c>
      <c r="E56">
        <v>413</v>
      </c>
      <c r="F56">
        <v>411</v>
      </c>
      <c r="G56">
        <v>1700</v>
      </c>
      <c r="H56" t="s">
        <v>229</v>
      </c>
      <c r="I56">
        <v>6371</v>
      </c>
      <c r="J56" t="s">
        <v>139</v>
      </c>
      <c r="K56" t="s">
        <v>226</v>
      </c>
      <c r="L56">
        <v>3365</v>
      </c>
      <c r="M56">
        <v>3400</v>
      </c>
      <c r="N56">
        <v>200</v>
      </c>
      <c r="O56" t="s">
        <v>227</v>
      </c>
      <c r="P56">
        <v>0.91584502629546605</v>
      </c>
      <c r="Q56">
        <v>0.91326335772739498</v>
      </c>
      <c r="R56">
        <v>2.5456313272475301E-2</v>
      </c>
      <c r="S56">
        <v>0.37098406942520601</v>
      </c>
      <c r="T56">
        <v>1.4848404886384401</v>
      </c>
      <c r="U56">
        <v>1.4848404886384401</v>
      </c>
      <c r="V56">
        <v>7.01</v>
      </c>
      <c r="W56">
        <v>2.75</v>
      </c>
      <c r="X56">
        <v>-20815</v>
      </c>
      <c r="Y56">
        <v>-1301</v>
      </c>
      <c r="Z56">
        <v>0.01</v>
      </c>
      <c r="AA56">
        <v>16</v>
      </c>
      <c r="AB56">
        <v>8</v>
      </c>
      <c r="AC56">
        <v>8</v>
      </c>
      <c r="AD56">
        <v>50</v>
      </c>
      <c r="AE56">
        <v>11</v>
      </c>
    </row>
    <row r="57" spans="1:31">
      <c r="A57">
        <v>80</v>
      </c>
      <c r="B57">
        <v>7186</v>
      </c>
      <c r="C57" t="s">
        <v>236</v>
      </c>
      <c r="D57" t="s">
        <v>232</v>
      </c>
      <c r="E57">
        <v>407</v>
      </c>
      <c r="F57">
        <v>409</v>
      </c>
      <c r="G57">
        <v>2000</v>
      </c>
      <c r="H57" t="s">
        <v>229</v>
      </c>
      <c r="I57">
        <v>8273</v>
      </c>
      <c r="J57" t="s">
        <v>128</v>
      </c>
      <c r="K57" t="s">
        <v>245</v>
      </c>
      <c r="L57">
        <v>4130</v>
      </c>
      <c r="M57">
        <v>4165</v>
      </c>
      <c r="N57">
        <v>200</v>
      </c>
      <c r="O57" t="s">
        <v>227</v>
      </c>
      <c r="P57">
        <v>0.94992425401232305</v>
      </c>
      <c r="Q57">
        <v>0.93750661519644496</v>
      </c>
      <c r="R57">
        <v>1.6328487104996499E-3</v>
      </c>
      <c r="S57">
        <v>2.6107982764680501E-2</v>
      </c>
      <c r="T57">
        <v>1.4784043165982601</v>
      </c>
      <c r="U57">
        <v>1.4784043165982601</v>
      </c>
      <c r="V57">
        <v>4.38</v>
      </c>
      <c r="W57">
        <v>1.8</v>
      </c>
      <c r="X57">
        <v>346533</v>
      </c>
      <c r="Y57">
        <v>21658</v>
      </c>
      <c r="Z57">
        <v>1.48</v>
      </c>
      <c r="AA57">
        <v>16</v>
      </c>
      <c r="AB57">
        <v>11</v>
      </c>
      <c r="AC57">
        <v>5</v>
      </c>
      <c r="AD57">
        <v>68.75</v>
      </c>
      <c r="AE57">
        <v>13</v>
      </c>
    </row>
    <row r="58" spans="1:31">
      <c r="A58">
        <v>217</v>
      </c>
      <c r="B58">
        <v>4581</v>
      </c>
      <c r="C58" t="s">
        <v>250</v>
      </c>
      <c r="D58" t="s">
        <v>251</v>
      </c>
      <c r="E58">
        <v>7770</v>
      </c>
      <c r="F58">
        <v>7760</v>
      </c>
      <c r="G58">
        <v>100</v>
      </c>
      <c r="H58" t="s">
        <v>229</v>
      </c>
      <c r="I58">
        <v>6674</v>
      </c>
      <c r="J58" t="s">
        <v>140</v>
      </c>
      <c r="K58" t="s">
        <v>231</v>
      </c>
      <c r="L58">
        <v>1858</v>
      </c>
      <c r="M58">
        <v>1844</v>
      </c>
      <c r="N58">
        <v>400</v>
      </c>
      <c r="O58" t="s">
        <v>227</v>
      </c>
      <c r="P58">
        <v>0.92075572902482505</v>
      </c>
      <c r="Q58">
        <v>0.92275210402267405</v>
      </c>
      <c r="R58">
        <v>7.2304322729182705E-2</v>
      </c>
      <c r="S58">
        <v>0.28393605562902902</v>
      </c>
      <c r="T58">
        <v>1.47498647080389</v>
      </c>
      <c r="U58">
        <v>1.47498647080389</v>
      </c>
      <c r="V58">
        <v>3.18</v>
      </c>
      <c r="W58">
        <v>4.95</v>
      </c>
      <c r="X58">
        <v>-39691</v>
      </c>
      <c r="Y58">
        <v>-3969</v>
      </c>
      <c r="Z58">
        <v>-0.26</v>
      </c>
      <c r="AA58">
        <v>10</v>
      </c>
      <c r="AB58">
        <v>4</v>
      </c>
      <c r="AC58">
        <v>6</v>
      </c>
      <c r="AD58">
        <v>40</v>
      </c>
      <c r="AE58">
        <v>13</v>
      </c>
    </row>
    <row r="59" spans="1:31">
      <c r="A59">
        <v>6</v>
      </c>
      <c r="B59">
        <v>8309</v>
      </c>
      <c r="C59" t="s">
        <v>259</v>
      </c>
      <c r="D59" t="s">
        <v>232</v>
      </c>
      <c r="E59">
        <v>3780</v>
      </c>
      <c r="F59">
        <v>3739</v>
      </c>
      <c r="G59">
        <v>200</v>
      </c>
      <c r="H59" t="s">
        <v>227</v>
      </c>
      <c r="I59">
        <v>8341</v>
      </c>
      <c r="J59" t="s">
        <v>141</v>
      </c>
      <c r="K59" t="s">
        <v>232</v>
      </c>
      <c r="L59">
        <v>1564</v>
      </c>
      <c r="M59">
        <v>1568</v>
      </c>
      <c r="N59">
        <v>500</v>
      </c>
      <c r="O59" t="s">
        <v>229</v>
      </c>
      <c r="P59">
        <v>0.97820312967374501</v>
      </c>
      <c r="Q59">
        <v>0.91703844673491697</v>
      </c>
      <c r="R59">
        <v>0.14207430853221101</v>
      </c>
      <c r="S59">
        <v>0.33948989417635</v>
      </c>
      <c r="T59">
        <v>-1.47221989918461</v>
      </c>
      <c r="U59">
        <v>1.47221989918461</v>
      </c>
      <c r="V59">
        <v>-4.08</v>
      </c>
      <c r="W59">
        <v>4.84</v>
      </c>
      <c r="X59">
        <v>179972</v>
      </c>
      <c r="Y59">
        <v>8999</v>
      </c>
      <c r="Z59">
        <v>0.63</v>
      </c>
      <c r="AA59">
        <v>20</v>
      </c>
      <c r="AB59">
        <v>13</v>
      </c>
      <c r="AC59">
        <v>7</v>
      </c>
      <c r="AD59">
        <v>65</v>
      </c>
      <c r="AE59">
        <v>14</v>
      </c>
    </row>
    <row r="60" spans="1:31">
      <c r="A60">
        <v>216</v>
      </c>
      <c r="B60">
        <v>5802</v>
      </c>
      <c r="C60" t="s">
        <v>272</v>
      </c>
      <c r="D60" t="s">
        <v>247</v>
      </c>
      <c r="E60">
        <v>1343</v>
      </c>
      <c r="F60">
        <v>1341.5</v>
      </c>
      <c r="G60">
        <v>700</v>
      </c>
      <c r="H60" t="s">
        <v>227</v>
      </c>
      <c r="I60">
        <v>8385</v>
      </c>
      <c r="J60" t="s">
        <v>120</v>
      </c>
      <c r="K60" t="s">
        <v>232</v>
      </c>
      <c r="L60">
        <v>565</v>
      </c>
      <c r="M60">
        <v>560</v>
      </c>
      <c r="N60">
        <v>1700</v>
      </c>
      <c r="O60" t="s">
        <v>229</v>
      </c>
      <c r="P60">
        <v>0.92078869116699802</v>
      </c>
      <c r="Q60">
        <v>0.91721322135035899</v>
      </c>
      <c r="R60">
        <v>0.22932486664656099</v>
      </c>
      <c r="S60">
        <v>0.30196796077699101</v>
      </c>
      <c r="T60">
        <v>-1.4378154325308301</v>
      </c>
      <c r="U60">
        <v>1.4378154325308301</v>
      </c>
      <c r="V60">
        <v>-3.62</v>
      </c>
      <c r="W60">
        <v>1.38</v>
      </c>
      <c r="X60">
        <v>42133</v>
      </c>
      <c r="Y60">
        <v>3511</v>
      </c>
      <c r="Z60">
        <v>0.16</v>
      </c>
      <c r="AA60">
        <v>12</v>
      </c>
      <c r="AB60">
        <v>6</v>
      </c>
      <c r="AC60">
        <v>6</v>
      </c>
      <c r="AD60">
        <v>50</v>
      </c>
      <c r="AE60">
        <v>14</v>
      </c>
    </row>
    <row r="61" spans="1:31">
      <c r="A61">
        <v>134</v>
      </c>
      <c r="B61">
        <v>4182</v>
      </c>
      <c r="C61" t="s">
        <v>286</v>
      </c>
      <c r="D61" t="s">
        <v>235</v>
      </c>
      <c r="E61">
        <v>1408</v>
      </c>
      <c r="F61">
        <v>1402</v>
      </c>
      <c r="G61">
        <v>700</v>
      </c>
      <c r="H61" t="s">
        <v>229</v>
      </c>
      <c r="I61">
        <v>6301</v>
      </c>
      <c r="J61" t="s">
        <v>124</v>
      </c>
      <c r="K61" t="s">
        <v>226</v>
      </c>
      <c r="L61">
        <v>2400</v>
      </c>
      <c r="M61">
        <v>2375</v>
      </c>
      <c r="N61">
        <v>400</v>
      </c>
      <c r="O61" t="s">
        <v>227</v>
      </c>
      <c r="P61">
        <v>0.93810441418766599</v>
      </c>
      <c r="Q61">
        <v>0.90126925288369497</v>
      </c>
      <c r="R61">
        <v>0.149069108456514</v>
      </c>
      <c r="S61">
        <v>2.6371937018259298E-2</v>
      </c>
      <c r="T61">
        <v>1.4278481193391701</v>
      </c>
      <c r="U61">
        <v>1.4278481193391701</v>
      </c>
      <c r="V61">
        <v>4.33</v>
      </c>
      <c r="W61">
        <v>3.31</v>
      </c>
      <c r="X61">
        <v>51961</v>
      </c>
      <c r="Y61">
        <v>3997</v>
      </c>
      <c r="Z61">
        <v>0.32</v>
      </c>
      <c r="AA61">
        <v>13</v>
      </c>
      <c r="AB61">
        <v>8</v>
      </c>
      <c r="AC61">
        <v>5</v>
      </c>
      <c r="AD61">
        <v>61.54</v>
      </c>
      <c r="AE61">
        <v>13</v>
      </c>
    </row>
    <row r="62" spans="1:31">
      <c r="A62">
        <v>168</v>
      </c>
      <c r="B62">
        <v>1963</v>
      </c>
      <c r="C62" t="s">
        <v>287</v>
      </c>
      <c r="D62" t="s">
        <v>254</v>
      </c>
      <c r="E62">
        <v>1366</v>
      </c>
      <c r="F62">
        <v>1374</v>
      </c>
      <c r="G62">
        <v>700</v>
      </c>
      <c r="H62" t="s">
        <v>227</v>
      </c>
      <c r="I62">
        <v>8750</v>
      </c>
      <c r="J62" t="s">
        <v>143</v>
      </c>
      <c r="K62" t="s">
        <v>288</v>
      </c>
      <c r="L62">
        <v>1653</v>
      </c>
      <c r="M62">
        <v>1624</v>
      </c>
      <c r="N62">
        <v>600</v>
      </c>
      <c r="O62" t="s">
        <v>229</v>
      </c>
      <c r="P62">
        <v>0.93249086300020301</v>
      </c>
      <c r="Q62">
        <v>0.92056231526663701</v>
      </c>
      <c r="R62">
        <v>8.1472579744055196E-2</v>
      </c>
      <c r="S62">
        <v>0.11115687660849</v>
      </c>
      <c r="T62">
        <v>-1.41335741353441</v>
      </c>
      <c r="U62">
        <v>1.41335741353441</v>
      </c>
      <c r="V62">
        <v>-4.12</v>
      </c>
      <c r="W62">
        <v>1.29</v>
      </c>
      <c r="X62">
        <v>105402</v>
      </c>
      <c r="Y62">
        <v>6200</v>
      </c>
      <c r="Z62">
        <v>0.38</v>
      </c>
      <c r="AA62">
        <v>17</v>
      </c>
      <c r="AB62">
        <v>9</v>
      </c>
      <c r="AC62">
        <v>8</v>
      </c>
      <c r="AD62">
        <v>52.94</v>
      </c>
      <c r="AE62">
        <v>10</v>
      </c>
    </row>
    <row r="63" spans="1:31">
      <c r="A63">
        <v>291</v>
      </c>
      <c r="B63">
        <v>5471</v>
      </c>
      <c r="C63" t="s">
        <v>289</v>
      </c>
      <c r="D63" t="s">
        <v>252</v>
      </c>
      <c r="E63">
        <v>4250</v>
      </c>
      <c r="F63">
        <v>4330</v>
      </c>
      <c r="G63">
        <v>200</v>
      </c>
      <c r="H63" t="s">
        <v>229</v>
      </c>
      <c r="I63">
        <v>6923</v>
      </c>
      <c r="J63" t="s">
        <v>126</v>
      </c>
      <c r="K63" t="s">
        <v>231</v>
      </c>
      <c r="L63">
        <v>2800</v>
      </c>
      <c r="M63">
        <v>2780</v>
      </c>
      <c r="N63">
        <v>300</v>
      </c>
      <c r="O63" t="s">
        <v>227</v>
      </c>
      <c r="P63">
        <v>0.908426920416738</v>
      </c>
      <c r="Q63">
        <v>0.92137856484398895</v>
      </c>
      <c r="R63">
        <v>9.0430679205576597E-3</v>
      </c>
      <c r="S63">
        <v>4.4280062492596597E-3</v>
      </c>
      <c r="T63">
        <v>1.40191202431867</v>
      </c>
      <c r="U63">
        <v>1.40191202431867</v>
      </c>
      <c r="V63">
        <v>3.1</v>
      </c>
      <c r="W63">
        <v>3.7</v>
      </c>
      <c r="X63">
        <v>48706</v>
      </c>
      <c r="Y63">
        <v>8118</v>
      </c>
      <c r="Z63">
        <v>0.44</v>
      </c>
      <c r="AA63">
        <v>6</v>
      </c>
      <c r="AB63">
        <v>2</v>
      </c>
      <c r="AC63">
        <v>4</v>
      </c>
      <c r="AD63">
        <v>33.33</v>
      </c>
      <c r="AE63">
        <v>17</v>
      </c>
    </row>
    <row r="64" spans="1:31">
      <c r="A64">
        <v>154</v>
      </c>
      <c r="B64">
        <v>4061</v>
      </c>
      <c r="C64" t="s">
        <v>263</v>
      </c>
      <c r="D64" t="s">
        <v>235</v>
      </c>
      <c r="E64">
        <v>2861</v>
      </c>
      <c r="F64">
        <v>2888</v>
      </c>
      <c r="G64">
        <v>300</v>
      </c>
      <c r="H64" t="s">
        <v>227</v>
      </c>
      <c r="I64">
        <v>6752</v>
      </c>
      <c r="J64" t="s">
        <v>144</v>
      </c>
      <c r="K64" t="s">
        <v>231</v>
      </c>
      <c r="L64">
        <v>887.2</v>
      </c>
      <c r="M64">
        <v>875.7</v>
      </c>
      <c r="N64">
        <v>1000</v>
      </c>
      <c r="O64" t="s">
        <v>229</v>
      </c>
      <c r="P64">
        <v>0.93431362245058502</v>
      </c>
      <c r="Q64">
        <v>0.92043405433427705</v>
      </c>
      <c r="R64">
        <v>0.18390517442056001</v>
      </c>
      <c r="S64">
        <v>3.36772266375861E-2</v>
      </c>
      <c r="T64">
        <v>-1.39796398177282</v>
      </c>
      <c r="U64">
        <v>1.39796398177282</v>
      </c>
      <c r="V64">
        <v>-3.93</v>
      </c>
      <c r="W64">
        <v>1.07</v>
      </c>
      <c r="X64">
        <v>218797</v>
      </c>
      <c r="Y64">
        <v>12155</v>
      </c>
      <c r="Z64">
        <v>0.81</v>
      </c>
      <c r="AA64">
        <v>18</v>
      </c>
      <c r="AB64">
        <v>12</v>
      </c>
      <c r="AC64">
        <v>6</v>
      </c>
      <c r="AD64">
        <v>66.67</v>
      </c>
      <c r="AE64">
        <v>13</v>
      </c>
    </row>
    <row r="65" spans="1:31">
      <c r="A65">
        <v>60</v>
      </c>
      <c r="B65">
        <v>3405</v>
      </c>
      <c r="C65" t="s">
        <v>290</v>
      </c>
      <c r="D65" t="s">
        <v>235</v>
      </c>
      <c r="E65">
        <v>1292</v>
      </c>
      <c r="F65">
        <v>1294</v>
      </c>
      <c r="G65">
        <v>700</v>
      </c>
      <c r="H65" t="s">
        <v>227</v>
      </c>
      <c r="I65">
        <v>4631</v>
      </c>
      <c r="J65" t="s">
        <v>145</v>
      </c>
      <c r="K65" t="s">
        <v>235</v>
      </c>
      <c r="L65">
        <v>2972</v>
      </c>
      <c r="M65">
        <v>2958</v>
      </c>
      <c r="N65">
        <v>300</v>
      </c>
      <c r="O65" t="s">
        <v>229</v>
      </c>
      <c r="P65">
        <v>0.95445219736362896</v>
      </c>
      <c r="Q65">
        <v>0.90237319820469097</v>
      </c>
      <c r="R65">
        <v>2.1045544925136501E-2</v>
      </c>
      <c r="S65">
        <v>0.31959342358374798</v>
      </c>
      <c r="T65">
        <v>-1.3860561212557201</v>
      </c>
      <c r="U65">
        <v>1.3860561212557201</v>
      </c>
      <c r="V65">
        <v>-2.2200000000000002</v>
      </c>
      <c r="W65">
        <v>2.0699999999999998</v>
      </c>
      <c r="X65">
        <v>-47995</v>
      </c>
      <c r="Y65">
        <v>-3200</v>
      </c>
      <c r="Z65">
        <v>-0.19</v>
      </c>
      <c r="AA65">
        <v>15</v>
      </c>
      <c r="AB65">
        <v>7</v>
      </c>
      <c r="AC65">
        <v>8</v>
      </c>
      <c r="AD65">
        <v>46.67</v>
      </c>
      <c r="AE65">
        <v>14</v>
      </c>
    </row>
    <row r="66" spans="1:31">
      <c r="A66">
        <v>316</v>
      </c>
      <c r="B66">
        <v>4507</v>
      </c>
      <c r="C66" t="s">
        <v>291</v>
      </c>
      <c r="D66" t="s">
        <v>251</v>
      </c>
      <c r="E66">
        <v>6022</v>
      </c>
      <c r="F66">
        <v>6036</v>
      </c>
      <c r="G66">
        <v>100</v>
      </c>
      <c r="H66" t="s">
        <v>229</v>
      </c>
      <c r="I66">
        <v>5406</v>
      </c>
      <c r="J66" t="s">
        <v>147</v>
      </c>
      <c r="K66" t="s">
        <v>252</v>
      </c>
      <c r="L66">
        <v>570</v>
      </c>
      <c r="M66">
        <v>564</v>
      </c>
      <c r="N66">
        <v>1100</v>
      </c>
      <c r="O66" t="s">
        <v>227</v>
      </c>
      <c r="P66">
        <v>0.90325109381973401</v>
      </c>
      <c r="Q66">
        <v>0.925874449196326</v>
      </c>
      <c r="R66">
        <v>7.6257722501923697E-3</v>
      </c>
      <c r="S66">
        <v>1.62311011114376E-2</v>
      </c>
      <c r="T66">
        <v>1.3757030403686801</v>
      </c>
      <c r="U66">
        <v>1.3757030403686801</v>
      </c>
      <c r="V66">
        <v>9.51</v>
      </c>
      <c r="W66">
        <v>2.78</v>
      </c>
      <c r="X66">
        <v>-154089</v>
      </c>
      <c r="Y66">
        <v>-7004</v>
      </c>
      <c r="Z66">
        <v>-0.62</v>
      </c>
      <c r="AA66">
        <v>22</v>
      </c>
      <c r="AB66">
        <v>9</v>
      </c>
      <c r="AC66">
        <v>13</v>
      </c>
      <c r="AD66">
        <v>40.909999999999997</v>
      </c>
      <c r="AE66">
        <v>12</v>
      </c>
    </row>
    <row r="67" spans="1:31">
      <c r="A67">
        <v>318</v>
      </c>
      <c r="B67">
        <v>4507</v>
      </c>
      <c r="C67" t="s">
        <v>291</v>
      </c>
      <c r="D67" t="s">
        <v>251</v>
      </c>
      <c r="E67">
        <v>6022</v>
      </c>
      <c r="F67">
        <v>6036</v>
      </c>
      <c r="G67">
        <v>100</v>
      </c>
      <c r="H67" t="s">
        <v>229</v>
      </c>
      <c r="I67">
        <v>4581</v>
      </c>
      <c r="J67" t="s">
        <v>113</v>
      </c>
      <c r="K67" t="s">
        <v>251</v>
      </c>
      <c r="L67">
        <v>7770</v>
      </c>
      <c r="M67">
        <v>7760</v>
      </c>
      <c r="N67">
        <v>100</v>
      </c>
      <c r="O67" t="s">
        <v>227</v>
      </c>
      <c r="P67">
        <v>0.90256313204237404</v>
      </c>
      <c r="Q67">
        <v>0.91175164523591101</v>
      </c>
      <c r="R67">
        <v>2.41741097840391E-3</v>
      </c>
      <c r="S67">
        <v>6.1599406772945203E-2</v>
      </c>
      <c r="T67">
        <v>1.3667116883922801</v>
      </c>
      <c r="U67">
        <v>1.3667116883922801</v>
      </c>
      <c r="V67">
        <v>3</v>
      </c>
      <c r="W67">
        <v>22.22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</row>
    <row r="68" spans="1:31">
      <c r="A68">
        <v>88</v>
      </c>
      <c r="B68">
        <v>7202</v>
      </c>
      <c r="C68" t="s">
        <v>292</v>
      </c>
      <c r="D68" t="s">
        <v>228</v>
      </c>
      <c r="E68">
        <v>1154.5</v>
      </c>
      <c r="F68">
        <v>1161</v>
      </c>
      <c r="G68">
        <v>700</v>
      </c>
      <c r="H68" t="s">
        <v>227</v>
      </c>
      <c r="I68">
        <v>7267</v>
      </c>
      <c r="J68" t="s">
        <v>149</v>
      </c>
      <c r="K68" t="s">
        <v>228</v>
      </c>
      <c r="L68">
        <v>2740</v>
      </c>
      <c r="M68">
        <v>2730</v>
      </c>
      <c r="N68">
        <v>300</v>
      </c>
      <c r="O68" t="s">
        <v>229</v>
      </c>
      <c r="P68">
        <v>0.94781459529796597</v>
      </c>
      <c r="Q68">
        <v>0.91384671630137504</v>
      </c>
      <c r="R68">
        <v>5.7933992643559903E-2</v>
      </c>
      <c r="S68">
        <v>5.3754401047342602E-2</v>
      </c>
      <c r="T68">
        <v>-1.35644278247198</v>
      </c>
      <c r="U68">
        <v>1.35644278247198</v>
      </c>
      <c r="V68">
        <v>-2.72</v>
      </c>
      <c r="W68">
        <v>0.77</v>
      </c>
      <c r="X68">
        <v>83530</v>
      </c>
      <c r="Y68">
        <v>5221</v>
      </c>
      <c r="Z68">
        <v>0.25</v>
      </c>
      <c r="AA68">
        <v>16</v>
      </c>
      <c r="AB68">
        <v>10</v>
      </c>
      <c r="AC68">
        <v>6</v>
      </c>
      <c r="AD68">
        <v>62.5</v>
      </c>
      <c r="AE68">
        <v>15</v>
      </c>
    </row>
    <row r="69" spans="1:31">
      <c r="A69">
        <v>278</v>
      </c>
      <c r="B69">
        <v>4118</v>
      </c>
      <c r="C69" t="s">
        <v>293</v>
      </c>
      <c r="D69" t="s">
        <v>235</v>
      </c>
      <c r="E69">
        <v>3405</v>
      </c>
      <c r="F69">
        <v>3385</v>
      </c>
      <c r="G69">
        <v>200</v>
      </c>
      <c r="H69" t="s">
        <v>229</v>
      </c>
      <c r="I69">
        <v>4902</v>
      </c>
      <c r="J69" t="s">
        <v>150</v>
      </c>
      <c r="K69" t="s">
        <v>231</v>
      </c>
      <c r="L69">
        <v>746</v>
      </c>
      <c r="M69">
        <v>739</v>
      </c>
      <c r="N69">
        <v>900</v>
      </c>
      <c r="O69" t="s">
        <v>227</v>
      </c>
      <c r="P69">
        <v>0.91014168235339599</v>
      </c>
      <c r="Q69">
        <v>0.90469105198518396</v>
      </c>
      <c r="R69">
        <v>0.350480708708932</v>
      </c>
      <c r="S69">
        <v>8.1138703563111994E-2</v>
      </c>
      <c r="T69">
        <v>1.34071984754387</v>
      </c>
      <c r="U69">
        <v>1.34071984754387</v>
      </c>
      <c r="V69">
        <v>9.0399999999999991</v>
      </c>
      <c r="W69">
        <v>1.76</v>
      </c>
      <c r="X69">
        <v>281347</v>
      </c>
      <c r="Y69">
        <v>15630</v>
      </c>
      <c r="Z69">
        <v>0.85</v>
      </c>
      <c r="AA69">
        <v>18</v>
      </c>
      <c r="AB69">
        <v>12</v>
      </c>
      <c r="AC69">
        <v>6</v>
      </c>
      <c r="AD69">
        <v>66.67</v>
      </c>
      <c r="AE69">
        <v>11</v>
      </c>
    </row>
    <row r="70" spans="1:31">
      <c r="A70">
        <v>94</v>
      </c>
      <c r="B70">
        <v>6995</v>
      </c>
      <c r="C70" t="s">
        <v>256</v>
      </c>
      <c r="D70" t="s">
        <v>228</v>
      </c>
      <c r="E70">
        <v>1815</v>
      </c>
      <c r="F70">
        <v>1812</v>
      </c>
      <c r="G70">
        <v>500</v>
      </c>
      <c r="H70" t="s">
        <v>229</v>
      </c>
      <c r="I70">
        <v>8078</v>
      </c>
      <c r="J70" t="s">
        <v>151</v>
      </c>
      <c r="K70" t="s">
        <v>257</v>
      </c>
      <c r="L70">
        <v>2925</v>
      </c>
      <c r="M70">
        <v>2896</v>
      </c>
      <c r="N70">
        <v>300</v>
      </c>
      <c r="O70" t="s">
        <v>227</v>
      </c>
      <c r="P70">
        <v>0.94605314364744497</v>
      </c>
      <c r="Q70">
        <v>0.90463434406489396</v>
      </c>
      <c r="R70">
        <v>0.13360943716540399</v>
      </c>
      <c r="S70">
        <v>2.4848010177170098E-2</v>
      </c>
      <c r="T70">
        <v>1.3329835280598601</v>
      </c>
      <c r="U70">
        <v>1.3329835280598601</v>
      </c>
      <c r="V70">
        <v>2.94</v>
      </c>
      <c r="W70">
        <v>4.28</v>
      </c>
      <c r="X70">
        <v>-35763</v>
      </c>
      <c r="Y70">
        <v>-2554</v>
      </c>
      <c r="Z70">
        <v>-0.21</v>
      </c>
      <c r="AA70">
        <v>14</v>
      </c>
      <c r="AB70">
        <v>7</v>
      </c>
      <c r="AC70">
        <v>7</v>
      </c>
      <c r="AD70">
        <v>50</v>
      </c>
      <c r="AE70">
        <v>14</v>
      </c>
    </row>
    <row r="71" spans="1:31">
      <c r="A71">
        <v>289</v>
      </c>
      <c r="B71">
        <v>3105</v>
      </c>
      <c r="C71" t="s">
        <v>270</v>
      </c>
      <c r="D71" t="s">
        <v>231</v>
      </c>
      <c r="E71">
        <v>824</v>
      </c>
      <c r="F71">
        <v>817</v>
      </c>
      <c r="G71">
        <v>1100</v>
      </c>
      <c r="H71" t="s">
        <v>227</v>
      </c>
      <c r="I71">
        <v>6995</v>
      </c>
      <c r="J71" t="s">
        <v>118</v>
      </c>
      <c r="K71" t="s">
        <v>228</v>
      </c>
      <c r="L71">
        <v>1815</v>
      </c>
      <c r="M71">
        <v>1812</v>
      </c>
      <c r="N71">
        <v>500</v>
      </c>
      <c r="O71" t="s">
        <v>229</v>
      </c>
      <c r="P71">
        <v>0.90888313155290801</v>
      </c>
      <c r="Q71">
        <v>0.916277208036405</v>
      </c>
      <c r="R71">
        <v>7.6265324550007105E-2</v>
      </c>
      <c r="S71">
        <v>7.5502515957706795E-2</v>
      </c>
      <c r="T71">
        <v>-1.3322522169022399</v>
      </c>
      <c r="U71">
        <v>1.3322522169022399</v>
      </c>
      <c r="V71">
        <v>-3.89</v>
      </c>
      <c r="W71">
        <v>0.81</v>
      </c>
      <c r="X71">
        <v>460385</v>
      </c>
      <c r="Y71">
        <v>27081</v>
      </c>
      <c r="Z71">
        <v>1.46</v>
      </c>
      <c r="AA71">
        <v>17</v>
      </c>
      <c r="AB71">
        <v>10</v>
      </c>
      <c r="AC71">
        <v>7</v>
      </c>
      <c r="AD71">
        <v>58.82</v>
      </c>
      <c r="AE71">
        <v>12</v>
      </c>
    </row>
    <row r="72" spans="1:31">
      <c r="A72">
        <v>15</v>
      </c>
      <c r="B72">
        <v>5201</v>
      </c>
      <c r="C72" t="s">
        <v>240</v>
      </c>
      <c r="D72" t="s">
        <v>238</v>
      </c>
      <c r="E72">
        <v>3360</v>
      </c>
      <c r="F72">
        <v>3320</v>
      </c>
      <c r="G72">
        <v>300</v>
      </c>
      <c r="H72" t="s">
        <v>227</v>
      </c>
      <c r="I72">
        <v>7012</v>
      </c>
      <c r="J72" t="s">
        <v>106</v>
      </c>
      <c r="K72" t="s">
        <v>228</v>
      </c>
      <c r="L72">
        <v>2367</v>
      </c>
      <c r="M72">
        <v>2360</v>
      </c>
      <c r="N72">
        <v>400</v>
      </c>
      <c r="O72" t="s">
        <v>229</v>
      </c>
      <c r="P72">
        <v>0.96742315305631399</v>
      </c>
      <c r="Q72">
        <v>0.95117481831405704</v>
      </c>
      <c r="R72">
        <v>0.17351178582579599</v>
      </c>
      <c r="S72">
        <v>3.4056714561908502E-3</v>
      </c>
      <c r="T72">
        <v>-1.33054208831484</v>
      </c>
      <c r="U72">
        <v>1.33054208831484</v>
      </c>
      <c r="V72">
        <v>-3.11</v>
      </c>
      <c r="W72">
        <v>5.22</v>
      </c>
      <c r="X72">
        <v>68111</v>
      </c>
      <c r="Y72">
        <v>6811</v>
      </c>
      <c r="Z72">
        <v>0.39</v>
      </c>
      <c r="AA72">
        <v>10</v>
      </c>
      <c r="AB72">
        <v>6</v>
      </c>
      <c r="AC72">
        <v>4</v>
      </c>
      <c r="AD72">
        <v>60</v>
      </c>
      <c r="AE72">
        <v>15</v>
      </c>
    </row>
    <row r="73" spans="1:31">
      <c r="A73">
        <v>179</v>
      </c>
      <c r="B73">
        <v>3116</v>
      </c>
      <c r="C73" t="s">
        <v>239</v>
      </c>
      <c r="D73" t="s">
        <v>228</v>
      </c>
      <c r="E73">
        <v>1475</v>
      </c>
      <c r="F73">
        <v>1469</v>
      </c>
      <c r="G73">
        <v>600</v>
      </c>
      <c r="H73" t="s">
        <v>227</v>
      </c>
      <c r="I73">
        <v>6923</v>
      </c>
      <c r="J73" t="s">
        <v>126</v>
      </c>
      <c r="K73" t="s">
        <v>231</v>
      </c>
      <c r="L73">
        <v>2800</v>
      </c>
      <c r="M73">
        <v>2780</v>
      </c>
      <c r="N73">
        <v>300</v>
      </c>
      <c r="O73" t="s">
        <v>229</v>
      </c>
      <c r="P73">
        <v>0.92939904099266901</v>
      </c>
      <c r="Q73">
        <v>0.96723721019128395</v>
      </c>
      <c r="R73">
        <v>0.16114220322724099</v>
      </c>
      <c r="S73">
        <v>4.5922299707291399E-2</v>
      </c>
      <c r="T73">
        <v>-1.3121759821923999</v>
      </c>
      <c r="U73">
        <v>1.3121759821923999</v>
      </c>
      <c r="V73">
        <v>-2.2400000000000002</v>
      </c>
      <c r="W73">
        <v>5.68</v>
      </c>
      <c r="X73">
        <v>35650</v>
      </c>
      <c r="Y73">
        <v>2546</v>
      </c>
      <c r="Z73">
        <v>0.18</v>
      </c>
      <c r="AA73">
        <v>14</v>
      </c>
      <c r="AB73">
        <v>8</v>
      </c>
      <c r="AC73">
        <v>6</v>
      </c>
      <c r="AD73">
        <v>57.14</v>
      </c>
      <c r="AE73">
        <v>12</v>
      </c>
    </row>
    <row r="74" spans="1:31">
      <c r="A74">
        <v>52</v>
      </c>
      <c r="B74">
        <v>7182</v>
      </c>
      <c r="C74" t="s">
        <v>248</v>
      </c>
      <c r="D74" t="s">
        <v>232</v>
      </c>
      <c r="E74">
        <v>1030</v>
      </c>
      <c r="F74">
        <v>1026</v>
      </c>
      <c r="G74">
        <v>800</v>
      </c>
      <c r="H74" t="s">
        <v>227</v>
      </c>
      <c r="I74">
        <v>9810</v>
      </c>
      <c r="J74" t="s">
        <v>152</v>
      </c>
      <c r="K74" t="s">
        <v>257</v>
      </c>
      <c r="L74">
        <v>4255</v>
      </c>
      <c r="M74">
        <v>4265</v>
      </c>
      <c r="N74">
        <v>200</v>
      </c>
      <c r="O74" t="s">
        <v>229</v>
      </c>
      <c r="P74">
        <v>0.95624309088316195</v>
      </c>
      <c r="Q74">
        <v>0.90036534234335697</v>
      </c>
      <c r="R74">
        <v>6.5666859661909598E-3</v>
      </c>
      <c r="S74">
        <v>0.14537022807873501</v>
      </c>
      <c r="T74">
        <v>-1.30438499127204</v>
      </c>
      <c r="U74">
        <v>1.30438499127204</v>
      </c>
      <c r="V74">
        <v>-1.79</v>
      </c>
      <c r="W74">
        <v>3.77</v>
      </c>
      <c r="X74">
        <v>203645</v>
      </c>
      <c r="Y74">
        <v>11979</v>
      </c>
      <c r="Z74">
        <v>0.83</v>
      </c>
      <c r="AA74">
        <v>17</v>
      </c>
      <c r="AB74">
        <v>10</v>
      </c>
      <c r="AC74">
        <v>7</v>
      </c>
      <c r="AD74">
        <v>58.82</v>
      </c>
      <c r="AE74">
        <v>13</v>
      </c>
    </row>
    <row r="75" spans="1:31">
      <c r="A75">
        <v>39</v>
      </c>
      <c r="B75">
        <v>4182</v>
      </c>
      <c r="C75" t="s">
        <v>286</v>
      </c>
      <c r="D75" t="s">
        <v>235</v>
      </c>
      <c r="E75">
        <v>1408</v>
      </c>
      <c r="F75">
        <v>1402</v>
      </c>
      <c r="G75">
        <v>500</v>
      </c>
      <c r="H75" t="s">
        <v>229</v>
      </c>
      <c r="I75">
        <v>8309</v>
      </c>
      <c r="J75" t="s">
        <v>101</v>
      </c>
      <c r="K75" t="s">
        <v>232</v>
      </c>
      <c r="L75">
        <v>3780</v>
      </c>
      <c r="M75">
        <v>3739</v>
      </c>
      <c r="N75">
        <v>200</v>
      </c>
      <c r="O75" t="s">
        <v>227</v>
      </c>
      <c r="P75">
        <v>0.95936360323575498</v>
      </c>
      <c r="Q75">
        <v>0.90455043828716297</v>
      </c>
      <c r="R75">
        <v>2.6940691933599201E-2</v>
      </c>
      <c r="S75">
        <v>0.13819416233368501</v>
      </c>
      <c r="T75">
        <v>1.30083081953499</v>
      </c>
      <c r="U75">
        <v>1.30083081953499</v>
      </c>
      <c r="V75">
        <v>2.82</v>
      </c>
      <c r="W75">
        <v>6.26</v>
      </c>
      <c r="X75">
        <v>-246291</v>
      </c>
      <c r="Y75">
        <v>-14488</v>
      </c>
      <c r="Z75">
        <v>-0.86</v>
      </c>
      <c r="AA75">
        <v>17</v>
      </c>
      <c r="AB75">
        <v>7</v>
      </c>
      <c r="AC75">
        <v>10</v>
      </c>
      <c r="AD75">
        <v>41.18</v>
      </c>
      <c r="AE75">
        <v>11</v>
      </c>
    </row>
    <row r="76" spans="1:31">
      <c r="A76">
        <v>136</v>
      </c>
      <c r="B76">
        <v>5802</v>
      </c>
      <c r="C76" t="s">
        <v>272</v>
      </c>
      <c r="D76" t="s">
        <v>247</v>
      </c>
      <c r="E76">
        <v>1343</v>
      </c>
      <c r="F76">
        <v>1341.5</v>
      </c>
      <c r="G76">
        <v>700</v>
      </c>
      <c r="H76" t="s">
        <v>229</v>
      </c>
      <c r="I76">
        <v>7202</v>
      </c>
      <c r="J76" t="s">
        <v>148</v>
      </c>
      <c r="K76" t="s">
        <v>228</v>
      </c>
      <c r="L76">
        <v>1154.5</v>
      </c>
      <c r="M76">
        <v>1161</v>
      </c>
      <c r="N76">
        <v>800</v>
      </c>
      <c r="O76" t="s">
        <v>227</v>
      </c>
      <c r="P76">
        <v>0.93761138360743002</v>
      </c>
      <c r="Q76">
        <v>0.90927059497625495</v>
      </c>
      <c r="R76">
        <v>0.22761059835743599</v>
      </c>
      <c r="S76">
        <v>0.17615252268971199</v>
      </c>
      <c r="T76">
        <v>1.2765010802724599</v>
      </c>
      <c r="U76">
        <v>1.2765010802724599</v>
      </c>
      <c r="V76">
        <v>2.67</v>
      </c>
      <c r="W76">
        <v>1.0900000000000001</v>
      </c>
      <c r="X76">
        <v>50886</v>
      </c>
      <c r="Y76">
        <v>3914</v>
      </c>
      <c r="Z76">
        <v>0.19</v>
      </c>
      <c r="AA76">
        <v>13</v>
      </c>
      <c r="AB76">
        <v>8</v>
      </c>
      <c r="AC76">
        <v>5</v>
      </c>
      <c r="AD76">
        <v>61.54</v>
      </c>
      <c r="AE76">
        <v>15</v>
      </c>
    </row>
    <row r="77" spans="1:31">
      <c r="A77">
        <v>146</v>
      </c>
      <c r="B77">
        <v>9072</v>
      </c>
      <c r="C77" t="s">
        <v>294</v>
      </c>
      <c r="D77" t="s">
        <v>261</v>
      </c>
      <c r="E77">
        <v>2426</v>
      </c>
      <c r="F77">
        <v>2420</v>
      </c>
      <c r="G77">
        <v>400</v>
      </c>
      <c r="H77" t="s">
        <v>227</v>
      </c>
      <c r="I77">
        <v>9810</v>
      </c>
      <c r="J77" t="s">
        <v>152</v>
      </c>
      <c r="K77" t="s">
        <v>257</v>
      </c>
      <c r="L77">
        <v>4255</v>
      </c>
      <c r="M77">
        <v>4265</v>
      </c>
      <c r="N77">
        <v>200</v>
      </c>
      <c r="O77" t="s">
        <v>229</v>
      </c>
      <c r="P77">
        <v>0.93564488713498095</v>
      </c>
      <c r="Q77">
        <v>0.93328392458446296</v>
      </c>
      <c r="R77">
        <v>1.3813639746154899E-3</v>
      </c>
      <c r="S77">
        <v>8.3445242138831201E-4</v>
      </c>
      <c r="T77">
        <v>-1.26783433001818</v>
      </c>
      <c r="U77">
        <v>1.26783433001818</v>
      </c>
      <c r="V77">
        <v>-2.02</v>
      </c>
      <c r="W77">
        <v>13.48</v>
      </c>
      <c r="X77">
        <v>180981</v>
      </c>
      <c r="Y77">
        <v>12065</v>
      </c>
      <c r="Z77">
        <v>0.92</v>
      </c>
      <c r="AA77">
        <v>15</v>
      </c>
      <c r="AB77">
        <v>10</v>
      </c>
      <c r="AC77">
        <v>5</v>
      </c>
      <c r="AD77">
        <v>66.67</v>
      </c>
      <c r="AE77">
        <v>14</v>
      </c>
    </row>
    <row r="78" spans="1:31">
      <c r="A78">
        <v>310</v>
      </c>
      <c r="B78">
        <v>4507</v>
      </c>
      <c r="C78" t="s">
        <v>291</v>
      </c>
      <c r="D78" t="s">
        <v>251</v>
      </c>
      <c r="E78">
        <v>6022</v>
      </c>
      <c r="F78">
        <v>6036</v>
      </c>
      <c r="G78">
        <v>100</v>
      </c>
      <c r="H78" t="s">
        <v>229</v>
      </c>
      <c r="I78">
        <v>5411</v>
      </c>
      <c r="J78" t="s">
        <v>154</v>
      </c>
      <c r="K78" t="s">
        <v>252</v>
      </c>
      <c r="L78">
        <v>1289.5</v>
      </c>
      <c r="M78">
        <v>1286</v>
      </c>
      <c r="N78">
        <v>500</v>
      </c>
      <c r="O78" t="s">
        <v>227</v>
      </c>
      <c r="P78">
        <v>0.904355642421943</v>
      </c>
      <c r="Q78">
        <v>0.91129262726607196</v>
      </c>
      <c r="R78">
        <v>1.266880709161E-2</v>
      </c>
      <c r="S78">
        <v>8.7560918019690098E-2</v>
      </c>
      <c r="T78">
        <v>1.2604490807011299</v>
      </c>
      <c r="U78">
        <v>1.2604490807011299</v>
      </c>
      <c r="V78">
        <v>7.42</v>
      </c>
      <c r="W78">
        <v>6.53</v>
      </c>
      <c r="X78">
        <v>-151845</v>
      </c>
      <c r="Y78">
        <v>-12654</v>
      </c>
      <c r="Z78">
        <v>-0.93</v>
      </c>
      <c r="AA78">
        <v>12</v>
      </c>
      <c r="AB78">
        <v>3</v>
      </c>
      <c r="AC78">
        <v>9</v>
      </c>
      <c r="AD78">
        <v>25</v>
      </c>
      <c r="AE78">
        <v>13</v>
      </c>
    </row>
    <row r="79" spans="1:31">
      <c r="A79">
        <v>233</v>
      </c>
      <c r="B79">
        <v>4182</v>
      </c>
      <c r="C79" t="s">
        <v>286</v>
      </c>
      <c r="D79" t="s">
        <v>235</v>
      </c>
      <c r="E79">
        <v>1408</v>
      </c>
      <c r="F79">
        <v>1402</v>
      </c>
      <c r="G79">
        <v>500</v>
      </c>
      <c r="H79" t="s">
        <v>229</v>
      </c>
      <c r="I79">
        <v>7259</v>
      </c>
      <c r="J79" t="s">
        <v>110</v>
      </c>
      <c r="K79" t="s">
        <v>228</v>
      </c>
      <c r="L79">
        <v>3400</v>
      </c>
      <c r="M79">
        <v>3385</v>
      </c>
      <c r="N79">
        <v>200</v>
      </c>
      <c r="O79" t="s">
        <v>227</v>
      </c>
      <c r="P79">
        <v>0.91720741645794401</v>
      </c>
      <c r="Q79">
        <v>0.93106492861678003</v>
      </c>
      <c r="R79">
        <v>0.37835977133670601</v>
      </c>
      <c r="S79">
        <v>0.30005532729581202</v>
      </c>
      <c r="T79">
        <v>1.2604173887371299</v>
      </c>
      <c r="U79">
        <v>1.2604173887371299</v>
      </c>
      <c r="V79">
        <v>3.46</v>
      </c>
      <c r="W79">
        <v>3.55</v>
      </c>
      <c r="X79">
        <v>304989</v>
      </c>
      <c r="Y79">
        <v>21785</v>
      </c>
      <c r="Z79">
        <v>1.3</v>
      </c>
      <c r="AA79">
        <v>14</v>
      </c>
      <c r="AB79">
        <v>10</v>
      </c>
      <c r="AC79">
        <v>4</v>
      </c>
      <c r="AD79">
        <v>71.430000000000007</v>
      </c>
      <c r="AE79">
        <v>12</v>
      </c>
    </row>
    <row r="80" spans="1:31">
      <c r="A80">
        <v>8</v>
      </c>
      <c r="B80">
        <v>5802</v>
      </c>
      <c r="C80" t="s">
        <v>272</v>
      </c>
      <c r="D80" t="s">
        <v>247</v>
      </c>
      <c r="E80">
        <v>1343</v>
      </c>
      <c r="F80">
        <v>1341.5</v>
      </c>
      <c r="G80">
        <v>700</v>
      </c>
      <c r="H80" t="s">
        <v>229</v>
      </c>
      <c r="I80">
        <v>7211</v>
      </c>
      <c r="J80" t="s">
        <v>115</v>
      </c>
      <c r="K80" t="s">
        <v>228</v>
      </c>
      <c r="L80">
        <v>470</v>
      </c>
      <c r="M80">
        <v>469</v>
      </c>
      <c r="N80">
        <v>2000</v>
      </c>
      <c r="O80" t="s">
        <v>227</v>
      </c>
      <c r="P80">
        <v>0.973183510408548</v>
      </c>
      <c r="Q80">
        <v>0.936719749433502</v>
      </c>
      <c r="R80">
        <v>7.5823696521673506E-2</v>
      </c>
      <c r="S80">
        <v>3.8940008197950099E-2</v>
      </c>
      <c r="T80">
        <v>1.24832391409134</v>
      </c>
      <c r="U80">
        <v>1.24832391409134</v>
      </c>
      <c r="V80">
        <v>2.19</v>
      </c>
      <c r="W80">
        <v>0.11</v>
      </c>
      <c r="X80">
        <v>66062</v>
      </c>
      <c r="Y80">
        <v>3886</v>
      </c>
      <c r="Z80">
        <v>0.18</v>
      </c>
      <c r="AA80">
        <v>17</v>
      </c>
      <c r="AB80">
        <v>10</v>
      </c>
      <c r="AC80">
        <v>7</v>
      </c>
      <c r="AD80">
        <v>58.82</v>
      </c>
      <c r="AE80">
        <v>14</v>
      </c>
    </row>
    <row r="81" spans="1:31">
      <c r="A81">
        <v>274</v>
      </c>
      <c r="B81">
        <v>4182</v>
      </c>
      <c r="C81" t="s">
        <v>286</v>
      </c>
      <c r="D81" t="s">
        <v>235</v>
      </c>
      <c r="E81">
        <v>1408</v>
      </c>
      <c r="F81">
        <v>1402</v>
      </c>
      <c r="G81">
        <v>700</v>
      </c>
      <c r="H81" t="s">
        <v>229</v>
      </c>
      <c r="I81">
        <v>8002</v>
      </c>
      <c r="J81" t="s">
        <v>119</v>
      </c>
      <c r="K81" t="s">
        <v>257</v>
      </c>
      <c r="L81">
        <v>698.5</v>
      </c>
      <c r="M81">
        <v>694.6</v>
      </c>
      <c r="N81">
        <v>1400</v>
      </c>
      <c r="O81" t="s">
        <v>227</v>
      </c>
      <c r="P81">
        <v>0.91054717975163202</v>
      </c>
      <c r="Q81">
        <v>0.96413487029521705</v>
      </c>
      <c r="R81">
        <v>0.35101025981648598</v>
      </c>
      <c r="S81">
        <v>0.13384689648627299</v>
      </c>
      <c r="T81">
        <v>1.24298180644255</v>
      </c>
      <c r="U81">
        <v>1.24298180644255</v>
      </c>
      <c r="V81">
        <v>4.1900000000000004</v>
      </c>
      <c r="W81">
        <v>0.91</v>
      </c>
      <c r="X81">
        <v>34452</v>
      </c>
      <c r="Y81">
        <v>1813</v>
      </c>
      <c r="Z81">
        <v>0.06</v>
      </c>
      <c r="AA81">
        <v>19</v>
      </c>
      <c r="AB81">
        <v>11</v>
      </c>
      <c r="AC81">
        <v>8</v>
      </c>
      <c r="AD81">
        <v>57.89</v>
      </c>
      <c r="AE81">
        <v>14</v>
      </c>
    </row>
    <row r="82" spans="1:31">
      <c r="A82">
        <v>5</v>
      </c>
      <c r="B82">
        <v>5401</v>
      </c>
      <c r="C82" t="s">
        <v>295</v>
      </c>
      <c r="D82" t="s">
        <v>252</v>
      </c>
      <c r="E82">
        <v>1485.5</v>
      </c>
      <c r="F82">
        <v>1481</v>
      </c>
      <c r="G82">
        <v>600</v>
      </c>
      <c r="H82" t="s">
        <v>227</v>
      </c>
      <c r="I82">
        <v>5411</v>
      </c>
      <c r="J82" t="s">
        <v>154</v>
      </c>
      <c r="K82" t="s">
        <v>252</v>
      </c>
      <c r="L82">
        <v>1289.5</v>
      </c>
      <c r="M82">
        <v>1286</v>
      </c>
      <c r="N82">
        <v>700</v>
      </c>
      <c r="O82" t="s">
        <v>229</v>
      </c>
      <c r="P82">
        <v>0.97906697524312203</v>
      </c>
      <c r="Q82">
        <v>0.95476812764657004</v>
      </c>
      <c r="R82">
        <v>0.15300251210634</v>
      </c>
      <c r="S82">
        <v>0.32911337758363202</v>
      </c>
      <c r="T82">
        <v>-1.2407064445557101</v>
      </c>
      <c r="U82">
        <v>1.2407064445557101</v>
      </c>
      <c r="V82">
        <v>-2.1</v>
      </c>
      <c r="W82">
        <v>1.31</v>
      </c>
      <c r="X82">
        <v>-290761</v>
      </c>
      <c r="Y82">
        <v>-16153</v>
      </c>
      <c r="Z82">
        <v>-0.94</v>
      </c>
      <c r="AA82">
        <v>18</v>
      </c>
      <c r="AB82">
        <v>5</v>
      </c>
      <c r="AC82">
        <v>13</v>
      </c>
      <c r="AD82">
        <v>27.78</v>
      </c>
      <c r="AE82">
        <v>15</v>
      </c>
    </row>
    <row r="83" spans="1:31">
      <c r="A83">
        <v>109</v>
      </c>
      <c r="B83">
        <v>7180</v>
      </c>
      <c r="C83" t="s">
        <v>276</v>
      </c>
      <c r="D83" t="s">
        <v>232</v>
      </c>
      <c r="E83">
        <v>427</v>
      </c>
      <c r="F83">
        <v>424</v>
      </c>
      <c r="G83">
        <v>2300</v>
      </c>
      <c r="H83" t="s">
        <v>227</v>
      </c>
      <c r="I83">
        <v>7186</v>
      </c>
      <c r="J83" t="s">
        <v>100</v>
      </c>
      <c r="K83" t="s">
        <v>232</v>
      </c>
      <c r="L83">
        <v>407</v>
      </c>
      <c r="M83">
        <v>409</v>
      </c>
      <c r="N83">
        <v>2400</v>
      </c>
      <c r="O83" t="s">
        <v>229</v>
      </c>
      <c r="P83">
        <v>0.94224511177417702</v>
      </c>
      <c r="Q83">
        <v>0.92711310997135399</v>
      </c>
      <c r="R83">
        <v>5.4545570126275499E-2</v>
      </c>
      <c r="S83">
        <v>3.4970358851407E-2</v>
      </c>
      <c r="T83">
        <v>-1.2404372352443001</v>
      </c>
      <c r="U83">
        <v>1.2404372352443001</v>
      </c>
      <c r="V83">
        <v>-3.68</v>
      </c>
      <c r="W83">
        <v>0.66</v>
      </c>
      <c r="X83">
        <v>65203</v>
      </c>
      <c r="Y83">
        <v>3260</v>
      </c>
      <c r="Z83">
        <v>0.17</v>
      </c>
      <c r="AA83">
        <v>20</v>
      </c>
      <c r="AB83">
        <v>11</v>
      </c>
      <c r="AC83">
        <v>9</v>
      </c>
      <c r="AD83">
        <v>55</v>
      </c>
      <c r="AE83">
        <v>14</v>
      </c>
    </row>
    <row r="84" spans="1:31">
      <c r="A84">
        <v>295</v>
      </c>
      <c r="B84">
        <v>6923</v>
      </c>
      <c r="C84" t="s">
        <v>296</v>
      </c>
      <c r="D84" t="s">
        <v>231</v>
      </c>
      <c r="E84">
        <v>2800</v>
      </c>
      <c r="F84">
        <v>2780</v>
      </c>
      <c r="G84">
        <v>300</v>
      </c>
      <c r="H84" t="s">
        <v>229</v>
      </c>
      <c r="I84">
        <v>8306</v>
      </c>
      <c r="J84" t="s">
        <v>98</v>
      </c>
      <c r="K84" t="s">
        <v>232</v>
      </c>
      <c r="L84">
        <v>538.29999999999995</v>
      </c>
      <c r="M84">
        <v>532.79999999999995</v>
      </c>
      <c r="N84">
        <v>1600</v>
      </c>
      <c r="O84" t="s">
        <v>227</v>
      </c>
      <c r="P84">
        <v>0.90766910932306699</v>
      </c>
      <c r="Q84">
        <v>0.906250777151131</v>
      </c>
      <c r="R84">
        <v>4.9904873735214197E-2</v>
      </c>
      <c r="S84">
        <v>0.14597179169884</v>
      </c>
      <c r="T84">
        <v>1.23227534308242</v>
      </c>
      <c r="U84">
        <v>1.23227534308242</v>
      </c>
      <c r="V84">
        <v>2.2400000000000002</v>
      </c>
      <c r="W84">
        <v>2.2200000000000002</v>
      </c>
      <c r="X84">
        <v>252294</v>
      </c>
      <c r="Y84">
        <v>18021</v>
      </c>
      <c r="Z84">
        <v>1.03</v>
      </c>
      <c r="AA84">
        <v>14</v>
      </c>
      <c r="AB84">
        <v>9</v>
      </c>
      <c r="AC84">
        <v>5</v>
      </c>
      <c r="AD84">
        <v>64.290000000000006</v>
      </c>
      <c r="AE84">
        <v>16</v>
      </c>
    </row>
    <row r="85" spans="1:31">
      <c r="A85">
        <v>133</v>
      </c>
      <c r="B85">
        <v>4202</v>
      </c>
      <c r="C85" t="s">
        <v>297</v>
      </c>
      <c r="D85" t="s">
        <v>235</v>
      </c>
      <c r="E85">
        <v>903</v>
      </c>
      <c r="F85">
        <v>907</v>
      </c>
      <c r="G85">
        <v>1000</v>
      </c>
      <c r="H85" t="s">
        <v>229</v>
      </c>
      <c r="I85">
        <v>7182</v>
      </c>
      <c r="J85" t="s">
        <v>111</v>
      </c>
      <c r="K85" t="s">
        <v>232</v>
      </c>
      <c r="L85">
        <v>1030</v>
      </c>
      <c r="M85">
        <v>1026</v>
      </c>
      <c r="N85">
        <v>900</v>
      </c>
      <c r="O85" t="s">
        <v>227</v>
      </c>
      <c r="P85">
        <v>0.93823681832821404</v>
      </c>
      <c r="Q85">
        <v>0.93977341098427603</v>
      </c>
      <c r="R85">
        <v>1.6713219355396399E-4</v>
      </c>
      <c r="S85">
        <v>2.5893455337356E-2</v>
      </c>
      <c r="T85">
        <v>1.2308248310415899</v>
      </c>
      <c r="U85">
        <v>1.2308248310415899</v>
      </c>
      <c r="V85">
        <v>3.3</v>
      </c>
      <c r="W85">
        <v>1.78</v>
      </c>
      <c r="X85">
        <v>112597</v>
      </c>
      <c r="Y85">
        <v>7506</v>
      </c>
      <c r="Z85">
        <v>0.38</v>
      </c>
      <c r="AA85">
        <v>15</v>
      </c>
      <c r="AB85">
        <v>7</v>
      </c>
      <c r="AC85">
        <v>8</v>
      </c>
      <c r="AD85">
        <v>46.67</v>
      </c>
      <c r="AE85">
        <v>15</v>
      </c>
    </row>
    <row r="86" spans="1:31">
      <c r="A86">
        <v>283</v>
      </c>
      <c r="B86">
        <v>6371</v>
      </c>
      <c r="C86" t="s">
        <v>298</v>
      </c>
      <c r="D86" t="s">
        <v>226</v>
      </c>
      <c r="E86">
        <v>3365</v>
      </c>
      <c r="F86">
        <v>3400</v>
      </c>
      <c r="G86">
        <v>200</v>
      </c>
      <c r="H86" t="s">
        <v>229</v>
      </c>
      <c r="I86">
        <v>7327</v>
      </c>
      <c r="J86" t="s">
        <v>157</v>
      </c>
      <c r="K86" t="s">
        <v>232</v>
      </c>
      <c r="L86">
        <v>2637</v>
      </c>
      <c r="M86">
        <v>2601</v>
      </c>
      <c r="N86">
        <v>300</v>
      </c>
      <c r="O86" t="s">
        <v>227</v>
      </c>
      <c r="P86">
        <v>0.90977492282757599</v>
      </c>
      <c r="Q86">
        <v>0.93946373872738997</v>
      </c>
      <c r="R86">
        <v>6.8343950915292107E-2</v>
      </c>
      <c r="S86">
        <v>1.9013027575192E-2</v>
      </c>
      <c r="T86">
        <v>1.22006327058402</v>
      </c>
      <c r="U86">
        <v>1.22006327058402</v>
      </c>
      <c r="V86">
        <v>2.86</v>
      </c>
      <c r="W86">
        <v>14.75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</row>
    <row r="87" spans="1:31">
      <c r="A87">
        <v>122</v>
      </c>
      <c r="B87">
        <v>7167</v>
      </c>
      <c r="C87" t="s">
        <v>299</v>
      </c>
      <c r="D87" t="s">
        <v>232</v>
      </c>
      <c r="E87">
        <v>262</v>
      </c>
      <c r="F87">
        <v>261</v>
      </c>
      <c r="G87">
        <v>3000</v>
      </c>
      <c r="H87" t="s">
        <v>229</v>
      </c>
      <c r="I87">
        <v>7327</v>
      </c>
      <c r="J87" t="s">
        <v>157</v>
      </c>
      <c r="K87" t="s">
        <v>232</v>
      </c>
      <c r="L87">
        <v>2637</v>
      </c>
      <c r="M87">
        <v>2601</v>
      </c>
      <c r="N87">
        <v>300</v>
      </c>
      <c r="O87" t="s">
        <v>227</v>
      </c>
      <c r="P87">
        <v>0.93984739334973499</v>
      </c>
      <c r="Q87">
        <v>0.95069243260219505</v>
      </c>
      <c r="R87">
        <v>0.27130408148320001</v>
      </c>
      <c r="S87">
        <v>0.28406456618071801</v>
      </c>
      <c r="T87">
        <v>1.20727941313196</v>
      </c>
      <c r="U87">
        <v>1.20727941313196</v>
      </c>
      <c r="V87">
        <v>2.82</v>
      </c>
      <c r="W87">
        <v>0.35</v>
      </c>
      <c r="X87">
        <v>64321</v>
      </c>
      <c r="Y87">
        <v>32160</v>
      </c>
      <c r="Z87">
        <v>2.1</v>
      </c>
      <c r="AA87">
        <v>2</v>
      </c>
      <c r="AB87">
        <v>2</v>
      </c>
      <c r="AC87">
        <v>0</v>
      </c>
      <c r="AD87">
        <v>100</v>
      </c>
      <c r="AE87">
        <v>10</v>
      </c>
    </row>
    <row r="88" spans="1:31">
      <c r="A88">
        <v>232</v>
      </c>
      <c r="B88">
        <v>1942</v>
      </c>
      <c r="C88" t="s">
        <v>300</v>
      </c>
      <c r="D88" t="s">
        <v>254</v>
      </c>
      <c r="E88">
        <v>954</v>
      </c>
      <c r="F88">
        <v>957</v>
      </c>
      <c r="G88">
        <v>1000</v>
      </c>
      <c r="H88" t="s">
        <v>229</v>
      </c>
      <c r="I88">
        <v>8308</v>
      </c>
      <c r="J88" t="s">
        <v>107</v>
      </c>
      <c r="K88" t="s">
        <v>232</v>
      </c>
      <c r="L88">
        <v>449.7</v>
      </c>
      <c r="M88">
        <v>444.6</v>
      </c>
      <c r="N88">
        <v>2200</v>
      </c>
      <c r="O88" t="s">
        <v>227</v>
      </c>
      <c r="P88">
        <v>0.91730609655639495</v>
      </c>
      <c r="Q88">
        <v>0.94814831306589498</v>
      </c>
      <c r="R88">
        <v>5.6830401281008698E-2</v>
      </c>
      <c r="S88">
        <v>0.25650180874263601</v>
      </c>
      <c r="T88">
        <v>1.19242906559923</v>
      </c>
      <c r="U88">
        <v>1.19242906559923</v>
      </c>
      <c r="V88">
        <v>2.99</v>
      </c>
      <c r="W88">
        <v>2.21</v>
      </c>
      <c r="X88">
        <v>114356</v>
      </c>
      <c r="Y88">
        <v>8168</v>
      </c>
      <c r="Z88">
        <v>0.43</v>
      </c>
      <c r="AA88">
        <v>14</v>
      </c>
      <c r="AB88">
        <v>10</v>
      </c>
      <c r="AC88">
        <v>4</v>
      </c>
      <c r="AD88">
        <v>71.430000000000007</v>
      </c>
      <c r="AE88">
        <v>16</v>
      </c>
    </row>
    <row r="89" spans="1:31">
      <c r="A89">
        <v>191</v>
      </c>
      <c r="B89">
        <v>6472</v>
      </c>
      <c r="C89" t="s">
        <v>301</v>
      </c>
      <c r="D89" t="s">
        <v>226</v>
      </c>
      <c r="E89">
        <v>311</v>
      </c>
      <c r="F89">
        <v>309</v>
      </c>
      <c r="G89">
        <v>3100</v>
      </c>
      <c r="H89" t="s">
        <v>229</v>
      </c>
      <c r="I89">
        <v>8002</v>
      </c>
      <c r="J89" t="s">
        <v>119</v>
      </c>
      <c r="K89" t="s">
        <v>257</v>
      </c>
      <c r="L89">
        <v>698.5</v>
      </c>
      <c r="M89">
        <v>694.6</v>
      </c>
      <c r="N89">
        <v>1400</v>
      </c>
      <c r="O89" t="s">
        <v>227</v>
      </c>
      <c r="P89">
        <v>0.92661621952944795</v>
      </c>
      <c r="Q89">
        <v>0.95975876378062497</v>
      </c>
      <c r="R89">
        <v>0.34813969410575402</v>
      </c>
      <c r="S89">
        <v>6.2896535889127199E-3</v>
      </c>
      <c r="T89">
        <v>1.1903442468604299</v>
      </c>
      <c r="U89">
        <v>1.1903442468604299</v>
      </c>
      <c r="V89">
        <v>3.8</v>
      </c>
      <c r="W89">
        <v>1.5</v>
      </c>
      <c r="X89">
        <v>-91135</v>
      </c>
      <c r="Y89">
        <v>-4557</v>
      </c>
      <c r="Z89">
        <v>-0.23</v>
      </c>
      <c r="AA89">
        <v>20</v>
      </c>
      <c r="AB89">
        <v>10</v>
      </c>
      <c r="AC89">
        <v>10</v>
      </c>
      <c r="AD89">
        <v>50</v>
      </c>
      <c r="AE89">
        <v>14</v>
      </c>
    </row>
    <row r="90" spans="1:31">
      <c r="A90">
        <v>129</v>
      </c>
      <c r="B90">
        <v>3591</v>
      </c>
      <c r="C90" t="s">
        <v>302</v>
      </c>
      <c r="D90" t="s">
        <v>303</v>
      </c>
      <c r="E90">
        <v>2742</v>
      </c>
      <c r="F90">
        <v>2733</v>
      </c>
      <c r="G90">
        <v>300</v>
      </c>
      <c r="H90" t="s">
        <v>229</v>
      </c>
      <c r="I90">
        <v>8309</v>
      </c>
      <c r="J90" t="s">
        <v>101</v>
      </c>
      <c r="K90" t="s">
        <v>232</v>
      </c>
      <c r="L90">
        <v>3780</v>
      </c>
      <c r="M90">
        <v>3739</v>
      </c>
      <c r="N90">
        <v>200</v>
      </c>
      <c r="O90" t="s">
        <v>227</v>
      </c>
      <c r="P90">
        <v>0.93887711053649303</v>
      </c>
      <c r="Q90">
        <v>0.91903440780680401</v>
      </c>
      <c r="R90">
        <v>0.38215662483052398</v>
      </c>
      <c r="S90">
        <v>1.9143224251237101E-2</v>
      </c>
      <c r="T90">
        <v>1.1864456030555499</v>
      </c>
      <c r="U90">
        <v>1.1864456030555499</v>
      </c>
      <c r="V90">
        <v>2.44</v>
      </c>
      <c r="W90">
        <v>9.64</v>
      </c>
      <c r="X90">
        <v>297694</v>
      </c>
      <c r="Y90">
        <v>27063</v>
      </c>
      <c r="Z90">
        <v>1.58</v>
      </c>
      <c r="AA90">
        <v>11</v>
      </c>
      <c r="AB90">
        <v>9</v>
      </c>
      <c r="AC90">
        <v>2</v>
      </c>
      <c r="AD90">
        <v>81.819999999999993</v>
      </c>
      <c r="AE90">
        <v>15</v>
      </c>
    </row>
    <row r="91" spans="1:31">
      <c r="A91">
        <v>24</v>
      </c>
      <c r="B91">
        <v>3099</v>
      </c>
      <c r="C91" t="s">
        <v>265</v>
      </c>
      <c r="D91" t="s">
        <v>245</v>
      </c>
      <c r="E91">
        <v>855</v>
      </c>
      <c r="F91">
        <v>865</v>
      </c>
      <c r="G91">
        <v>1100</v>
      </c>
      <c r="H91" t="s">
        <v>229</v>
      </c>
      <c r="I91">
        <v>8242</v>
      </c>
      <c r="J91" t="s">
        <v>158</v>
      </c>
      <c r="K91" t="s">
        <v>245</v>
      </c>
      <c r="L91">
        <v>1191</v>
      </c>
      <c r="M91">
        <v>1199</v>
      </c>
      <c r="N91">
        <v>800</v>
      </c>
      <c r="O91" t="s">
        <v>227</v>
      </c>
      <c r="P91">
        <v>0.96357480156224695</v>
      </c>
      <c r="Q91">
        <v>0.974794743597168</v>
      </c>
      <c r="R91">
        <v>1.01850332903914E-2</v>
      </c>
      <c r="S91">
        <v>5.1473744074208197E-4</v>
      </c>
      <c r="T91">
        <v>1.18106208267338</v>
      </c>
      <c r="U91">
        <v>1.18106208267338</v>
      </c>
      <c r="V91">
        <v>1.97</v>
      </c>
      <c r="W91">
        <v>0.8</v>
      </c>
      <c r="X91">
        <v>186752</v>
      </c>
      <c r="Y91">
        <v>14366</v>
      </c>
      <c r="Z91">
        <v>0.81</v>
      </c>
      <c r="AA91">
        <v>13</v>
      </c>
      <c r="AB91">
        <v>9</v>
      </c>
      <c r="AC91">
        <v>4</v>
      </c>
      <c r="AD91">
        <v>69.23</v>
      </c>
      <c r="AE91">
        <v>12</v>
      </c>
    </row>
    <row r="92" spans="1:31">
      <c r="A92">
        <v>23</v>
      </c>
      <c r="B92">
        <v>4182</v>
      </c>
      <c r="C92" t="s">
        <v>286</v>
      </c>
      <c r="D92" t="s">
        <v>235</v>
      </c>
      <c r="E92">
        <v>1408</v>
      </c>
      <c r="F92">
        <v>1402</v>
      </c>
      <c r="G92">
        <v>600</v>
      </c>
      <c r="H92" t="s">
        <v>229</v>
      </c>
      <c r="I92">
        <v>4208</v>
      </c>
      <c r="J92" t="s">
        <v>133</v>
      </c>
      <c r="K92" t="s">
        <v>235</v>
      </c>
      <c r="L92">
        <v>2138</v>
      </c>
      <c r="M92">
        <v>2130</v>
      </c>
      <c r="N92">
        <v>400</v>
      </c>
      <c r="O92" t="s">
        <v>227</v>
      </c>
      <c r="P92">
        <v>0.96399198331384095</v>
      </c>
      <c r="Q92">
        <v>0.93105424881828702</v>
      </c>
      <c r="R92">
        <v>5.2264054301755597E-2</v>
      </c>
      <c r="S92">
        <v>8.0441348743146707E-2</v>
      </c>
      <c r="T92">
        <v>1.17919047100679</v>
      </c>
      <c r="U92">
        <v>1.17919047100679</v>
      </c>
      <c r="V92">
        <v>3.22</v>
      </c>
      <c r="W92">
        <v>1.27</v>
      </c>
      <c r="X92">
        <v>322449</v>
      </c>
      <c r="Y92">
        <v>17914</v>
      </c>
      <c r="Z92">
        <v>1.03</v>
      </c>
      <c r="AA92">
        <v>18</v>
      </c>
      <c r="AB92">
        <v>12</v>
      </c>
      <c r="AC92">
        <v>6</v>
      </c>
      <c r="AD92">
        <v>66.67</v>
      </c>
      <c r="AE92">
        <v>13</v>
      </c>
    </row>
    <row r="93" spans="1:31">
      <c r="A93">
        <v>55</v>
      </c>
      <c r="B93">
        <v>1333</v>
      </c>
      <c r="C93" t="s">
        <v>304</v>
      </c>
      <c r="D93" t="s">
        <v>305</v>
      </c>
      <c r="E93">
        <v>2783</v>
      </c>
      <c r="F93">
        <v>2774</v>
      </c>
      <c r="G93">
        <v>300</v>
      </c>
      <c r="H93" t="s">
        <v>229</v>
      </c>
      <c r="I93">
        <v>5401</v>
      </c>
      <c r="J93" t="s">
        <v>155</v>
      </c>
      <c r="K93" t="s">
        <v>252</v>
      </c>
      <c r="L93">
        <v>1485.5</v>
      </c>
      <c r="M93">
        <v>1481</v>
      </c>
      <c r="N93">
        <v>600</v>
      </c>
      <c r="O93" t="s">
        <v>227</v>
      </c>
      <c r="P93">
        <v>0.95576009319078203</v>
      </c>
      <c r="Q93">
        <v>0.93425284428358901</v>
      </c>
      <c r="R93">
        <v>4.55117088948866E-2</v>
      </c>
      <c r="S93">
        <v>0.16978316700533599</v>
      </c>
      <c r="T93">
        <v>1.1678432622863499</v>
      </c>
      <c r="U93">
        <v>1.1678432622863499</v>
      </c>
      <c r="V93">
        <v>3.67</v>
      </c>
      <c r="W93">
        <v>6.78</v>
      </c>
      <c r="X93">
        <v>61759</v>
      </c>
      <c r="Y93">
        <v>5147</v>
      </c>
      <c r="Z93">
        <v>0.39</v>
      </c>
      <c r="AA93">
        <v>12</v>
      </c>
      <c r="AB93">
        <v>6</v>
      </c>
      <c r="AC93">
        <v>6</v>
      </c>
      <c r="AD93">
        <v>50</v>
      </c>
      <c r="AE93">
        <v>12</v>
      </c>
    </row>
    <row r="94" spans="1:31">
      <c r="A94">
        <v>211</v>
      </c>
      <c r="B94">
        <v>5214</v>
      </c>
      <c r="C94" t="s">
        <v>243</v>
      </c>
      <c r="D94" t="s">
        <v>238</v>
      </c>
      <c r="E94">
        <v>2355</v>
      </c>
      <c r="F94">
        <v>2340</v>
      </c>
      <c r="G94">
        <v>400</v>
      </c>
      <c r="H94" t="s">
        <v>229</v>
      </c>
      <c r="I94">
        <v>5401</v>
      </c>
      <c r="J94" t="s">
        <v>155</v>
      </c>
      <c r="K94" t="s">
        <v>252</v>
      </c>
      <c r="L94">
        <v>1485.5</v>
      </c>
      <c r="M94">
        <v>1481</v>
      </c>
      <c r="N94">
        <v>600</v>
      </c>
      <c r="O94" t="s">
        <v>227</v>
      </c>
      <c r="P94">
        <v>0.92271237242371895</v>
      </c>
      <c r="Q94">
        <v>0.93639838046863899</v>
      </c>
      <c r="R94">
        <v>0.109066423573662</v>
      </c>
      <c r="S94">
        <v>6.1537917335062198E-2</v>
      </c>
      <c r="T94">
        <v>1.16690311398845</v>
      </c>
      <c r="U94">
        <v>1.16690311398845</v>
      </c>
      <c r="V94">
        <v>3.69</v>
      </c>
      <c r="W94">
        <v>5.0599999999999996</v>
      </c>
      <c r="X94">
        <v>-90836</v>
      </c>
      <c r="Y94">
        <v>-8258</v>
      </c>
      <c r="Z94">
        <v>-0.46</v>
      </c>
      <c r="AA94">
        <v>11</v>
      </c>
      <c r="AB94">
        <v>6</v>
      </c>
      <c r="AC94">
        <v>5</v>
      </c>
      <c r="AD94">
        <v>54.55</v>
      </c>
      <c r="AE94">
        <v>14</v>
      </c>
    </row>
    <row r="95" spans="1:31">
      <c r="A95">
        <v>246</v>
      </c>
      <c r="B95">
        <v>7846</v>
      </c>
      <c r="C95" t="s">
        <v>306</v>
      </c>
      <c r="D95" t="s">
        <v>307</v>
      </c>
      <c r="E95">
        <v>3905</v>
      </c>
      <c r="F95">
        <v>3900</v>
      </c>
      <c r="G95">
        <v>200</v>
      </c>
      <c r="H95" t="s">
        <v>229</v>
      </c>
      <c r="I95">
        <v>8377</v>
      </c>
      <c r="J95" t="s">
        <v>108</v>
      </c>
      <c r="K95" t="s">
        <v>232</v>
      </c>
      <c r="L95">
        <v>1021</v>
      </c>
      <c r="M95">
        <v>1017</v>
      </c>
      <c r="N95">
        <v>800</v>
      </c>
      <c r="O95" t="s">
        <v>227</v>
      </c>
      <c r="P95">
        <v>0.91460506892783</v>
      </c>
      <c r="Q95">
        <v>0.913082797483041</v>
      </c>
      <c r="R95">
        <v>0.170452517374832</v>
      </c>
      <c r="S95">
        <v>0.258533609386779</v>
      </c>
      <c r="T95">
        <v>1.14080099172359</v>
      </c>
      <c r="U95">
        <v>1.14080099172359</v>
      </c>
      <c r="V95">
        <v>3.06</v>
      </c>
      <c r="W95">
        <v>4.3099999999999996</v>
      </c>
      <c r="X95">
        <v>121582</v>
      </c>
      <c r="Y95">
        <v>9352</v>
      </c>
      <c r="Z95">
        <v>0.65</v>
      </c>
      <c r="AA95">
        <v>13</v>
      </c>
      <c r="AB95">
        <v>8</v>
      </c>
      <c r="AC95">
        <v>5</v>
      </c>
      <c r="AD95">
        <v>61.54</v>
      </c>
      <c r="AE95">
        <v>13</v>
      </c>
    </row>
    <row r="96" spans="1:31">
      <c r="A96">
        <v>241</v>
      </c>
      <c r="B96">
        <v>7182</v>
      </c>
      <c r="C96" t="s">
        <v>248</v>
      </c>
      <c r="D96" t="s">
        <v>232</v>
      </c>
      <c r="E96">
        <v>1030</v>
      </c>
      <c r="F96">
        <v>1026</v>
      </c>
      <c r="G96">
        <v>800</v>
      </c>
      <c r="H96" t="s">
        <v>227</v>
      </c>
      <c r="I96">
        <v>9003</v>
      </c>
      <c r="J96" t="s">
        <v>160</v>
      </c>
      <c r="K96" t="s">
        <v>261</v>
      </c>
      <c r="L96">
        <v>2907</v>
      </c>
      <c r="M96">
        <v>2905</v>
      </c>
      <c r="N96">
        <v>300</v>
      </c>
      <c r="O96" t="s">
        <v>229</v>
      </c>
      <c r="P96">
        <v>0.91614138401567502</v>
      </c>
      <c r="Q96">
        <v>0.949667285191924</v>
      </c>
      <c r="R96">
        <v>2.4414925301997599E-3</v>
      </c>
      <c r="S96">
        <v>4.7823644746691901E-3</v>
      </c>
      <c r="T96">
        <v>-1.1402551931473499</v>
      </c>
      <c r="U96">
        <v>1.1402551931473499</v>
      </c>
      <c r="V96">
        <v>-2.78</v>
      </c>
      <c r="W96">
        <v>5.82</v>
      </c>
      <c r="X96">
        <v>-9178</v>
      </c>
      <c r="Y96">
        <v>-510</v>
      </c>
      <c r="Z96">
        <v>0.02</v>
      </c>
      <c r="AA96">
        <v>18</v>
      </c>
      <c r="AB96">
        <v>10</v>
      </c>
      <c r="AC96">
        <v>8</v>
      </c>
      <c r="AD96">
        <v>55.56</v>
      </c>
      <c r="AE96">
        <v>13</v>
      </c>
    </row>
    <row r="97" spans="1:31">
      <c r="A97">
        <v>162</v>
      </c>
      <c r="B97">
        <v>4507</v>
      </c>
      <c r="C97" t="s">
        <v>291</v>
      </c>
      <c r="D97" t="s">
        <v>251</v>
      </c>
      <c r="E97">
        <v>6022</v>
      </c>
      <c r="F97">
        <v>6036</v>
      </c>
      <c r="G97">
        <v>100</v>
      </c>
      <c r="H97" t="s">
        <v>229</v>
      </c>
      <c r="I97">
        <v>8377</v>
      </c>
      <c r="J97" t="s">
        <v>108</v>
      </c>
      <c r="K97" t="s">
        <v>232</v>
      </c>
      <c r="L97">
        <v>1021</v>
      </c>
      <c r="M97">
        <v>1017</v>
      </c>
      <c r="N97">
        <v>600</v>
      </c>
      <c r="O97" t="s">
        <v>227</v>
      </c>
      <c r="P97">
        <v>0.93339592267596005</v>
      </c>
      <c r="Q97">
        <v>0.91299926496536798</v>
      </c>
      <c r="R97">
        <v>1.3220475458731399E-3</v>
      </c>
      <c r="S97">
        <v>1.29707516749648E-2</v>
      </c>
      <c r="T97">
        <v>1.1274684362807701</v>
      </c>
      <c r="U97">
        <v>1.1274684362807701</v>
      </c>
      <c r="V97">
        <v>4.38</v>
      </c>
      <c r="W97">
        <v>1.0900000000000001</v>
      </c>
      <c r="X97">
        <v>7211</v>
      </c>
      <c r="Y97">
        <v>424</v>
      </c>
      <c r="Z97">
        <v>-0.01</v>
      </c>
      <c r="AA97">
        <v>17</v>
      </c>
      <c r="AB97">
        <v>9</v>
      </c>
      <c r="AC97">
        <v>8</v>
      </c>
      <c r="AD97">
        <v>52.94</v>
      </c>
      <c r="AE97">
        <v>11</v>
      </c>
    </row>
    <row r="98" spans="1:31">
      <c r="A98">
        <v>270</v>
      </c>
      <c r="B98">
        <v>7846</v>
      </c>
      <c r="C98" t="s">
        <v>306</v>
      </c>
      <c r="D98" t="s">
        <v>307</v>
      </c>
      <c r="E98">
        <v>3905</v>
      </c>
      <c r="F98">
        <v>3900</v>
      </c>
      <c r="G98">
        <v>200</v>
      </c>
      <c r="H98" t="s">
        <v>227</v>
      </c>
      <c r="I98">
        <v>8341</v>
      </c>
      <c r="J98" t="s">
        <v>141</v>
      </c>
      <c r="K98" t="s">
        <v>232</v>
      </c>
      <c r="L98">
        <v>1564</v>
      </c>
      <c r="M98">
        <v>1568</v>
      </c>
      <c r="N98">
        <v>500</v>
      </c>
      <c r="O98" t="s">
        <v>229</v>
      </c>
      <c r="P98">
        <v>0.91126350932423095</v>
      </c>
      <c r="Q98">
        <v>0.94266984135909504</v>
      </c>
      <c r="R98">
        <v>0.159184187069493</v>
      </c>
      <c r="S98">
        <v>0.17291856325204699</v>
      </c>
      <c r="T98">
        <v>-1.11540055910527</v>
      </c>
      <c r="U98">
        <v>1.11540055910527</v>
      </c>
      <c r="V98">
        <v>-4.13</v>
      </c>
      <c r="W98">
        <v>0.51</v>
      </c>
      <c r="X98">
        <v>-19602</v>
      </c>
      <c r="Y98">
        <v>-1400</v>
      </c>
      <c r="Z98">
        <v>-0.02</v>
      </c>
      <c r="AA98">
        <v>14</v>
      </c>
      <c r="AB98">
        <v>7</v>
      </c>
      <c r="AC98">
        <v>7</v>
      </c>
      <c r="AD98">
        <v>50</v>
      </c>
      <c r="AE98">
        <v>13</v>
      </c>
    </row>
    <row r="99" spans="1:31">
      <c r="A99">
        <v>93</v>
      </c>
      <c r="B99">
        <v>6752</v>
      </c>
      <c r="C99" t="s">
        <v>308</v>
      </c>
      <c r="D99" t="s">
        <v>231</v>
      </c>
      <c r="E99">
        <v>887.2</v>
      </c>
      <c r="F99">
        <v>875.7</v>
      </c>
      <c r="G99">
        <v>800</v>
      </c>
      <c r="H99" t="s">
        <v>229</v>
      </c>
      <c r="I99">
        <v>8316</v>
      </c>
      <c r="J99" t="s">
        <v>161</v>
      </c>
      <c r="K99" t="s">
        <v>232</v>
      </c>
      <c r="L99">
        <v>3645</v>
      </c>
      <c r="M99">
        <v>3617</v>
      </c>
      <c r="N99">
        <v>200</v>
      </c>
      <c r="O99" t="s">
        <v>227</v>
      </c>
      <c r="P99">
        <v>0.94651739119114597</v>
      </c>
      <c r="Q99">
        <v>0.90706436341414398</v>
      </c>
      <c r="R99">
        <v>0.39472985562587898</v>
      </c>
      <c r="S99">
        <v>0.156966693910192</v>
      </c>
      <c r="T99">
        <v>1.1147419153191001</v>
      </c>
      <c r="U99">
        <v>1.1147419153191001</v>
      </c>
      <c r="V99">
        <v>1.94</v>
      </c>
      <c r="W99">
        <v>3.16</v>
      </c>
      <c r="X99">
        <v>-200611</v>
      </c>
      <c r="Y99">
        <v>-12538</v>
      </c>
      <c r="Z99">
        <v>-0.71</v>
      </c>
      <c r="AA99">
        <v>16</v>
      </c>
      <c r="AB99">
        <v>6</v>
      </c>
      <c r="AC99">
        <v>10</v>
      </c>
      <c r="AD99">
        <v>37.5</v>
      </c>
      <c r="AE99">
        <v>16</v>
      </c>
    </row>
    <row r="100" spans="1:31">
      <c r="A100">
        <v>140</v>
      </c>
      <c r="B100">
        <v>7189</v>
      </c>
      <c r="C100" t="s">
        <v>309</v>
      </c>
      <c r="D100" t="s">
        <v>232</v>
      </c>
      <c r="E100">
        <v>736</v>
      </c>
      <c r="F100">
        <v>739</v>
      </c>
      <c r="G100">
        <v>1100</v>
      </c>
      <c r="H100" t="s">
        <v>229</v>
      </c>
      <c r="I100">
        <v>7278</v>
      </c>
      <c r="J100" t="s">
        <v>96</v>
      </c>
      <c r="K100" t="s">
        <v>228</v>
      </c>
      <c r="L100">
        <v>2092</v>
      </c>
      <c r="M100">
        <v>2080</v>
      </c>
      <c r="N100">
        <v>400</v>
      </c>
      <c r="O100" t="s">
        <v>227</v>
      </c>
      <c r="P100">
        <v>0.93674572499585296</v>
      </c>
      <c r="Q100">
        <v>0.94342028255544996</v>
      </c>
      <c r="R100">
        <v>0.259329197610286</v>
      </c>
      <c r="S100">
        <v>8.3259041914221399E-2</v>
      </c>
      <c r="T100">
        <v>1.1100533688904199</v>
      </c>
      <c r="U100">
        <v>1.1100533688904199</v>
      </c>
      <c r="V100">
        <v>2.96</v>
      </c>
      <c r="W100">
        <v>2.2999999999999998</v>
      </c>
      <c r="X100">
        <v>476442</v>
      </c>
      <c r="Y100">
        <v>25076</v>
      </c>
      <c r="Z100">
        <v>1.52</v>
      </c>
      <c r="AA100">
        <v>19</v>
      </c>
      <c r="AB100">
        <v>12</v>
      </c>
      <c r="AC100">
        <v>7</v>
      </c>
      <c r="AD100">
        <v>63.16</v>
      </c>
      <c r="AE100">
        <v>12</v>
      </c>
    </row>
    <row r="101" spans="1:31">
      <c r="A101">
        <v>205</v>
      </c>
      <c r="B101">
        <v>2002</v>
      </c>
      <c r="C101" t="s">
        <v>310</v>
      </c>
      <c r="D101" t="s">
        <v>311</v>
      </c>
      <c r="E101">
        <v>1950</v>
      </c>
      <c r="F101">
        <v>1967</v>
      </c>
      <c r="G101">
        <v>400</v>
      </c>
      <c r="H101" t="s">
        <v>227</v>
      </c>
      <c r="I101">
        <v>8136</v>
      </c>
      <c r="J101" t="s">
        <v>163</v>
      </c>
      <c r="K101" t="s">
        <v>257</v>
      </c>
      <c r="L101">
        <v>2052</v>
      </c>
      <c r="M101">
        <v>2069</v>
      </c>
      <c r="N101">
        <v>400</v>
      </c>
      <c r="O101" t="s">
        <v>229</v>
      </c>
      <c r="P101">
        <v>0.924288141052231</v>
      </c>
      <c r="Q101">
        <v>0.91670989704899097</v>
      </c>
      <c r="R101">
        <v>9.6097965884444601E-3</v>
      </c>
      <c r="S101">
        <v>4.6464971243667698E-3</v>
      </c>
      <c r="T101">
        <v>-1.10502193923332</v>
      </c>
      <c r="U101">
        <v>1.10502193923332</v>
      </c>
      <c r="V101">
        <v>-4.8099999999999996</v>
      </c>
      <c r="W101">
        <v>4.93</v>
      </c>
      <c r="X101">
        <v>351583</v>
      </c>
      <c r="Y101">
        <v>19532</v>
      </c>
      <c r="Z101">
        <v>1.21</v>
      </c>
      <c r="AA101">
        <v>18</v>
      </c>
      <c r="AB101">
        <v>14</v>
      </c>
      <c r="AC101">
        <v>4</v>
      </c>
      <c r="AD101">
        <v>77.78</v>
      </c>
      <c r="AE101">
        <v>13</v>
      </c>
    </row>
    <row r="102" spans="1:31">
      <c r="A102">
        <v>66</v>
      </c>
      <c r="B102">
        <v>6471</v>
      </c>
      <c r="C102" t="s">
        <v>278</v>
      </c>
      <c r="D102" t="s">
        <v>226</v>
      </c>
      <c r="E102">
        <v>918</v>
      </c>
      <c r="F102">
        <v>910</v>
      </c>
      <c r="G102">
        <v>1100</v>
      </c>
      <c r="H102" t="s">
        <v>229</v>
      </c>
      <c r="I102">
        <v>6473</v>
      </c>
      <c r="J102" t="s">
        <v>164</v>
      </c>
      <c r="K102" t="s">
        <v>226</v>
      </c>
      <c r="L102">
        <v>1220</v>
      </c>
      <c r="M102">
        <v>1214</v>
      </c>
      <c r="N102">
        <v>800</v>
      </c>
      <c r="O102" t="s">
        <v>227</v>
      </c>
      <c r="P102">
        <v>0.95340948767911904</v>
      </c>
      <c r="Q102">
        <v>0.95957180835987799</v>
      </c>
      <c r="R102">
        <v>0.35379430240434301</v>
      </c>
      <c r="S102">
        <v>3.1943855920938999E-2</v>
      </c>
      <c r="T102">
        <v>1.1033823964116101</v>
      </c>
      <c r="U102">
        <v>1.1033823964116101</v>
      </c>
      <c r="V102">
        <v>1.9</v>
      </c>
      <c r="W102">
        <v>3.07</v>
      </c>
      <c r="X102">
        <v>-42476</v>
      </c>
      <c r="Y102">
        <v>-2832</v>
      </c>
      <c r="Z102">
        <v>-0.18</v>
      </c>
      <c r="AA102">
        <v>15</v>
      </c>
      <c r="AB102">
        <v>9</v>
      </c>
      <c r="AC102">
        <v>6</v>
      </c>
      <c r="AD102">
        <v>60</v>
      </c>
      <c r="AE102">
        <v>15</v>
      </c>
    </row>
    <row r="103" spans="1:31">
      <c r="A103">
        <v>331</v>
      </c>
      <c r="B103">
        <v>8304</v>
      </c>
      <c r="C103" t="s">
        <v>312</v>
      </c>
      <c r="D103" t="s">
        <v>232</v>
      </c>
      <c r="E103">
        <v>2595</v>
      </c>
      <c r="F103">
        <v>2578</v>
      </c>
      <c r="G103">
        <v>300</v>
      </c>
      <c r="H103" t="s">
        <v>227</v>
      </c>
      <c r="I103">
        <v>8411</v>
      </c>
      <c r="J103" t="s">
        <v>165</v>
      </c>
      <c r="K103" t="s">
        <v>232</v>
      </c>
      <c r="L103">
        <v>163</v>
      </c>
      <c r="M103">
        <v>161.9</v>
      </c>
      <c r="N103">
        <v>4800</v>
      </c>
      <c r="O103" t="s">
        <v>229</v>
      </c>
      <c r="P103">
        <v>0.90020004645193397</v>
      </c>
      <c r="Q103">
        <v>0.926585141296697</v>
      </c>
      <c r="R103">
        <v>0.292941491830564</v>
      </c>
      <c r="S103">
        <v>2.0523092221598298E-2</v>
      </c>
      <c r="T103">
        <v>-1.0710837837712199</v>
      </c>
      <c r="U103">
        <v>1.0710837837712199</v>
      </c>
      <c r="V103">
        <v>-2.11</v>
      </c>
      <c r="W103">
        <v>0.48</v>
      </c>
      <c r="X103">
        <v>-108883</v>
      </c>
      <c r="Y103">
        <v>-5731</v>
      </c>
      <c r="Z103">
        <v>-0.34</v>
      </c>
      <c r="AA103">
        <v>19</v>
      </c>
      <c r="AB103">
        <v>6</v>
      </c>
      <c r="AC103">
        <v>13</v>
      </c>
      <c r="AD103">
        <v>31.58</v>
      </c>
      <c r="AE103">
        <v>18</v>
      </c>
    </row>
    <row r="104" spans="1:31">
      <c r="A104">
        <v>293</v>
      </c>
      <c r="B104">
        <v>5301</v>
      </c>
      <c r="C104" t="s">
        <v>237</v>
      </c>
      <c r="D104" t="s">
        <v>238</v>
      </c>
      <c r="E104">
        <v>1074</v>
      </c>
      <c r="F104">
        <v>1061</v>
      </c>
      <c r="G104">
        <v>900</v>
      </c>
      <c r="H104" t="s">
        <v>227</v>
      </c>
      <c r="I104">
        <v>6995</v>
      </c>
      <c r="J104" t="s">
        <v>118</v>
      </c>
      <c r="K104" t="s">
        <v>228</v>
      </c>
      <c r="L104">
        <v>1815</v>
      </c>
      <c r="M104">
        <v>1812</v>
      </c>
      <c r="N104">
        <v>500</v>
      </c>
      <c r="O104" t="s">
        <v>229</v>
      </c>
      <c r="P104">
        <v>0.90794118522775702</v>
      </c>
      <c r="Q104">
        <v>0.90996146574604397</v>
      </c>
      <c r="R104">
        <v>7.0399622070863699E-2</v>
      </c>
      <c r="S104">
        <v>3.1956497283803502E-2</v>
      </c>
      <c r="T104">
        <v>-1.0592502405667501</v>
      </c>
      <c r="U104">
        <v>1.0592502405667501</v>
      </c>
      <c r="V104">
        <v>-3.43</v>
      </c>
      <c r="W104">
        <v>5.4</v>
      </c>
      <c r="X104">
        <v>52977</v>
      </c>
      <c r="Y104">
        <v>2207</v>
      </c>
      <c r="Z104">
        <v>0.13</v>
      </c>
      <c r="AA104">
        <v>24</v>
      </c>
      <c r="AB104">
        <v>12</v>
      </c>
      <c r="AC104">
        <v>12</v>
      </c>
      <c r="AD104">
        <v>50</v>
      </c>
      <c r="AE104">
        <v>10</v>
      </c>
    </row>
    <row r="105" spans="1:31">
      <c r="A105">
        <v>186</v>
      </c>
      <c r="B105">
        <v>4182</v>
      </c>
      <c r="C105" t="s">
        <v>286</v>
      </c>
      <c r="D105" t="s">
        <v>235</v>
      </c>
      <c r="E105">
        <v>1408</v>
      </c>
      <c r="F105">
        <v>1402</v>
      </c>
      <c r="G105">
        <v>600</v>
      </c>
      <c r="H105" t="s">
        <v>229</v>
      </c>
      <c r="I105">
        <v>7846</v>
      </c>
      <c r="J105" t="s">
        <v>159</v>
      </c>
      <c r="K105" t="s">
        <v>307</v>
      </c>
      <c r="L105">
        <v>3905</v>
      </c>
      <c r="M105">
        <v>3900</v>
      </c>
      <c r="N105">
        <v>200</v>
      </c>
      <c r="O105" t="s">
        <v>227</v>
      </c>
      <c r="P105">
        <v>0.92833591077345201</v>
      </c>
      <c r="Q105">
        <v>0.92789472252360905</v>
      </c>
      <c r="R105">
        <v>0.130228509401876</v>
      </c>
      <c r="S105">
        <v>0.27981158013760399</v>
      </c>
      <c r="T105">
        <v>1.05530618061967</v>
      </c>
      <c r="U105">
        <v>1.05530618061967</v>
      </c>
      <c r="V105">
        <v>2.83</v>
      </c>
      <c r="W105">
        <v>7.85</v>
      </c>
      <c r="X105">
        <v>-151714</v>
      </c>
      <c r="Y105">
        <v>-10837</v>
      </c>
      <c r="Z105">
        <v>-0.93</v>
      </c>
      <c r="AA105">
        <v>14</v>
      </c>
      <c r="AB105">
        <v>7</v>
      </c>
      <c r="AC105">
        <v>7</v>
      </c>
      <c r="AD105">
        <v>50</v>
      </c>
      <c r="AE105">
        <v>13</v>
      </c>
    </row>
    <row r="106" spans="1:31">
      <c r="A106">
        <v>29</v>
      </c>
      <c r="B106">
        <v>6371</v>
      </c>
      <c r="C106" t="s">
        <v>298</v>
      </c>
      <c r="D106" t="s">
        <v>226</v>
      </c>
      <c r="E106">
        <v>3365</v>
      </c>
      <c r="F106">
        <v>3400</v>
      </c>
      <c r="G106">
        <v>200</v>
      </c>
      <c r="H106" t="s">
        <v>229</v>
      </c>
      <c r="I106">
        <v>6473</v>
      </c>
      <c r="J106" t="s">
        <v>164</v>
      </c>
      <c r="K106" t="s">
        <v>226</v>
      </c>
      <c r="L106">
        <v>1220</v>
      </c>
      <c r="M106">
        <v>1214</v>
      </c>
      <c r="N106">
        <v>600</v>
      </c>
      <c r="O106" t="s">
        <v>227</v>
      </c>
      <c r="P106">
        <v>0.96165393077811601</v>
      </c>
      <c r="Q106">
        <v>0.918918836873027</v>
      </c>
      <c r="R106">
        <v>3.4070070481989601E-3</v>
      </c>
      <c r="S106">
        <v>0.19809724587579</v>
      </c>
      <c r="T106">
        <v>1.0519240010419999</v>
      </c>
      <c r="U106">
        <v>1.0519240010419999</v>
      </c>
      <c r="V106">
        <v>2.1</v>
      </c>
      <c r="W106">
        <v>7.12</v>
      </c>
      <c r="X106">
        <v>-112396</v>
      </c>
      <c r="Y106">
        <v>-6244</v>
      </c>
      <c r="Z106">
        <v>-0.43</v>
      </c>
      <c r="AA106">
        <v>18</v>
      </c>
      <c r="AB106">
        <v>8</v>
      </c>
      <c r="AC106">
        <v>10</v>
      </c>
      <c r="AD106">
        <v>44.44</v>
      </c>
      <c r="AE106">
        <v>14</v>
      </c>
    </row>
    <row r="107" spans="1:31">
      <c r="A107">
        <v>4</v>
      </c>
      <c r="B107">
        <v>4902</v>
      </c>
      <c r="C107" t="s">
        <v>313</v>
      </c>
      <c r="D107" t="s">
        <v>231</v>
      </c>
      <c r="E107">
        <v>746</v>
      </c>
      <c r="F107">
        <v>739</v>
      </c>
      <c r="G107">
        <v>1200</v>
      </c>
      <c r="H107" t="s">
        <v>227</v>
      </c>
      <c r="I107">
        <v>5401</v>
      </c>
      <c r="J107" t="s">
        <v>155</v>
      </c>
      <c r="K107" t="s">
        <v>252</v>
      </c>
      <c r="L107">
        <v>1485.5</v>
      </c>
      <c r="M107">
        <v>1481</v>
      </c>
      <c r="N107">
        <v>600</v>
      </c>
      <c r="O107" t="s">
        <v>229</v>
      </c>
      <c r="P107">
        <v>0.97986724356128196</v>
      </c>
      <c r="Q107">
        <v>0.90997371235167801</v>
      </c>
      <c r="R107">
        <v>0.10122584859924701</v>
      </c>
      <c r="S107">
        <v>0.25636521775951898</v>
      </c>
      <c r="T107">
        <v>-1.02583849436682</v>
      </c>
      <c r="U107">
        <v>1.02583849436682</v>
      </c>
      <c r="V107">
        <v>-7.66</v>
      </c>
      <c r="W107">
        <v>0.2</v>
      </c>
      <c r="X107">
        <v>37734</v>
      </c>
      <c r="Y107">
        <v>1986</v>
      </c>
      <c r="Z107">
        <v>0.16</v>
      </c>
      <c r="AA107">
        <v>19</v>
      </c>
      <c r="AB107">
        <v>11</v>
      </c>
      <c r="AC107">
        <v>8</v>
      </c>
      <c r="AD107">
        <v>57.89</v>
      </c>
      <c r="AE107">
        <v>13</v>
      </c>
    </row>
    <row r="108" spans="1:31">
      <c r="A108">
        <v>302</v>
      </c>
      <c r="B108">
        <v>4996</v>
      </c>
      <c r="C108" t="s">
        <v>314</v>
      </c>
      <c r="D108" t="s">
        <v>235</v>
      </c>
      <c r="E108">
        <v>960</v>
      </c>
      <c r="F108">
        <v>953</v>
      </c>
      <c r="G108">
        <v>1000</v>
      </c>
      <c r="H108" t="s">
        <v>227</v>
      </c>
      <c r="I108">
        <v>6857</v>
      </c>
      <c r="J108" t="s">
        <v>166</v>
      </c>
      <c r="K108" t="s">
        <v>231</v>
      </c>
      <c r="L108">
        <v>4855</v>
      </c>
      <c r="M108">
        <v>4845</v>
      </c>
      <c r="N108">
        <v>200</v>
      </c>
      <c r="O108" t="s">
        <v>229</v>
      </c>
      <c r="P108">
        <v>0.90621608621204697</v>
      </c>
      <c r="Q108">
        <v>0.90377180475697005</v>
      </c>
      <c r="R108">
        <v>6.6644303418790796E-2</v>
      </c>
      <c r="S108">
        <v>5.6396572643304201E-2</v>
      </c>
      <c r="T108">
        <v>-1.0216090023176201</v>
      </c>
      <c r="U108">
        <v>1.0216090023176201</v>
      </c>
      <c r="V108">
        <v>-14.15</v>
      </c>
      <c r="W108">
        <v>1.65</v>
      </c>
      <c r="X108">
        <v>316965</v>
      </c>
      <c r="Y108">
        <v>24382</v>
      </c>
      <c r="Z108">
        <v>1.47</v>
      </c>
      <c r="AA108">
        <v>13</v>
      </c>
      <c r="AB108">
        <v>8</v>
      </c>
      <c r="AC108">
        <v>5</v>
      </c>
      <c r="AD108">
        <v>61.54</v>
      </c>
      <c r="AE108">
        <v>12</v>
      </c>
    </row>
    <row r="109" spans="1:31">
      <c r="A109">
        <v>112</v>
      </c>
      <c r="B109">
        <v>3099</v>
      </c>
      <c r="C109" t="s">
        <v>265</v>
      </c>
      <c r="D109" t="s">
        <v>245</v>
      </c>
      <c r="E109">
        <v>855</v>
      </c>
      <c r="F109">
        <v>865</v>
      </c>
      <c r="G109">
        <v>1100</v>
      </c>
      <c r="H109" t="s">
        <v>229</v>
      </c>
      <c r="I109">
        <v>9505</v>
      </c>
      <c r="J109" t="s">
        <v>167</v>
      </c>
      <c r="K109" t="s">
        <v>281</v>
      </c>
      <c r="L109">
        <v>727</v>
      </c>
      <c r="M109">
        <v>716</v>
      </c>
      <c r="N109">
        <v>1300</v>
      </c>
      <c r="O109" t="s">
        <v>227</v>
      </c>
      <c r="P109">
        <v>0.94181524312963505</v>
      </c>
      <c r="Q109">
        <v>0.94561907789412603</v>
      </c>
      <c r="R109">
        <v>8.5212590843277997E-3</v>
      </c>
      <c r="S109">
        <v>0.15981955936286499</v>
      </c>
      <c r="T109">
        <v>1.0074834872184499</v>
      </c>
      <c r="U109">
        <v>1.0074834872184499</v>
      </c>
      <c r="V109">
        <v>2.89</v>
      </c>
      <c r="W109">
        <v>2.1800000000000002</v>
      </c>
      <c r="X109">
        <v>-55676</v>
      </c>
      <c r="Y109">
        <v>-2531</v>
      </c>
      <c r="Z109">
        <v>-0.17</v>
      </c>
      <c r="AA109">
        <v>22</v>
      </c>
      <c r="AB109">
        <v>11</v>
      </c>
      <c r="AC109">
        <v>11</v>
      </c>
      <c r="AD109">
        <v>50</v>
      </c>
      <c r="AE109">
        <v>11</v>
      </c>
    </row>
    <row r="110" spans="1:31">
      <c r="A110">
        <v>303</v>
      </c>
      <c r="B110">
        <v>8377</v>
      </c>
      <c r="C110" t="s">
        <v>315</v>
      </c>
      <c r="D110" t="s">
        <v>232</v>
      </c>
      <c r="E110">
        <v>1021</v>
      </c>
      <c r="F110">
        <v>1017</v>
      </c>
      <c r="G110">
        <v>900</v>
      </c>
      <c r="H110" t="s">
        <v>227</v>
      </c>
      <c r="I110">
        <v>9505</v>
      </c>
      <c r="J110" t="s">
        <v>167</v>
      </c>
      <c r="K110" t="s">
        <v>281</v>
      </c>
      <c r="L110">
        <v>727</v>
      </c>
      <c r="M110">
        <v>716</v>
      </c>
      <c r="N110">
        <v>1300</v>
      </c>
      <c r="O110" t="s">
        <v>229</v>
      </c>
      <c r="P110">
        <v>0.906190587528515</v>
      </c>
      <c r="Q110">
        <v>0.929310462059044</v>
      </c>
      <c r="R110">
        <v>0.205544187854486</v>
      </c>
      <c r="S110">
        <v>8.7945261037105302E-2</v>
      </c>
      <c r="T110">
        <v>-0.999357261975795</v>
      </c>
      <c r="U110">
        <v>0.999357261975795</v>
      </c>
      <c r="V110">
        <v>-2.98</v>
      </c>
      <c r="W110">
        <v>1.69</v>
      </c>
      <c r="X110">
        <v>229527</v>
      </c>
      <c r="Y110">
        <v>15302</v>
      </c>
      <c r="Z110">
        <v>0.83</v>
      </c>
      <c r="AA110">
        <v>15</v>
      </c>
      <c r="AB110">
        <v>9</v>
      </c>
      <c r="AC110">
        <v>6</v>
      </c>
      <c r="AD110">
        <v>60</v>
      </c>
      <c r="AE110">
        <v>15</v>
      </c>
    </row>
    <row r="111" spans="1:31">
      <c r="A111">
        <v>14</v>
      </c>
      <c r="B111">
        <v>4182</v>
      </c>
      <c r="C111" t="s">
        <v>286</v>
      </c>
      <c r="D111" t="s">
        <v>235</v>
      </c>
      <c r="E111">
        <v>1408</v>
      </c>
      <c r="F111">
        <v>1402</v>
      </c>
      <c r="G111">
        <v>700</v>
      </c>
      <c r="H111" t="s">
        <v>229</v>
      </c>
      <c r="I111">
        <v>5802</v>
      </c>
      <c r="J111" t="s">
        <v>129</v>
      </c>
      <c r="K111" t="s">
        <v>247</v>
      </c>
      <c r="L111">
        <v>1343</v>
      </c>
      <c r="M111">
        <v>1341.5</v>
      </c>
      <c r="N111">
        <v>700</v>
      </c>
      <c r="O111" t="s">
        <v>227</v>
      </c>
      <c r="P111">
        <v>0.96744023857113604</v>
      </c>
      <c r="Q111">
        <v>0.94019590823459798</v>
      </c>
      <c r="R111">
        <v>0.27112781665693603</v>
      </c>
      <c r="S111">
        <v>0.227386588831932</v>
      </c>
      <c r="T111">
        <v>0.99067111019443799</v>
      </c>
      <c r="U111">
        <v>0.99067111019443799</v>
      </c>
      <c r="V111">
        <v>1.91</v>
      </c>
      <c r="W111">
        <v>4.32</v>
      </c>
      <c r="X111">
        <v>205580</v>
      </c>
      <c r="Y111">
        <v>12093</v>
      </c>
      <c r="Z111">
        <v>0.6</v>
      </c>
      <c r="AA111">
        <v>17</v>
      </c>
      <c r="AB111">
        <v>10</v>
      </c>
      <c r="AC111">
        <v>7</v>
      </c>
      <c r="AD111">
        <v>58.82</v>
      </c>
      <c r="AE111">
        <v>13</v>
      </c>
    </row>
    <row r="112" spans="1:31">
      <c r="A112">
        <v>98</v>
      </c>
      <c r="B112">
        <v>4208</v>
      </c>
      <c r="C112" t="s">
        <v>275</v>
      </c>
      <c r="D112" t="s">
        <v>235</v>
      </c>
      <c r="E112">
        <v>2138</v>
      </c>
      <c r="F112">
        <v>2130</v>
      </c>
      <c r="G112">
        <v>400</v>
      </c>
      <c r="H112" t="s">
        <v>227</v>
      </c>
      <c r="I112">
        <v>6472</v>
      </c>
      <c r="J112" t="s">
        <v>134</v>
      </c>
      <c r="K112" t="s">
        <v>226</v>
      </c>
      <c r="L112">
        <v>311</v>
      </c>
      <c r="M112">
        <v>309</v>
      </c>
      <c r="N112">
        <v>2800</v>
      </c>
      <c r="O112" t="s">
        <v>229</v>
      </c>
      <c r="P112">
        <v>0.94536339464777097</v>
      </c>
      <c r="Q112">
        <v>0.90698580458117295</v>
      </c>
      <c r="R112">
        <v>6.5397183022454106E-2</v>
      </c>
      <c r="S112">
        <v>0.109045563482709</v>
      </c>
      <c r="T112">
        <v>-0.98605409269293598</v>
      </c>
      <c r="U112">
        <v>0.98605409269293598</v>
      </c>
      <c r="V112">
        <v>-2.99</v>
      </c>
      <c r="W112">
        <v>1.55</v>
      </c>
      <c r="X112">
        <v>202688</v>
      </c>
      <c r="Y112">
        <v>9652</v>
      </c>
      <c r="Z112">
        <v>0.44</v>
      </c>
      <c r="AA112">
        <v>21</v>
      </c>
      <c r="AB112">
        <v>14</v>
      </c>
      <c r="AC112">
        <v>7</v>
      </c>
      <c r="AD112">
        <v>66.67</v>
      </c>
      <c r="AE112">
        <v>13</v>
      </c>
    </row>
    <row r="113" spans="1:31">
      <c r="A113">
        <v>84</v>
      </c>
      <c r="B113">
        <v>1333</v>
      </c>
      <c r="C113" t="s">
        <v>304</v>
      </c>
      <c r="D113" t="s">
        <v>305</v>
      </c>
      <c r="E113">
        <v>2783</v>
      </c>
      <c r="F113">
        <v>2774</v>
      </c>
      <c r="G113">
        <v>300</v>
      </c>
      <c r="H113" t="s">
        <v>229</v>
      </c>
      <c r="I113">
        <v>5406</v>
      </c>
      <c r="J113" t="s">
        <v>147</v>
      </c>
      <c r="K113" t="s">
        <v>252</v>
      </c>
      <c r="L113">
        <v>570</v>
      </c>
      <c r="M113">
        <v>564</v>
      </c>
      <c r="N113">
        <v>1500</v>
      </c>
      <c r="O113" t="s">
        <v>227</v>
      </c>
      <c r="P113">
        <v>0.94895699038155001</v>
      </c>
      <c r="Q113">
        <v>0.94691317520878404</v>
      </c>
      <c r="R113">
        <v>1.7855545468377702E-2</v>
      </c>
      <c r="S113">
        <v>5.5521739026535098E-3</v>
      </c>
      <c r="T113">
        <v>0.98571145293903295</v>
      </c>
      <c r="U113">
        <v>0.98571145293903295</v>
      </c>
      <c r="V113">
        <v>3.93</v>
      </c>
      <c r="W113">
        <v>1.66</v>
      </c>
      <c r="X113">
        <v>-130773</v>
      </c>
      <c r="Y113">
        <v>-6883</v>
      </c>
      <c r="Z113">
        <v>-0.27</v>
      </c>
      <c r="AA113">
        <v>19</v>
      </c>
      <c r="AB113">
        <v>11</v>
      </c>
      <c r="AC113">
        <v>8</v>
      </c>
      <c r="AD113">
        <v>57.89</v>
      </c>
      <c r="AE113">
        <v>8</v>
      </c>
    </row>
    <row r="114" spans="1:31">
      <c r="A114">
        <v>226</v>
      </c>
      <c r="B114">
        <v>2768</v>
      </c>
      <c r="C114" t="s">
        <v>279</v>
      </c>
      <c r="D114" t="s">
        <v>257</v>
      </c>
      <c r="E114">
        <v>326</v>
      </c>
      <c r="F114">
        <v>325</v>
      </c>
      <c r="G114">
        <v>2900</v>
      </c>
      <c r="H114" t="s">
        <v>227</v>
      </c>
      <c r="I114">
        <v>7202</v>
      </c>
      <c r="J114" t="s">
        <v>148</v>
      </c>
      <c r="K114" t="s">
        <v>228</v>
      </c>
      <c r="L114">
        <v>1154.5</v>
      </c>
      <c r="M114">
        <v>1161</v>
      </c>
      <c r="N114">
        <v>800</v>
      </c>
      <c r="O114" t="s">
        <v>229</v>
      </c>
      <c r="P114">
        <v>0.91893432104980499</v>
      </c>
      <c r="Q114">
        <v>0.94903452703880098</v>
      </c>
      <c r="R114">
        <v>1.72998515568446E-2</v>
      </c>
      <c r="S114">
        <v>1.31859054867598E-2</v>
      </c>
      <c r="T114">
        <v>-0.97962612862877396</v>
      </c>
      <c r="U114">
        <v>0.97962612862877396</v>
      </c>
      <c r="V114">
        <v>-2.02</v>
      </c>
      <c r="W114">
        <v>1.48</v>
      </c>
      <c r="X114">
        <v>105269</v>
      </c>
      <c r="Y114">
        <v>5848</v>
      </c>
      <c r="Z114">
        <v>0.32</v>
      </c>
      <c r="AA114">
        <v>18</v>
      </c>
      <c r="AB114">
        <v>10</v>
      </c>
      <c r="AC114">
        <v>8</v>
      </c>
      <c r="AD114">
        <v>55.56</v>
      </c>
      <c r="AE114">
        <v>13</v>
      </c>
    </row>
    <row r="115" spans="1:31">
      <c r="A115">
        <v>239</v>
      </c>
      <c r="B115">
        <v>3405</v>
      </c>
      <c r="C115" t="s">
        <v>290</v>
      </c>
      <c r="D115" t="s">
        <v>235</v>
      </c>
      <c r="E115">
        <v>1292</v>
      </c>
      <c r="F115">
        <v>1294</v>
      </c>
      <c r="G115">
        <v>700</v>
      </c>
      <c r="H115" t="s">
        <v>229</v>
      </c>
      <c r="I115">
        <v>4005</v>
      </c>
      <c r="J115" t="s">
        <v>168</v>
      </c>
      <c r="K115" t="s">
        <v>235</v>
      </c>
      <c r="L115">
        <v>488</v>
      </c>
      <c r="M115">
        <v>483</v>
      </c>
      <c r="N115">
        <v>1900</v>
      </c>
      <c r="O115" t="s">
        <v>227</v>
      </c>
      <c r="P115">
        <v>0.91624827928359598</v>
      </c>
      <c r="Q115">
        <v>0.926874532508148</v>
      </c>
      <c r="R115">
        <v>0.32905676637617998</v>
      </c>
      <c r="S115">
        <v>0.12335805903471</v>
      </c>
      <c r="T115">
        <v>0.97801178128874899</v>
      </c>
      <c r="U115">
        <v>0.97801178128874899</v>
      </c>
      <c r="V115">
        <v>1.83</v>
      </c>
      <c r="W115">
        <v>1.31</v>
      </c>
      <c r="X115">
        <v>-124694</v>
      </c>
      <c r="Y115">
        <v>-8313</v>
      </c>
      <c r="Z115">
        <v>-0.49</v>
      </c>
      <c r="AA115">
        <v>15</v>
      </c>
      <c r="AB115">
        <v>6</v>
      </c>
      <c r="AC115">
        <v>9</v>
      </c>
      <c r="AD115">
        <v>40</v>
      </c>
      <c r="AE115">
        <v>15</v>
      </c>
    </row>
    <row r="116" spans="1:31">
      <c r="A116">
        <v>79</v>
      </c>
      <c r="B116">
        <v>3591</v>
      </c>
      <c r="C116" t="s">
        <v>302</v>
      </c>
      <c r="D116" t="s">
        <v>303</v>
      </c>
      <c r="E116">
        <v>2742</v>
      </c>
      <c r="F116">
        <v>2733</v>
      </c>
      <c r="G116">
        <v>300</v>
      </c>
      <c r="H116" t="s">
        <v>229</v>
      </c>
      <c r="I116">
        <v>7167</v>
      </c>
      <c r="J116" t="s">
        <v>136</v>
      </c>
      <c r="K116" t="s">
        <v>232</v>
      </c>
      <c r="L116">
        <v>262</v>
      </c>
      <c r="M116">
        <v>261</v>
      </c>
      <c r="N116">
        <v>3100</v>
      </c>
      <c r="O116" t="s">
        <v>227</v>
      </c>
      <c r="P116">
        <v>0.95000804449095899</v>
      </c>
      <c r="Q116">
        <v>0.91629525513073296</v>
      </c>
      <c r="R116">
        <v>3.5088226397354698E-2</v>
      </c>
      <c r="S116">
        <v>3.2334779310542999E-3</v>
      </c>
      <c r="T116">
        <v>0.97543054973007404</v>
      </c>
      <c r="U116">
        <v>0.97543054973007404</v>
      </c>
      <c r="V116">
        <v>2.04</v>
      </c>
      <c r="W116">
        <v>1.32</v>
      </c>
      <c r="X116">
        <v>6520</v>
      </c>
      <c r="Y116">
        <v>384</v>
      </c>
      <c r="Z116">
        <v>0</v>
      </c>
      <c r="AA116">
        <v>17</v>
      </c>
      <c r="AB116">
        <v>8</v>
      </c>
      <c r="AC116">
        <v>9</v>
      </c>
      <c r="AD116">
        <v>47.06</v>
      </c>
      <c r="AE116">
        <v>15</v>
      </c>
    </row>
    <row r="117" spans="1:31">
      <c r="A117">
        <v>145</v>
      </c>
      <c r="B117">
        <v>1942</v>
      </c>
      <c r="C117" t="s">
        <v>300</v>
      </c>
      <c r="D117" t="s">
        <v>254</v>
      </c>
      <c r="E117">
        <v>954</v>
      </c>
      <c r="F117">
        <v>957</v>
      </c>
      <c r="G117">
        <v>1000</v>
      </c>
      <c r="H117" t="s">
        <v>229</v>
      </c>
      <c r="I117">
        <v>9412</v>
      </c>
      <c r="J117" t="s">
        <v>169</v>
      </c>
      <c r="K117" t="s">
        <v>234</v>
      </c>
      <c r="L117">
        <v>435</v>
      </c>
      <c r="M117">
        <v>436</v>
      </c>
      <c r="N117">
        <v>2200</v>
      </c>
      <c r="O117" t="s">
        <v>227</v>
      </c>
      <c r="P117">
        <v>0.93578039405941904</v>
      </c>
      <c r="Q117">
        <v>0.95140736458474495</v>
      </c>
      <c r="R117">
        <v>6.2994948549745201E-4</v>
      </c>
      <c r="S117">
        <v>7.7041443011436098E-4</v>
      </c>
      <c r="T117">
        <v>0.97338036009289897</v>
      </c>
      <c r="U117">
        <v>0.97338036009289897</v>
      </c>
      <c r="V117">
        <v>1.87</v>
      </c>
      <c r="W117">
        <v>0.23</v>
      </c>
      <c r="X117">
        <v>590108</v>
      </c>
      <c r="Y117">
        <v>31058</v>
      </c>
      <c r="Z117">
        <v>1.63</v>
      </c>
      <c r="AA117">
        <v>19</v>
      </c>
      <c r="AB117">
        <v>17</v>
      </c>
      <c r="AC117">
        <v>2</v>
      </c>
      <c r="AD117">
        <v>89.47</v>
      </c>
      <c r="AE117">
        <v>12</v>
      </c>
    </row>
    <row r="118" spans="1:31">
      <c r="A118">
        <v>89</v>
      </c>
      <c r="B118">
        <v>8242</v>
      </c>
      <c r="C118" t="s">
        <v>316</v>
      </c>
      <c r="D118" t="s">
        <v>245</v>
      </c>
      <c r="E118">
        <v>1191</v>
      </c>
      <c r="F118">
        <v>1199</v>
      </c>
      <c r="G118">
        <v>800</v>
      </c>
      <c r="H118" t="s">
        <v>229</v>
      </c>
      <c r="I118">
        <v>9072</v>
      </c>
      <c r="J118" t="s">
        <v>153</v>
      </c>
      <c r="K118" t="s">
        <v>261</v>
      </c>
      <c r="L118">
        <v>2426</v>
      </c>
      <c r="M118">
        <v>2420</v>
      </c>
      <c r="N118">
        <v>400</v>
      </c>
      <c r="O118" t="s">
        <v>227</v>
      </c>
      <c r="P118">
        <v>0.94722993668566502</v>
      </c>
      <c r="Q118">
        <v>0.90603972226380902</v>
      </c>
      <c r="R118">
        <v>5.2294448236954397E-3</v>
      </c>
      <c r="S118">
        <v>0.17350273200224101</v>
      </c>
      <c r="T118">
        <v>0.97032488177154996</v>
      </c>
      <c r="U118">
        <v>0.97032488177154996</v>
      </c>
      <c r="V118">
        <v>2.48</v>
      </c>
      <c r="W118">
        <v>0.91</v>
      </c>
      <c r="X118">
        <v>18786</v>
      </c>
      <c r="Y118">
        <v>1174</v>
      </c>
      <c r="Z118">
        <v>0.13</v>
      </c>
      <c r="AA118">
        <v>16</v>
      </c>
      <c r="AB118">
        <v>9</v>
      </c>
      <c r="AC118">
        <v>7</v>
      </c>
      <c r="AD118">
        <v>56.25</v>
      </c>
      <c r="AE118">
        <v>14</v>
      </c>
    </row>
    <row r="119" spans="1:31">
      <c r="A119">
        <v>68</v>
      </c>
      <c r="B119">
        <v>5991</v>
      </c>
      <c r="C119" t="s">
        <v>317</v>
      </c>
      <c r="D119" t="s">
        <v>262</v>
      </c>
      <c r="E119">
        <v>813</v>
      </c>
      <c r="F119">
        <v>807</v>
      </c>
      <c r="G119">
        <v>1200</v>
      </c>
      <c r="H119" t="s">
        <v>229</v>
      </c>
      <c r="I119">
        <v>7202</v>
      </c>
      <c r="J119" t="s">
        <v>148</v>
      </c>
      <c r="K119" t="s">
        <v>228</v>
      </c>
      <c r="L119">
        <v>1154.5</v>
      </c>
      <c r="M119">
        <v>1161</v>
      </c>
      <c r="N119">
        <v>800</v>
      </c>
      <c r="O119" t="s">
        <v>227</v>
      </c>
      <c r="P119">
        <v>0.952374703649571</v>
      </c>
      <c r="Q119">
        <v>0.94490003236202402</v>
      </c>
      <c r="R119">
        <v>0.12559368964537701</v>
      </c>
      <c r="S119">
        <v>0.16437256336723999</v>
      </c>
      <c r="T119">
        <v>0.96965204727957</v>
      </c>
      <c r="U119">
        <v>0.96965204727957</v>
      </c>
      <c r="V119">
        <v>2.23</v>
      </c>
      <c r="W119">
        <v>4.26</v>
      </c>
      <c r="X119">
        <v>-12925</v>
      </c>
      <c r="Y119">
        <v>-808</v>
      </c>
      <c r="Z119">
        <v>-0.09</v>
      </c>
      <c r="AA119">
        <v>16</v>
      </c>
      <c r="AB119">
        <v>5</v>
      </c>
      <c r="AC119">
        <v>11</v>
      </c>
      <c r="AD119">
        <v>31.25</v>
      </c>
      <c r="AE119">
        <v>15</v>
      </c>
    </row>
    <row r="120" spans="1:31">
      <c r="A120">
        <v>190</v>
      </c>
      <c r="B120">
        <v>6178</v>
      </c>
      <c r="C120" t="s">
        <v>318</v>
      </c>
      <c r="D120" t="s">
        <v>319</v>
      </c>
      <c r="E120">
        <v>986</v>
      </c>
      <c r="F120">
        <v>981</v>
      </c>
      <c r="G120">
        <v>1000</v>
      </c>
      <c r="H120" t="s">
        <v>227</v>
      </c>
      <c r="I120">
        <v>7181</v>
      </c>
      <c r="J120" t="s">
        <v>171</v>
      </c>
      <c r="K120" t="s">
        <v>288</v>
      </c>
      <c r="L120">
        <v>1610</v>
      </c>
      <c r="M120">
        <v>1628</v>
      </c>
      <c r="N120">
        <v>600</v>
      </c>
      <c r="O120" t="s">
        <v>229</v>
      </c>
      <c r="P120">
        <v>0.92702768393333101</v>
      </c>
      <c r="Q120">
        <v>0.94377107828423601</v>
      </c>
      <c r="R120">
        <v>0.26942605182332802</v>
      </c>
      <c r="S120">
        <v>0.23345016066458299</v>
      </c>
      <c r="T120">
        <v>-0.95942960034959501</v>
      </c>
      <c r="U120">
        <v>0.95942960034959501</v>
      </c>
      <c r="V120">
        <v>-2.63</v>
      </c>
      <c r="W120">
        <v>0.43</v>
      </c>
      <c r="X120">
        <v>40150</v>
      </c>
      <c r="Y120">
        <v>1825</v>
      </c>
      <c r="Z120">
        <v>0.04</v>
      </c>
      <c r="AA120">
        <v>22</v>
      </c>
      <c r="AB120">
        <v>11</v>
      </c>
      <c r="AC120">
        <v>11</v>
      </c>
      <c r="AD120">
        <v>50</v>
      </c>
      <c r="AE120">
        <v>14</v>
      </c>
    </row>
    <row r="121" spans="1:31">
      <c r="A121">
        <v>309</v>
      </c>
      <c r="B121">
        <v>4581</v>
      </c>
      <c r="C121" t="s">
        <v>250</v>
      </c>
      <c r="D121" t="s">
        <v>251</v>
      </c>
      <c r="E121">
        <v>7770</v>
      </c>
      <c r="F121">
        <v>7760</v>
      </c>
      <c r="G121">
        <v>100</v>
      </c>
      <c r="H121" t="s">
        <v>229</v>
      </c>
      <c r="I121">
        <v>5411</v>
      </c>
      <c r="J121" t="s">
        <v>154</v>
      </c>
      <c r="K121" t="s">
        <v>252</v>
      </c>
      <c r="L121">
        <v>1289.5</v>
      </c>
      <c r="M121">
        <v>1286</v>
      </c>
      <c r="N121">
        <v>600</v>
      </c>
      <c r="O121" t="s">
        <v>227</v>
      </c>
      <c r="P121">
        <v>0.90451462001254301</v>
      </c>
      <c r="Q121">
        <v>0.91839367810824701</v>
      </c>
      <c r="R121">
        <v>2.9648471409524799E-2</v>
      </c>
      <c r="S121">
        <v>0.37868571434549098</v>
      </c>
      <c r="T121">
        <v>0.93179570983181403</v>
      </c>
      <c r="U121">
        <v>0.93179570983181403</v>
      </c>
      <c r="V121">
        <v>4.5999999999999996</v>
      </c>
      <c r="W121">
        <v>0.56999999999999995</v>
      </c>
      <c r="X121">
        <v>-177575</v>
      </c>
      <c r="Y121">
        <v>-17758</v>
      </c>
      <c r="Z121">
        <v>-1</v>
      </c>
      <c r="AA121">
        <v>10</v>
      </c>
      <c r="AB121">
        <v>4</v>
      </c>
      <c r="AC121">
        <v>6</v>
      </c>
      <c r="AD121">
        <v>40</v>
      </c>
      <c r="AE121">
        <v>12</v>
      </c>
    </row>
    <row r="122" spans="1:31">
      <c r="A122">
        <v>132</v>
      </c>
      <c r="B122">
        <v>8273</v>
      </c>
      <c r="C122" t="s">
        <v>271</v>
      </c>
      <c r="D122" t="s">
        <v>245</v>
      </c>
      <c r="E122">
        <v>4130</v>
      </c>
      <c r="F122">
        <v>4165</v>
      </c>
      <c r="G122">
        <v>200</v>
      </c>
      <c r="H122" t="s">
        <v>227</v>
      </c>
      <c r="I122">
        <v>8341</v>
      </c>
      <c r="J122" t="s">
        <v>141</v>
      </c>
      <c r="K122" t="s">
        <v>232</v>
      </c>
      <c r="L122">
        <v>1564</v>
      </c>
      <c r="M122">
        <v>1568</v>
      </c>
      <c r="N122">
        <v>500</v>
      </c>
      <c r="O122" t="s">
        <v>229</v>
      </c>
      <c r="P122">
        <v>0.93828619236181099</v>
      </c>
      <c r="Q122">
        <v>0.93351424120486703</v>
      </c>
      <c r="R122">
        <v>3.4132951651671101E-2</v>
      </c>
      <c r="S122">
        <v>0.26126381910791902</v>
      </c>
      <c r="T122">
        <v>-0.92939797902000698</v>
      </c>
      <c r="U122">
        <v>0.92939797902000698</v>
      </c>
      <c r="V122">
        <v>-4.0599999999999996</v>
      </c>
      <c r="W122">
        <v>5.88</v>
      </c>
      <c r="X122">
        <v>-49323</v>
      </c>
      <c r="Y122">
        <v>-4110</v>
      </c>
      <c r="Z122">
        <v>-0.21</v>
      </c>
      <c r="AA122">
        <v>12</v>
      </c>
      <c r="AB122">
        <v>6</v>
      </c>
      <c r="AC122">
        <v>6</v>
      </c>
      <c r="AD122">
        <v>50</v>
      </c>
      <c r="AE122">
        <v>12</v>
      </c>
    </row>
    <row r="123" spans="1:31">
      <c r="A123">
        <v>254</v>
      </c>
      <c r="B123">
        <v>2531</v>
      </c>
      <c r="C123" t="s">
        <v>320</v>
      </c>
      <c r="D123" t="s">
        <v>311</v>
      </c>
      <c r="E123">
        <v>1049</v>
      </c>
      <c r="F123">
        <v>1054</v>
      </c>
      <c r="G123">
        <v>900</v>
      </c>
      <c r="H123" t="s">
        <v>227</v>
      </c>
      <c r="I123">
        <v>6752</v>
      </c>
      <c r="J123" t="s">
        <v>144</v>
      </c>
      <c r="K123" t="s">
        <v>231</v>
      </c>
      <c r="L123">
        <v>887.2</v>
      </c>
      <c r="M123">
        <v>875.7</v>
      </c>
      <c r="N123">
        <v>1100</v>
      </c>
      <c r="O123" t="s">
        <v>229</v>
      </c>
      <c r="P123">
        <v>0.91319185343462494</v>
      </c>
      <c r="Q123">
        <v>0.91618820528953404</v>
      </c>
      <c r="R123">
        <v>2.1070049140637999E-3</v>
      </c>
      <c r="S123">
        <v>4.08935473652711E-2</v>
      </c>
      <c r="T123">
        <v>-0.927297540598227</v>
      </c>
      <c r="U123">
        <v>0.927297540598227</v>
      </c>
      <c r="V123">
        <v>-2.29</v>
      </c>
      <c r="W123">
        <v>1.55</v>
      </c>
      <c r="X123">
        <v>-147852</v>
      </c>
      <c r="Y123">
        <v>-8697</v>
      </c>
      <c r="Z123">
        <v>-0.48</v>
      </c>
      <c r="AA123">
        <v>17</v>
      </c>
      <c r="AB123">
        <v>9</v>
      </c>
      <c r="AC123">
        <v>8</v>
      </c>
      <c r="AD123">
        <v>52.94</v>
      </c>
      <c r="AE123">
        <v>12</v>
      </c>
    </row>
    <row r="124" spans="1:31">
      <c r="A124">
        <v>115</v>
      </c>
      <c r="B124">
        <v>4061</v>
      </c>
      <c r="C124" t="s">
        <v>263</v>
      </c>
      <c r="D124" t="s">
        <v>235</v>
      </c>
      <c r="E124">
        <v>2861</v>
      </c>
      <c r="F124">
        <v>2888</v>
      </c>
      <c r="G124">
        <v>300</v>
      </c>
      <c r="H124" t="s">
        <v>227</v>
      </c>
      <c r="I124">
        <v>7278</v>
      </c>
      <c r="J124" t="s">
        <v>96</v>
      </c>
      <c r="K124" t="s">
        <v>228</v>
      </c>
      <c r="L124">
        <v>2092</v>
      </c>
      <c r="M124">
        <v>2080</v>
      </c>
      <c r="N124">
        <v>400</v>
      </c>
      <c r="O124" t="s">
        <v>229</v>
      </c>
      <c r="P124">
        <v>0.94110174357937404</v>
      </c>
      <c r="Q124">
        <v>0.91250360681296405</v>
      </c>
      <c r="R124">
        <v>0.12814110939828499</v>
      </c>
      <c r="S124">
        <v>1.1863232542293101E-2</v>
      </c>
      <c r="T124">
        <v>-0.92462973725286302</v>
      </c>
      <c r="U124">
        <v>0.92462973725286302</v>
      </c>
      <c r="V124">
        <v>-2.2400000000000002</v>
      </c>
      <c r="W124">
        <v>3.97</v>
      </c>
      <c r="X124">
        <v>13386</v>
      </c>
      <c r="Y124">
        <v>1487</v>
      </c>
      <c r="Z124">
        <v>-0.09</v>
      </c>
      <c r="AA124">
        <v>9</v>
      </c>
      <c r="AB124">
        <v>4</v>
      </c>
      <c r="AC124">
        <v>5</v>
      </c>
      <c r="AD124">
        <v>44.44</v>
      </c>
      <c r="AE124">
        <v>12</v>
      </c>
    </row>
    <row r="125" spans="1:31">
      <c r="A125">
        <v>178</v>
      </c>
      <c r="B125">
        <v>6301</v>
      </c>
      <c r="C125" t="s">
        <v>266</v>
      </c>
      <c r="D125" t="s">
        <v>226</v>
      </c>
      <c r="E125">
        <v>2400</v>
      </c>
      <c r="F125">
        <v>2375</v>
      </c>
      <c r="G125">
        <v>300</v>
      </c>
      <c r="H125" t="s">
        <v>227</v>
      </c>
      <c r="I125">
        <v>6371</v>
      </c>
      <c r="J125" t="s">
        <v>139</v>
      </c>
      <c r="K125" t="s">
        <v>226</v>
      </c>
      <c r="L125">
        <v>3365</v>
      </c>
      <c r="M125">
        <v>3400</v>
      </c>
      <c r="N125">
        <v>200</v>
      </c>
      <c r="O125" t="s">
        <v>229</v>
      </c>
      <c r="P125">
        <v>0.92940647177788405</v>
      </c>
      <c r="Q125">
        <v>0.91968379004463696</v>
      </c>
      <c r="R125">
        <v>0.19801712474196501</v>
      </c>
      <c r="S125" s="41">
        <v>2.4846385748157099E-5</v>
      </c>
      <c r="T125">
        <v>-0.91016243471783598</v>
      </c>
      <c r="U125">
        <v>0.91016243471783598</v>
      </c>
      <c r="V125">
        <v>-2.08</v>
      </c>
      <c r="W125">
        <v>4.78</v>
      </c>
      <c r="X125">
        <v>54379</v>
      </c>
      <c r="Y125">
        <v>3884</v>
      </c>
      <c r="Z125">
        <v>0.25</v>
      </c>
      <c r="AA125">
        <v>14</v>
      </c>
      <c r="AB125">
        <v>7</v>
      </c>
      <c r="AC125">
        <v>7</v>
      </c>
      <c r="AD125">
        <v>50</v>
      </c>
      <c r="AE125">
        <v>13</v>
      </c>
    </row>
    <row r="126" spans="1:31">
      <c r="A126">
        <v>86</v>
      </c>
      <c r="B126">
        <v>7013</v>
      </c>
      <c r="C126" t="s">
        <v>321</v>
      </c>
      <c r="D126" t="s">
        <v>226</v>
      </c>
      <c r="E126">
        <v>2301</v>
      </c>
      <c r="F126">
        <v>2286</v>
      </c>
      <c r="G126">
        <v>400</v>
      </c>
      <c r="H126" t="s">
        <v>227</v>
      </c>
      <c r="I126">
        <v>8795</v>
      </c>
      <c r="J126" t="s">
        <v>173</v>
      </c>
      <c r="K126" t="s">
        <v>288</v>
      </c>
      <c r="L126">
        <v>1155</v>
      </c>
      <c r="M126">
        <v>1145</v>
      </c>
      <c r="N126">
        <v>800</v>
      </c>
      <c r="O126" t="s">
        <v>229</v>
      </c>
      <c r="P126">
        <v>0.94852216143512502</v>
      </c>
      <c r="Q126">
        <v>0.96530974336686703</v>
      </c>
      <c r="R126">
        <v>1.61582062070731E-2</v>
      </c>
      <c r="S126">
        <v>6.93412966436254E-2</v>
      </c>
      <c r="T126">
        <v>-0.90473911057747602</v>
      </c>
      <c r="U126">
        <v>0.90473911057747602</v>
      </c>
      <c r="V126">
        <v>-4.22</v>
      </c>
      <c r="W126">
        <v>0.17</v>
      </c>
      <c r="X126">
        <v>140400</v>
      </c>
      <c r="Y126">
        <v>7389</v>
      </c>
      <c r="Z126">
        <v>0.46</v>
      </c>
      <c r="AA126">
        <v>19</v>
      </c>
      <c r="AB126">
        <v>11</v>
      </c>
      <c r="AC126">
        <v>8</v>
      </c>
      <c r="AD126">
        <v>57.89</v>
      </c>
      <c r="AE126">
        <v>10</v>
      </c>
    </row>
    <row r="127" spans="1:31">
      <c r="A127">
        <v>267</v>
      </c>
      <c r="B127">
        <v>1820</v>
      </c>
      <c r="C127" t="s">
        <v>322</v>
      </c>
      <c r="D127" t="s">
        <v>254</v>
      </c>
      <c r="E127">
        <v>1946</v>
      </c>
      <c r="F127">
        <v>1951</v>
      </c>
      <c r="G127">
        <v>500</v>
      </c>
      <c r="H127" t="s">
        <v>227</v>
      </c>
      <c r="I127">
        <v>7189</v>
      </c>
      <c r="J127" t="s">
        <v>162</v>
      </c>
      <c r="K127" t="s">
        <v>232</v>
      </c>
      <c r="L127">
        <v>736</v>
      </c>
      <c r="M127">
        <v>739</v>
      </c>
      <c r="N127">
        <v>1300</v>
      </c>
      <c r="O127" t="s">
        <v>229</v>
      </c>
      <c r="P127">
        <v>0.91141164449476697</v>
      </c>
      <c r="Q127">
        <v>0.94884558289635301</v>
      </c>
      <c r="R127">
        <v>0.34984951444432599</v>
      </c>
      <c r="S127">
        <v>4.44941109943508E-2</v>
      </c>
      <c r="T127">
        <v>-0.90041724140856705</v>
      </c>
      <c r="U127">
        <v>0.90041724140856705</v>
      </c>
      <c r="V127">
        <v>-3.07</v>
      </c>
      <c r="W127">
        <v>1.52</v>
      </c>
      <c r="X127">
        <v>300363</v>
      </c>
      <c r="Y127">
        <v>16687</v>
      </c>
      <c r="Z127">
        <v>0.98</v>
      </c>
      <c r="AA127">
        <v>18</v>
      </c>
      <c r="AB127">
        <v>11</v>
      </c>
      <c r="AC127">
        <v>7</v>
      </c>
      <c r="AD127">
        <v>61.11</v>
      </c>
      <c r="AE127">
        <v>14</v>
      </c>
    </row>
    <row r="128" spans="1:31">
      <c r="A128">
        <v>227</v>
      </c>
      <c r="B128">
        <v>4061</v>
      </c>
      <c r="C128" t="s">
        <v>263</v>
      </c>
      <c r="D128" t="s">
        <v>235</v>
      </c>
      <c r="E128">
        <v>2861</v>
      </c>
      <c r="F128">
        <v>2888</v>
      </c>
      <c r="G128">
        <v>300</v>
      </c>
      <c r="H128" t="s">
        <v>229</v>
      </c>
      <c r="I128">
        <v>5406</v>
      </c>
      <c r="J128" t="s">
        <v>147</v>
      </c>
      <c r="K128" t="s">
        <v>252</v>
      </c>
      <c r="L128">
        <v>570</v>
      </c>
      <c r="M128">
        <v>564</v>
      </c>
      <c r="N128">
        <v>1500</v>
      </c>
      <c r="O128" t="s">
        <v>227</v>
      </c>
      <c r="P128">
        <v>0.91877492225553403</v>
      </c>
      <c r="Q128">
        <v>0.90513949253847203</v>
      </c>
      <c r="R128">
        <v>2.2046247984295799E-2</v>
      </c>
      <c r="S128">
        <v>4.0956875598218E-2</v>
      </c>
      <c r="T128">
        <v>0.89282304298869297</v>
      </c>
      <c r="U128">
        <v>0.89282304298869297</v>
      </c>
      <c r="V128">
        <v>5.01</v>
      </c>
      <c r="W128">
        <v>2.35</v>
      </c>
      <c r="X128">
        <v>96578</v>
      </c>
      <c r="Y128">
        <v>5681</v>
      </c>
      <c r="Z128">
        <v>0.33</v>
      </c>
      <c r="AA128">
        <v>17</v>
      </c>
      <c r="AB128">
        <v>11</v>
      </c>
      <c r="AC128">
        <v>6</v>
      </c>
      <c r="AD128">
        <v>64.709999999999994</v>
      </c>
      <c r="AE128">
        <v>10</v>
      </c>
    </row>
    <row r="129" spans="1:31">
      <c r="A129">
        <v>63</v>
      </c>
      <c r="B129">
        <v>7167</v>
      </c>
      <c r="C129" t="s">
        <v>299</v>
      </c>
      <c r="D129" t="s">
        <v>232</v>
      </c>
      <c r="E129">
        <v>262</v>
      </c>
      <c r="F129">
        <v>261</v>
      </c>
      <c r="G129">
        <v>3200</v>
      </c>
      <c r="H129" t="s">
        <v>229</v>
      </c>
      <c r="I129">
        <v>7278</v>
      </c>
      <c r="J129" t="s">
        <v>96</v>
      </c>
      <c r="K129" t="s">
        <v>228</v>
      </c>
      <c r="L129">
        <v>2092</v>
      </c>
      <c r="M129">
        <v>2080</v>
      </c>
      <c r="N129">
        <v>400</v>
      </c>
      <c r="O129" t="s">
        <v>227</v>
      </c>
      <c r="P129">
        <v>0.95397362723464996</v>
      </c>
      <c r="Q129">
        <v>0.94167376165155303</v>
      </c>
      <c r="R129">
        <v>3.3245761509275898E-2</v>
      </c>
      <c r="S129">
        <v>5.7802005292354998E-2</v>
      </c>
      <c r="T129">
        <v>0.88476631066170297</v>
      </c>
      <c r="U129">
        <v>0.88476631066170297</v>
      </c>
      <c r="V129">
        <v>1.77</v>
      </c>
      <c r="W129">
        <v>0.38</v>
      </c>
      <c r="X129">
        <v>282252</v>
      </c>
      <c r="Y129">
        <v>16603</v>
      </c>
      <c r="Z129">
        <v>1.17</v>
      </c>
      <c r="AA129">
        <v>17</v>
      </c>
      <c r="AB129">
        <v>10</v>
      </c>
      <c r="AC129">
        <v>7</v>
      </c>
      <c r="AD129">
        <v>58.82</v>
      </c>
      <c r="AE129">
        <v>14</v>
      </c>
    </row>
    <row r="130" spans="1:31">
      <c r="A130">
        <v>21</v>
      </c>
      <c r="B130">
        <v>6371</v>
      </c>
      <c r="C130" t="s">
        <v>298</v>
      </c>
      <c r="D130" t="s">
        <v>226</v>
      </c>
      <c r="E130">
        <v>3365</v>
      </c>
      <c r="F130">
        <v>3400</v>
      </c>
      <c r="G130">
        <v>200</v>
      </c>
      <c r="H130" t="s">
        <v>229</v>
      </c>
      <c r="I130">
        <v>7278</v>
      </c>
      <c r="J130" t="s">
        <v>96</v>
      </c>
      <c r="K130" t="s">
        <v>228</v>
      </c>
      <c r="L130">
        <v>2092</v>
      </c>
      <c r="M130">
        <v>2080</v>
      </c>
      <c r="N130">
        <v>300</v>
      </c>
      <c r="O130" t="s">
        <v>227</v>
      </c>
      <c r="P130">
        <v>0.96534733294666297</v>
      </c>
      <c r="Q130">
        <v>0.94561983162774998</v>
      </c>
      <c r="R130">
        <v>3.9302886373570101E-2</v>
      </c>
      <c r="S130">
        <v>1.7301543975903999E-2</v>
      </c>
      <c r="T130">
        <v>0.88325298292743404</v>
      </c>
      <c r="U130">
        <v>0.88325298292743404</v>
      </c>
      <c r="V130">
        <v>1.8</v>
      </c>
      <c r="W130">
        <v>8.24</v>
      </c>
      <c r="X130">
        <v>231367</v>
      </c>
      <c r="Y130">
        <v>25707</v>
      </c>
      <c r="Z130">
        <v>1.62</v>
      </c>
      <c r="AA130">
        <v>9</v>
      </c>
      <c r="AB130">
        <v>6</v>
      </c>
      <c r="AC130">
        <v>3</v>
      </c>
      <c r="AD130">
        <v>66.67</v>
      </c>
      <c r="AE130">
        <v>11</v>
      </c>
    </row>
    <row r="131" spans="1:31">
      <c r="A131">
        <v>161</v>
      </c>
      <c r="B131">
        <v>1333</v>
      </c>
      <c r="C131" t="s">
        <v>304</v>
      </c>
      <c r="D131" t="s">
        <v>305</v>
      </c>
      <c r="E131">
        <v>2783</v>
      </c>
      <c r="F131">
        <v>2774</v>
      </c>
      <c r="G131">
        <v>300</v>
      </c>
      <c r="H131" t="s">
        <v>229</v>
      </c>
      <c r="I131">
        <v>9404</v>
      </c>
      <c r="J131" t="s">
        <v>121</v>
      </c>
      <c r="K131" t="s">
        <v>234</v>
      </c>
      <c r="L131">
        <v>1372</v>
      </c>
      <c r="M131">
        <v>1380</v>
      </c>
      <c r="N131">
        <v>600</v>
      </c>
      <c r="O131" t="s">
        <v>227</v>
      </c>
      <c r="P131">
        <v>0.93351576012041404</v>
      </c>
      <c r="Q131">
        <v>0.92048994675066298</v>
      </c>
      <c r="R131">
        <v>9.1735981238908106E-3</v>
      </c>
      <c r="S131">
        <v>7.7926056371333194E-2</v>
      </c>
      <c r="T131">
        <v>0.87933879242744695</v>
      </c>
      <c r="U131">
        <v>0.87933879242744695</v>
      </c>
      <c r="V131">
        <v>2.23</v>
      </c>
      <c r="W131">
        <v>0.5</v>
      </c>
      <c r="X131">
        <v>137542</v>
      </c>
      <c r="Y131">
        <v>10580</v>
      </c>
      <c r="Z131">
        <v>0.56999999999999995</v>
      </c>
      <c r="AA131">
        <v>13</v>
      </c>
      <c r="AB131">
        <v>9</v>
      </c>
      <c r="AC131">
        <v>4</v>
      </c>
      <c r="AD131">
        <v>69.23</v>
      </c>
      <c r="AE131">
        <v>14</v>
      </c>
    </row>
    <row r="132" spans="1:31">
      <c r="A132">
        <v>332</v>
      </c>
      <c r="B132">
        <v>4676</v>
      </c>
      <c r="C132" t="s">
        <v>323</v>
      </c>
      <c r="D132" t="s">
        <v>234</v>
      </c>
      <c r="E132">
        <v>1383</v>
      </c>
      <c r="F132">
        <v>1392</v>
      </c>
      <c r="G132">
        <v>700</v>
      </c>
      <c r="H132" t="s">
        <v>227</v>
      </c>
      <c r="I132">
        <v>6752</v>
      </c>
      <c r="J132" t="s">
        <v>144</v>
      </c>
      <c r="K132" t="s">
        <v>231</v>
      </c>
      <c r="L132">
        <v>887.2</v>
      </c>
      <c r="M132">
        <v>875.7</v>
      </c>
      <c r="N132">
        <v>1100</v>
      </c>
      <c r="O132" t="s">
        <v>229</v>
      </c>
      <c r="P132">
        <v>0.90012911886057301</v>
      </c>
      <c r="Q132">
        <v>0.92869778125234403</v>
      </c>
      <c r="R132">
        <v>1.5511778774544601E-2</v>
      </c>
      <c r="S132">
        <v>0.181069038360026</v>
      </c>
      <c r="T132">
        <v>-0.87770059739844597</v>
      </c>
      <c r="U132">
        <v>0.87770059739844597</v>
      </c>
      <c r="V132">
        <v>-2.46</v>
      </c>
      <c r="W132">
        <v>1.1399999999999999</v>
      </c>
      <c r="X132">
        <v>-6631</v>
      </c>
      <c r="Y132">
        <v>-368</v>
      </c>
      <c r="Z132">
        <v>-0.02</v>
      </c>
      <c r="AA132">
        <v>18</v>
      </c>
      <c r="AB132">
        <v>11</v>
      </c>
      <c r="AC132">
        <v>7</v>
      </c>
      <c r="AD132">
        <v>61.11</v>
      </c>
      <c r="AE132">
        <v>12</v>
      </c>
    </row>
    <row r="133" spans="1:31">
      <c r="A133">
        <v>58</v>
      </c>
      <c r="B133">
        <v>5020</v>
      </c>
      <c r="C133" t="s">
        <v>324</v>
      </c>
      <c r="D133" t="s">
        <v>325</v>
      </c>
      <c r="E133">
        <v>483</v>
      </c>
      <c r="F133">
        <v>482.2</v>
      </c>
      <c r="G133">
        <v>1900</v>
      </c>
      <c r="H133" t="s">
        <v>227</v>
      </c>
      <c r="I133">
        <v>8795</v>
      </c>
      <c r="J133" t="s">
        <v>173</v>
      </c>
      <c r="K133" t="s">
        <v>288</v>
      </c>
      <c r="L133">
        <v>1155</v>
      </c>
      <c r="M133">
        <v>1145</v>
      </c>
      <c r="N133">
        <v>800</v>
      </c>
      <c r="O133" t="s">
        <v>229</v>
      </c>
      <c r="P133">
        <v>0.95475619559799296</v>
      </c>
      <c r="Q133">
        <v>0.96701251992813397</v>
      </c>
      <c r="R133">
        <v>6.7276167097058498E-2</v>
      </c>
      <c r="S133">
        <v>1.8012307989693398E-2</v>
      </c>
      <c r="T133">
        <v>-0.87355674281879603</v>
      </c>
      <c r="U133">
        <v>0.87355674281879603</v>
      </c>
      <c r="V133">
        <v>-2.83</v>
      </c>
      <c r="W133">
        <v>0.02</v>
      </c>
      <c r="X133">
        <v>-1233</v>
      </c>
      <c r="Y133">
        <v>-65</v>
      </c>
      <c r="Z133">
        <v>0</v>
      </c>
      <c r="AA133">
        <v>19</v>
      </c>
      <c r="AB133">
        <v>10</v>
      </c>
      <c r="AC133">
        <v>9</v>
      </c>
      <c r="AD133">
        <v>52.63</v>
      </c>
      <c r="AE133">
        <v>10</v>
      </c>
    </row>
    <row r="134" spans="1:31">
      <c r="A134">
        <v>183</v>
      </c>
      <c r="B134">
        <v>2914</v>
      </c>
      <c r="C134" t="s">
        <v>326</v>
      </c>
      <c r="D134" t="s">
        <v>311</v>
      </c>
      <c r="E134">
        <v>2375.5</v>
      </c>
      <c r="F134">
        <v>2346</v>
      </c>
      <c r="G134">
        <v>300</v>
      </c>
      <c r="H134" t="s">
        <v>227</v>
      </c>
      <c r="I134">
        <v>4507</v>
      </c>
      <c r="J134" t="s">
        <v>146</v>
      </c>
      <c r="K134" t="s">
        <v>251</v>
      </c>
      <c r="L134">
        <v>6022</v>
      </c>
      <c r="M134">
        <v>6036</v>
      </c>
      <c r="N134">
        <v>100</v>
      </c>
      <c r="O134" t="s">
        <v>229</v>
      </c>
      <c r="P134">
        <v>0.92879130737276805</v>
      </c>
      <c r="Q134">
        <v>0.92433115069847205</v>
      </c>
      <c r="R134">
        <v>1.0202368674823201E-2</v>
      </c>
      <c r="S134">
        <v>2.6114426780416901E-2</v>
      </c>
      <c r="T134">
        <v>-0.87251089229536505</v>
      </c>
      <c r="U134">
        <v>0.87251089229536505</v>
      </c>
      <c r="V134">
        <v>-1.46</v>
      </c>
      <c r="W134">
        <v>16.600000000000001</v>
      </c>
      <c r="X134">
        <v>-63985</v>
      </c>
      <c r="Y134">
        <v>-10664</v>
      </c>
      <c r="Z134">
        <v>-0.77</v>
      </c>
      <c r="AA134">
        <v>6</v>
      </c>
      <c r="AB134">
        <v>3</v>
      </c>
      <c r="AC134">
        <v>3</v>
      </c>
      <c r="AD134">
        <v>50</v>
      </c>
      <c r="AE134">
        <v>11</v>
      </c>
    </row>
    <row r="135" spans="1:31">
      <c r="A135">
        <v>125</v>
      </c>
      <c r="B135">
        <v>5019</v>
      </c>
      <c r="C135" t="s">
        <v>327</v>
      </c>
      <c r="D135" t="s">
        <v>325</v>
      </c>
      <c r="E135">
        <v>3045</v>
      </c>
      <c r="F135">
        <v>3030</v>
      </c>
      <c r="G135">
        <v>300</v>
      </c>
      <c r="H135" t="s">
        <v>229</v>
      </c>
      <c r="I135">
        <v>5393</v>
      </c>
      <c r="J135" t="s">
        <v>138</v>
      </c>
      <c r="K135" t="s">
        <v>238</v>
      </c>
      <c r="L135">
        <v>1822</v>
      </c>
      <c r="M135">
        <v>1824</v>
      </c>
      <c r="N135">
        <v>500</v>
      </c>
      <c r="O135" t="s">
        <v>227</v>
      </c>
      <c r="P135">
        <v>0.93966170320657505</v>
      </c>
      <c r="Q135">
        <v>0.90498226876960897</v>
      </c>
      <c r="R135">
        <v>6.00456068257555E-2</v>
      </c>
      <c r="S135">
        <v>0.33652840198591399</v>
      </c>
      <c r="T135">
        <v>0.87238050546016299</v>
      </c>
      <c r="U135">
        <v>0.87238050546016299</v>
      </c>
      <c r="V135">
        <v>2.04</v>
      </c>
      <c r="W135">
        <v>0.33</v>
      </c>
      <c r="X135">
        <v>-220919</v>
      </c>
      <c r="Y135">
        <v>-16994</v>
      </c>
      <c r="Z135">
        <v>-0.97</v>
      </c>
      <c r="AA135">
        <v>13</v>
      </c>
      <c r="AB135">
        <v>3</v>
      </c>
      <c r="AC135">
        <v>10</v>
      </c>
      <c r="AD135">
        <v>23.08</v>
      </c>
      <c r="AE135">
        <v>12</v>
      </c>
    </row>
    <row r="136" spans="1:31">
      <c r="A136">
        <v>277</v>
      </c>
      <c r="B136">
        <v>3148</v>
      </c>
      <c r="C136" t="s">
        <v>328</v>
      </c>
      <c r="D136" t="s">
        <v>245</v>
      </c>
      <c r="E136">
        <v>2488</v>
      </c>
      <c r="F136">
        <v>2514</v>
      </c>
      <c r="G136">
        <v>300</v>
      </c>
      <c r="H136" t="s">
        <v>229</v>
      </c>
      <c r="I136">
        <v>8242</v>
      </c>
      <c r="J136" t="s">
        <v>158</v>
      </c>
      <c r="K136" t="s">
        <v>245</v>
      </c>
      <c r="L136">
        <v>1191</v>
      </c>
      <c r="M136">
        <v>1199</v>
      </c>
      <c r="N136">
        <v>600</v>
      </c>
      <c r="O136" t="s">
        <v>227</v>
      </c>
      <c r="P136">
        <v>0.910267661085158</v>
      </c>
      <c r="Q136">
        <v>0.91999332345898999</v>
      </c>
      <c r="R136">
        <v>0.21584457149824399</v>
      </c>
      <c r="S136">
        <v>7.8679291840060506E-2</v>
      </c>
      <c r="T136">
        <v>0.87223014125523202</v>
      </c>
      <c r="U136">
        <v>0.87223014125523202</v>
      </c>
      <c r="V136">
        <v>2.37</v>
      </c>
      <c r="W136">
        <v>4.6100000000000003</v>
      </c>
      <c r="X136">
        <v>-93890</v>
      </c>
      <c r="Y136">
        <v>-6259</v>
      </c>
      <c r="Z136">
        <v>-0.37</v>
      </c>
      <c r="AA136">
        <v>15</v>
      </c>
      <c r="AB136">
        <v>6</v>
      </c>
      <c r="AC136">
        <v>9</v>
      </c>
      <c r="AD136">
        <v>40</v>
      </c>
      <c r="AE136">
        <v>13</v>
      </c>
    </row>
    <row r="137" spans="1:31">
      <c r="A137">
        <v>203</v>
      </c>
      <c r="B137">
        <v>1893</v>
      </c>
      <c r="C137" t="s">
        <v>329</v>
      </c>
      <c r="D137" t="s">
        <v>254</v>
      </c>
      <c r="E137">
        <v>581</v>
      </c>
      <c r="F137">
        <v>579</v>
      </c>
      <c r="G137">
        <v>1200</v>
      </c>
      <c r="H137" t="s">
        <v>227</v>
      </c>
      <c r="I137">
        <v>9989</v>
      </c>
      <c r="J137" t="s">
        <v>176</v>
      </c>
      <c r="K137" t="s">
        <v>245</v>
      </c>
      <c r="L137">
        <v>3440</v>
      </c>
      <c r="M137">
        <v>3425</v>
      </c>
      <c r="N137">
        <v>200</v>
      </c>
      <c r="O137" t="s">
        <v>229</v>
      </c>
      <c r="P137">
        <v>0.92443933557119995</v>
      </c>
      <c r="Q137">
        <v>0.92839070695399095</v>
      </c>
      <c r="R137">
        <v>9.6194772576302595E-4</v>
      </c>
      <c r="S137">
        <v>9.9905315165525102E-2</v>
      </c>
      <c r="T137">
        <v>-0.87090397888623405</v>
      </c>
      <c r="U137">
        <v>0.87090397888623405</v>
      </c>
      <c r="V137">
        <v>-2.76</v>
      </c>
      <c r="W137">
        <v>1.43</v>
      </c>
      <c r="X137">
        <v>290939</v>
      </c>
      <c r="Y137">
        <v>18184</v>
      </c>
      <c r="Z137">
        <v>1.1399999999999999</v>
      </c>
      <c r="AA137">
        <v>16</v>
      </c>
      <c r="AB137">
        <v>12</v>
      </c>
      <c r="AC137">
        <v>4</v>
      </c>
      <c r="AD137">
        <v>75</v>
      </c>
      <c r="AE137">
        <v>14</v>
      </c>
    </row>
    <row r="138" spans="1:31">
      <c r="A138">
        <v>177</v>
      </c>
      <c r="B138">
        <v>1820</v>
      </c>
      <c r="C138" t="s">
        <v>322</v>
      </c>
      <c r="D138" t="s">
        <v>254</v>
      </c>
      <c r="E138">
        <v>1946</v>
      </c>
      <c r="F138">
        <v>1951</v>
      </c>
      <c r="G138">
        <v>500</v>
      </c>
      <c r="H138" t="s">
        <v>227</v>
      </c>
      <c r="I138">
        <v>8242</v>
      </c>
      <c r="J138" t="s">
        <v>158</v>
      </c>
      <c r="K138" t="s">
        <v>245</v>
      </c>
      <c r="L138">
        <v>1191</v>
      </c>
      <c r="M138">
        <v>1199</v>
      </c>
      <c r="N138">
        <v>800</v>
      </c>
      <c r="O138" t="s">
        <v>229</v>
      </c>
      <c r="P138">
        <v>0.93029983935298599</v>
      </c>
      <c r="Q138">
        <v>0.90652520183046703</v>
      </c>
      <c r="R138">
        <v>3.6297286529226397E-2</v>
      </c>
      <c r="S138">
        <v>0.24363918824952399</v>
      </c>
      <c r="T138">
        <v>-0.86202714973876704</v>
      </c>
      <c r="U138">
        <v>0.86202714973876704</v>
      </c>
      <c r="V138">
        <v>-2.0699999999999998</v>
      </c>
      <c r="W138">
        <v>1.67</v>
      </c>
      <c r="X138">
        <v>-261073</v>
      </c>
      <c r="Y138">
        <v>-17405</v>
      </c>
      <c r="Z138">
        <v>-0.95</v>
      </c>
      <c r="AA138">
        <v>15</v>
      </c>
      <c r="AB138">
        <v>4</v>
      </c>
      <c r="AC138">
        <v>11</v>
      </c>
      <c r="AD138">
        <v>26.67</v>
      </c>
      <c r="AE138">
        <v>11</v>
      </c>
    </row>
    <row r="139" spans="1:31">
      <c r="A139">
        <v>319</v>
      </c>
      <c r="B139">
        <v>6923</v>
      </c>
      <c r="C139" t="s">
        <v>296</v>
      </c>
      <c r="D139" t="s">
        <v>231</v>
      </c>
      <c r="E139">
        <v>2800</v>
      </c>
      <c r="F139">
        <v>2780</v>
      </c>
      <c r="G139">
        <v>300</v>
      </c>
      <c r="H139" t="s">
        <v>229</v>
      </c>
      <c r="I139">
        <v>8411</v>
      </c>
      <c r="J139" t="s">
        <v>165</v>
      </c>
      <c r="K139" t="s">
        <v>232</v>
      </c>
      <c r="L139">
        <v>163</v>
      </c>
      <c r="M139">
        <v>161.9</v>
      </c>
      <c r="N139">
        <v>5200</v>
      </c>
      <c r="O139" t="s">
        <v>227</v>
      </c>
      <c r="P139">
        <v>0.901994568305589</v>
      </c>
      <c r="Q139">
        <v>0.93455526204026795</v>
      </c>
      <c r="R139">
        <v>9.8460609081156197E-2</v>
      </c>
      <c r="S139">
        <v>5.93198560752531E-2</v>
      </c>
      <c r="T139">
        <v>0.85789476158975697</v>
      </c>
      <c r="U139">
        <v>0.85789476158975697</v>
      </c>
      <c r="V139">
        <v>1.73</v>
      </c>
      <c r="W139">
        <v>0.94</v>
      </c>
      <c r="X139">
        <v>77142</v>
      </c>
      <c r="Y139">
        <v>4060</v>
      </c>
      <c r="Z139">
        <v>0.19</v>
      </c>
      <c r="AA139">
        <v>19</v>
      </c>
      <c r="AB139">
        <v>9</v>
      </c>
      <c r="AC139">
        <v>10</v>
      </c>
      <c r="AD139">
        <v>47.37</v>
      </c>
      <c r="AE139">
        <v>14</v>
      </c>
    </row>
    <row r="140" spans="1:31">
      <c r="A140">
        <v>308</v>
      </c>
      <c r="B140">
        <v>3105</v>
      </c>
      <c r="C140" t="s">
        <v>270</v>
      </c>
      <c r="D140" t="s">
        <v>231</v>
      </c>
      <c r="E140">
        <v>824</v>
      </c>
      <c r="F140">
        <v>817</v>
      </c>
      <c r="G140">
        <v>1200</v>
      </c>
      <c r="H140" t="s">
        <v>227</v>
      </c>
      <c r="I140">
        <v>5334</v>
      </c>
      <c r="J140" t="s">
        <v>177</v>
      </c>
      <c r="K140" t="s">
        <v>238</v>
      </c>
      <c r="L140">
        <v>2000</v>
      </c>
      <c r="M140">
        <v>1987</v>
      </c>
      <c r="N140">
        <v>500</v>
      </c>
      <c r="O140" t="s">
        <v>229</v>
      </c>
      <c r="P140">
        <v>0.90456630585404196</v>
      </c>
      <c r="Q140">
        <v>0.91886375301972101</v>
      </c>
      <c r="R140">
        <v>5.0116943117017101E-2</v>
      </c>
      <c r="S140">
        <v>6.50797027697224E-2</v>
      </c>
      <c r="T140">
        <v>-0.85650289792699097</v>
      </c>
      <c r="U140">
        <v>0.85650289792699097</v>
      </c>
      <c r="V140">
        <v>-2.25</v>
      </c>
      <c r="W140">
        <v>1.32</v>
      </c>
      <c r="X140">
        <v>-1987</v>
      </c>
      <c r="Y140">
        <v>-117</v>
      </c>
      <c r="Z140">
        <v>-0.02</v>
      </c>
      <c r="AA140">
        <v>17</v>
      </c>
      <c r="AB140">
        <v>8</v>
      </c>
      <c r="AC140">
        <v>9</v>
      </c>
      <c r="AD140">
        <v>47.06</v>
      </c>
      <c r="AE140">
        <v>11</v>
      </c>
    </row>
    <row r="141" spans="1:31">
      <c r="A141">
        <v>18</v>
      </c>
      <c r="B141">
        <v>6752</v>
      </c>
      <c r="C141" t="s">
        <v>308</v>
      </c>
      <c r="D141" t="s">
        <v>231</v>
      </c>
      <c r="E141">
        <v>887.2</v>
      </c>
      <c r="F141">
        <v>875.7</v>
      </c>
      <c r="G141">
        <v>1000</v>
      </c>
      <c r="H141" t="s">
        <v>229</v>
      </c>
      <c r="I141">
        <v>7278</v>
      </c>
      <c r="J141" t="s">
        <v>96</v>
      </c>
      <c r="K141" t="s">
        <v>228</v>
      </c>
      <c r="L141">
        <v>2092</v>
      </c>
      <c r="M141">
        <v>2080</v>
      </c>
      <c r="N141">
        <v>400</v>
      </c>
      <c r="O141" t="s">
        <v>227</v>
      </c>
      <c r="P141">
        <v>0.96648682759070703</v>
      </c>
      <c r="Q141">
        <v>0.96567466307638605</v>
      </c>
      <c r="R141">
        <v>2.48253359320591E-2</v>
      </c>
      <c r="S141">
        <v>7.2663570489803096E-3</v>
      </c>
      <c r="T141">
        <v>0.83905894327442199</v>
      </c>
      <c r="U141">
        <v>0.83905894327442199</v>
      </c>
      <c r="V141">
        <v>1.6</v>
      </c>
      <c r="W141">
        <v>5.25</v>
      </c>
      <c r="X141">
        <v>167323</v>
      </c>
      <c r="Y141">
        <v>9843</v>
      </c>
      <c r="Z141">
        <v>0.53</v>
      </c>
      <c r="AA141">
        <v>17</v>
      </c>
      <c r="AB141">
        <v>9</v>
      </c>
      <c r="AC141">
        <v>8</v>
      </c>
      <c r="AD141">
        <v>52.94</v>
      </c>
      <c r="AE141">
        <v>12</v>
      </c>
    </row>
    <row r="142" spans="1:31">
      <c r="A142">
        <v>106</v>
      </c>
      <c r="B142">
        <v>4118</v>
      </c>
      <c r="C142" t="s">
        <v>293</v>
      </c>
      <c r="D142" t="s">
        <v>235</v>
      </c>
      <c r="E142">
        <v>3405</v>
      </c>
      <c r="F142">
        <v>3385</v>
      </c>
      <c r="G142">
        <v>200</v>
      </c>
      <c r="H142" t="s">
        <v>229</v>
      </c>
      <c r="I142">
        <v>5406</v>
      </c>
      <c r="J142" t="s">
        <v>147</v>
      </c>
      <c r="K142" t="s">
        <v>252</v>
      </c>
      <c r="L142">
        <v>570</v>
      </c>
      <c r="M142">
        <v>564</v>
      </c>
      <c r="N142">
        <v>1200</v>
      </c>
      <c r="O142" t="s">
        <v>227</v>
      </c>
      <c r="P142">
        <v>0.94318090473778504</v>
      </c>
      <c r="Q142">
        <v>0.93423157112882005</v>
      </c>
      <c r="R142">
        <v>7.8578243299289793E-2</v>
      </c>
      <c r="S142">
        <v>0.17016881544120599</v>
      </c>
      <c r="T142">
        <v>0.83668990767542595</v>
      </c>
      <c r="U142">
        <v>0.83668990767542595</v>
      </c>
      <c r="V142">
        <v>2.82</v>
      </c>
      <c r="W142">
        <v>0.03</v>
      </c>
      <c r="X142">
        <v>184904</v>
      </c>
      <c r="Y142">
        <v>10877</v>
      </c>
      <c r="Z142">
        <v>0.57999999999999996</v>
      </c>
      <c r="AA142">
        <v>17</v>
      </c>
      <c r="AB142">
        <v>11</v>
      </c>
      <c r="AC142">
        <v>6</v>
      </c>
      <c r="AD142">
        <v>64.709999999999994</v>
      </c>
      <c r="AE142">
        <v>11</v>
      </c>
    </row>
    <row r="143" spans="1:31">
      <c r="A143">
        <v>300</v>
      </c>
      <c r="B143">
        <v>4581</v>
      </c>
      <c r="C143" t="s">
        <v>250</v>
      </c>
      <c r="D143" t="s">
        <v>251</v>
      </c>
      <c r="E143">
        <v>7770</v>
      </c>
      <c r="F143">
        <v>7760</v>
      </c>
      <c r="G143">
        <v>100</v>
      </c>
      <c r="H143" t="s">
        <v>227</v>
      </c>
      <c r="I143">
        <v>8242</v>
      </c>
      <c r="J143" t="s">
        <v>158</v>
      </c>
      <c r="K143" t="s">
        <v>245</v>
      </c>
      <c r="L143">
        <v>1191</v>
      </c>
      <c r="M143">
        <v>1199</v>
      </c>
      <c r="N143">
        <v>600</v>
      </c>
      <c r="O143" t="s">
        <v>229</v>
      </c>
      <c r="P143">
        <v>0.90645778261382604</v>
      </c>
      <c r="Q143">
        <v>0.94945490737489502</v>
      </c>
      <c r="R143">
        <v>0.15969382198681001</v>
      </c>
      <c r="S143">
        <v>0.22019950901779201</v>
      </c>
      <c r="T143">
        <v>-0.83339559467344604</v>
      </c>
      <c r="U143">
        <v>0.83339559467344604</v>
      </c>
      <c r="V143">
        <v>-2.44</v>
      </c>
      <c r="W143">
        <v>7.29</v>
      </c>
      <c r="X143">
        <v>-146224</v>
      </c>
      <c r="Y143">
        <v>-14622</v>
      </c>
      <c r="Z143">
        <v>-0.79</v>
      </c>
      <c r="AA143">
        <v>10</v>
      </c>
      <c r="AB143">
        <v>5</v>
      </c>
      <c r="AC143">
        <v>5</v>
      </c>
      <c r="AD143">
        <v>50</v>
      </c>
      <c r="AE143">
        <v>13</v>
      </c>
    </row>
    <row r="144" spans="1:31">
      <c r="A144">
        <v>104</v>
      </c>
      <c r="B144">
        <v>4005</v>
      </c>
      <c r="C144" t="s">
        <v>330</v>
      </c>
      <c r="D144" t="s">
        <v>235</v>
      </c>
      <c r="E144">
        <v>488</v>
      </c>
      <c r="F144">
        <v>483</v>
      </c>
      <c r="G144">
        <v>2000</v>
      </c>
      <c r="H144" t="s">
        <v>229</v>
      </c>
      <c r="I144">
        <v>8002</v>
      </c>
      <c r="J144" t="s">
        <v>119</v>
      </c>
      <c r="K144" t="s">
        <v>257</v>
      </c>
      <c r="L144">
        <v>698.5</v>
      </c>
      <c r="M144">
        <v>694.6</v>
      </c>
      <c r="N144">
        <v>1400</v>
      </c>
      <c r="O144" t="s">
        <v>227</v>
      </c>
      <c r="P144">
        <v>0.94381455758278399</v>
      </c>
      <c r="Q144">
        <v>0.91424219870585</v>
      </c>
      <c r="R144">
        <v>2.25726577063377E-3</v>
      </c>
      <c r="S144">
        <v>0.35411784907272098</v>
      </c>
      <c r="T144">
        <v>0.81592613466637398</v>
      </c>
      <c r="U144">
        <v>0.81592613466637398</v>
      </c>
      <c r="V144">
        <v>1.36</v>
      </c>
      <c r="W144">
        <v>0.66</v>
      </c>
      <c r="X144">
        <v>-109991</v>
      </c>
      <c r="Y144">
        <v>-6874</v>
      </c>
      <c r="Z144">
        <v>-0.38</v>
      </c>
      <c r="AA144">
        <v>16</v>
      </c>
      <c r="AB144">
        <v>7</v>
      </c>
      <c r="AC144">
        <v>9</v>
      </c>
      <c r="AD144">
        <v>43.75</v>
      </c>
      <c r="AE144">
        <v>15</v>
      </c>
    </row>
    <row r="145" spans="1:31">
      <c r="A145">
        <v>143</v>
      </c>
      <c r="B145">
        <v>4182</v>
      </c>
      <c r="C145" t="s">
        <v>286</v>
      </c>
      <c r="D145" t="s">
        <v>235</v>
      </c>
      <c r="E145">
        <v>1408</v>
      </c>
      <c r="F145">
        <v>1402</v>
      </c>
      <c r="G145">
        <v>600</v>
      </c>
      <c r="H145" t="s">
        <v>229</v>
      </c>
      <c r="I145">
        <v>5019</v>
      </c>
      <c r="J145" t="s">
        <v>175</v>
      </c>
      <c r="K145" t="s">
        <v>325</v>
      </c>
      <c r="L145">
        <v>3045</v>
      </c>
      <c r="M145">
        <v>3030</v>
      </c>
      <c r="N145">
        <v>300</v>
      </c>
      <c r="O145" t="s">
        <v>227</v>
      </c>
      <c r="P145">
        <v>0.93631448400001605</v>
      </c>
      <c r="Q145">
        <v>0.91854942376434301</v>
      </c>
      <c r="R145">
        <v>0.104245700472648</v>
      </c>
      <c r="S145">
        <v>9.7880379259964206E-2</v>
      </c>
      <c r="T145">
        <v>0.81216785108837197</v>
      </c>
      <c r="U145">
        <v>0.81216785108837197</v>
      </c>
      <c r="V145">
        <v>1.99</v>
      </c>
      <c r="W145">
        <v>7.46</v>
      </c>
      <c r="X145">
        <v>-52060</v>
      </c>
      <c r="Y145">
        <v>-5206</v>
      </c>
      <c r="Z145">
        <v>-0.26</v>
      </c>
      <c r="AA145">
        <v>10</v>
      </c>
      <c r="AB145">
        <v>5</v>
      </c>
      <c r="AC145">
        <v>5</v>
      </c>
      <c r="AD145">
        <v>50</v>
      </c>
      <c r="AE145">
        <v>11</v>
      </c>
    </row>
    <row r="146" spans="1:31">
      <c r="A146">
        <v>59</v>
      </c>
      <c r="B146">
        <v>7189</v>
      </c>
      <c r="C146" t="s">
        <v>309</v>
      </c>
      <c r="D146" t="s">
        <v>232</v>
      </c>
      <c r="E146">
        <v>736</v>
      </c>
      <c r="F146">
        <v>739</v>
      </c>
      <c r="G146">
        <v>1300</v>
      </c>
      <c r="H146" t="s">
        <v>229</v>
      </c>
      <c r="I146">
        <v>9505</v>
      </c>
      <c r="J146" t="s">
        <v>167</v>
      </c>
      <c r="K146" t="s">
        <v>281</v>
      </c>
      <c r="L146">
        <v>727</v>
      </c>
      <c r="M146">
        <v>716</v>
      </c>
      <c r="N146">
        <v>1300</v>
      </c>
      <c r="O146" t="s">
        <v>227</v>
      </c>
      <c r="P146">
        <v>0.95447619102576098</v>
      </c>
      <c r="Q146">
        <v>0.93378570026749197</v>
      </c>
      <c r="R146">
        <v>6.9219064407049797E-3</v>
      </c>
      <c r="S146">
        <v>9.6649816719174497E-2</v>
      </c>
      <c r="T146">
        <v>0.80552336560790705</v>
      </c>
      <c r="U146">
        <v>0.80552336560790705</v>
      </c>
      <c r="V146">
        <v>1.87</v>
      </c>
      <c r="W146">
        <v>3.11</v>
      </c>
      <c r="X146">
        <v>-35931</v>
      </c>
      <c r="Y146">
        <v>-1891</v>
      </c>
      <c r="Z146">
        <v>-0.12</v>
      </c>
      <c r="AA146">
        <v>19</v>
      </c>
      <c r="AB146">
        <v>8</v>
      </c>
      <c r="AC146">
        <v>11</v>
      </c>
      <c r="AD146">
        <v>42.11</v>
      </c>
      <c r="AE146">
        <v>12</v>
      </c>
    </row>
    <row r="147" spans="1:31">
      <c r="A147">
        <v>72</v>
      </c>
      <c r="B147">
        <v>4061</v>
      </c>
      <c r="C147" t="s">
        <v>263</v>
      </c>
      <c r="D147" t="s">
        <v>235</v>
      </c>
      <c r="E147">
        <v>2861</v>
      </c>
      <c r="F147">
        <v>2888</v>
      </c>
      <c r="G147">
        <v>300</v>
      </c>
      <c r="H147" t="s">
        <v>227</v>
      </c>
      <c r="I147">
        <v>5020</v>
      </c>
      <c r="J147" t="s">
        <v>174</v>
      </c>
      <c r="K147" t="s">
        <v>325</v>
      </c>
      <c r="L147">
        <v>483</v>
      </c>
      <c r="M147">
        <v>482.2</v>
      </c>
      <c r="N147">
        <v>1800</v>
      </c>
      <c r="O147" t="s">
        <v>229</v>
      </c>
      <c r="P147">
        <v>0.951093344984139</v>
      </c>
      <c r="Q147">
        <v>0.90689709728324797</v>
      </c>
      <c r="R147">
        <v>1.05227146544096E-2</v>
      </c>
      <c r="S147">
        <v>1.20305325903328E-2</v>
      </c>
      <c r="T147">
        <v>-0.80055534543440798</v>
      </c>
      <c r="U147">
        <v>0.80055534543440798</v>
      </c>
      <c r="V147">
        <v>-2.56</v>
      </c>
      <c r="W147">
        <v>0.18</v>
      </c>
      <c r="X147">
        <v>83310</v>
      </c>
      <c r="Y147">
        <v>4385</v>
      </c>
      <c r="Z147">
        <v>0.36</v>
      </c>
      <c r="AA147">
        <v>19</v>
      </c>
      <c r="AB147">
        <v>10</v>
      </c>
      <c r="AC147">
        <v>9</v>
      </c>
      <c r="AD147">
        <v>52.63</v>
      </c>
      <c r="AE147">
        <v>11</v>
      </c>
    </row>
    <row r="148" spans="1:31">
      <c r="A148">
        <v>192</v>
      </c>
      <c r="B148">
        <v>1944</v>
      </c>
      <c r="C148" t="s">
        <v>331</v>
      </c>
      <c r="D148" t="s">
        <v>254</v>
      </c>
      <c r="E148">
        <v>1577</v>
      </c>
      <c r="F148">
        <v>1580</v>
      </c>
      <c r="G148">
        <v>600</v>
      </c>
      <c r="H148" t="s">
        <v>227</v>
      </c>
      <c r="I148">
        <v>4202</v>
      </c>
      <c r="J148" t="s">
        <v>156</v>
      </c>
      <c r="K148" t="s">
        <v>235</v>
      </c>
      <c r="L148">
        <v>903</v>
      </c>
      <c r="M148">
        <v>907</v>
      </c>
      <c r="N148">
        <v>1000</v>
      </c>
      <c r="O148" t="s">
        <v>229</v>
      </c>
      <c r="P148">
        <v>0.92640025475560095</v>
      </c>
      <c r="Q148">
        <v>0.90742451249321998</v>
      </c>
      <c r="R148">
        <v>6.9869309097737404E-3</v>
      </c>
      <c r="S148">
        <v>1.6530065918235401E-2</v>
      </c>
      <c r="T148">
        <v>-0.79707434519256604</v>
      </c>
      <c r="U148">
        <v>0.79707434519256604</v>
      </c>
      <c r="V148">
        <v>-3.25</v>
      </c>
      <c r="W148">
        <v>4.32</v>
      </c>
      <c r="X148">
        <v>506330</v>
      </c>
      <c r="Y148">
        <v>29784</v>
      </c>
      <c r="Z148">
        <v>1.64</v>
      </c>
      <c r="AA148">
        <v>17</v>
      </c>
      <c r="AB148">
        <v>11</v>
      </c>
      <c r="AC148">
        <v>6</v>
      </c>
      <c r="AD148">
        <v>64.709999999999994</v>
      </c>
      <c r="AE148">
        <v>14</v>
      </c>
    </row>
    <row r="149" spans="1:31">
      <c r="A149">
        <v>193</v>
      </c>
      <c r="B149">
        <v>6472</v>
      </c>
      <c r="C149" t="s">
        <v>301</v>
      </c>
      <c r="D149" t="s">
        <v>226</v>
      </c>
      <c r="E149">
        <v>311</v>
      </c>
      <c r="F149">
        <v>309</v>
      </c>
      <c r="G149">
        <v>3200</v>
      </c>
      <c r="H149" t="s">
        <v>227</v>
      </c>
      <c r="I149">
        <v>7186</v>
      </c>
      <c r="J149" t="s">
        <v>100</v>
      </c>
      <c r="K149" t="s">
        <v>232</v>
      </c>
      <c r="L149">
        <v>407</v>
      </c>
      <c r="M149">
        <v>409</v>
      </c>
      <c r="N149">
        <v>2400</v>
      </c>
      <c r="O149" t="s">
        <v>229</v>
      </c>
      <c r="P149">
        <v>0.92593965852655902</v>
      </c>
      <c r="Q149">
        <v>0.90762486425433797</v>
      </c>
      <c r="R149">
        <v>1.11031386094685E-2</v>
      </c>
      <c r="S149">
        <v>8.1305936712506105E-2</v>
      </c>
      <c r="T149">
        <v>-0.79603901241941</v>
      </c>
      <c r="U149">
        <v>0.79603901241941</v>
      </c>
      <c r="V149">
        <v>-2.19</v>
      </c>
      <c r="W149">
        <v>0.73</v>
      </c>
      <c r="X149">
        <v>64398</v>
      </c>
      <c r="Y149">
        <v>4293</v>
      </c>
      <c r="Z149">
        <v>0.23</v>
      </c>
      <c r="AA149">
        <v>15</v>
      </c>
      <c r="AB149">
        <v>8</v>
      </c>
      <c r="AC149">
        <v>7</v>
      </c>
      <c r="AD149">
        <v>53.33</v>
      </c>
      <c r="AE149">
        <v>12</v>
      </c>
    </row>
    <row r="150" spans="1:31">
      <c r="A150">
        <v>236</v>
      </c>
      <c r="B150">
        <v>4062</v>
      </c>
      <c r="C150" t="s">
        <v>332</v>
      </c>
      <c r="D150" t="s">
        <v>231</v>
      </c>
      <c r="E150">
        <v>2281</v>
      </c>
      <c r="F150">
        <v>2255</v>
      </c>
      <c r="G150">
        <v>400</v>
      </c>
      <c r="H150" t="s">
        <v>227</v>
      </c>
      <c r="I150">
        <v>6857</v>
      </c>
      <c r="J150" t="s">
        <v>166</v>
      </c>
      <c r="K150" t="s">
        <v>231</v>
      </c>
      <c r="L150">
        <v>4855</v>
      </c>
      <c r="M150">
        <v>4845</v>
      </c>
      <c r="N150">
        <v>200</v>
      </c>
      <c r="O150" t="s">
        <v>229</v>
      </c>
      <c r="P150">
        <v>0.91703172738891503</v>
      </c>
      <c r="Q150">
        <v>0.92926785669201994</v>
      </c>
      <c r="R150">
        <v>1.9856987159303798E-3</v>
      </c>
      <c r="S150">
        <v>1.03275083600345E-2</v>
      </c>
      <c r="T150">
        <v>-0.79098545424100797</v>
      </c>
      <c r="U150">
        <v>0.79098545424100797</v>
      </c>
      <c r="V150">
        <v>-12.13</v>
      </c>
      <c r="W150">
        <v>6.91</v>
      </c>
      <c r="X150">
        <v>186670</v>
      </c>
      <c r="Y150">
        <v>12445</v>
      </c>
      <c r="Z150">
        <v>0.78</v>
      </c>
      <c r="AA150">
        <v>15</v>
      </c>
      <c r="AB150">
        <v>10</v>
      </c>
      <c r="AC150">
        <v>5</v>
      </c>
      <c r="AD150">
        <v>66.67</v>
      </c>
      <c r="AE150">
        <v>10</v>
      </c>
    </row>
    <row r="151" spans="1:31">
      <c r="A151">
        <v>261</v>
      </c>
      <c r="B151">
        <v>6586</v>
      </c>
      <c r="C151" t="s">
        <v>225</v>
      </c>
      <c r="D151" t="s">
        <v>226</v>
      </c>
      <c r="E151">
        <v>3030</v>
      </c>
      <c r="F151">
        <v>3045</v>
      </c>
      <c r="G151">
        <v>300</v>
      </c>
      <c r="H151" t="s">
        <v>227</v>
      </c>
      <c r="I151">
        <v>9404</v>
      </c>
      <c r="J151" t="s">
        <v>121</v>
      </c>
      <c r="K151" t="s">
        <v>234</v>
      </c>
      <c r="L151">
        <v>1372</v>
      </c>
      <c r="M151">
        <v>1380</v>
      </c>
      <c r="N151">
        <v>700</v>
      </c>
      <c r="O151" t="s">
        <v>229</v>
      </c>
      <c r="P151">
        <v>0.91194800227942896</v>
      </c>
      <c r="Q151">
        <v>0.904634214608106</v>
      </c>
      <c r="R151">
        <v>8.9144225319576095E-2</v>
      </c>
      <c r="S151">
        <v>0.294456453447133</v>
      </c>
      <c r="T151">
        <v>-0.78750783360601495</v>
      </c>
      <c r="U151">
        <v>0.78750783360601495</v>
      </c>
      <c r="V151">
        <v>-2.4900000000000002</v>
      </c>
      <c r="W151">
        <v>5.75</v>
      </c>
      <c r="X151">
        <v>108093</v>
      </c>
      <c r="Y151">
        <v>6756</v>
      </c>
      <c r="Z151">
        <v>0.62</v>
      </c>
      <c r="AA151">
        <v>16</v>
      </c>
      <c r="AB151">
        <v>10</v>
      </c>
      <c r="AC151">
        <v>6</v>
      </c>
      <c r="AD151">
        <v>62.5</v>
      </c>
      <c r="AE151">
        <v>13</v>
      </c>
    </row>
    <row r="152" spans="1:31">
      <c r="A152">
        <v>2</v>
      </c>
      <c r="B152">
        <v>5802</v>
      </c>
      <c r="C152" t="s">
        <v>272</v>
      </c>
      <c r="D152" t="s">
        <v>247</v>
      </c>
      <c r="E152">
        <v>1343</v>
      </c>
      <c r="F152">
        <v>1341.5</v>
      </c>
      <c r="G152">
        <v>600</v>
      </c>
      <c r="H152" t="s">
        <v>229</v>
      </c>
      <c r="I152">
        <v>8309</v>
      </c>
      <c r="J152" t="s">
        <v>101</v>
      </c>
      <c r="K152" t="s">
        <v>232</v>
      </c>
      <c r="L152">
        <v>3780</v>
      </c>
      <c r="M152">
        <v>3739</v>
      </c>
      <c r="N152">
        <v>200</v>
      </c>
      <c r="O152" t="s">
        <v>227</v>
      </c>
      <c r="P152">
        <v>0.98250948303973795</v>
      </c>
      <c r="Q152">
        <v>0.90481718925838905</v>
      </c>
      <c r="R152">
        <v>3.3519076421279402E-2</v>
      </c>
      <c r="S152">
        <v>0.35305530820043901</v>
      </c>
      <c r="T152">
        <v>0.78503084232495202</v>
      </c>
      <c r="U152">
        <v>0.78503084232495202</v>
      </c>
      <c r="V152">
        <v>0.93</v>
      </c>
      <c r="W152">
        <v>7.64</v>
      </c>
      <c r="X152">
        <v>44582</v>
      </c>
      <c r="Y152">
        <v>2972</v>
      </c>
      <c r="Z152">
        <v>0.21</v>
      </c>
      <c r="AA152">
        <v>15</v>
      </c>
      <c r="AB152">
        <v>8</v>
      </c>
      <c r="AC152">
        <v>7</v>
      </c>
      <c r="AD152">
        <v>53.33</v>
      </c>
      <c r="AE152">
        <v>16</v>
      </c>
    </row>
    <row r="153" spans="1:31">
      <c r="A153">
        <v>296</v>
      </c>
      <c r="B153">
        <v>7189</v>
      </c>
      <c r="C153" t="s">
        <v>309</v>
      </c>
      <c r="D153" t="s">
        <v>232</v>
      </c>
      <c r="E153">
        <v>736</v>
      </c>
      <c r="F153">
        <v>739</v>
      </c>
      <c r="G153">
        <v>1300</v>
      </c>
      <c r="H153" t="s">
        <v>229</v>
      </c>
      <c r="I153">
        <v>9072</v>
      </c>
      <c r="J153" t="s">
        <v>153</v>
      </c>
      <c r="K153" t="s">
        <v>261</v>
      </c>
      <c r="L153">
        <v>2426</v>
      </c>
      <c r="M153">
        <v>2420</v>
      </c>
      <c r="N153">
        <v>400</v>
      </c>
      <c r="O153" t="s">
        <v>227</v>
      </c>
      <c r="P153">
        <v>0.90743726354857301</v>
      </c>
      <c r="Q153">
        <v>0.90779430275490203</v>
      </c>
      <c r="R153">
        <v>8.5796119815656199E-2</v>
      </c>
      <c r="S153">
        <v>4.3102216161176501E-2</v>
      </c>
      <c r="T153">
        <v>0.77623904357756002</v>
      </c>
      <c r="U153">
        <v>0.77623904357756002</v>
      </c>
      <c r="V153">
        <v>3.34</v>
      </c>
      <c r="W153">
        <v>0.75</v>
      </c>
      <c r="X153">
        <v>266141</v>
      </c>
      <c r="Y153">
        <v>15655</v>
      </c>
      <c r="Z153">
        <v>0.97</v>
      </c>
      <c r="AA153">
        <v>17</v>
      </c>
      <c r="AB153">
        <v>13</v>
      </c>
      <c r="AC153">
        <v>4</v>
      </c>
      <c r="AD153">
        <v>76.47</v>
      </c>
      <c r="AE153">
        <v>13</v>
      </c>
    </row>
    <row r="154" spans="1:31">
      <c r="A154">
        <v>27</v>
      </c>
      <c r="B154">
        <v>7211</v>
      </c>
      <c r="C154" t="s">
        <v>333</v>
      </c>
      <c r="D154" t="s">
        <v>228</v>
      </c>
      <c r="E154">
        <v>470</v>
      </c>
      <c r="F154">
        <v>469</v>
      </c>
      <c r="G154">
        <v>2000</v>
      </c>
      <c r="H154" t="s">
        <v>227</v>
      </c>
      <c r="I154">
        <v>8242</v>
      </c>
      <c r="J154" t="s">
        <v>158</v>
      </c>
      <c r="K154" t="s">
        <v>245</v>
      </c>
      <c r="L154">
        <v>1191</v>
      </c>
      <c r="M154">
        <v>1199</v>
      </c>
      <c r="N154">
        <v>800</v>
      </c>
      <c r="O154" t="s">
        <v>229</v>
      </c>
      <c r="P154">
        <v>0.96190069228646102</v>
      </c>
      <c r="Q154">
        <v>0.949367491593615</v>
      </c>
      <c r="R154">
        <v>2.4004533575097201E-2</v>
      </c>
      <c r="S154">
        <v>0.110425933366463</v>
      </c>
      <c r="T154">
        <v>-0.77466638355403195</v>
      </c>
      <c r="U154">
        <v>0.77466638355403195</v>
      </c>
      <c r="V154">
        <v>-2.0499999999999998</v>
      </c>
      <c r="W154">
        <v>2.21</v>
      </c>
      <c r="X154">
        <v>259342</v>
      </c>
      <c r="Y154">
        <v>16209</v>
      </c>
      <c r="Z154">
        <v>0.83</v>
      </c>
      <c r="AA154">
        <v>16</v>
      </c>
      <c r="AB154">
        <v>9</v>
      </c>
      <c r="AC154">
        <v>7</v>
      </c>
      <c r="AD154">
        <v>56.25</v>
      </c>
      <c r="AE154">
        <v>11</v>
      </c>
    </row>
    <row r="155" spans="1:31">
      <c r="A155">
        <v>51</v>
      </c>
      <c r="B155">
        <v>5019</v>
      </c>
      <c r="C155" t="s">
        <v>327</v>
      </c>
      <c r="D155" t="s">
        <v>325</v>
      </c>
      <c r="E155">
        <v>3045</v>
      </c>
      <c r="F155">
        <v>3030</v>
      </c>
      <c r="G155">
        <v>300</v>
      </c>
      <c r="H155" t="s">
        <v>229</v>
      </c>
      <c r="I155">
        <v>8002</v>
      </c>
      <c r="J155" t="s">
        <v>119</v>
      </c>
      <c r="K155" t="s">
        <v>257</v>
      </c>
      <c r="L155">
        <v>698.5</v>
      </c>
      <c r="M155">
        <v>694.6</v>
      </c>
      <c r="N155">
        <v>1300</v>
      </c>
      <c r="O155" t="s">
        <v>227</v>
      </c>
      <c r="P155">
        <v>0.95636065786922098</v>
      </c>
      <c r="Q155">
        <v>0.94987683012623703</v>
      </c>
      <c r="R155">
        <v>1.33025466511511E-2</v>
      </c>
      <c r="S155">
        <v>1.7482993317110999E-2</v>
      </c>
      <c r="T155">
        <v>0.76818596065075495</v>
      </c>
      <c r="U155">
        <v>0.76818596065075495</v>
      </c>
      <c r="V155">
        <v>2.2400000000000002</v>
      </c>
      <c r="W155">
        <v>0.66</v>
      </c>
      <c r="X155">
        <v>-278244</v>
      </c>
      <c r="Y155">
        <v>-13250</v>
      </c>
      <c r="Z155">
        <v>-0.7</v>
      </c>
      <c r="AA155">
        <v>21</v>
      </c>
      <c r="AB155">
        <v>8</v>
      </c>
      <c r="AC155">
        <v>13</v>
      </c>
      <c r="AD155">
        <v>38.1</v>
      </c>
      <c r="AE155">
        <v>11</v>
      </c>
    </row>
    <row r="156" spans="1:31">
      <c r="A156">
        <v>159</v>
      </c>
      <c r="B156">
        <v>5201</v>
      </c>
      <c r="C156" t="s">
        <v>240</v>
      </c>
      <c r="D156" t="s">
        <v>238</v>
      </c>
      <c r="E156">
        <v>3360</v>
      </c>
      <c r="F156">
        <v>3320</v>
      </c>
      <c r="G156">
        <v>300</v>
      </c>
      <c r="H156" t="s">
        <v>229</v>
      </c>
      <c r="I156">
        <v>7751</v>
      </c>
      <c r="J156" t="s">
        <v>178</v>
      </c>
      <c r="K156" t="s">
        <v>231</v>
      </c>
      <c r="L156">
        <v>2855</v>
      </c>
      <c r="M156">
        <v>2825.5</v>
      </c>
      <c r="N156">
        <v>400</v>
      </c>
      <c r="O156" t="s">
        <v>227</v>
      </c>
      <c r="P156">
        <v>0.93360174408017305</v>
      </c>
      <c r="Q156">
        <v>0.95772162431579999</v>
      </c>
      <c r="R156">
        <v>0.16014909384064899</v>
      </c>
      <c r="S156" s="41">
        <v>1.7015437967648299E-5</v>
      </c>
      <c r="T156">
        <v>0.76649131867447995</v>
      </c>
      <c r="U156">
        <v>0.76649131867447995</v>
      </c>
      <c r="V156">
        <v>2.82</v>
      </c>
      <c r="W156">
        <v>13.47</v>
      </c>
      <c r="X156">
        <v>-15991</v>
      </c>
      <c r="Y156">
        <v>-5330</v>
      </c>
      <c r="Z156">
        <v>-0.26</v>
      </c>
      <c r="AA156">
        <v>3</v>
      </c>
      <c r="AB156">
        <v>1</v>
      </c>
      <c r="AC156">
        <v>2</v>
      </c>
      <c r="AD156">
        <v>33.33</v>
      </c>
      <c r="AE156">
        <v>17</v>
      </c>
    </row>
    <row r="157" spans="1:31">
      <c r="A157">
        <v>77</v>
      </c>
      <c r="B157">
        <v>6301</v>
      </c>
      <c r="C157" t="s">
        <v>266</v>
      </c>
      <c r="D157" t="s">
        <v>226</v>
      </c>
      <c r="E157">
        <v>2400</v>
      </c>
      <c r="F157">
        <v>2375</v>
      </c>
      <c r="G157">
        <v>400</v>
      </c>
      <c r="H157" t="s">
        <v>227</v>
      </c>
      <c r="I157">
        <v>7167</v>
      </c>
      <c r="J157" t="s">
        <v>136</v>
      </c>
      <c r="K157" t="s">
        <v>232</v>
      </c>
      <c r="L157">
        <v>262</v>
      </c>
      <c r="M157">
        <v>261</v>
      </c>
      <c r="N157">
        <v>3600</v>
      </c>
      <c r="O157" t="s">
        <v>229</v>
      </c>
      <c r="P157">
        <v>0.95025829863761202</v>
      </c>
      <c r="Q157">
        <v>0.90112919292796301</v>
      </c>
      <c r="R157">
        <v>0.24016681472719101</v>
      </c>
      <c r="S157">
        <v>9.3551455142616105E-2</v>
      </c>
      <c r="T157">
        <v>-0.76353108836237105</v>
      </c>
      <c r="U157">
        <v>0.76353108836237105</v>
      </c>
      <c r="V157">
        <v>-2.0499999999999998</v>
      </c>
      <c r="W157">
        <v>1.0900000000000001</v>
      </c>
      <c r="X157">
        <v>174268</v>
      </c>
      <c r="Y157">
        <v>9682</v>
      </c>
      <c r="Z157">
        <v>0.51</v>
      </c>
      <c r="AA157">
        <v>18</v>
      </c>
      <c r="AB157">
        <v>9</v>
      </c>
      <c r="AC157">
        <v>9</v>
      </c>
      <c r="AD157">
        <v>50</v>
      </c>
      <c r="AE157">
        <v>14</v>
      </c>
    </row>
    <row r="158" spans="1:31">
      <c r="A158">
        <v>107</v>
      </c>
      <c r="B158">
        <v>3861</v>
      </c>
      <c r="C158" t="s">
        <v>334</v>
      </c>
      <c r="D158" t="s">
        <v>335</v>
      </c>
      <c r="E158">
        <v>507</v>
      </c>
      <c r="F158">
        <v>508</v>
      </c>
      <c r="G158">
        <v>1700</v>
      </c>
      <c r="H158" t="s">
        <v>227</v>
      </c>
      <c r="I158">
        <v>9401</v>
      </c>
      <c r="J158" t="s">
        <v>179</v>
      </c>
      <c r="K158" t="s">
        <v>234</v>
      </c>
      <c r="L158">
        <v>1734</v>
      </c>
      <c r="M158">
        <v>1750</v>
      </c>
      <c r="N158">
        <v>500</v>
      </c>
      <c r="O158" t="s">
        <v>229</v>
      </c>
      <c r="P158">
        <v>0.94289921344069405</v>
      </c>
      <c r="Q158">
        <v>0.90737489466241195</v>
      </c>
      <c r="R158">
        <v>0.160887639140782</v>
      </c>
      <c r="S158">
        <v>7.6946253937553001E-3</v>
      </c>
      <c r="T158">
        <v>-0.76111776850350699</v>
      </c>
      <c r="U158">
        <v>0.76111776850350699</v>
      </c>
      <c r="V158">
        <v>-4.34</v>
      </c>
      <c r="W158">
        <v>1.3</v>
      </c>
      <c r="X158">
        <v>595934</v>
      </c>
      <c r="Y158">
        <v>29797</v>
      </c>
      <c r="Z158">
        <v>1.65</v>
      </c>
      <c r="AA158">
        <v>20</v>
      </c>
      <c r="AB158">
        <v>14</v>
      </c>
      <c r="AC158">
        <v>6</v>
      </c>
      <c r="AD158">
        <v>70</v>
      </c>
      <c r="AE158">
        <v>11</v>
      </c>
    </row>
    <row r="159" spans="1:31">
      <c r="A159">
        <v>111</v>
      </c>
      <c r="B159">
        <v>1942</v>
      </c>
      <c r="C159" t="s">
        <v>300</v>
      </c>
      <c r="D159" t="s">
        <v>254</v>
      </c>
      <c r="E159">
        <v>954</v>
      </c>
      <c r="F159">
        <v>957</v>
      </c>
      <c r="G159">
        <v>700</v>
      </c>
      <c r="H159" t="s">
        <v>229</v>
      </c>
      <c r="I159">
        <v>1959</v>
      </c>
      <c r="J159" t="s">
        <v>180</v>
      </c>
      <c r="K159" t="s">
        <v>254</v>
      </c>
      <c r="L159">
        <v>3400</v>
      </c>
      <c r="M159">
        <v>3405</v>
      </c>
      <c r="N159">
        <v>200</v>
      </c>
      <c r="O159" t="s">
        <v>227</v>
      </c>
      <c r="P159">
        <v>0.94209470340772705</v>
      </c>
      <c r="Q159">
        <v>0.96351153521034505</v>
      </c>
      <c r="R159">
        <v>5.4576406271736599E-2</v>
      </c>
      <c r="S159">
        <v>5.3462105557483704E-4</v>
      </c>
      <c r="T159">
        <v>0.75851717459475498</v>
      </c>
      <c r="U159">
        <v>0.75851717459475498</v>
      </c>
      <c r="V159">
        <v>1.1299999999999999</v>
      </c>
      <c r="W159">
        <v>1.63</v>
      </c>
      <c r="X159">
        <v>17911</v>
      </c>
      <c r="Y159">
        <v>1791</v>
      </c>
      <c r="Z159">
        <v>-0.16</v>
      </c>
      <c r="AA159">
        <v>10</v>
      </c>
      <c r="AB159">
        <v>4</v>
      </c>
      <c r="AC159">
        <v>6</v>
      </c>
      <c r="AD159">
        <v>40</v>
      </c>
      <c r="AE159">
        <v>15</v>
      </c>
    </row>
    <row r="160" spans="1:31">
      <c r="A160">
        <v>91</v>
      </c>
      <c r="B160">
        <v>6674</v>
      </c>
      <c r="C160" t="s">
        <v>336</v>
      </c>
      <c r="D160" t="s">
        <v>231</v>
      </c>
      <c r="E160">
        <v>1858</v>
      </c>
      <c r="F160">
        <v>1844</v>
      </c>
      <c r="G160">
        <v>500</v>
      </c>
      <c r="H160" t="s">
        <v>227</v>
      </c>
      <c r="I160">
        <v>8377</v>
      </c>
      <c r="J160" t="s">
        <v>108</v>
      </c>
      <c r="K160" t="s">
        <v>232</v>
      </c>
      <c r="L160">
        <v>1021</v>
      </c>
      <c r="M160">
        <v>1017</v>
      </c>
      <c r="N160">
        <v>900</v>
      </c>
      <c r="O160" t="s">
        <v>229</v>
      </c>
      <c r="P160">
        <v>0.94693840646233296</v>
      </c>
      <c r="Q160">
        <v>0.92018754112776602</v>
      </c>
      <c r="R160">
        <v>0.23681316976216499</v>
      </c>
      <c r="S160">
        <v>0.12365340746525801</v>
      </c>
      <c r="T160">
        <v>-0.72867567876144701</v>
      </c>
      <c r="U160">
        <v>0.72867567876144701</v>
      </c>
      <c r="V160">
        <v>-1.81</v>
      </c>
      <c r="W160">
        <v>0.73</v>
      </c>
      <c r="X160">
        <v>13534</v>
      </c>
      <c r="Y160">
        <v>752</v>
      </c>
      <c r="Z160">
        <v>-0.06</v>
      </c>
      <c r="AA160">
        <v>18</v>
      </c>
      <c r="AB160">
        <v>8</v>
      </c>
      <c r="AC160">
        <v>10</v>
      </c>
      <c r="AD160">
        <v>44.44</v>
      </c>
      <c r="AE160">
        <v>15</v>
      </c>
    </row>
    <row r="161" spans="1:31">
      <c r="A161">
        <v>325</v>
      </c>
      <c r="B161">
        <v>2914</v>
      </c>
      <c r="C161" t="s">
        <v>326</v>
      </c>
      <c r="D161" t="s">
        <v>311</v>
      </c>
      <c r="E161">
        <v>2375.5</v>
      </c>
      <c r="F161">
        <v>2346</v>
      </c>
      <c r="G161">
        <v>400</v>
      </c>
      <c r="H161" t="s">
        <v>229</v>
      </c>
      <c r="I161">
        <v>7181</v>
      </c>
      <c r="J161" t="s">
        <v>171</v>
      </c>
      <c r="K161" t="s">
        <v>288</v>
      </c>
      <c r="L161">
        <v>1610</v>
      </c>
      <c r="M161">
        <v>1628</v>
      </c>
      <c r="N161">
        <v>600</v>
      </c>
      <c r="O161" t="s">
        <v>227</v>
      </c>
      <c r="P161">
        <v>0.90117007690650497</v>
      </c>
      <c r="Q161">
        <v>0.94364655432753597</v>
      </c>
      <c r="R161">
        <v>0.19668436760281099</v>
      </c>
      <c r="S161">
        <v>2.6007872389753098E-3</v>
      </c>
      <c r="T161">
        <v>0.72848427214410905</v>
      </c>
      <c r="U161">
        <v>0.72848427214410905</v>
      </c>
      <c r="V161">
        <v>4.6100000000000003</v>
      </c>
      <c r="W161">
        <v>4.09</v>
      </c>
      <c r="X161">
        <v>-35670</v>
      </c>
      <c r="Y161">
        <v>-2744</v>
      </c>
      <c r="Z161">
        <v>-0.14000000000000001</v>
      </c>
      <c r="AA161">
        <v>13</v>
      </c>
      <c r="AB161">
        <v>5</v>
      </c>
      <c r="AC161">
        <v>8</v>
      </c>
      <c r="AD161">
        <v>38.46</v>
      </c>
      <c r="AE161">
        <v>12</v>
      </c>
    </row>
    <row r="162" spans="1:31">
      <c r="A162">
        <v>200</v>
      </c>
      <c r="B162">
        <v>4005</v>
      </c>
      <c r="C162" t="s">
        <v>330</v>
      </c>
      <c r="D162" t="s">
        <v>235</v>
      </c>
      <c r="E162">
        <v>488</v>
      </c>
      <c r="F162">
        <v>483</v>
      </c>
      <c r="G162">
        <v>2000</v>
      </c>
      <c r="H162" t="s">
        <v>227</v>
      </c>
      <c r="I162">
        <v>4182</v>
      </c>
      <c r="J162" t="s">
        <v>142</v>
      </c>
      <c r="K162" t="s">
        <v>235</v>
      </c>
      <c r="L162">
        <v>1408</v>
      </c>
      <c r="M162">
        <v>1402</v>
      </c>
      <c r="N162">
        <v>700</v>
      </c>
      <c r="O162" t="s">
        <v>229</v>
      </c>
      <c r="P162">
        <v>0.92517242864924798</v>
      </c>
      <c r="Q162">
        <v>0.93049762548082404</v>
      </c>
      <c r="R162">
        <v>3.3719051075540997E-2</v>
      </c>
      <c r="S162">
        <v>8.5814996855953701E-2</v>
      </c>
      <c r="T162">
        <v>-0.72802010615882096</v>
      </c>
      <c r="U162">
        <v>0.72802010615882096</v>
      </c>
      <c r="V162">
        <v>-3.1</v>
      </c>
      <c r="W162">
        <v>1.57</v>
      </c>
      <c r="X162">
        <v>90543</v>
      </c>
      <c r="Y162">
        <v>5659</v>
      </c>
      <c r="Z162">
        <v>0.22</v>
      </c>
      <c r="AA162">
        <v>16</v>
      </c>
      <c r="AB162">
        <v>11</v>
      </c>
      <c r="AC162">
        <v>5</v>
      </c>
      <c r="AD162">
        <v>68.75</v>
      </c>
      <c r="AE162">
        <v>14</v>
      </c>
    </row>
    <row r="163" spans="1:31">
      <c r="A163">
        <v>225</v>
      </c>
      <c r="B163">
        <v>5406</v>
      </c>
      <c r="C163" t="s">
        <v>337</v>
      </c>
      <c r="D163" t="s">
        <v>252</v>
      </c>
      <c r="E163">
        <v>570</v>
      </c>
      <c r="F163">
        <v>564</v>
      </c>
      <c r="G163">
        <v>1600</v>
      </c>
      <c r="H163" t="s">
        <v>227</v>
      </c>
      <c r="I163">
        <v>6674</v>
      </c>
      <c r="J163" t="s">
        <v>140</v>
      </c>
      <c r="K163" t="s">
        <v>231</v>
      </c>
      <c r="L163">
        <v>1858</v>
      </c>
      <c r="M163">
        <v>1844</v>
      </c>
      <c r="N163">
        <v>500</v>
      </c>
      <c r="O163" t="s">
        <v>229</v>
      </c>
      <c r="P163">
        <v>0.91941483467441099</v>
      </c>
      <c r="Q163">
        <v>0.904872749449255</v>
      </c>
      <c r="R163">
        <v>0.220788217659247</v>
      </c>
      <c r="S163">
        <v>0.34922402940678998</v>
      </c>
      <c r="T163">
        <v>-0.72519285017310897</v>
      </c>
      <c r="U163">
        <v>0.72519285017310897</v>
      </c>
      <c r="V163">
        <v>-4.21</v>
      </c>
      <c r="W163">
        <v>2.13</v>
      </c>
      <c r="X163">
        <v>-136906</v>
      </c>
      <c r="Y163">
        <v>-8557</v>
      </c>
      <c r="Z163">
        <v>-0.37</v>
      </c>
      <c r="AA163">
        <v>16</v>
      </c>
      <c r="AB163">
        <v>6</v>
      </c>
      <c r="AC163">
        <v>10</v>
      </c>
      <c r="AD163">
        <v>37.5</v>
      </c>
      <c r="AE163">
        <v>11</v>
      </c>
    </row>
    <row r="164" spans="1:31">
      <c r="A164">
        <v>28</v>
      </c>
      <c r="B164">
        <v>5214</v>
      </c>
      <c r="C164" t="s">
        <v>243</v>
      </c>
      <c r="D164" t="s">
        <v>238</v>
      </c>
      <c r="E164">
        <v>2355</v>
      </c>
      <c r="F164">
        <v>2340</v>
      </c>
      <c r="G164">
        <v>400</v>
      </c>
      <c r="H164" t="s">
        <v>229</v>
      </c>
      <c r="I164">
        <v>5411</v>
      </c>
      <c r="J164" t="s">
        <v>154</v>
      </c>
      <c r="K164" t="s">
        <v>252</v>
      </c>
      <c r="L164">
        <v>1289.5</v>
      </c>
      <c r="M164">
        <v>1286</v>
      </c>
      <c r="N164">
        <v>700</v>
      </c>
      <c r="O164" t="s">
        <v>227</v>
      </c>
      <c r="P164">
        <v>0.96187228681604597</v>
      </c>
      <c r="Q164">
        <v>0.91278732549347197</v>
      </c>
      <c r="R164">
        <v>4.9462326660814401E-3</v>
      </c>
      <c r="S164">
        <v>9.0381836249429096E-2</v>
      </c>
      <c r="T164">
        <v>0.72065892659756103</v>
      </c>
      <c r="U164">
        <v>0.72065892659756103</v>
      </c>
      <c r="V164">
        <v>1.7</v>
      </c>
      <c r="W164">
        <v>3.82</v>
      </c>
      <c r="X164">
        <v>186680</v>
      </c>
      <c r="Y164">
        <v>12445</v>
      </c>
      <c r="Z164">
        <v>0.6</v>
      </c>
      <c r="AA164">
        <v>15</v>
      </c>
      <c r="AB164">
        <v>7</v>
      </c>
      <c r="AC164">
        <v>8</v>
      </c>
      <c r="AD164">
        <v>46.67</v>
      </c>
      <c r="AE164">
        <v>12</v>
      </c>
    </row>
    <row r="165" spans="1:31">
      <c r="A165">
        <v>263</v>
      </c>
      <c r="B165">
        <v>4182</v>
      </c>
      <c r="C165" t="s">
        <v>286</v>
      </c>
      <c r="D165" t="s">
        <v>235</v>
      </c>
      <c r="E165">
        <v>1408</v>
      </c>
      <c r="F165">
        <v>1402</v>
      </c>
      <c r="G165">
        <v>500</v>
      </c>
      <c r="H165" t="s">
        <v>229</v>
      </c>
      <c r="I165">
        <v>6371</v>
      </c>
      <c r="J165" t="s">
        <v>139</v>
      </c>
      <c r="K165" t="s">
        <v>226</v>
      </c>
      <c r="L165">
        <v>3365</v>
      </c>
      <c r="M165">
        <v>3400</v>
      </c>
      <c r="N165">
        <v>200</v>
      </c>
      <c r="O165" t="s">
        <v>227</v>
      </c>
      <c r="P165">
        <v>0.91182011825712805</v>
      </c>
      <c r="Q165">
        <v>0.96130650655471195</v>
      </c>
      <c r="R165">
        <v>0.221279734525548</v>
      </c>
      <c r="S165">
        <v>1.24722755968408E-2</v>
      </c>
      <c r="T165">
        <v>0.71496140816531895</v>
      </c>
      <c r="U165">
        <v>0.71496140816531895</v>
      </c>
      <c r="V165">
        <v>2.35</v>
      </c>
      <c r="W165">
        <v>3.09</v>
      </c>
      <c r="X165">
        <v>-42048</v>
      </c>
      <c r="Y165">
        <v>-3234</v>
      </c>
      <c r="Z165">
        <v>0.09</v>
      </c>
      <c r="AA165">
        <v>13</v>
      </c>
      <c r="AB165">
        <v>7</v>
      </c>
      <c r="AC165">
        <v>6</v>
      </c>
      <c r="AD165">
        <v>53.85</v>
      </c>
      <c r="AE165">
        <v>12</v>
      </c>
    </row>
    <row r="166" spans="1:31">
      <c r="A166">
        <v>299</v>
      </c>
      <c r="B166">
        <v>1942</v>
      </c>
      <c r="C166" t="s">
        <v>300</v>
      </c>
      <c r="D166" t="s">
        <v>254</v>
      </c>
      <c r="E166">
        <v>954</v>
      </c>
      <c r="F166">
        <v>957</v>
      </c>
      <c r="G166">
        <v>1000</v>
      </c>
      <c r="H166" t="s">
        <v>229</v>
      </c>
      <c r="I166">
        <v>8601</v>
      </c>
      <c r="J166" t="s">
        <v>105</v>
      </c>
      <c r="K166" t="s">
        <v>242</v>
      </c>
      <c r="L166">
        <v>488.6</v>
      </c>
      <c r="M166">
        <v>482.6</v>
      </c>
      <c r="N166">
        <v>2000</v>
      </c>
      <c r="O166" t="s">
        <v>227</v>
      </c>
      <c r="P166">
        <v>0.90668141621799003</v>
      </c>
      <c r="Q166">
        <v>0.92682861351313295</v>
      </c>
      <c r="R166">
        <v>0.18094598450212901</v>
      </c>
      <c r="S166">
        <v>3.6634078404616903E-2</v>
      </c>
      <c r="T166">
        <v>0.71038041538015095</v>
      </c>
      <c r="U166">
        <v>0.71038041538015095</v>
      </c>
      <c r="V166">
        <v>1.67</v>
      </c>
      <c r="W166">
        <v>0.86</v>
      </c>
      <c r="X166">
        <v>-575</v>
      </c>
      <c r="Y166">
        <v>-29</v>
      </c>
      <c r="Z166">
        <v>0.01</v>
      </c>
      <c r="AA166">
        <v>20</v>
      </c>
      <c r="AB166">
        <v>12</v>
      </c>
      <c r="AC166">
        <v>8</v>
      </c>
      <c r="AD166">
        <v>60</v>
      </c>
      <c r="AE166">
        <v>14</v>
      </c>
    </row>
    <row r="167" spans="1:31">
      <c r="A167">
        <v>144</v>
      </c>
      <c r="B167">
        <v>5703</v>
      </c>
      <c r="C167" t="s">
        <v>338</v>
      </c>
      <c r="D167" t="s">
        <v>247</v>
      </c>
      <c r="E167">
        <v>196</v>
      </c>
      <c r="F167">
        <v>197</v>
      </c>
      <c r="G167">
        <v>4800</v>
      </c>
      <c r="H167" t="s">
        <v>229</v>
      </c>
      <c r="I167">
        <v>7261</v>
      </c>
      <c r="J167" t="s">
        <v>181</v>
      </c>
      <c r="K167" t="s">
        <v>228</v>
      </c>
      <c r="L167">
        <v>947</v>
      </c>
      <c r="M167">
        <v>945.7</v>
      </c>
      <c r="N167">
        <v>1000</v>
      </c>
      <c r="O167" t="s">
        <v>227</v>
      </c>
      <c r="P167">
        <v>0.93582088987263201</v>
      </c>
      <c r="Q167">
        <v>0.90993434441225196</v>
      </c>
      <c r="R167">
        <v>0.27887674704578203</v>
      </c>
      <c r="S167">
        <v>4.31963269591817E-2</v>
      </c>
      <c r="T167">
        <v>0.70481642821614998</v>
      </c>
      <c r="U167">
        <v>0.70481642821614998</v>
      </c>
      <c r="V167">
        <v>2.11</v>
      </c>
      <c r="W167">
        <v>0.01</v>
      </c>
      <c r="X167">
        <v>74136</v>
      </c>
      <c r="Y167">
        <v>5295</v>
      </c>
      <c r="Z167">
        <v>0.3</v>
      </c>
      <c r="AA167">
        <v>14</v>
      </c>
      <c r="AB167">
        <v>9</v>
      </c>
      <c r="AC167">
        <v>5</v>
      </c>
      <c r="AD167">
        <v>64.290000000000006</v>
      </c>
      <c r="AE167">
        <v>14</v>
      </c>
    </row>
    <row r="168" spans="1:31">
      <c r="A168">
        <v>90</v>
      </c>
      <c r="B168">
        <v>5019</v>
      </c>
      <c r="C168" t="s">
        <v>327</v>
      </c>
      <c r="D168" t="s">
        <v>325</v>
      </c>
      <c r="E168">
        <v>3045</v>
      </c>
      <c r="F168">
        <v>3030</v>
      </c>
      <c r="G168">
        <v>300</v>
      </c>
      <c r="H168" t="s">
        <v>227</v>
      </c>
      <c r="I168">
        <v>6472</v>
      </c>
      <c r="J168" t="s">
        <v>134</v>
      </c>
      <c r="K168" t="s">
        <v>226</v>
      </c>
      <c r="L168">
        <v>311</v>
      </c>
      <c r="M168">
        <v>309</v>
      </c>
      <c r="N168">
        <v>2900</v>
      </c>
      <c r="O168" t="s">
        <v>229</v>
      </c>
      <c r="P168">
        <v>0.94694450688794995</v>
      </c>
      <c r="Q168">
        <v>0.90551982538011899</v>
      </c>
      <c r="R168">
        <v>3.5187044257132198E-2</v>
      </c>
      <c r="S168">
        <v>2.3928898574230702E-2</v>
      </c>
      <c r="T168">
        <v>-0.698331058958646</v>
      </c>
      <c r="U168">
        <v>0.698331058958646</v>
      </c>
      <c r="V168">
        <v>-1.67</v>
      </c>
      <c r="W168">
        <v>1.42</v>
      </c>
      <c r="X168">
        <v>-110661</v>
      </c>
      <c r="Y168">
        <v>-4611</v>
      </c>
      <c r="Z168">
        <v>-0.36</v>
      </c>
      <c r="AA168">
        <v>24</v>
      </c>
      <c r="AB168">
        <v>11</v>
      </c>
      <c r="AC168">
        <v>13</v>
      </c>
      <c r="AD168">
        <v>45.83</v>
      </c>
      <c r="AE168">
        <v>9</v>
      </c>
    </row>
    <row r="169" spans="1:31">
      <c r="A169">
        <v>32</v>
      </c>
      <c r="B169">
        <v>7278</v>
      </c>
      <c r="C169" t="s">
        <v>339</v>
      </c>
      <c r="D169" t="s">
        <v>228</v>
      </c>
      <c r="E169">
        <v>2092</v>
      </c>
      <c r="F169">
        <v>2080</v>
      </c>
      <c r="G169">
        <v>400</v>
      </c>
      <c r="H169" t="s">
        <v>227</v>
      </c>
      <c r="I169">
        <v>7846</v>
      </c>
      <c r="J169" t="s">
        <v>159</v>
      </c>
      <c r="K169" t="s">
        <v>307</v>
      </c>
      <c r="L169">
        <v>3905</v>
      </c>
      <c r="M169">
        <v>3900</v>
      </c>
      <c r="N169">
        <v>200</v>
      </c>
      <c r="O169" t="s">
        <v>229</v>
      </c>
      <c r="P169">
        <v>0.960918770585244</v>
      </c>
      <c r="Q169">
        <v>0.94276181401086601</v>
      </c>
      <c r="R169">
        <v>6.1141328073852797E-3</v>
      </c>
      <c r="S169">
        <v>0.120213345142599</v>
      </c>
      <c r="T169">
        <v>-0.69723259468764398</v>
      </c>
      <c r="U169">
        <v>0.69723259468764398</v>
      </c>
      <c r="V169">
        <v>-1.4</v>
      </c>
      <c r="W169">
        <v>6.67</v>
      </c>
      <c r="X169">
        <v>212868</v>
      </c>
      <c r="Y169">
        <v>30410</v>
      </c>
      <c r="Z169">
        <v>1.54</v>
      </c>
      <c r="AA169">
        <v>7</v>
      </c>
      <c r="AB169">
        <v>5</v>
      </c>
      <c r="AC169">
        <v>2</v>
      </c>
      <c r="AD169">
        <v>71.430000000000007</v>
      </c>
      <c r="AE169">
        <v>11</v>
      </c>
    </row>
    <row r="170" spans="1:31">
      <c r="A170">
        <v>12</v>
      </c>
      <c r="B170">
        <v>5411</v>
      </c>
      <c r="C170" t="s">
        <v>340</v>
      </c>
      <c r="D170" t="s">
        <v>252</v>
      </c>
      <c r="E170">
        <v>1289.5</v>
      </c>
      <c r="F170">
        <v>1286</v>
      </c>
      <c r="G170">
        <v>700</v>
      </c>
      <c r="H170" t="s">
        <v>229</v>
      </c>
      <c r="I170">
        <v>6586</v>
      </c>
      <c r="J170" t="s">
        <v>95</v>
      </c>
      <c r="K170" t="s">
        <v>226</v>
      </c>
      <c r="L170">
        <v>3030</v>
      </c>
      <c r="M170">
        <v>3045</v>
      </c>
      <c r="N170">
        <v>300</v>
      </c>
      <c r="O170" t="s">
        <v>227</v>
      </c>
      <c r="P170">
        <v>0.96792822857126204</v>
      </c>
      <c r="Q170">
        <v>0.92882496728061403</v>
      </c>
      <c r="R170">
        <v>5.4125207102244605E-4</v>
      </c>
      <c r="S170">
        <v>7.8779092340171206E-2</v>
      </c>
      <c r="T170">
        <v>0.69332871641902505</v>
      </c>
      <c r="U170">
        <v>0.69332871641902505</v>
      </c>
      <c r="V170">
        <v>2.86</v>
      </c>
      <c r="W170">
        <v>1.46</v>
      </c>
      <c r="X170">
        <v>172837</v>
      </c>
      <c r="Y170">
        <v>19204</v>
      </c>
      <c r="Z170">
        <v>1.1000000000000001</v>
      </c>
      <c r="AA170">
        <v>9</v>
      </c>
      <c r="AB170">
        <v>7</v>
      </c>
      <c r="AC170">
        <v>2</v>
      </c>
      <c r="AD170">
        <v>77.78</v>
      </c>
      <c r="AE170">
        <v>10</v>
      </c>
    </row>
    <row r="171" spans="1:31">
      <c r="A171">
        <v>101</v>
      </c>
      <c r="B171">
        <v>4061</v>
      </c>
      <c r="C171" t="s">
        <v>263</v>
      </c>
      <c r="D171" t="s">
        <v>235</v>
      </c>
      <c r="E171">
        <v>2861</v>
      </c>
      <c r="F171">
        <v>2888</v>
      </c>
      <c r="G171">
        <v>300</v>
      </c>
      <c r="H171" t="s">
        <v>227</v>
      </c>
      <c r="I171">
        <v>8316</v>
      </c>
      <c r="J171" t="s">
        <v>161</v>
      </c>
      <c r="K171" t="s">
        <v>232</v>
      </c>
      <c r="L171">
        <v>3645</v>
      </c>
      <c r="M171">
        <v>3617</v>
      </c>
      <c r="N171">
        <v>200</v>
      </c>
      <c r="O171" t="s">
        <v>229</v>
      </c>
      <c r="P171">
        <v>0.94445392903602099</v>
      </c>
      <c r="Q171">
        <v>0.92817765789969897</v>
      </c>
      <c r="R171">
        <v>0.32204358033108399</v>
      </c>
      <c r="S171">
        <v>1.39882685375678E-3</v>
      </c>
      <c r="T171">
        <v>-0.69027763373498496</v>
      </c>
      <c r="U171">
        <v>0.69027763373498496</v>
      </c>
      <c r="V171">
        <v>-1.89</v>
      </c>
      <c r="W171">
        <v>19.77</v>
      </c>
      <c r="X171">
        <v>88562</v>
      </c>
      <c r="Y171">
        <v>14760</v>
      </c>
      <c r="Z171">
        <v>0.98</v>
      </c>
      <c r="AA171">
        <v>6</v>
      </c>
      <c r="AB171">
        <v>4</v>
      </c>
      <c r="AC171">
        <v>2</v>
      </c>
      <c r="AD171">
        <v>66.67</v>
      </c>
      <c r="AE171">
        <v>14</v>
      </c>
    </row>
    <row r="172" spans="1:31">
      <c r="A172">
        <v>202</v>
      </c>
      <c r="B172">
        <v>2914</v>
      </c>
      <c r="C172" t="s">
        <v>326</v>
      </c>
      <c r="D172" t="s">
        <v>311</v>
      </c>
      <c r="E172">
        <v>2375.5</v>
      </c>
      <c r="F172">
        <v>2346</v>
      </c>
      <c r="G172">
        <v>300</v>
      </c>
      <c r="H172" t="s">
        <v>229</v>
      </c>
      <c r="I172">
        <v>4581</v>
      </c>
      <c r="J172" t="s">
        <v>113</v>
      </c>
      <c r="K172" t="s">
        <v>251</v>
      </c>
      <c r="L172">
        <v>7770</v>
      </c>
      <c r="M172">
        <v>7760</v>
      </c>
      <c r="N172">
        <v>100</v>
      </c>
      <c r="O172" t="s">
        <v>227</v>
      </c>
      <c r="P172">
        <v>0.92501058769793998</v>
      </c>
      <c r="Q172">
        <v>0.95344792811850598</v>
      </c>
      <c r="R172">
        <v>3.4990869457833002E-2</v>
      </c>
      <c r="S172">
        <v>8.5250557983124406E-2</v>
      </c>
      <c r="T172">
        <v>0.69018509259176897</v>
      </c>
      <c r="U172">
        <v>0.69018509259176897</v>
      </c>
      <c r="V172">
        <v>1.6</v>
      </c>
      <c r="W172">
        <v>9.3000000000000007</v>
      </c>
      <c r="X172">
        <v>-196563</v>
      </c>
      <c r="Y172">
        <v>-28080</v>
      </c>
      <c r="Z172">
        <v>-1.42</v>
      </c>
      <c r="AA172">
        <v>7</v>
      </c>
      <c r="AB172">
        <v>2</v>
      </c>
      <c r="AC172">
        <v>5</v>
      </c>
      <c r="AD172">
        <v>28.57</v>
      </c>
      <c r="AE172">
        <v>13</v>
      </c>
    </row>
    <row r="173" spans="1:31">
      <c r="A173">
        <v>224</v>
      </c>
      <c r="B173">
        <v>6472</v>
      </c>
      <c r="C173" t="s">
        <v>301</v>
      </c>
      <c r="D173" t="s">
        <v>226</v>
      </c>
      <c r="E173">
        <v>311</v>
      </c>
      <c r="F173">
        <v>309</v>
      </c>
      <c r="G173">
        <v>3100</v>
      </c>
      <c r="H173" t="s">
        <v>227</v>
      </c>
      <c r="I173">
        <v>7272</v>
      </c>
      <c r="J173" t="s">
        <v>127</v>
      </c>
      <c r="K173" t="s">
        <v>228</v>
      </c>
      <c r="L173">
        <v>1950</v>
      </c>
      <c r="M173">
        <v>1938</v>
      </c>
      <c r="N173">
        <v>500</v>
      </c>
      <c r="O173" t="s">
        <v>229</v>
      </c>
      <c r="P173">
        <v>0.91947007470489195</v>
      </c>
      <c r="Q173">
        <v>0.95413744403366296</v>
      </c>
      <c r="R173">
        <v>0.39156268486065698</v>
      </c>
      <c r="S173">
        <v>1.58077524218289E-2</v>
      </c>
      <c r="T173">
        <v>-0.68569545645302299</v>
      </c>
      <c r="U173">
        <v>0.68569545645302299</v>
      </c>
      <c r="V173">
        <v>-2.08</v>
      </c>
      <c r="W173">
        <v>1.1499999999999999</v>
      </c>
      <c r="X173">
        <v>61279</v>
      </c>
      <c r="Y173">
        <v>3830</v>
      </c>
      <c r="Z173">
        <v>0.22</v>
      </c>
      <c r="AA173">
        <v>16</v>
      </c>
      <c r="AB173">
        <v>11</v>
      </c>
      <c r="AC173">
        <v>5</v>
      </c>
      <c r="AD173">
        <v>68.75</v>
      </c>
      <c r="AE173">
        <v>15</v>
      </c>
    </row>
    <row r="174" spans="1:31">
      <c r="A174">
        <v>265</v>
      </c>
      <c r="B174">
        <v>1963</v>
      </c>
      <c r="C174" t="s">
        <v>287</v>
      </c>
      <c r="D174" t="s">
        <v>254</v>
      </c>
      <c r="E174">
        <v>1366</v>
      </c>
      <c r="F174">
        <v>1374</v>
      </c>
      <c r="G174">
        <v>600</v>
      </c>
      <c r="H174" t="s">
        <v>229</v>
      </c>
      <c r="I174">
        <v>7278</v>
      </c>
      <c r="J174" t="s">
        <v>96</v>
      </c>
      <c r="K174" t="s">
        <v>228</v>
      </c>
      <c r="L174">
        <v>2092</v>
      </c>
      <c r="M174">
        <v>2080</v>
      </c>
      <c r="N174">
        <v>400</v>
      </c>
      <c r="O174" t="s">
        <v>227</v>
      </c>
      <c r="P174">
        <v>0.911809155501492</v>
      </c>
      <c r="Q174">
        <v>0.91092141217392997</v>
      </c>
      <c r="R174">
        <v>0.146772416097257</v>
      </c>
      <c r="S174">
        <v>0.33085845351842902</v>
      </c>
      <c r="T174">
        <v>0.68449883176489901</v>
      </c>
      <c r="U174">
        <v>0.68449883176489901</v>
      </c>
      <c r="V174">
        <v>2</v>
      </c>
      <c r="W174">
        <v>0.91</v>
      </c>
      <c r="X174">
        <v>-66685</v>
      </c>
      <c r="Y174">
        <v>-3923</v>
      </c>
      <c r="Z174">
        <v>-0.27</v>
      </c>
      <c r="AA174">
        <v>17</v>
      </c>
      <c r="AB174">
        <v>8</v>
      </c>
      <c r="AC174">
        <v>9</v>
      </c>
      <c r="AD174">
        <v>47.06</v>
      </c>
      <c r="AE174">
        <v>12</v>
      </c>
    </row>
    <row r="175" spans="1:31">
      <c r="A175">
        <v>131</v>
      </c>
      <c r="B175">
        <v>2768</v>
      </c>
      <c r="C175" t="s">
        <v>279</v>
      </c>
      <c r="D175" t="s">
        <v>257</v>
      </c>
      <c r="E175">
        <v>326</v>
      </c>
      <c r="F175">
        <v>325</v>
      </c>
      <c r="G175">
        <v>3000</v>
      </c>
      <c r="H175" t="s">
        <v>227</v>
      </c>
      <c r="I175">
        <v>7211</v>
      </c>
      <c r="J175" t="s">
        <v>115</v>
      </c>
      <c r="K175" t="s">
        <v>228</v>
      </c>
      <c r="L175">
        <v>470</v>
      </c>
      <c r="M175">
        <v>469</v>
      </c>
      <c r="N175">
        <v>2100</v>
      </c>
      <c r="O175" t="s">
        <v>229</v>
      </c>
      <c r="P175">
        <v>0.93857017756505101</v>
      </c>
      <c r="Q175">
        <v>0.90567386349040901</v>
      </c>
      <c r="R175">
        <v>4.8892797784267899E-3</v>
      </c>
      <c r="S175">
        <v>0.39083129006371697</v>
      </c>
      <c r="T175">
        <v>-0.68332184698341103</v>
      </c>
      <c r="U175">
        <v>0.68332184698341103</v>
      </c>
      <c r="V175">
        <v>-2.57</v>
      </c>
      <c r="W175">
        <v>1.01</v>
      </c>
      <c r="X175">
        <v>38432</v>
      </c>
      <c r="Y175">
        <v>1922</v>
      </c>
      <c r="Z175">
        <v>0.09</v>
      </c>
      <c r="AA175">
        <v>20</v>
      </c>
      <c r="AB175">
        <v>9</v>
      </c>
      <c r="AC175">
        <v>11</v>
      </c>
      <c r="AD175">
        <v>45</v>
      </c>
      <c r="AE175">
        <v>14</v>
      </c>
    </row>
    <row r="176" spans="1:31">
      <c r="A176">
        <v>43</v>
      </c>
      <c r="B176">
        <v>5020</v>
      </c>
      <c r="C176" t="s">
        <v>324</v>
      </c>
      <c r="D176" t="s">
        <v>325</v>
      </c>
      <c r="E176">
        <v>483</v>
      </c>
      <c r="F176">
        <v>482.2</v>
      </c>
      <c r="G176">
        <v>2000</v>
      </c>
      <c r="H176" t="s">
        <v>227</v>
      </c>
      <c r="I176">
        <v>7167</v>
      </c>
      <c r="J176" t="s">
        <v>136</v>
      </c>
      <c r="K176" t="s">
        <v>232</v>
      </c>
      <c r="L176">
        <v>262</v>
      </c>
      <c r="M176">
        <v>261</v>
      </c>
      <c r="N176">
        <v>3700</v>
      </c>
      <c r="O176" t="s">
        <v>229</v>
      </c>
      <c r="P176">
        <v>0.95880383178430195</v>
      </c>
      <c r="Q176">
        <v>0.95495717192610197</v>
      </c>
      <c r="R176">
        <v>0.10862628944245301</v>
      </c>
      <c r="S176">
        <v>5.9957472617541897E-2</v>
      </c>
      <c r="T176">
        <v>-0.67330304764777504</v>
      </c>
      <c r="U176">
        <v>0.67330304764777504</v>
      </c>
      <c r="V176">
        <v>-1.54</v>
      </c>
      <c r="W176">
        <v>0.13</v>
      </c>
      <c r="X176">
        <v>-135437</v>
      </c>
      <c r="Y176">
        <v>-7967</v>
      </c>
      <c r="Z176">
        <v>-0.41</v>
      </c>
      <c r="AA176">
        <v>17</v>
      </c>
      <c r="AB176">
        <v>7</v>
      </c>
      <c r="AC176">
        <v>10</v>
      </c>
      <c r="AD176">
        <v>41.18</v>
      </c>
      <c r="AE176">
        <v>14</v>
      </c>
    </row>
    <row r="177" spans="1:31">
      <c r="A177">
        <v>7</v>
      </c>
      <c r="B177">
        <v>4208</v>
      </c>
      <c r="C177" t="s">
        <v>275</v>
      </c>
      <c r="D177" t="s">
        <v>235</v>
      </c>
      <c r="E177">
        <v>2138</v>
      </c>
      <c r="F177">
        <v>2130</v>
      </c>
      <c r="G177">
        <v>400</v>
      </c>
      <c r="H177" t="s">
        <v>229</v>
      </c>
      <c r="I177">
        <v>6473</v>
      </c>
      <c r="J177" t="s">
        <v>164</v>
      </c>
      <c r="K177" t="s">
        <v>226</v>
      </c>
      <c r="L177">
        <v>1220</v>
      </c>
      <c r="M177">
        <v>1214</v>
      </c>
      <c r="N177">
        <v>700</v>
      </c>
      <c r="O177" t="s">
        <v>227</v>
      </c>
      <c r="P177">
        <v>0.973520799985232</v>
      </c>
      <c r="Q177">
        <v>0.90564261149208602</v>
      </c>
      <c r="R177">
        <v>2.4279879937418199E-2</v>
      </c>
      <c r="S177">
        <v>9.5948399423360101E-2</v>
      </c>
      <c r="T177">
        <v>0.67178852329522198</v>
      </c>
      <c r="U177">
        <v>0.67178852329522198</v>
      </c>
      <c r="V177">
        <v>1.24</v>
      </c>
      <c r="W177">
        <v>0.26</v>
      </c>
      <c r="X177">
        <v>24164</v>
      </c>
      <c r="Y177">
        <v>1421</v>
      </c>
      <c r="Z177">
        <v>0.03</v>
      </c>
      <c r="AA177">
        <v>17</v>
      </c>
      <c r="AB177">
        <v>8</v>
      </c>
      <c r="AC177">
        <v>9</v>
      </c>
      <c r="AD177">
        <v>47.06</v>
      </c>
      <c r="AE177">
        <v>11</v>
      </c>
    </row>
    <row r="178" spans="1:31">
      <c r="A178">
        <v>221</v>
      </c>
      <c r="B178">
        <v>1963</v>
      </c>
      <c r="C178" t="s">
        <v>287</v>
      </c>
      <c r="D178" t="s">
        <v>254</v>
      </c>
      <c r="E178">
        <v>1366</v>
      </c>
      <c r="F178">
        <v>1374</v>
      </c>
      <c r="G178">
        <v>700</v>
      </c>
      <c r="H178" t="s">
        <v>227</v>
      </c>
      <c r="I178">
        <v>6472</v>
      </c>
      <c r="J178" t="s">
        <v>134</v>
      </c>
      <c r="K178" t="s">
        <v>226</v>
      </c>
      <c r="L178">
        <v>311</v>
      </c>
      <c r="M178">
        <v>309</v>
      </c>
      <c r="N178">
        <v>3100</v>
      </c>
      <c r="O178" t="s">
        <v>229</v>
      </c>
      <c r="P178">
        <v>0.92023539682908595</v>
      </c>
      <c r="Q178">
        <v>0.92467659876619301</v>
      </c>
      <c r="R178">
        <v>0.14743648433716999</v>
      </c>
      <c r="S178">
        <v>9.5592675587866105E-2</v>
      </c>
      <c r="T178">
        <v>-0.66046408881631002</v>
      </c>
      <c r="U178">
        <v>0.66046408881631002</v>
      </c>
      <c r="V178">
        <v>-1.86</v>
      </c>
      <c r="W178">
        <v>0.41</v>
      </c>
      <c r="X178">
        <v>9419</v>
      </c>
      <c r="Y178">
        <v>496</v>
      </c>
      <c r="Z178">
        <v>-0.04</v>
      </c>
      <c r="AA178">
        <v>19</v>
      </c>
      <c r="AB178">
        <v>9</v>
      </c>
      <c r="AC178">
        <v>10</v>
      </c>
      <c r="AD178">
        <v>47.37</v>
      </c>
      <c r="AE178">
        <v>12</v>
      </c>
    </row>
    <row r="179" spans="1:31">
      <c r="A179">
        <v>118</v>
      </c>
      <c r="B179">
        <v>4208</v>
      </c>
      <c r="C179" t="s">
        <v>275</v>
      </c>
      <c r="D179" t="s">
        <v>235</v>
      </c>
      <c r="E179">
        <v>2138</v>
      </c>
      <c r="F179">
        <v>2130</v>
      </c>
      <c r="G179">
        <v>400</v>
      </c>
      <c r="H179" t="s">
        <v>227</v>
      </c>
      <c r="I179">
        <v>5802</v>
      </c>
      <c r="J179" t="s">
        <v>129</v>
      </c>
      <c r="K179" t="s">
        <v>247</v>
      </c>
      <c r="L179">
        <v>1343</v>
      </c>
      <c r="M179">
        <v>1341.5</v>
      </c>
      <c r="N179">
        <v>600</v>
      </c>
      <c r="O179" t="s">
        <v>229</v>
      </c>
      <c r="P179">
        <v>0.94070298083475801</v>
      </c>
      <c r="Q179">
        <v>0.94102825149816405</v>
      </c>
      <c r="R179">
        <v>0.196507375870801</v>
      </c>
      <c r="S179">
        <v>3.0698842462035102E-2</v>
      </c>
      <c r="T179">
        <v>-0.660361574003135</v>
      </c>
      <c r="U179">
        <v>0.660361574003135</v>
      </c>
      <c r="V179">
        <v>-1.4</v>
      </c>
      <c r="W179">
        <v>5.53</v>
      </c>
      <c r="X179">
        <v>57362</v>
      </c>
      <c r="Y179">
        <v>4412</v>
      </c>
      <c r="Z179">
        <v>0.25</v>
      </c>
      <c r="AA179">
        <v>13</v>
      </c>
      <c r="AB179">
        <v>7</v>
      </c>
      <c r="AC179">
        <v>6</v>
      </c>
      <c r="AD179">
        <v>53.85</v>
      </c>
      <c r="AE179">
        <v>13</v>
      </c>
    </row>
    <row r="180" spans="1:31">
      <c r="A180">
        <v>34</v>
      </c>
      <c r="B180">
        <v>4208</v>
      </c>
      <c r="C180" t="s">
        <v>275</v>
      </c>
      <c r="D180" t="s">
        <v>235</v>
      </c>
      <c r="E180">
        <v>2138</v>
      </c>
      <c r="F180">
        <v>2130</v>
      </c>
      <c r="G180">
        <v>300</v>
      </c>
      <c r="H180" t="s">
        <v>227</v>
      </c>
      <c r="I180">
        <v>6371</v>
      </c>
      <c r="J180" t="s">
        <v>139</v>
      </c>
      <c r="K180" t="s">
        <v>226</v>
      </c>
      <c r="L180">
        <v>3365</v>
      </c>
      <c r="M180">
        <v>3400</v>
      </c>
      <c r="N180">
        <v>200</v>
      </c>
      <c r="O180" t="s">
        <v>229</v>
      </c>
      <c r="P180">
        <v>0.959956085014947</v>
      </c>
      <c r="Q180">
        <v>0.94555912043092205</v>
      </c>
      <c r="R180">
        <v>4.6889435847711103E-2</v>
      </c>
      <c r="S180">
        <v>3.7089831124932399E-3</v>
      </c>
      <c r="T180">
        <v>-0.65565956064166897</v>
      </c>
      <c r="U180">
        <v>0.65565956064166897</v>
      </c>
      <c r="V180">
        <v>-0.89</v>
      </c>
      <c r="W180">
        <v>6.03</v>
      </c>
      <c r="X180">
        <v>60308</v>
      </c>
      <c r="Y180">
        <v>4639</v>
      </c>
      <c r="Z180">
        <v>0.21</v>
      </c>
      <c r="AA180">
        <v>13</v>
      </c>
      <c r="AB180">
        <v>8</v>
      </c>
      <c r="AC180">
        <v>5</v>
      </c>
      <c r="AD180">
        <v>61.54</v>
      </c>
      <c r="AE180">
        <v>13</v>
      </c>
    </row>
    <row r="181" spans="1:31">
      <c r="A181">
        <v>208</v>
      </c>
      <c r="B181">
        <v>2001</v>
      </c>
      <c r="C181" t="s">
        <v>341</v>
      </c>
      <c r="D181" t="s">
        <v>311</v>
      </c>
      <c r="E181">
        <v>1675</v>
      </c>
      <c r="F181">
        <v>1679</v>
      </c>
      <c r="G181">
        <v>500</v>
      </c>
      <c r="H181" t="s">
        <v>229</v>
      </c>
      <c r="I181">
        <v>7261</v>
      </c>
      <c r="J181" t="s">
        <v>181</v>
      </c>
      <c r="K181" t="s">
        <v>228</v>
      </c>
      <c r="L181">
        <v>947</v>
      </c>
      <c r="M181">
        <v>945.7</v>
      </c>
      <c r="N181">
        <v>900</v>
      </c>
      <c r="O181" t="s">
        <v>227</v>
      </c>
      <c r="P181">
        <v>0.92330842279328396</v>
      </c>
      <c r="Q181">
        <v>0.912175943064643</v>
      </c>
      <c r="R181">
        <v>0.157418403459467</v>
      </c>
      <c r="S181">
        <v>3.9391461820316E-3</v>
      </c>
      <c r="T181">
        <v>0.64267489904187203</v>
      </c>
      <c r="U181">
        <v>0.64267489904187203</v>
      </c>
      <c r="V181">
        <v>4.08</v>
      </c>
      <c r="W181">
        <v>1.39</v>
      </c>
      <c r="X181">
        <v>26409</v>
      </c>
      <c r="Y181">
        <v>1200</v>
      </c>
      <c r="Z181">
        <v>0.08</v>
      </c>
      <c r="AA181">
        <v>22</v>
      </c>
      <c r="AB181">
        <v>12</v>
      </c>
      <c r="AC181">
        <v>10</v>
      </c>
      <c r="AD181">
        <v>54.55</v>
      </c>
      <c r="AE181">
        <v>15</v>
      </c>
    </row>
    <row r="182" spans="1:31">
      <c r="A182">
        <v>156</v>
      </c>
      <c r="B182">
        <v>4061</v>
      </c>
      <c r="C182" t="s">
        <v>263</v>
      </c>
      <c r="D182" t="s">
        <v>235</v>
      </c>
      <c r="E182">
        <v>2861</v>
      </c>
      <c r="F182">
        <v>2888</v>
      </c>
      <c r="G182">
        <v>300</v>
      </c>
      <c r="H182" t="s">
        <v>229</v>
      </c>
      <c r="I182">
        <v>5411</v>
      </c>
      <c r="J182" t="s">
        <v>154</v>
      </c>
      <c r="K182" t="s">
        <v>252</v>
      </c>
      <c r="L182">
        <v>1289.5</v>
      </c>
      <c r="M182">
        <v>1286</v>
      </c>
      <c r="N182">
        <v>700</v>
      </c>
      <c r="O182" t="s">
        <v>227</v>
      </c>
      <c r="P182">
        <v>0.93398329256970603</v>
      </c>
      <c r="Q182">
        <v>0.90952134510997296</v>
      </c>
      <c r="R182">
        <v>0.158779304902612</v>
      </c>
      <c r="S182">
        <v>3.42054177421616E-3</v>
      </c>
      <c r="T182">
        <v>0.63665272217797997</v>
      </c>
      <c r="U182">
        <v>0.63665272217797997</v>
      </c>
      <c r="V182">
        <v>2.8</v>
      </c>
      <c r="W182">
        <v>3.9</v>
      </c>
      <c r="X182">
        <v>86250</v>
      </c>
      <c r="Y182">
        <v>6161</v>
      </c>
      <c r="Z182">
        <v>0.4</v>
      </c>
      <c r="AA182">
        <v>14</v>
      </c>
      <c r="AB182">
        <v>10</v>
      </c>
      <c r="AC182">
        <v>4</v>
      </c>
      <c r="AD182">
        <v>71.430000000000007</v>
      </c>
      <c r="AE182">
        <v>14</v>
      </c>
    </row>
    <row r="183" spans="1:31">
      <c r="A183">
        <v>245</v>
      </c>
      <c r="B183">
        <v>3105</v>
      </c>
      <c r="C183" t="s">
        <v>270</v>
      </c>
      <c r="D183" t="s">
        <v>231</v>
      </c>
      <c r="E183">
        <v>824</v>
      </c>
      <c r="F183">
        <v>817</v>
      </c>
      <c r="G183">
        <v>600</v>
      </c>
      <c r="H183" t="s">
        <v>227</v>
      </c>
      <c r="I183">
        <v>6988</v>
      </c>
      <c r="J183" t="s">
        <v>182</v>
      </c>
      <c r="K183" t="s">
        <v>235</v>
      </c>
      <c r="L183">
        <v>5222</v>
      </c>
      <c r="M183">
        <v>5188</v>
      </c>
      <c r="N183">
        <v>100</v>
      </c>
      <c r="O183" t="s">
        <v>229</v>
      </c>
      <c r="P183">
        <v>0.91495913229369696</v>
      </c>
      <c r="Q183">
        <v>0.96302535183325699</v>
      </c>
      <c r="R183">
        <v>7.3158897637782397E-2</v>
      </c>
      <c r="S183">
        <v>0.22588469443637199</v>
      </c>
      <c r="T183">
        <v>-0.62925688493499798</v>
      </c>
      <c r="U183">
        <v>0.62925688493499798</v>
      </c>
      <c r="V183">
        <v>-1.24</v>
      </c>
      <c r="W183">
        <v>5.51</v>
      </c>
      <c r="X183">
        <v>-376</v>
      </c>
      <c r="Y183">
        <v>-22</v>
      </c>
      <c r="Z183">
        <v>-0.05</v>
      </c>
      <c r="AA183">
        <v>17</v>
      </c>
      <c r="AB183">
        <v>9</v>
      </c>
      <c r="AC183">
        <v>8</v>
      </c>
      <c r="AD183">
        <v>52.94</v>
      </c>
      <c r="AE183">
        <v>12</v>
      </c>
    </row>
    <row r="184" spans="1:31">
      <c r="A184">
        <v>290</v>
      </c>
      <c r="B184">
        <v>5463</v>
      </c>
      <c r="C184" t="s">
        <v>342</v>
      </c>
      <c r="D184" t="s">
        <v>252</v>
      </c>
      <c r="E184">
        <v>2821</v>
      </c>
      <c r="F184">
        <v>2780</v>
      </c>
      <c r="G184">
        <v>300</v>
      </c>
      <c r="H184" t="s">
        <v>227</v>
      </c>
      <c r="I184">
        <v>8086</v>
      </c>
      <c r="J184" t="s">
        <v>183</v>
      </c>
      <c r="K184" t="s">
        <v>268</v>
      </c>
      <c r="L184">
        <v>1196</v>
      </c>
      <c r="M184">
        <v>1203</v>
      </c>
      <c r="N184">
        <v>700</v>
      </c>
      <c r="O184" t="s">
        <v>229</v>
      </c>
      <c r="P184">
        <v>0.90886724325305801</v>
      </c>
      <c r="Q184">
        <v>0.90632763700113605</v>
      </c>
      <c r="R184">
        <v>0.35322543744392199</v>
      </c>
      <c r="S184">
        <v>6.4092658816818707E-2</v>
      </c>
      <c r="T184">
        <v>-0.62854309320434398</v>
      </c>
      <c r="U184">
        <v>0.62854309320434398</v>
      </c>
      <c r="V184">
        <v>-1.86</v>
      </c>
      <c r="W184">
        <v>0.97</v>
      </c>
      <c r="X184">
        <v>-257854</v>
      </c>
      <c r="Y184">
        <v>-13571</v>
      </c>
      <c r="Z184">
        <v>-0.95</v>
      </c>
      <c r="AA184">
        <v>19</v>
      </c>
      <c r="AB184">
        <v>6</v>
      </c>
      <c r="AC184">
        <v>13</v>
      </c>
      <c r="AD184">
        <v>31.58</v>
      </c>
      <c r="AE184">
        <v>10</v>
      </c>
    </row>
    <row r="185" spans="1:31">
      <c r="A185">
        <v>231</v>
      </c>
      <c r="B185">
        <v>4188</v>
      </c>
      <c r="C185" t="s">
        <v>343</v>
      </c>
      <c r="D185" t="s">
        <v>235</v>
      </c>
      <c r="E185">
        <v>765</v>
      </c>
      <c r="F185">
        <v>760.8</v>
      </c>
      <c r="G185">
        <v>1300</v>
      </c>
      <c r="H185" t="s">
        <v>227</v>
      </c>
      <c r="I185">
        <v>8411</v>
      </c>
      <c r="J185" t="s">
        <v>165</v>
      </c>
      <c r="K185" t="s">
        <v>232</v>
      </c>
      <c r="L185">
        <v>163</v>
      </c>
      <c r="M185">
        <v>161.9</v>
      </c>
      <c r="N185">
        <v>6100</v>
      </c>
      <c r="O185" t="s">
        <v>229</v>
      </c>
      <c r="P185">
        <v>0.91745813972349899</v>
      </c>
      <c r="Q185">
        <v>0.91492239562533695</v>
      </c>
      <c r="R185">
        <v>1.63049875559277E-2</v>
      </c>
      <c r="S185">
        <v>0.289361697542175</v>
      </c>
      <c r="T185">
        <v>-0.61934889149273298</v>
      </c>
      <c r="U185">
        <v>0.61934889149273298</v>
      </c>
      <c r="V185">
        <v>-1.23</v>
      </c>
      <c r="W185">
        <v>0.15</v>
      </c>
      <c r="X185">
        <v>2147</v>
      </c>
      <c r="Y185">
        <v>107</v>
      </c>
      <c r="Z185">
        <v>0</v>
      </c>
      <c r="AA185">
        <v>20</v>
      </c>
      <c r="AB185">
        <v>8</v>
      </c>
      <c r="AC185">
        <v>12</v>
      </c>
      <c r="AD185">
        <v>40</v>
      </c>
      <c r="AE185">
        <v>12</v>
      </c>
    </row>
    <row r="186" spans="1:31">
      <c r="A186">
        <v>253</v>
      </c>
      <c r="B186">
        <v>4581</v>
      </c>
      <c r="C186" t="s">
        <v>250</v>
      </c>
      <c r="D186" t="s">
        <v>251</v>
      </c>
      <c r="E186">
        <v>7770</v>
      </c>
      <c r="F186">
        <v>7760</v>
      </c>
      <c r="G186">
        <v>100</v>
      </c>
      <c r="H186" t="s">
        <v>229</v>
      </c>
      <c r="I186">
        <v>7181</v>
      </c>
      <c r="J186" t="s">
        <v>171</v>
      </c>
      <c r="K186" t="s">
        <v>288</v>
      </c>
      <c r="L186">
        <v>1610</v>
      </c>
      <c r="M186">
        <v>1628</v>
      </c>
      <c r="N186">
        <v>500</v>
      </c>
      <c r="O186" t="s">
        <v>227</v>
      </c>
      <c r="P186">
        <v>0.91344887478324499</v>
      </c>
      <c r="Q186">
        <v>0.96522503619008404</v>
      </c>
      <c r="R186">
        <v>0.10162575317636</v>
      </c>
      <c r="S186">
        <v>0.10831118360924499</v>
      </c>
      <c r="T186">
        <v>0.60344328278627102</v>
      </c>
      <c r="U186">
        <v>0.60344328278627102</v>
      </c>
      <c r="V186">
        <v>3.11</v>
      </c>
      <c r="W186">
        <v>4.9000000000000004</v>
      </c>
      <c r="X186">
        <v>88880</v>
      </c>
      <c r="Y186">
        <v>12697</v>
      </c>
      <c r="Z186">
        <v>0.94</v>
      </c>
      <c r="AA186">
        <v>7</v>
      </c>
      <c r="AB186">
        <v>5</v>
      </c>
      <c r="AC186">
        <v>2</v>
      </c>
      <c r="AD186">
        <v>71.430000000000007</v>
      </c>
      <c r="AE186">
        <v>13</v>
      </c>
    </row>
    <row r="187" spans="1:31">
      <c r="A187">
        <v>127</v>
      </c>
      <c r="B187">
        <v>4527</v>
      </c>
      <c r="C187" t="s">
        <v>344</v>
      </c>
      <c r="D187" t="s">
        <v>251</v>
      </c>
      <c r="E187">
        <v>2889</v>
      </c>
      <c r="F187">
        <v>2889</v>
      </c>
      <c r="G187">
        <v>300</v>
      </c>
      <c r="H187" t="s">
        <v>229</v>
      </c>
      <c r="I187">
        <v>5020</v>
      </c>
      <c r="J187" t="s">
        <v>174</v>
      </c>
      <c r="K187" t="s">
        <v>325</v>
      </c>
      <c r="L187">
        <v>483</v>
      </c>
      <c r="M187">
        <v>482.2</v>
      </c>
      <c r="N187">
        <v>1800</v>
      </c>
      <c r="O187" t="s">
        <v>227</v>
      </c>
      <c r="P187">
        <v>0.93921428139334395</v>
      </c>
      <c r="Q187">
        <v>0.90557094058819598</v>
      </c>
      <c r="R187">
        <v>0.176840358892498</v>
      </c>
      <c r="S187">
        <v>2.2442348158877301E-2</v>
      </c>
      <c r="T187">
        <v>0.60153209810746</v>
      </c>
      <c r="U187">
        <v>0.60153209810746</v>
      </c>
      <c r="V187">
        <v>1.74</v>
      </c>
      <c r="W187">
        <v>0.15</v>
      </c>
      <c r="X187">
        <v>463677</v>
      </c>
      <c r="Y187">
        <v>23184</v>
      </c>
      <c r="Z187">
        <v>1.22</v>
      </c>
      <c r="AA187">
        <v>20</v>
      </c>
      <c r="AB187">
        <v>13</v>
      </c>
      <c r="AC187">
        <v>7</v>
      </c>
      <c r="AD187">
        <v>65</v>
      </c>
      <c r="AE187">
        <v>10</v>
      </c>
    </row>
    <row r="188" spans="1:31">
      <c r="A188">
        <v>155</v>
      </c>
      <c r="B188">
        <v>7205</v>
      </c>
      <c r="C188" t="s">
        <v>345</v>
      </c>
      <c r="D188" t="s">
        <v>228</v>
      </c>
      <c r="E188">
        <v>878</v>
      </c>
      <c r="F188">
        <v>875</v>
      </c>
      <c r="G188">
        <v>1100</v>
      </c>
      <c r="H188" t="s">
        <v>227</v>
      </c>
      <c r="I188">
        <v>8601</v>
      </c>
      <c r="J188" t="s">
        <v>105</v>
      </c>
      <c r="K188" t="s">
        <v>242</v>
      </c>
      <c r="L188">
        <v>488.6</v>
      </c>
      <c r="M188">
        <v>482.6</v>
      </c>
      <c r="N188">
        <v>2000</v>
      </c>
      <c r="O188" t="s">
        <v>229</v>
      </c>
      <c r="P188">
        <v>0.93408085371844796</v>
      </c>
      <c r="Q188">
        <v>0.93063498164132397</v>
      </c>
      <c r="R188">
        <v>4.11183580647278E-2</v>
      </c>
      <c r="S188">
        <v>0.11701473052403701</v>
      </c>
      <c r="T188">
        <v>-0.601164285237482</v>
      </c>
      <c r="U188">
        <v>0.601164285237482</v>
      </c>
      <c r="V188">
        <v>-1.2</v>
      </c>
      <c r="W188">
        <v>0.28000000000000003</v>
      </c>
      <c r="X188">
        <v>241322</v>
      </c>
      <c r="Y188">
        <v>16088</v>
      </c>
      <c r="Z188">
        <v>0.85</v>
      </c>
      <c r="AA188">
        <v>15</v>
      </c>
      <c r="AB188">
        <v>12</v>
      </c>
      <c r="AC188">
        <v>3</v>
      </c>
      <c r="AD188">
        <v>80</v>
      </c>
      <c r="AE188">
        <v>14</v>
      </c>
    </row>
    <row r="189" spans="1:31">
      <c r="A189">
        <v>83</v>
      </c>
      <c r="B189">
        <v>7846</v>
      </c>
      <c r="C189" t="s">
        <v>306</v>
      </c>
      <c r="D189" t="s">
        <v>307</v>
      </c>
      <c r="E189">
        <v>3905</v>
      </c>
      <c r="F189">
        <v>3900</v>
      </c>
      <c r="G189">
        <v>200</v>
      </c>
      <c r="H189" t="s">
        <v>227</v>
      </c>
      <c r="I189">
        <v>8795</v>
      </c>
      <c r="J189" t="s">
        <v>173</v>
      </c>
      <c r="K189" t="s">
        <v>288</v>
      </c>
      <c r="L189">
        <v>1155</v>
      </c>
      <c r="M189">
        <v>1145</v>
      </c>
      <c r="N189">
        <v>700</v>
      </c>
      <c r="O189" t="s">
        <v>229</v>
      </c>
      <c r="P189">
        <v>0.94932217290864196</v>
      </c>
      <c r="Q189">
        <v>0.92204036126376399</v>
      </c>
      <c r="R189">
        <v>1.40178839207106E-2</v>
      </c>
      <c r="S189">
        <v>0.34783175195126698</v>
      </c>
      <c r="T189">
        <v>-0.60087124210771203</v>
      </c>
      <c r="U189">
        <v>0.60087124210771203</v>
      </c>
      <c r="V189">
        <v>-1.72</v>
      </c>
      <c r="W189">
        <v>2.76</v>
      </c>
      <c r="X189">
        <v>-6224</v>
      </c>
      <c r="Y189">
        <v>-328</v>
      </c>
      <c r="Z189">
        <v>-0.02</v>
      </c>
      <c r="AA189">
        <v>19</v>
      </c>
      <c r="AB189">
        <v>9</v>
      </c>
      <c r="AC189">
        <v>10</v>
      </c>
      <c r="AD189">
        <v>47.37</v>
      </c>
      <c r="AE189">
        <v>12</v>
      </c>
    </row>
    <row r="190" spans="1:31">
      <c r="A190">
        <v>209</v>
      </c>
      <c r="B190">
        <v>1963</v>
      </c>
      <c r="C190" t="s">
        <v>287</v>
      </c>
      <c r="D190" t="s">
        <v>254</v>
      </c>
      <c r="E190">
        <v>1366</v>
      </c>
      <c r="F190">
        <v>1374</v>
      </c>
      <c r="G190">
        <v>700</v>
      </c>
      <c r="H190" t="s">
        <v>229</v>
      </c>
      <c r="I190">
        <v>5020</v>
      </c>
      <c r="J190" t="s">
        <v>174</v>
      </c>
      <c r="K190" t="s">
        <v>325</v>
      </c>
      <c r="L190">
        <v>483</v>
      </c>
      <c r="M190">
        <v>482.2</v>
      </c>
      <c r="N190">
        <v>2000</v>
      </c>
      <c r="O190" t="s">
        <v>227</v>
      </c>
      <c r="P190">
        <v>0.92307247183275298</v>
      </c>
      <c r="Q190">
        <v>0.93577154128101503</v>
      </c>
      <c r="R190">
        <v>0.29100918857174801</v>
      </c>
      <c r="S190">
        <v>0.15132157845576499</v>
      </c>
      <c r="T190">
        <v>0.59798024970993902</v>
      </c>
      <c r="U190">
        <v>0.59798024970993902</v>
      </c>
      <c r="V190">
        <v>1.7</v>
      </c>
      <c r="W190">
        <v>0.27</v>
      </c>
      <c r="X190">
        <v>85439</v>
      </c>
      <c r="Y190">
        <v>4497</v>
      </c>
      <c r="Z190">
        <v>0.28999999999999998</v>
      </c>
      <c r="AA190">
        <v>19</v>
      </c>
      <c r="AB190">
        <v>9</v>
      </c>
      <c r="AC190">
        <v>10</v>
      </c>
      <c r="AD190">
        <v>47.37</v>
      </c>
      <c r="AE190">
        <v>13</v>
      </c>
    </row>
    <row r="191" spans="1:31">
      <c r="A191">
        <v>102</v>
      </c>
      <c r="B191">
        <v>7189</v>
      </c>
      <c r="C191" t="s">
        <v>309</v>
      </c>
      <c r="D191" t="s">
        <v>232</v>
      </c>
      <c r="E191">
        <v>736</v>
      </c>
      <c r="F191">
        <v>739</v>
      </c>
      <c r="G191">
        <v>1100</v>
      </c>
      <c r="H191" t="s">
        <v>229</v>
      </c>
      <c r="I191">
        <v>7846</v>
      </c>
      <c r="J191" t="s">
        <v>159</v>
      </c>
      <c r="K191" t="s">
        <v>307</v>
      </c>
      <c r="L191">
        <v>3905</v>
      </c>
      <c r="M191">
        <v>3900</v>
      </c>
      <c r="N191">
        <v>200</v>
      </c>
      <c r="O191" t="s">
        <v>227</v>
      </c>
      <c r="P191">
        <v>0.94434840833187705</v>
      </c>
      <c r="Q191">
        <v>0.92110534590361604</v>
      </c>
      <c r="R191">
        <v>3.12301463307426E-2</v>
      </c>
      <c r="S191">
        <v>0.21642413280522099</v>
      </c>
      <c r="T191">
        <v>0.59542887676374701</v>
      </c>
      <c r="U191">
        <v>0.59542887676374701</v>
      </c>
      <c r="V191">
        <v>1.62</v>
      </c>
      <c r="W191">
        <v>4.22</v>
      </c>
      <c r="X191">
        <v>243752</v>
      </c>
      <c r="Y191">
        <v>16250</v>
      </c>
      <c r="Z191">
        <v>1.2</v>
      </c>
      <c r="AA191">
        <v>15</v>
      </c>
      <c r="AB191">
        <v>10</v>
      </c>
      <c r="AC191">
        <v>5</v>
      </c>
      <c r="AD191">
        <v>66.67</v>
      </c>
      <c r="AE191">
        <v>13</v>
      </c>
    </row>
    <row r="192" spans="1:31">
      <c r="A192">
        <v>199</v>
      </c>
      <c r="B192">
        <v>6301</v>
      </c>
      <c r="C192" t="s">
        <v>266</v>
      </c>
      <c r="D192" t="s">
        <v>226</v>
      </c>
      <c r="E192">
        <v>2400</v>
      </c>
      <c r="F192">
        <v>2375</v>
      </c>
      <c r="G192">
        <v>400</v>
      </c>
      <c r="H192" t="s">
        <v>227</v>
      </c>
      <c r="I192">
        <v>8586</v>
      </c>
      <c r="J192" t="s">
        <v>185</v>
      </c>
      <c r="K192" t="s">
        <v>249</v>
      </c>
      <c r="L192">
        <v>2239</v>
      </c>
      <c r="M192">
        <v>2215</v>
      </c>
      <c r="N192">
        <v>400</v>
      </c>
      <c r="O192" t="s">
        <v>229</v>
      </c>
      <c r="P192">
        <v>0.92520436932563699</v>
      </c>
      <c r="Q192">
        <v>0.92419416475725003</v>
      </c>
      <c r="R192">
        <v>2.67197971677267E-3</v>
      </c>
      <c r="S192">
        <v>1.89567079769141E-3</v>
      </c>
      <c r="T192">
        <v>-0.59286979450188504</v>
      </c>
      <c r="U192">
        <v>0.59286979450188504</v>
      </c>
      <c r="V192">
        <v>-1</v>
      </c>
      <c r="W192">
        <v>6.74</v>
      </c>
      <c r="X192">
        <v>299546</v>
      </c>
      <c r="Y192">
        <v>27231</v>
      </c>
      <c r="Z192">
        <v>1.66</v>
      </c>
      <c r="AA192">
        <v>11</v>
      </c>
      <c r="AB192">
        <v>8</v>
      </c>
      <c r="AC192">
        <v>3</v>
      </c>
      <c r="AD192">
        <v>72.73</v>
      </c>
      <c r="AE192">
        <v>10</v>
      </c>
    </row>
    <row r="193" spans="1:31">
      <c r="A193">
        <v>182</v>
      </c>
      <c r="B193">
        <v>4188</v>
      </c>
      <c r="C193" t="s">
        <v>343</v>
      </c>
      <c r="D193" t="s">
        <v>235</v>
      </c>
      <c r="E193">
        <v>765</v>
      </c>
      <c r="F193">
        <v>760.8</v>
      </c>
      <c r="G193">
        <v>1300</v>
      </c>
      <c r="H193" t="s">
        <v>227</v>
      </c>
      <c r="I193">
        <v>8601</v>
      </c>
      <c r="J193" t="s">
        <v>105</v>
      </c>
      <c r="K193" t="s">
        <v>242</v>
      </c>
      <c r="L193">
        <v>488.6</v>
      </c>
      <c r="M193">
        <v>482.6</v>
      </c>
      <c r="N193">
        <v>2000</v>
      </c>
      <c r="O193" t="s">
        <v>229</v>
      </c>
      <c r="P193">
        <v>0.928815224930023</v>
      </c>
      <c r="Q193">
        <v>0.91109523391661296</v>
      </c>
      <c r="R193">
        <v>2.0558117791543599E-2</v>
      </c>
      <c r="S193">
        <v>3.6219822702742198E-3</v>
      </c>
      <c r="T193">
        <v>-0.57993674363521297</v>
      </c>
      <c r="U193">
        <v>0.57993674363521297</v>
      </c>
      <c r="V193">
        <v>-1.04</v>
      </c>
      <c r="W193">
        <v>2.41</v>
      </c>
      <c r="X193">
        <v>123009</v>
      </c>
      <c r="Y193">
        <v>6474</v>
      </c>
      <c r="Z193">
        <v>0.38</v>
      </c>
      <c r="AA193">
        <v>19</v>
      </c>
      <c r="AB193">
        <v>10</v>
      </c>
      <c r="AC193">
        <v>9</v>
      </c>
      <c r="AD193">
        <v>52.63</v>
      </c>
      <c r="AE193">
        <v>13</v>
      </c>
    </row>
    <row r="194" spans="1:31">
      <c r="A194">
        <v>333</v>
      </c>
      <c r="B194">
        <v>1963</v>
      </c>
      <c r="C194" t="s">
        <v>287</v>
      </c>
      <c r="D194" t="s">
        <v>254</v>
      </c>
      <c r="E194">
        <v>1366</v>
      </c>
      <c r="F194">
        <v>1374</v>
      </c>
      <c r="G194">
        <v>500</v>
      </c>
      <c r="H194" t="s">
        <v>229</v>
      </c>
      <c r="I194">
        <v>8316</v>
      </c>
      <c r="J194" t="s">
        <v>161</v>
      </c>
      <c r="K194" t="s">
        <v>232</v>
      </c>
      <c r="L194">
        <v>3645</v>
      </c>
      <c r="M194">
        <v>3617</v>
      </c>
      <c r="N194">
        <v>200</v>
      </c>
      <c r="O194" t="s">
        <v>227</v>
      </c>
      <c r="P194">
        <v>0.90010514227204197</v>
      </c>
      <c r="Q194">
        <v>0.90096398987263204</v>
      </c>
      <c r="R194">
        <v>0.23791790453609299</v>
      </c>
      <c r="S194">
        <v>4.23932591078959E-3</v>
      </c>
      <c r="T194">
        <v>0.57325922157545195</v>
      </c>
      <c r="U194">
        <v>0.57325922157545195</v>
      </c>
      <c r="V194">
        <v>2.2999999999999998</v>
      </c>
      <c r="W194">
        <v>5.03</v>
      </c>
      <c r="X194">
        <v>282022</v>
      </c>
      <c r="Y194">
        <v>14843</v>
      </c>
      <c r="Z194">
        <v>0.84</v>
      </c>
      <c r="AA194">
        <v>19</v>
      </c>
      <c r="AB194">
        <v>12</v>
      </c>
      <c r="AC194">
        <v>7</v>
      </c>
      <c r="AD194">
        <v>63.16</v>
      </c>
      <c r="AE194">
        <v>10</v>
      </c>
    </row>
    <row r="195" spans="1:31">
      <c r="A195">
        <v>45</v>
      </c>
      <c r="B195">
        <v>6752</v>
      </c>
      <c r="C195" t="s">
        <v>308</v>
      </c>
      <c r="D195" t="s">
        <v>231</v>
      </c>
      <c r="E195">
        <v>887.2</v>
      </c>
      <c r="F195">
        <v>875.7</v>
      </c>
      <c r="G195">
        <v>1000</v>
      </c>
      <c r="H195" t="s">
        <v>227</v>
      </c>
      <c r="I195">
        <v>8795</v>
      </c>
      <c r="J195" t="s">
        <v>173</v>
      </c>
      <c r="K195" t="s">
        <v>288</v>
      </c>
      <c r="L195">
        <v>1155</v>
      </c>
      <c r="M195">
        <v>1145</v>
      </c>
      <c r="N195">
        <v>800</v>
      </c>
      <c r="O195" t="s">
        <v>229</v>
      </c>
      <c r="P195">
        <v>0.95823527480259896</v>
      </c>
      <c r="Q195">
        <v>0.94259454308384005</v>
      </c>
      <c r="R195">
        <v>8.2531267148723095E-2</v>
      </c>
      <c r="S195">
        <v>0.17948332776783199</v>
      </c>
      <c r="T195">
        <v>-0.56858967631378998</v>
      </c>
      <c r="U195">
        <v>0.56858967631378998</v>
      </c>
      <c r="V195">
        <v>-1.45</v>
      </c>
      <c r="W195">
        <v>4.4000000000000004</v>
      </c>
      <c r="X195">
        <v>-6723</v>
      </c>
      <c r="Y195">
        <v>-395</v>
      </c>
      <c r="Z195">
        <v>-0.02</v>
      </c>
      <c r="AA195">
        <v>17</v>
      </c>
      <c r="AB195">
        <v>8</v>
      </c>
      <c r="AC195">
        <v>9</v>
      </c>
      <c r="AD195">
        <v>47.06</v>
      </c>
      <c r="AE195">
        <v>13</v>
      </c>
    </row>
    <row r="196" spans="1:31">
      <c r="A196">
        <v>213</v>
      </c>
      <c r="B196">
        <v>7846</v>
      </c>
      <c r="C196" t="s">
        <v>306</v>
      </c>
      <c r="D196" t="s">
        <v>307</v>
      </c>
      <c r="E196">
        <v>3905</v>
      </c>
      <c r="F196">
        <v>3900</v>
      </c>
      <c r="G196">
        <v>200</v>
      </c>
      <c r="H196" t="s">
        <v>227</v>
      </c>
      <c r="I196">
        <v>7984</v>
      </c>
      <c r="J196" t="s">
        <v>186</v>
      </c>
      <c r="K196" t="s">
        <v>307</v>
      </c>
      <c r="L196">
        <v>1474</v>
      </c>
      <c r="M196">
        <v>1480</v>
      </c>
      <c r="N196">
        <v>500</v>
      </c>
      <c r="O196" t="s">
        <v>229</v>
      </c>
      <c r="P196">
        <v>0.92168992279814299</v>
      </c>
      <c r="Q196">
        <v>0.90336125438572401</v>
      </c>
      <c r="R196">
        <v>9.7230175801653902E-3</v>
      </c>
      <c r="S196">
        <v>6.1364692236154997E-2</v>
      </c>
      <c r="T196">
        <v>-0.56313521002711298</v>
      </c>
      <c r="U196">
        <v>0.56313521002711298</v>
      </c>
      <c r="V196">
        <v>-1.87</v>
      </c>
      <c r="W196">
        <v>5.13</v>
      </c>
      <c r="X196">
        <v>42540</v>
      </c>
      <c r="Y196">
        <v>2502</v>
      </c>
      <c r="Z196">
        <v>0.2</v>
      </c>
      <c r="AA196">
        <v>17</v>
      </c>
      <c r="AB196">
        <v>9</v>
      </c>
      <c r="AC196">
        <v>8</v>
      </c>
      <c r="AD196">
        <v>52.94</v>
      </c>
      <c r="AE196">
        <v>12</v>
      </c>
    </row>
    <row r="197" spans="1:31">
      <c r="A197">
        <v>184</v>
      </c>
      <c r="B197">
        <v>4208</v>
      </c>
      <c r="C197" t="s">
        <v>275</v>
      </c>
      <c r="D197" t="s">
        <v>235</v>
      </c>
      <c r="E197">
        <v>2138</v>
      </c>
      <c r="F197">
        <v>2130</v>
      </c>
      <c r="G197">
        <v>400</v>
      </c>
      <c r="H197" t="s">
        <v>229</v>
      </c>
      <c r="I197">
        <v>6301</v>
      </c>
      <c r="J197" t="s">
        <v>124</v>
      </c>
      <c r="K197" t="s">
        <v>226</v>
      </c>
      <c r="L197">
        <v>2400</v>
      </c>
      <c r="M197">
        <v>2375</v>
      </c>
      <c r="N197">
        <v>400</v>
      </c>
      <c r="O197" t="s">
        <v>227</v>
      </c>
      <c r="P197">
        <v>0.92840881385465901</v>
      </c>
      <c r="Q197">
        <v>0.92739425549284904</v>
      </c>
      <c r="R197">
        <v>0.27497024598589098</v>
      </c>
      <c r="S197">
        <v>1.08541085560688E-2</v>
      </c>
      <c r="T197">
        <v>0.56023542446140095</v>
      </c>
      <c r="U197">
        <v>0.56023542446140095</v>
      </c>
      <c r="V197">
        <v>1.1299999999999999</v>
      </c>
      <c r="W197">
        <v>10.32</v>
      </c>
      <c r="X197">
        <v>326714</v>
      </c>
      <c r="Y197">
        <v>29701</v>
      </c>
      <c r="Z197">
        <v>1.63</v>
      </c>
      <c r="AA197">
        <v>11</v>
      </c>
      <c r="AB197">
        <v>8</v>
      </c>
      <c r="AC197">
        <v>3</v>
      </c>
      <c r="AD197">
        <v>72.73</v>
      </c>
      <c r="AE197">
        <v>12</v>
      </c>
    </row>
    <row r="198" spans="1:31">
      <c r="A198">
        <v>64</v>
      </c>
      <c r="B198">
        <v>7211</v>
      </c>
      <c r="C198" t="s">
        <v>333</v>
      </c>
      <c r="D198" t="s">
        <v>228</v>
      </c>
      <c r="E198">
        <v>470</v>
      </c>
      <c r="F198">
        <v>469</v>
      </c>
      <c r="G198">
        <v>1600</v>
      </c>
      <c r="H198" t="s">
        <v>227</v>
      </c>
      <c r="I198">
        <v>8309</v>
      </c>
      <c r="J198" t="s">
        <v>101</v>
      </c>
      <c r="K198" t="s">
        <v>232</v>
      </c>
      <c r="L198">
        <v>3780</v>
      </c>
      <c r="M198">
        <v>3739</v>
      </c>
      <c r="N198">
        <v>200</v>
      </c>
      <c r="O198" t="s">
        <v>229</v>
      </c>
      <c r="P198">
        <v>0.95380175176531601</v>
      </c>
      <c r="Q198">
        <v>0.90683673358363504</v>
      </c>
      <c r="R198">
        <v>0.39198712763173799</v>
      </c>
      <c r="S198">
        <v>0.154948561272338</v>
      </c>
      <c r="T198">
        <v>-0.55495845405030297</v>
      </c>
      <c r="U198">
        <v>0.55495845405030297</v>
      </c>
      <c r="V198">
        <v>-1.33</v>
      </c>
      <c r="W198">
        <v>0.35</v>
      </c>
      <c r="X198">
        <v>21888</v>
      </c>
      <c r="Y198">
        <v>1288</v>
      </c>
      <c r="Z198">
        <v>7.0000000000000007E-2</v>
      </c>
      <c r="AA198">
        <v>17</v>
      </c>
      <c r="AB198">
        <v>9</v>
      </c>
      <c r="AC198">
        <v>8</v>
      </c>
      <c r="AD198">
        <v>52.94</v>
      </c>
      <c r="AE198">
        <v>14</v>
      </c>
    </row>
    <row r="199" spans="1:31">
      <c r="A199">
        <v>260</v>
      </c>
      <c r="B199">
        <v>4182</v>
      </c>
      <c r="C199" t="s">
        <v>286</v>
      </c>
      <c r="D199" t="s">
        <v>235</v>
      </c>
      <c r="E199">
        <v>1408</v>
      </c>
      <c r="F199">
        <v>1402</v>
      </c>
      <c r="G199">
        <v>700</v>
      </c>
      <c r="H199" t="s">
        <v>229</v>
      </c>
      <c r="I199">
        <v>8308</v>
      </c>
      <c r="J199" t="s">
        <v>107</v>
      </c>
      <c r="K199" t="s">
        <v>232</v>
      </c>
      <c r="L199">
        <v>449.7</v>
      </c>
      <c r="M199">
        <v>444.6</v>
      </c>
      <c r="N199">
        <v>2200</v>
      </c>
      <c r="O199" t="s">
        <v>227</v>
      </c>
      <c r="P199">
        <v>0.91209121725428199</v>
      </c>
      <c r="Q199">
        <v>0.90622017491455398</v>
      </c>
      <c r="R199">
        <v>0.31360379627073798</v>
      </c>
      <c r="S199">
        <v>0.31135939458082801</v>
      </c>
      <c r="T199">
        <v>0.55012503334890195</v>
      </c>
      <c r="U199">
        <v>0.55012503334890195</v>
      </c>
      <c r="V199">
        <v>1.94</v>
      </c>
      <c r="W199">
        <v>0.33</v>
      </c>
      <c r="X199">
        <v>-146447</v>
      </c>
      <c r="Y199">
        <v>-8136</v>
      </c>
      <c r="Z199">
        <v>-0.32</v>
      </c>
      <c r="AA199">
        <v>18</v>
      </c>
      <c r="AB199">
        <v>10</v>
      </c>
      <c r="AC199">
        <v>8</v>
      </c>
      <c r="AD199">
        <v>55.56</v>
      </c>
      <c r="AE199">
        <v>13</v>
      </c>
    </row>
    <row r="200" spans="1:31">
      <c r="A200">
        <v>16</v>
      </c>
      <c r="B200">
        <v>6301</v>
      </c>
      <c r="C200" t="s">
        <v>266</v>
      </c>
      <c r="D200" t="s">
        <v>226</v>
      </c>
      <c r="E200">
        <v>2400</v>
      </c>
      <c r="F200">
        <v>2375</v>
      </c>
      <c r="G200">
        <v>400</v>
      </c>
      <c r="H200" t="s">
        <v>229</v>
      </c>
      <c r="I200">
        <v>6305</v>
      </c>
      <c r="J200" t="s">
        <v>187</v>
      </c>
      <c r="K200" t="s">
        <v>226</v>
      </c>
      <c r="L200">
        <v>2467</v>
      </c>
      <c r="M200">
        <v>2438</v>
      </c>
      <c r="N200">
        <v>400</v>
      </c>
      <c r="O200" t="s">
        <v>227</v>
      </c>
      <c r="P200">
        <v>0.96739918612943798</v>
      </c>
      <c r="Q200">
        <v>0.92476684484526295</v>
      </c>
      <c r="R200">
        <v>0.34813158592790999</v>
      </c>
      <c r="S200">
        <v>1.69057889231875E-2</v>
      </c>
      <c r="T200">
        <v>0.54040724002534801</v>
      </c>
      <c r="U200">
        <v>0.54040724002534801</v>
      </c>
      <c r="V200">
        <v>2.08</v>
      </c>
      <c r="W200">
        <v>2.58</v>
      </c>
      <c r="X200">
        <v>135075</v>
      </c>
      <c r="Y200">
        <v>9648</v>
      </c>
      <c r="Z200">
        <v>0.64</v>
      </c>
      <c r="AA200">
        <v>14</v>
      </c>
      <c r="AB200">
        <v>10</v>
      </c>
      <c r="AC200">
        <v>4</v>
      </c>
      <c r="AD200">
        <v>71.430000000000007</v>
      </c>
      <c r="AE200">
        <v>16</v>
      </c>
    </row>
    <row r="201" spans="1:31">
      <c r="A201">
        <v>71</v>
      </c>
      <c r="B201">
        <v>4061</v>
      </c>
      <c r="C201" t="s">
        <v>263</v>
      </c>
      <c r="D201" t="s">
        <v>235</v>
      </c>
      <c r="E201">
        <v>2861</v>
      </c>
      <c r="F201">
        <v>2888</v>
      </c>
      <c r="G201">
        <v>300</v>
      </c>
      <c r="H201" t="s">
        <v>227</v>
      </c>
      <c r="I201">
        <v>7327</v>
      </c>
      <c r="J201" t="s">
        <v>157</v>
      </c>
      <c r="K201" t="s">
        <v>232</v>
      </c>
      <c r="L201">
        <v>2637</v>
      </c>
      <c r="M201">
        <v>2601</v>
      </c>
      <c r="N201">
        <v>300</v>
      </c>
      <c r="O201" t="s">
        <v>229</v>
      </c>
      <c r="P201">
        <v>0.95130958044134795</v>
      </c>
      <c r="Q201">
        <v>0.91782906242125395</v>
      </c>
      <c r="R201">
        <v>5.6021364180566101E-2</v>
      </c>
      <c r="S201">
        <v>6.6245512014266802E-3</v>
      </c>
      <c r="T201">
        <v>-0.53836507974841497</v>
      </c>
      <c r="U201">
        <v>0.53836507974841497</v>
      </c>
      <c r="V201">
        <v>-1.1200000000000001</v>
      </c>
      <c r="W201">
        <v>9.94</v>
      </c>
      <c r="X201">
        <v>50846</v>
      </c>
      <c r="Y201">
        <v>50846</v>
      </c>
      <c r="Z201">
        <v>3.88</v>
      </c>
      <c r="AA201">
        <v>1</v>
      </c>
      <c r="AB201">
        <v>1</v>
      </c>
      <c r="AC201">
        <v>0</v>
      </c>
      <c r="AD201">
        <v>100</v>
      </c>
      <c r="AE201">
        <v>15</v>
      </c>
    </row>
    <row r="202" spans="1:31">
      <c r="A202">
        <v>288</v>
      </c>
      <c r="B202">
        <v>1333</v>
      </c>
      <c r="C202" t="s">
        <v>304</v>
      </c>
      <c r="D202" t="s">
        <v>305</v>
      </c>
      <c r="E202">
        <v>2783</v>
      </c>
      <c r="F202">
        <v>2774</v>
      </c>
      <c r="G202">
        <v>300</v>
      </c>
      <c r="H202" t="s">
        <v>227</v>
      </c>
      <c r="I202">
        <v>8377</v>
      </c>
      <c r="J202" t="s">
        <v>108</v>
      </c>
      <c r="K202" t="s">
        <v>232</v>
      </c>
      <c r="L202">
        <v>1021</v>
      </c>
      <c r="M202">
        <v>1017</v>
      </c>
      <c r="N202">
        <v>800</v>
      </c>
      <c r="O202" t="s">
        <v>229</v>
      </c>
      <c r="P202">
        <v>0.90891978071136204</v>
      </c>
      <c r="Q202">
        <v>0.915157577050278</v>
      </c>
      <c r="R202">
        <v>0.25917442312224798</v>
      </c>
      <c r="S202">
        <v>0.23001477061848899</v>
      </c>
      <c r="T202">
        <v>-0.53506047795415002</v>
      </c>
      <c r="U202">
        <v>0.53506047795415002</v>
      </c>
      <c r="V202">
        <v>-1.7</v>
      </c>
      <c r="W202">
        <v>2.2400000000000002</v>
      </c>
      <c r="X202">
        <v>265046</v>
      </c>
      <c r="Y202">
        <v>12621</v>
      </c>
      <c r="Z202">
        <v>0.69</v>
      </c>
      <c r="AA202">
        <v>21</v>
      </c>
      <c r="AB202">
        <v>13</v>
      </c>
      <c r="AC202">
        <v>8</v>
      </c>
      <c r="AD202">
        <v>61.9</v>
      </c>
      <c r="AE202">
        <v>12</v>
      </c>
    </row>
    <row r="203" spans="1:31">
      <c r="A203">
        <v>138</v>
      </c>
      <c r="B203">
        <v>4114</v>
      </c>
      <c r="C203" t="s">
        <v>346</v>
      </c>
      <c r="D203" t="s">
        <v>235</v>
      </c>
      <c r="E203">
        <v>6050</v>
      </c>
      <c r="F203">
        <v>6110</v>
      </c>
      <c r="G203">
        <v>100</v>
      </c>
      <c r="H203" t="s">
        <v>227</v>
      </c>
      <c r="I203">
        <v>5214</v>
      </c>
      <c r="J203" t="s">
        <v>104</v>
      </c>
      <c r="K203" t="s">
        <v>238</v>
      </c>
      <c r="L203">
        <v>2355</v>
      </c>
      <c r="M203">
        <v>2340</v>
      </c>
      <c r="N203">
        <v>300</v>
      </c>
      <c r="O203" t="s">
        <v>229</v>
      </c>
      <c r="P203">
        <v>0.93738351706575895</v>
      </c>
      <c r="Q203">
        <v>0.93506179617771501</v>
      </c>
      <c r="R203">
        <v>1.06573630429281E-3</v>
      </c>
      <c r="S203">
        <v>3.4242299657779001E-4</v>
      </c>
      <c r="T203">
        <v>-0.52914836428711198</v>
      </c>
      <c r="U203">
        <v>0.52914836428711198</v>
      </c>
      <c r="V203">
        <v>-1.64</v>
      </c>
      <c r="W203">
        <v>14.89</v>
      </c>
      <c r="X203">
        <v>14130</v>
      </c>
      <c r="Y203">
        <v>1570</v>
      </c>
      <c r="Z203">
        <v>0.05</v>
      </c>
      <c r="AA203">
        <v>9</v>
      </c>
      <c r="AB203">
        <v>4</v>
      </c>
      <c r="AC203">
        <v>5</v>
      </c>
      <c r="AD203">
        <v>44.44</v>
      </c>
      <c r="AE203">
        <v>11</v>
      </c>
    </row>
    <row r="204" spans="1:31">
      <c r="A204">
        <v>234</v>
      </c>
      <c r="B204">
        <v>6471</v>
      </c>
      <c r="C204" t="s">
        <v>278</v>
      </c>
      <c r="D204" t="s">
        <v>226</v>
      </c>
      <c r="E204">
        <v>918</v>
      </c>
      <c r="F204">
        <v>910</v>
      </c>
      <c r="G204">
        <v>1000</v>
      </c>
      <c r="H204" t="s">
        <v>227</v>
      </c>
      <c r="I204">
        <v>7762</v>
      </c>
      <c r="J204" t="s">
        <v>188</v>
      </c>
      <c r="K204" t="s">
        <v>268</v>
      </c>
      <c r="L204">
        <v>536</v>
      </c>
      <c r="M204">
        <v>535</v>
      </c>
      <c r="N204">
        <v>1700</v>
      </c>
      <c r="O204" t="s">
        <v>229</v>
      </c>
      <c r="P204">
        <v>0.91704905534713099</v>
      </c>
      <c r="Q204">
        <v>0.90257833259532505</v>
      </c>
      <c r="R204">
        <v>0.19043157849251599</v>
      </c>
      <c r="S204">
        <v>0.18366552672807199</v>
      </c>
      <c r="T204">
        <v>-0.52598621042988603</v>
      </c>
      <c r="U204">
        <v>0.52598621042988603</v>
      </c>
      <c r="V204">
        <v>-1.25</v>
      </c>
      <c r="W204">
        <v>0.05</v>
      </c>
      <c r="X204">
        <v>43836</v>
      </c>
      <c r="Y204">
        <v>2192</v>
      </c>
      <c r="Z204">
        <v>0.12</v>
      </c>
      <c r="AA204">
        <v>20</v>
      </c>
      <c r="AB204">
        <v>11</v>
      </c>
      <c r="AC204">
        <v>9</v>
      </c>
      <c r="AD204">
        <v>55</v>
      </c>
      <c r="AE204">
        <v>14</v>
      </c>
    </row>
    <row r="205" spans="1:31">
      <c r="A205">
        <v>185</v>
      </c>
      <c r="B205">
        <v>8316</v>
      </c>
      <c r="C205" t="s">
        <v>347</v>
      </c>
      <c r="D205" t="s">
        <v>232</v>
      </c>
      <c r="E205">
        <v>3645</v>
      </c>
      <c r="F205">
        <v>3617</v>
      </c>
      <c r="G205">
        <v>200</v>
      </c>
      <c r="H205" t="s">
        <v>227</v>
      </c>
      <c r="I205">
        <v>8586</v>
      </c>
      <c r="J205" t="s">
        <v>185</v>
      </c>
      <c r="K205" t="s">
        <v>249</v>
      </c>
      <c r="L205">
        <v>2239</v>
      </c>
      <c r="M205">
        <v>2215</v>
      </c>
      <c r="N205">
        <v>300</v>
      </c>
      <c r="O205" t="s">
        <v>229</v>
      </c>
      <c r="P205">
        <v>0.928343588824878</v>
      </c>
      <c r="Q205">
        <v>0.94668268936055899</v>
      </c>
      <c r="R205">
        <v>1.7148007179972599E-2</v>
      </c>
      <c r="S205">
        <v>1.1726097306715101E-2</v>
      </c>
      <c r="T205">
        <v>-0.52053557400463202</v>
      </c>
      <c r="U205">
        <v>0.52053557400463202</v>
      </c>
      <c r="V205">
        <v>-1.1599999999999999</v>
      </c>
      <c r="W205">
        <v>8.14</v>
      </c>
      <c r="X205">
        <v>88093</v>
      </c>
      <c r="Y205">
        <v>11012</v>
      </c>
      <c r="Z205">
        <v>0.69</v>
      </c>
      <c r="AA205">
        <v>8</v>
      </c>
      <c r="AB205">
        <v>5</v>
      </c>
      <c r="AC205">
        <v>3</v>
      </c>
      <c r="AD205">
        <v>62.5</v>
      </c>
      <c r="AE205">
        <v>16</v>
      </c>
    </row>
    <row r="206" spans="1:31">
      <c r="A206">
        <v>306</v>
      </c>
      <c r="B206">
        <v>7013</v>
      </c>
      <c r="C206" t="s">
        <v>321</v>
      </c>
      <c r="D206" t="s">
        <v>226</v>
      </c>
      <c r="E206">
        <v>2301</v>
      </c>
      <c r="F206">
        <v>2286</v>
      </c>
      <c r="G206">
        <v>300</v>
      </c>
      <c r="H206" t="s">
        <v>227</v>
      </c>
      <c r="I206">
        <v>7846</v>
      </c>
      <c r="J206" t="s">
        <v>159</v>
      </c>
      <c r="K206" t="s">
        <v>307</v>
      </c>
      <c r="L206">
        <v>3905</v>
      </c>
      <c r="M206">
        <v>3900</v>
      </c>
      <c r="N206">
        <v>200</v>
      </c>
      <c r="O206" t="s">
        <v>229</v>
      </c>
      <c r="P206">
        <v>0.90499080260631304</v>
      </c>
      <c r="Q206">
        <v>0.96770492461477797</v>
      </c>
      <c r="R206">
        <v>5.1093915627439902E-2</v>
      </c>
      <c r="S206">
        <v>6.6026321589611595E-2</v>
      </c>
      <c r="T206">
        <v>-0.52023535596255999</v>
      </c>
      <c r="U206">
        <v>0.52023535596255999</v>
      </c>
      <c r="V206">
        <v>-2.5099999999999998</v>
      </c>
      <c r="W206">
        <v>12.08</v>
      </c>
      <c r="X206">
        <v>238411</v>
      </c>
      <c r="Y206">
        <v>34059</v>
      </c>
      <c r="Z206">
        <v>2.12</v>
      </c>
      <c r="AA206">
        <v>7</v>
      </c>
      <c r="AB206">
        <v>6</v>
      </c>
      <c r="AC206">
        <v>1</v>
      </c>
      <c r="AD206">
        <v>85.71</v>
      </c>
      <c r="AE206">
        <v>10</v>
      </c>
    </row>
    <row r="207" spans="1:31">
      <c r="A207">
        <v>166</v>
      </c>
      <c r="B207">
        <v>7278</v>
      </c>
      <c r="C207" t="s">
        <v>339</v>
      </c>
      <c r="D207" t="s">
        <v>228</v>
      </c>
      <c r="E207">
        <v>2092</v>
      </c>
      <c r="F207">
        <v>2080</v>
      </c>
      <c r="G207">
        <v>400</v>
      </c>
      <c r="H207" t="s">
        <v>229</v>
      </c>
      <c r="I207">
        <v>7327</v>
      </c>
      <c r="J207" t="s">
        <v>157</v>
      </c>
      <c r="K207" t="s">
        <v>232</v>
      </c>
      <c r="L207">
        <v>2637</v>
      </c>
      <c r="M207">
        <v>2601</v>
      </c>
      <c r="N207">
        <v>300</v>
      </c>
      <c r="O207" t="s">
        <v>227</v>
      </c>
      <c r="P207">
        <v>0.93263133427836198</v>
      </c>
      <c r="Q207">
        <v>0.94133236596849001</v>
      </c>
      <c r="R207">
        <v>0.20188199685903199</v>
      </c>
      <c r="S207">
        <v>3.8679537352571403E-2</v>
      </c>
      <c r="T207">
        <v>0.51628479424184304</v>
      </c>
      <c r="U207">
        <v>0.51628479424184304</v>
      </c>
      <c r="V207">
        <v>1.06</v>
      </c>
      <c r="W207">
        <v>6.63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</row>
    <row r="208" spans="1:31">
      <c r="A208">
        <v>75</v>
      </c>
      <c r="B208">
        <v>6995</v>
      </c>
      <c r="C208" t="s">
        <v>256</v>
      </c>
      <c r="D208" t="s">
        <v>228</v>
      </c>
      <c r="E208">
        <v>1815</v>
      </c>
      <c r="F208">
        <v>1812</v>
      </c>
      <c r="G208">
        <v>500</v>
      </c>
      <c r="H208" t="s">
        <v>227</v>
      </c>
      <c r="I208">
        <v>7186</v>
      </c>
      <c r="J208" t="s">
        <v>100</v>
      </c>
      <c r="K208" t="s">
        <v>232</v>
      </c>
      <c r="L208">
        <v>407</v>
      </c>
      <c r="M208">
        <v>409</v>
      </c>
      <c r="N208">
        <v>2200</v>
      </c>
      <c r="O208" t="s">
        <v>229</v>
      </c>
      <c r="P208">
        <v>0.95034396150659795</v>
      </c>
      <c r="Q208">
        <v>0.90244620055644198</v>
      </c>
      <c r="R208">
        <v>0.126939972015436</v>
      </c>
      <c r="S208">
        <v>0.22530235136471</v>
      </c>
      <c r="T208">
        <v>-0.51178923922124997</v>
      </c>
      <c r="U208">
        <v>0.51178923922124997</v>
      </c>
      <c r="V208">
        <v>-1.1399999999999999</v>
      </c>
      <c r="W208">
        <v>0.68</v>
      </c>
      <c r="X208">
        <v>265116</v>
      </c>
      <c r="Y208">
        <v>15595</v>
      </c>
      <c r="Z208">
        <v>0.93</v>
      </c>
      <c r="AA208">
        <v>17</v>
      </c>
      <c r="AB208">
        <v>12</v>
      </c>
      <c r="AC208">
        <v>5</v>
      </c>
      <c r="AD208">
        <v>70.59</v>
      </c>
      <c r="AE208">
        <v>12</v>
      </c>
    </row>
    <row r="209" spans="1:31">
      <c r="A209">
        <v>157</v>
      </c>
      <c r="B209">
        <v>6371</v>
      </c>
      <c r="C209" t="s">
        <v>298</v>
      </c>
      <c r="D209" t="s">
        <v>226</v>
      </c>
      <c r="E209">
        <v>3365</v>
      </c>
      <c r="F209">
        <v>3400</v>
      </c>
      <c r="G209">
        <v>200</v>
      </c>
      <c r="H209" t="s">
        <v>227</v>
      </c>
      <c r="I209">
        <v>7762</v>
      </c>
      <c r="J209" t="s">
        <v>188</v>
      </c>
      <c r="K209" t="s">
        <v>268</v>
      </c>
      <c r="L209">
        <v>536</v>
      </c>
      <c r="M209">
        <v>535</v>
      </c>
      <c r="N209">
        <v>1300</v>
      </c>
      <c r="O209" t="s">
        <v>229</v>
      </c>
      <c r="P209">
        <v>0.93390917501233095</v>
      </c>
      <c r="Q209">
        <v>0.93138136992531095</v>
      </c>
      <c r="R209">
        <v>8.5721494403162707E-3</v>
      </c>
      <c r="S209">
        <v>0.239894215753992</v>
      </c>
      <c r="T209">
        <v>-0.50660532558758797</v>
      </c>
      <c r="U209">
        <v>0.50660532558758797</v>
      </c>
      <c r="V209">
        <v>-1.02</v>
      </c>
      <c r="W209">
        <v>2.2799999999999998</v>
      </c>
      <c r="X209">
        <v>244249</v>
      </c>
      <c r="Y209">
        <v>12855</v>
      </c>
      <c r="Z209">
        <v>0.78</v>
      </c>
      <c r="AA209">
        <v>19</v>
      </c>
      <c r="AB209">
        <v>13</v>
      </c>
      <c r="AC209">
        <v>6</v>
      </c>
      <c r="AD209">
        <v>68.42</v>
      </c>
      <c r="AE209">
        <v>13</v>
      </c>
    </row>
    <row r="210" spans="1:31">
      <c r="A210">
        <v>40</v>
      </c>
      <c r="B210">
        <v>6506</v>
      </c>
      <c r="C210" t="s">
        <v>348</v>
      </c>
      <c r="D210" t="s">
        <v>231</v>
      </c>
      <c r="E210">
        <v>3990</v>
      </c>
      <c r="F210">
        <v>3920</v>
      </c>
      <c r="G210">
        <v>100</v>
      </c>
      <c r="H210" t="s">
        <v>229</v>
      </c>
      <c r="I210">
        <v>6645</v>
      </c>
      <c r="J210" t="s">
        <v>189</v>
      </c>
      <c r="K210" t="s">
        <v>231</v>
      </c>
      <c r="L210">
        <v>5830</v>
      </c>
      <c r="M210">
        <v>5810</v>
      </c>
      <c r="N210">
        <v>100</v>
      </c>
      <c r="O210" t="s">
        <v>227</v>
      </c>
      <c r="P210">
        <v>0.959289200537633</v>
      </c>
      <c r="Q210">
        <v>0.90525697430978802</v>
      </c>
      <c r="R210">
        <v>2.0569668391793101E-2</v>
      </c>
      <c r="S210">
        <v>2.3409293574020301E-2</v>
      </c>
      <c r="T210">
        <v>0.50230856915771105</v>
      </c>
      <c r="U210">
        <v>0.50230856915771105</v>
      </c>
      <c r="V210">
        <v>1.34</v>
      </c>
      <c r="W210">
        <v>32.53</v>
      </c>
      <c r="X210">
        <v>116035</v>
      </c>
      <c r="Y210">
        <v>11604</v>
      </c>
      <c r="Z210">
        <v>0.34</v>
      </c>
      <c r="AA210">
        <v>10</v>
      </c>
      <c r="AB210">
        <v>5</v>
      </c>
      <c r="AC210">
        <v>5</v>
      </c>
      <c r="AD210">
        <v>50</v>
      </c>
      <c r="AE210">
        <v>13</v>
      </c>
    </row>
    <row r="211" spans="1:31">
      <c r="A211">
        <v>328</v>
      </c>
      <c r="B211">
        <v>2914</v>
      </c>
      <c r="C211" t="s">
        <v>326</v>
      </c>
      <c r="D211" t="s">
        <v>311</v>
      </c>
      <c r="E211">
        <v>2375.5</v>
      </c>
      <c r="F211">
        <v>2346</v>
      </c>
      <c r="G211">
        <v>400</v>
      </c>
      <c r="H211" t="s">
        <v>227</v>
      </c>
      <c r="I211">
        <v>4202</v>
      </c>
      <c r="J211" t="s">
        <v>156</v>
      </c>
      <c r="K211" t="s">
        <v>235</v>
      </c>
      <c r="L211">
        <v>903</v>
      </c>
      <c r="M211">
        <v>907</v>
      </c>
      <c r="N211">
        <v>1000</v>
      </c>
      <c r="O211" t="s">
        <v>229</v>
      </c>
      <c r="P211">
        <v>0.90088556753601601</v>
      </c>
      <c r="Q211">
        <v>0.90264345859085604</v>
      </c>
      <c r="R211">
        <v>0.329008511179471</v>
      </c>
      <c r="S211">
        <v>0.24349913231051201</v>
      </c>
      <c r="T211">
        <v>-0.49844211561649099</v>
      </c>
      <c r="U211">
        <v>0.49844211561649099</v>
      </c>
      <c r="V211">
        <v>-1.89</v>
      </c>
      <c r="W211">
        <v>3.35</v>
      </c>
      <c r="X211">
        <v>85798</v>
      </c>
      <c r="Y211">
        <v>5362</v>
      </c>
      <c r="Z211">
        <v>0.34</v>
      </c>
      <c r="AA211">
        <v>16</v>
      </c>
      <c r="AB211">
        <v>10</v>
      </c>
      <c r="AC211">
        <v>6</v>
      </c>
      <c r="AD211">
        <v>62.5</v>
      </c>
      <c r="AE211">
        <v>12</v>
      </c>
    </row>
    <row r="212" spans="1:31">
      <c r="A212">
        <v>262</v>
      </c>
      <c r="B212">
        <v>7211</v>
      </c>
      <c r="C212" t="s">
        <v>333</v>
      </c>
      <c r="D212" t="s">
        <v>228</v>
      </c>
      <c r="E212">
        <v>470</v>
      </c>
      <c r="F212">
        <v>469</v>
      </c>
      <c r="G212">
        <v>1700</v>
      </c>
      <c r="H212" t="s">
        <v>227</v>
      </c>
      <c r="I212">
        <v>7846</v>
      </c>
      <c r="J212" t="s">
        <v>159</v>
      </c>
      <c r="K212" t="s">
        <v>307</v>
      </c>
      <c r="L212">
        <v>3905</v>
      </c>
      <c r="M212">
        <v>3900</v>
      </c>
      <c r="N212">
        <v>200</v>
      </c>
      <c r="O212" t="s">
        <v>229</v>
      </c>
      <c r="P212">
        <v>0.91183359303743605</v>
      </c>
      <c r="Q212">
        <v>0.92760025453050798</v>
      </c>
      <c r="R212">
        <v>0.27615640166922001</v>
      </c>
      <c r="S212">
        <v>5.2738230225568603E-2</v>
      </c>
      <c r="T212">
        <v>-0.497264356936791</v>
      </c>
      <c r="U212">
        <v>0.497264356936791</v>
      </c>
      <c r="V212">
        <v>-1.31</v>
      </c>
      <c r="W212">
        <v>2.2200000000000002</v>
      </c>
      <c r="X212">
        <v>117021</v>
      </c>
      <c r="Y212">
        <v>8359</v>
      </c>
      <c r="Z212">
        <v>0.6</v>
      </c>
      <c r="AA212">
        <v>14</v>
      </c>
      <c r="AB212">
        <v>7</v>
      </c>
      <c r="AC212">
        <v>7</v>
      </c>
      <c r="AD212">
        <v>50</v>
      </c>
      <c r="AE212">
        <v>12</v>
      </c>
    </row>
    <row r="213" spans="1:31">
      <c r="A213">
        <v>54</v>
      </c>
      <c r="B213">
        <v>1963</v>
      </c>
      <c r="C213" t="s">
        <v>287</v>
      </c>
      <c r="D213" t="s">
        <v>254</v>
      </c>
      <c r="E213">
        <v>1366</v>
      </c>
      <c r="F213">
        <v>1374</v>
      </c>
      <c r="G213">
        <v>600</v>
      </c>
      <c r="H213" t="s">
        <v>227</v>
      </c>
      <c r="I213">
        <v>5021</v>
      </c>
      <c r="J213" t="s">
        <v>190</v>
      </c>
      <c r="K213" t="s">
        <v>325</v>
      </c>
      <c r="L213">
        <v>2208</v>
      </c>
      <c r="M213">
        <v>2211</v>
      </c>
      <c r="N213">
        <v>400</v>
      </c>
      <c r="O213" t="s">
        <v>229</v>
      </c>
      <c r="P213">
        <v>0.95587083694047803</v>
      </c>
      <c r="Q213">
        <v>0.92717831420779095</v>
      </c>
      <c r="R213">
        <v>1.48459247590334E-2</v>
      </c>
      <c r="S213">
        <v>1.39938300607108E-2</v>
      </c>
      <c r="T213">
        <v>-0.492998456532308</v>
      </c>
      <c r="U213">
        <v>0.492998456532308</v>
      </c>
      <c r="V213">
        <v>-1.97</v>
      </c>
      <c r="W213">
        <v>6.78</v>
      </c>
      <c r="X213">
        <v>128772</v>
      </c>
      <c r="Y213">
        <v>8048</v>
      </c>
      <c r="Z213">
        <v>0.49</v>
      </c>
      <c r="AA213">
        <v>16</v>
      </c>
      <c r="AB213">
        <v>8</v>
      </c>
      <c r="AC213">
        <v>8</v>
      </c>
      <c r="AD213">
        <v>50</v>
      </c>
      <c r="AE213">
        <v>10</v>
      </c>
    </row>
    <row r="214" spans="1:31">
      <c r="A214">
        <v>172</v>
      </c>
      <c r="B214">
        <v>1911</v>
      </c>
      <c r="C214" t="s">
        <v>269</v>
      </c>
      <c r="D214" t="s">
        <v>254</v>
      </c>
      <c r="E214">
        <v>1440</v>
      </c>
      <c r="F214">
        <v>1430</v>
      </c>
      <c r="G214">
        <v>600</v>
      </c>
      <c r="H214" t="s">
        <v>227</v>
      </c>
      <c r="I214">
        <v>6770</v>
      </c>
      <c r="J214" t="s">
        <v>97</v>
      </c>
      <c r="K214" t="s">
        <v>231</v>
      </c>
      <c r="L214">
        <v>2105</v>
      </c>
      <c r="M214">
        <v>2043</v>
      </c>
      <c r="N214">
        <v>400</v>
      </c>
      <c r="O214" t="s">
        <v>229</v>
      </c>
      <c r="P214">
        <v>0.931481648104176</v>
      </c>
      <c r="Q214">
        <v>0.95581286469644899</v>
      </c>
      <c r="R214">
        <v>8.3310374374214305E-2</v>
      </c>
      <c r="S214">
        <v>0.28824968156410202</v>
      </c>
      <c r="T214">
        <v>-0.471018049818891</v>
      </c>
      <c r="U214">
        <v>0.471018049818891</v>
      </c>
      <c r="V214">
        <v>-1.01</v>
      </c>
      <c r="W214">
        <v>4.99</v>
      </c>
      <c r="X214">
        <v>328166</v>
      </c>
      <c r="Y214">
        <v>19304</v>
      </c>
      <c r="Z214">
        <v>1.19</v>
      </c>
      <c r="AA214">
        <v>17</v>
      </c>
      <c r="AB214">
        <v>13</v>
      </c>
      <c r="AC214">
        <v>4</v>
      </c>
      <c r="AD214">
        <v>76.47</v>
      </c>
      <c r="AE214">
        <v>12</v>
      </c>
    </row>
    <row r="215" spans="1:31">
      <c r="A215">
        <v>163</v>
      </c>
      <c r="B215">
        <v>5471</v>
      </c>
      <c r="C215" t="s">
        <v>289</v>
      </c>
      <c r="D215" t="s">
        <v>252</v>
      </c>
      <c r="E215">
        <v>4250</v>
      </c>
      <c r="F215">
        <v>4330</v>
      </c>
      <c r="G215">
        <v>200</v>
      </c>
      <c r="H215" t="s">
        <v>227</v>
      </c>
      <c r="I215">
        <v>7251</v>
      </c>
      <c r="J215" t="s">
        <v>103</v>
      </c>
      <c r="K215" t="s">
        <v>228</v>
      </c>
      <c r="L215">
        <v>1633</v>
      </c>
      <c r="M215">
        <v>1636</v>
      </c>
      <c r="N215">
        <v>500</v>
      </c>
      <c r="O215" t="s">
        <v>229</v>
      </c>
      <c r="P215">
        <v>0.93329305452563005</v>
      </c>
      <c r="Q215">
        <v>0.91772622133415904</v>
      </c>
      <c r="R215">
        <v>4.0746749876240402E-3</v>
      </c>
      <c r="S215">
        <v>7.8565088186395293E-3</v>
      </c>
      <c r="T215">
        <v>-0.47056343658385102</v>
      </c>
      <c r="U215">
        <v>0.47056343658385102</v>
      </c>
      <c r="V215">
        <v>-1.37</v>
      </c>
      <c r="W215">
        <v>5.54</v>
      </c>
      <c r="X215">
        <v>81540</v>
      </c>
      <c r="Y215">
        <v>6272</v>
      </c>
      <c r="Z215">
        <v>0.32</v>
      </c>
      <c r="AA215">
        <v>13</v>
      </c>
      <c r="AB215">
        <v>9</v>
      </c>
      <c r="AC215">
        <v>4</v>
      </c>
      <c r="AD215">
        <v>69.23</v>
      </c>
      <c r="AE215">
        <v>14</v>
      </c>
    </row>
    <row r="216" spans="1:31">
      <c r="A216">
        <v>214</v>
      </c>
      <c r="B216">
        <v>7205</v>
      </c>
      <c r="C216" t="s">
        <v>345</v>
      </c>
      <c r="D216" t="s">
        <v>228</v>
      </c>
      <c r="E216">
        <v>878</v>
      </c>
      <c r="F216">
        <v>875</v>
      </c>
      <c r="G216">
        <v>1100</v>
      </c>
      <c r="H216" t="s">
        <v>227</v>
      </c>
      <c r="I216">
        <v>8411</v>
      </c>
      <c r="J216" t="s">
        <v>165</v>
      </c>
      <c r="K216" t="s">
        <v>232</v>
      </c>
      <c r="L216">
        <v>163</v>
      </c>
      <c r="M216">
        <v>161.9</v>
      </c>
      <c r="N216">
        <v>5900</v>
      </c>
      <c r="O216" t="s">
        <v>229</v>
      </c>
      <c r="P216">
        <v>0.92158747943409103</v>
      </c>
      <c r="Q216">
        <v>0.90432558266275398</v>
      </c>
      <c r="R216">
        <v>1.38282170005631E-2</v>
      </c>
      <c r="S216">
        <v>0.240436886371618</v>
      </c>
      <c r="T216">
        <v>-0.46744424206975399</v>
      </c>
      <c r="U216">
        <v>0.46744424206975399</v>
      </c>
      <c r="V216">
        <v>-1.41</v>
      </c>
      <c r="W216">
        <v>0.76</v>
      </c>
      <c r="X216">
        <v>171260</v>
      </c>
      <c r="Y216">
        <v>11417</v>
      </c>
      <c r="Z216">
        <v>0.62</v>
      </c>
      <c r="AA216">
        <v>15</v>
      </c>
      <c r="AB216">
        <v>9</v>
      </c>
      <c r="AC216">
        <v>6</v>
      </c>
      <c r="AD216">
        <v>60</v>
      </c>
      <c r="AE216">
        <v>15</v>
      </c>
    </row>
    <row r="217" spans="1:31">
      <c r="A217">
        <v>96</v>
      </c>
      <c r="B217">
        <v>6995</v>
      </c>
      <c r="C217" t="s">
        <v>256</v>
      </c>
      <c r="D217" t="s">
        <v>228</v>
      </c>
      <c r="E217">
        <v>1815</v>
      </c>
      <c r="F217">
        <v>1812</v>
      </c>
      <c r="G217">
        <v>500</v>
      </c>
      <c r="H217" t="s">
        <v>227</v>
      </c>
      <c r="I217">
        <v>7272</v>
      </c>
      <c r="J217" t="s">
        <v>127</v>
      </c>
      <c r="K217" t="s">
        <v>228</v>
      </c>
      <c r="L217">
        <v>1950</v>
      </c>
      <c r="M217">
        <v>1938</v>
      </c>
      <c r="N217">
        <v>500</v>
      </c>
      <c r="O217" t="s">
        <v>229</v>
      </c>
      <c r="P217">
        <v>0.945647484564893</v>
      </c>
      <c r="Q217">
        <v>0.91269483388679895</v>
      </c>
      <c r="R217">
        <v>0.240880068548944</v>
      </c>
      <c r="S217">
        <v>6.4060955966251804E-2</v>
      </c>
      <c r="T217">
        <v>-0.46224837961106402</v>
      </c>
      <c r="U217">
        <v>0.46224837961106402</v>
      </c>
      <c r="V217">
        <v>-1.03</v>
      </c>
      <c r="W217">
        <v>6.5</v>
      </c>
      <c r="X217">
        <v>-72028</v>
      </c>
      <c r="Y217">
        <v>-4802</v>
      </c>
      <c r="Z217">
        <v>-0.28000000000000003</v>
      </c>
      <c r="AA217">
        <v>15</v>
      </c>
      <c r="AB217">
        <v>8</v>
      </c>
      <c r="AC217">
        <v>7</v>
      </c>
      <c r="AD217">
        <v>53.33</v>
      </c>
      <c r="AE217">
        <v>13</v>
      </c>
    </row>
    <row r="218" spans="1:31">
      <c r="A218">
        <v>149</v>
      </c>
      <c r="B218">
        <v>4061</v>
      </c>
      <c r="C218" t="s">
        <v>263</v>
      </c>
      <c r="D218" t="s">
        <v>235</v>
      </c>
      <c r="E218">
        <v>2861</v>
      </c>
      <c r="F218">
        <v>2888</v>
      </c>
      <c r="G218">
        <v>300</v>
      </c>
      <c r="H218" t="s">
        <v>229</v>
      </c>
      <c r="I218">
        <v>4401</v>
      </c>
      <c r="J218" t="s">
        <v>191</v>
      </c>
      <c r="K218" t="s">
        <v>235</v>
      </c>
      <c r="L218">
        <v>1340</v>
      </c>
      <c r="M218">
        <v>1352</v>
      </c>
      <c r="N218">
        <v>600</v>
      </c>
      <c r="O218" t="s">
        <v>227</v>
      </c>
      <c r="P218">
        <v>0.93495844003068096</v>
      </c>
      <c r="Q218">
        <v>0.90323061049082298</v>
      </c>
      <c r="R218">
        <v>0.35193442023681099</v>
      </c>
      <c r="S218">
        <v>4.7104174183902503E-2</v>
      </c>
      <c r="T218">
        <v>0.46164836440374701</v>
      </c>
      <c r="U218">
        <v>0.46164836440374701</v>
      </c>
      <c r="V218">
        <v>2.17</v>
      </c>
      <c r="W218">
        <v>6.37</v>
      </c>
      <c r="X218">
        <v>193486</v>
      </c>
      <c r="Y218">
        <v>12093</v>
      </c>
      <c r="Z218">
        <v>0.65</v>
      </c>
      <c r="AA218">
        <v>16</v>
      </c>
      <c r="AB218">
        <v>9</v>
      </c>
      <c r="AC218">
        <v>7</v>
      </c>
      <c r="AD218">
        <v>56.25</v>
      </c>
      <c r="AE218">
        <v>12</v>
      </c>
    </row>
    <row r="219" spans="1:31">
      <c r="A219">
        <v>194</v>
      </c>
      <c r="B219">
        <v>7211</v>
      </c>
      <c r="C219" t="s">
        <v>333</v>
      </c>
      <c r="D219" t="s">
        <v>228</v>
      </c>
      <c r="E219">
        <v>470</v>
      </c>
      <c r="F219">
        <v>469</v>
      </c>
      <c r="G219">
        <v>1800</v>
      </c>
      <c r="H219" t="s">
        <v>227</v>
      </c>
      <c r="I219">
        <v>9810</v>
      </c>
      <c r="J219" t="s">
        <v>152</v>
      </c>
      <c r="K219" t="s">
        <v>257</v>
      </c>
      <c r="L219">
        <v>4255</v>
      </c>
      <c r="M219">
        <v>4265</v>
      </c>
      <c r="N219">
        <v>200</v>
      </c>
      <c r="O219" t="s">
        <v>229</v>
      </c>
      <c r="P219">
        <v>0.92585275465485095</v>
      </c>
      <c r="Q219">
        <v>0.91573925670974998</v>
      </c>
      <c r="R219">
        <v>0.34507144083608798</v>
      </c>
      <c r="S219">
        <v>3.8040688398834198E-2</v>
      </c>
      <c r="T219">
        <v>-0.44934760435887799</v>
      </c>
      <c r="U219">
        <v>0.44934760435887799</v>
      </c>
      <c r="V219">
        <v>-1.5</v>
      </c>
      <c r="W219">
        <v>1.03</v>
      </c>
      <c r="X219">
        <v>307585</v>
      </c>
      <c r="Y219">
        <v>17088</v>
      </c>
      <c r="Z219">
        <v>1.1599999999999999</v>
      </c>
      <c r="AA219">
        <v>18</v>
      </c>
      <c r="AB219">
        <v>13</v>
      </c>
      <c r="AC219">
        <v>5</v>
      </c>
      <c r="AD219">
        <v>72.22</v>
      </c>
      <c r="AE219">
        <v>12</v>
      </c>
    </row>
    <row r="220" spans="1:31">
      <c r="A220">
        <v>252</v>
      </c>
      <c r="B220">
        <v>7211</v>
      </c>
      <c r="C220" t="s">
        <v>333</v>
      </c>
      <c r="D220" t="s">
        <v>228</v>
      </c>
      <c r="E220">
        <v>470</v>
      </c>
      <c r="F220">
        <v>469</v>
      </c>
      <c r="G220">
        <v>1800</v>
      </c>
      <c r="H220" t="s">
        <v>227</v>
      </c>
      <c r="I220">
        <v>8273</v>
      </c>
      <c r="J220" t="s">
        <v>128</v>
      </c>
      <c r="K220" t="s">
        <v>245</v>
      </c>
      <c r="L220">
        <v>4130</v>
      </c>
      <c r="M220">
        <v>4165</v>
      </c>
      <c r="N220">
        <v>200</v>
      </c>
      <c r="O220" t="s">
        <v>229</v>
      </c>
      <c r="P220">
        <v>0.91349104885370502</v>
      </c>
      <c r="Q220">
        <v>0.93916046924257701</v>
      </c>
      <c r="R220">
        <v>7.0334380780327693E-2</v>
      </c>
      <c r="S220">
        <v>7.0833066176239495E-2</v>
      </c>
      <c r="T220">
        <v>-0.44685896048944301</v>
      </c>
      <c r="U220">
        <v>0.44685896048944301</v>
      </c>
      <c r="V220">
        <v>-1.43</v>
      </c>
      <c r="W220">
        <v>1.34</v>
      </c>
      <c r="X220">
        <v>144137</v>
      </c>
      <c r="Y220">
        <v>8479</v>
      </c>
      <c r="Z220">
        <v>0.44</v>
      </c>
      <c r="AA220">
        <v>17</v>
      </c>
      <c r="AB220">
        <v>11</v>
      </c>
      <c r="AC220">
        <v>6</v>
      </c>
      <c r="AD220">
        <v>64.709999999999994</v>
      </c>
      <c r="AE220">
        <v>11</v>
      </c>
    </row>
    <row r="221" spans="1:31">
      <c r="A221">
        <v>197</v>
      </c>
      <c r="B221">
        <v>1333</v>
      </c>
      <c r="C221" t="s">
        <v>304</v>
      </c>
      <c r="D221" t="s">
        <v>305</v>
      </c>
      <c r="E221">
        <v>2783</v>
      </c>
      <c r="F221">
        <v>2774</v>
      </c>
      <c r="G221">
        <v>300</v>
      </c>
      <c r="H221" t="s">
        <v>229</v>
      </c>
      <c r="I221">
        <v>5411</v>
      </c>
      <c r="J221" t="s">
        <v>154</v>
      </c>
      <c r="K221" t="s">
        <v>252</v>
      </c>
      <c r="L221">
        <v>1289.5</v>
      </c>
      <c r="M221">
        <v>1286</v>
      </c>
      <c r="N221">
        <v>600</v>
      </c>
      <c r="O221" t="s">
        <v>227</v>
      </c>
      <c r="P221">
        <v>0.92528834167093399</v>
      </c>
      <c r="Q221">
        <v>0.92385609352175502</v>
      </c>
      <c r="R221">
        <v>0.25283648229656103</v>
      </c>
      <c r="S221">
        <v>7.6608441965448901E-2</v>
      </c>
      <c r="T221">
        <v>0.44616942788098302</v>
      </c>
      <c r="U221">
        <v>0.44616942788098302</v>
      </c>
      <c r="V221">
        <v>1.64</v>
      </c>
      <c r="W221">
        <v>7.28</v>
      </c>
      <c r="X221">
        <v>-161829</v>
      </c>
      <c r="Y221">
        <v>-10789</v>
      </c>
      <c r="Z221">
        <v>-0.59</v>
      </c>
      <c r="AA221">
        <v>15</v>
      </c>
      <c r="AB221">
        <v>6</v>
      </c>
      <c r="AC221">
        <v>9</v>
      </c>
      <c r="AD221">
        <v>40</v>
      </c>
      <c r="AE221">
        <v>10</v>
      </c>
    </row>
    <row r="222" spans="1:31">
      <c r="A222">
        <v>173</v>
      </c>
      <c r="B222">
        <v>7167</v>
      </c>
      <c r="C222" t="s">
        <v>299</v>
      </c>
      <c r="D222" t="s">
        <v>232</v>
      </c>
      <c r="E222">
        <v>262</v>
      </c>
      <c r="F222">
        <v>261</v>
      </c>
      <c r="G222">
        <v>3500</v>
      </c>
      <c r="H222" t="s">
        <v>227</v>
      </c>
      <c r="I222">
        <v>8795</v>
      </c>
      <c r="J222" t="s">
        <v>173</v>
      </c>
      <c r="K222" t="s">
        <v>288</v>
      </c>
      <c r="L222">
        <v>1155</v>
      </c>
      <c r="M222">
        <v>1145</v>
      </c>
      <c r="N222">
        <v>800</v>
      </c>
      <c r="O222" t="s">
        <v>229</v>
      </c>
      <c r="P222">
        <v>0.93122065760146</v>
      </c>
      <c r="Q222">
        <v>0.94870758737930005</v>
      </c>
      <c r="R222">
        <v>0.21467462331143899</v>
      </c>
      <c r="S222">
        <v>0.31149561385680102</v>
      </c>
      <c r="T222">
        <v>-0.438671393862754</v>
      </c>
      <c r="U222">
        <v>0.438671393862754</v>
      </c>
      <c r="V222">
        <v>-1.29</v>
      </c>
      <c r="W222">
        <v>0.27</v>
      </c>
      <c r="X222">
        <v>32851</v>
      </c>
      <c r="Y222">
        <v>2053</v>
      </c>
      <c r="Z222">
        <v>0.12</v>
      </c>
      <c r="AA222">
        <v>16</v>
      </c>
      <c r="AB222">
        <v>8</v>
      </c>
      <c r="AC222">
        <v>8</v>
      </c>
      <c r="AD222">
        <v>50</v>
      </c>
      <c r="AE222">
        <v>15</v>
      </c>
    </row>
    <row r="223" spans="1:31">
      <c r="A223">
        <v>269</v>
      </c>
      <c r="B223">
        <v>6752</v>
      </c>
      <c r="C223" t="s">
        <v>308</v>
      </c>
      <c r="D223" t="s">
        <v>231</v>
      </c>
      <c r="E223">
        <v>887.2</v>
      </c>
      <c r="F223">
        <v>875.7</v>
      </c>
      <c r="G223">
        <v>1000</v>
      </c>
      <c r="H223" t="s">
        <v>229</v>
      </c>
      <c r="I223">
        <v>7013</v>
      </c>
      <c r="J223" t="s">
        <v>172</v>
      </c>
      <c r="K223" t="s">
        <v>226</v>
      </c>
      <c r="L223">
        <v>2301</v>
      </c>
      <c r="M223">
        <v>2286</v>
      </c>
      <c r="N223">
        <v>400</v>
      </c>
      <c r="O223" t="s">
        <v>227</v>
      </c>
      <c r="P223">
        <v>0.91133444882846304</v>
      </c>
      <c r="Q223">
        <v>0.95671898652750198</v>
      </c>
      <c r="R223">
        <v>0.27950274139623399</v>
      </c>
      <c r="S223">
        <v>4.1264964591365402E-2</v>
      </c>
      <c r="T223">
        <v>0.43423249148908299</v>
      </c>
      <c r="U223">
        <v>0.43423249148908299</v>
      </c>
      <c r="V223">
        <v>2.4300000000000002</v>
      </c>
      <c r="W223">
        <v>4.2300000000000004</v>
      </c>
      <c r="X223">
        <v>39955</v>
      </c>
      <c r="Y223">
        <v>1903</v>
      </c>
      <c r="Z223">
        <v>0.12</v>
      </c>
      <c r="AA223">
        <v>21</v>
      </c>
      <c r="AB223">
        <v>12</v>
      </c>
      <c r="AC223">
        <v>9</v>
      </c>
      <c r="AD223">
        <v>57.14</v>
      </c>
      <c r="AE223">
        <v>13</v>
      </c>
    </row>
    <row r="224" spans="1:31">
      <c r="A224">
        <v>19</v>
      </c>
      <c r="B224">
        <v>5401</v>
      </c>
      <c r="C224" t="s">
        <v>295</v>
      </c>
      <c r="D224" t="s">
        <v>252</v>
      </c>
      <c r="E224">
        <v>1485.5</v>
      </c>
      <c r="F224">
        <v>1481</v>
      </c>
      <c r="G224">
        <v>600</v>
      </c>
      <c r="H224" t="s">
        <v>227</v>
      </c>
      <c r="I224">
        <v>9404</v>
      </c>
      <c r="J224" t="s">
        <v>121</v>
      </c>
      <c r="K224" t="s">
        <v>234</v>
      </c>
      <c r="L224">
        <v>1372</v>
      </c>
      <c r="M224">
        <v>1380</v>
      </c>
      <c r="N224">
        <v>600</v>
      </c>
      <c r="O224" t="s">
        <v>229</v>
      </c>
      <c r="P224">
        <v>0.96578093047841196</v>
      </c>
      <c r="Q224">
        <v>0.950220707513593</v>
      </c>
      <c r="R224">
        <v>0.34983839567265002</v>
      </c>
      <c r="S224">
        <v>2.4587356729549401E-2</v>
      </c>
      <c r="T224">
        <v>-0.431602406901753</v>
      </c>
      <c r="U224">
        <v>0.431602406901753</v>
      </c>
      <c r="V224">
        <v>-1.57</v>
      </c>
      <c r="W224">
        <v>6.82</v>
      </c>
      <c r="X224">
        <v>196582</v>
      </c>
      <c r="Y224">
        <v>12286</v>
      </c>
      <c r="Z224">
        <v>0.69</v>
      </c>
      <c r="AA224">
        <v>16</v>
      </c>
      <c r="AB224">
        <v>10</v>
      </c>
      <c r="AC224">
        <v>6</v>
      </c>
      <c r="AD224">
        <v>62.5</v>
      </c>
      <c r="AE224">
        <v>12</v>
      </c>
    </row>
    <row r="225" spans="1:31">
      <c r="A225">
        <v>121</v>
      </c>
      <c r="B225">
        <v>5020</v>
      </c>
      <c r="C225" t="s">
        <v>324</v>
      </c>
      <c r="D225" t="s">
        <v>325</v>
      </c>
      <c r="E225">
        <v>483</v>
      </c>
      <c r="F225">
        <v>482.2</v>
      </c>
      <c r="G225">
        <v>1600</v>
      </c>
      <c r="H225" t="s">
        <v>229</v>
      </c>
      <c r="I225">
        <v>7327</v>
      </c>
      <c r="J225" t="s">
        <v>157</v>
      </c>
      <c r="K225" t="s">
        <v>232</v>
      </c>
      <c r="L225">
        <v>2637</v>
      </c>
      <c r="M225">
        <v>2601</v>
      </c>
      <c r="N225">
        <v>300</v>
      </c>
      <c r="O225" t="s">
        <v>227</v>
      </c>
      <c r="P225">
        <v>0.93998935878143797</v>
      </c>
      <c r="Q225">
        <v>0.92229737295513803</v>
      </c>
      <c r="R225">
        <v>3.5276419298812402E-2</v>
      </c>
      <c r="S225">
        <v>0.35027902785367299</v>
      </c>
      <c r="T225">
        <v>0.41764717142413199</v>
      </c>
      <c r="U225">
        <v>0.41764717142413199</v>
      </c>
      <c r="V225">
        <v>1.33</v>
      </c>
      <c r="W225">
        <v>1.1299999999999999</v>
      </c>
      <c r="X225">
        <v>-6313</v>
      </c>
      <c r="Y225">
        <v>-2104</v>
      </c>
      <c r="Z225">
        <v>0.4</v>
      </c>
      <c r="AA225">
        <v>3</v>
      </c>
      <c r="AB225">
        <v>2</v>
      </c>
      <c r="AC225">
        <v>1</v>
      </c>
      <c r="AD225">
        <v>66.67</v>
      </c>
      <c r="AE225">
        <v>12</v>
      </c>
    </row>
    <row r="226" spans="1:31">
      <c r="A226">
        <v>330</v>
      </c>
      <c r="B226">
        <v>3105</v>
      </c>
      <c r="C226" t="s">
        <v>270</v>
      </c>
      <c r="D226" t="s">
        <v>231</v>
      </c>
      <c r="E226">
        <v>824</v>
      </c>
      <c r="F226">
        <v>817</v>
      </c>
      <c r="G226">
        <v>1100</v>
      </c>
      <c r="H226" t="s">
        <v>227</v>
      </c>
      <c r="I226">
        <v>8078</v>
      </c>
      <c r="J226" t="s">
        <v>151</v>
      </c>
      <c r="K226" t="s">
        <v>257</v>
      </c>
      <c r="L226">
        <v>2925</v>
      </c>
      <c r="M226">
        <v>2896</v>
      </c>
      <c r="N226">
        <v>300</v>
      </c>
      <c r="O226" t="s">
        <v>229</v>
      </c>
      <c r="P226">
        <v>0.90029431389479397</v>
      </c>
      <c r="Q226">
        <v>0.91886376763557598</v>
      </c>
      <c r="R226">
        <v>9.1927809809182706E-2</v>
      </c>
      <c r="S226">
        <v>4.1304084121943897E-2</v>
      </c>
      <c r="T226">
        <v>-0.4079726870539</v>
      </c>
      <c r="U226">
        <v>0.4079726870539</v>
      </c>
      <c r="V226">
        <v>-0.79</v>
      </c>
      <c r="W226">
        <v>3.44</v>
      </c>
      <c r="X226">
        <v>149505</v>
      </c>
      <c r="Y226">
        <v>14950</v>
      </c>
      <c r="Z226">
        <v>1.01</v>
      </c>
      <c r="AA226">
        <v>10</v>
      </c>
      <c r="AB226">
        <v>7</v>
      </c>
      <c r="AC226">
        <v>3</v>
      </c>
      <c r="AD226">
        <v>70</v>
      </c>
      <c r="AE226">
        <v>12</v>
      </c>
    </row>
    <row r="227" spans="1:31">
      <c r="A227">
        <v>153</v>
      </c>
      <c r="B227">
        <v>6752</v>
      </c>
      <c r="C227" t="s">
        <v>308</v>
      </c>
      <c r="D227" t="s">
        <v>231</v>
      </c>
      <c r="E227">
        <v>887.2</v>
      </c>
      <c r="F227">
        <v>875.7</v>
      </c>
      <c r="G227">
        <v>1100</v>
      </c>
      <c r="H227" t="s">
        <v>227</v>
      </c>
      <c r="I227">
        <v>7189</v>
      </c>
      <c r="J227" t="s">
        <v>162</v>
      </c>
      <c r="K227" t="s">
        <v>232</v>
      </c>
      <c r="L227">
        <v>736</v>
      </c>
      <c r="M227">
        <v>739</v>
      </c>
      <c r="N227">
        <v>1300</v>
      </c>
      <c r="O227" t="s">
        <v>229</v>
      </c>
      <c r="P227">
        <v>0.93446926662332097</v>
      </c>
      <c r="Q227">
        <v>0.93541195830490498</v>
      </c>
      <c r="R227">
        <v>0.33030265571955802</v>
      </c>
      <c r="S227">
        <v>0.156272378592031</v>
      </c>
      <c r="T227">
        <v>-0.40227738085322701</v>
      </c>
      <c r="U227">
        <v>0.40227738085322701</v>
      </c>
      <c r="V227">
        <v>-1.48</v>
      </c>
      <c r="W227">
        <v>0.27</v>
      </c>
      <c r="X227">
        <v>401761</v>
      </c>
      <c r="Y227">
        <v>26784</v>
      </c>
      <c r="Z227">
        <v>1.36</v>
      </c>
      <c r="AA227">
        <v>15</v>
      </c>
      <c r="AB227">
        <v>10</v>
      </c>
      <c r="AC227">
        <v>5</v>
      </c>
      <c r="AD227">
        <v>66.67</v>
      </c>
      <c r="AE227">
        <v>12</v>
      </c>
    </row>
    <row r="228" spans="1:31">
      <c r="A228">
        <v>49</v>
      </c>
      <c r="B228">
        <v>2914</v>
      </c>
      <c r="C228" t="s">
        <v>326</v>
      </c>
      <c r="D228" t="s">
        <v>311</v>
      </c>
      <c r="E228">
        <v>2375.5</v>
      </c>
      <c r="F228">
        <v>2346</v>
      </c>
      <c r="G228">
        <v>400</v>
      </c>
      <c r="H228" t="s">
        <v>227</v>
      </c>
      <c r="I228">
        <v>7189</v>
      </c>
      <c r="J228" t="s">
        <v>162</v>
      </c>
      <c r="K228" t="s">
        <v>232</v>
      </c>
      <c r="L228">
        <v>736</v>
      </c>
      <c r="M228">
        <v>739</v>
      </c>
      <c r="N228">
        <v>1300</v>
      </c>
      <c r="O228" t="s">
        <v>229</v>
      </c>
      <c r="P228">
        <v>0.95716646711841702</v>
      </c>
      <c r="Q228">
        <v>0.93160162123123802</v>
      </c>
      <c r="R228">
        <v>3.0935986003007801E-2</v>
      </c>
      <c r="S228">
        <v>4.7611250797930403E-2</v>
      </c>
      <c r="T228">
        <v>-0.39326148697561403</v>
      </c>
      <c r="U228">
        <v>0.39326148697561403</v>
      </c>
      <c r="V228">
        <v>-1.8</v>
      </c>
      <c r="W228">
        <v>2.38</v>
      </c>
      <c r="X228">
        <v>403695</v>
      </c>
      <c r="Y228">
        <v>19224</v>
      </c>
      <c r="Z228">
        <v>1.0900000000000001</v>
      </c>
      <c r="AA228">
        <v>21</v>
      </c>
      <c r="AB228">
        <v>15</v>
      </c>
      <c r="AC228">
        <v>6</v>
      </c>
      <c r="AD228">
        <v>71.430000000000007</v>
      </c>
      <c r="AE228">
        <v>13</v>
      </c>
    </row>
    <row r="229" spans="1:31">
      <c r="A229">
        <v>220</v>
      </c>
      <c r="B229">
        <v>8586</v>
      </c>
      <c r="C229" t="s">
        <v>349</v>
      </c>
      <c r="D229" t="s">
        <v>249</v>
      </c>
      <c r="E229">
        <v>2239</v>
      </c>
      <c r="F229">
        <v>2215</v>
      </c>
      <c r="G229">
        <v>400</v>
      </c>
      <c r="H229" t="s">
        <v>227</v>
      </c>
      <c r="I229">
        <v>9810</v>
      </c>
      <c r="J229" t="s">
        <v>152</v>
      </c>
      <c r="K229" t="s">
        <v>257</v>
      </c>
      <c r="L229">
        <v>4255</v>
      </c>
      <c r="M229">
        <v>4265</v>
      </c>
      <c r="N229">
        <v>200</v>
      </c>
      <c r="O229" t="s">
        <v>229</v>
      </c>
      <c r="P229">
        <v>0.92027150094070698</v>
      </c>
      <c r="Q229">
        <v>0.92385366491990495</v>
      </c>
      <c r="R229">
        <v>3.9218932913826603E-3</v>
      </c>
      <c r="S229">
        <v>0.14721458839028501</v>
      </c>
      <c r="T229">
        <v>-0.39287574950165299</v>
      </c>
      <c r="U229">
        <v>0.39287574950165299</v>
      </c>
      <c r="V229">
        <v>-0.77</v>
      </c>
      <c r="W229">
        <v>3.87</v>
      </c>
      <c r="X229">
        <v>-142857</v>
      </c>
      <c r="Y229">
        <v>-15873</v>
      </c>
      <c r="Z229">
        <v>-0.81</v>
      </c>
      <c r="AA229">
        <v>9</v>
      </c>
      <c r="AB229">
        <v>3</v>
      </c>
      <c r="AC229">
        <v>6</v>
      </c>
      <c r="AD229">
        <v>33.33</v>
      </c>
      <c r="AE229">
        <v>14</v>
      </c>
    </row>
    <row r="230" spans="1:31">
      <c r="A230">
        <v>128</v>
      </c>
      <c r="B230">
        <v>4188</v>
      </c>
      <c r="C230" t="s">
        <v>343</v>
      </c>
      <c r="D230" t="s">
        <v>235</v>
      </c>
      <c r="E230">
        <v>765</v>
      </c>
      <c r="F230">
        <v>760.8</v>
      </c>
      <c r="G230">
        <v>1300</v>
      </c>
      <c r="H230" t="s">
        <v>227</v>
      </c>
      <c r="I230">
        <v>8306</v>
      </c>
      <c r="J230" t="s">
        <v>98</v>
      </c>
      <c r="K230" t="s">
        <v>232</v>
      </c>
      <c r="L230">
        <v>538.29999999999995</v>
      </c>
      <c r="M230">
        <v>532.79999999999995</v>
      </c>
      <c r="N230">
        <v>1900</v>
      </c>
      <c r="O230" t="s">
        <v>229</v>
      </c>
      <c r="P230">
        <v>0.93918993342936596</v>
      </c>
      <c r="Q230">
        <v>0.90475748068208095</v>
      </c>
      <c r="R230">
        <v>3.5190996382615E-3</v>
      </c>
      <c r="S230">
        <v>0.13739863489867701</v>
      </c>
      <c r="T230">
        <v>-0.39066610146425002</v>
      </c>
      <c r="U230">
        <v>0.39066610146425002</v>
      </c>
      <c r="V230">
        <v>-0.7</v>
      </c>
      <c r="W230">
        <v>2.35</v>
      </c>
      <c r="X230">
        <v>289473</v>
      </c>
      <c r="Y230">
        <v>16082</v>
      </c>
      <c r="Z230">
        <v>0.85</v>
      </c>
      <c r="AA230">
        <v>18</v>
      </c>
      <c r="AB230">
        <v>13</v>
      </c>
      <c r="AC230">
        <v>5</v>
      </c>
      <c r="AD230">
        <v>72.22</v>
      </c>
      <c r="AE230">
        <v>13</v>
      </c>
    </row>
    <row r="231" spans="1:31">
      <c r="A231">
        <v>282</v>
      </c>
      <c r="B231">
        <v>6472</v>
      </c>
      <c r="C231" t="s">
        <v>301</v>
      </c>
      <c r="D231" t="s">
        <v>226</v>
      </c>
      <c r="E231">
        <v>311</v>
      </c>
      <c r="F231">
        <v>309</v>
      </c>
      <c r="G231">
        <v>1700</v>
      </c>
      <c r="H231" t="s">
        <v>229</v>
      </c>
      <c r="I231">
        <v>6988</v>
      </c>
      <c r="J231" t="s">
        <v>182</v>
      </c>
      <c r="K231" t="s">
        <v>235</v>
      </c>
      <c r="L231">
        <v>5222</v>
      </c>
      <c r="M231">
        <v>5188</v>
      </c>
      <c r="N231">
        <v>100</v>
      </c>
      <c r="O231" t="s">
        <v>227</v>
      </c>
      <c r="P231">
        <v>0.90977585381589998</v>
      </c>
      <c r="Q231">
        <v>0.94413665433498895</v>
      </c>
      <c r="R231">
        <v>0.15932119651337601</v>
      </c>
      <c r="S231">
        <v>6.8815676810418794E-2</v>
      </c>
      <c r="T231">
        <v>0.38791165528828497</v>
      </c>
      <c r="U231">
        <v>0.38791165528828497</v>
      </c>
      <c r="V231">
        <v>1.46</v>
      </c>
      <c r="W231">
        <v>1.25</v>
      </c>
      <c r="X231">
        <v>156670</v>
      </c>
      <c r="Y231">
        <v>12052</v>
      </c>
      <c r="Z231">
        <v>0.73</v>
      </c>
      <c r="AA231">
        <v>13</v>
      </c>
      <c r="AB231">
        <v>8</v>
      </c>
      <c r="AC231">
        <v>5</v>
      </c>
      <c r="AD231">
        <v>61.54</v>
      </c>
      <c r="AE231">
        <v>13</v>
      </c>
    </row>
    <row r="232" spans="1:31">
      <c r="A232">
        <v>286</v>
      </c>
      <c r="B232">
        <v>7182</v>
      </c>
      <c r="C232" t="s">
        <v>248</v>
      </c>
      <c r="D232" t="s">
        <v>232</v>
      </c>
      <c r="E232">
        <v>1030</v>
      </c>
      <c r="F232">
        <v>1026</v>
      </c>
      <c r="G232">
        <v>900</v>
      </c>
      <c r="H232" t="s">
        <v>227</v>
      </c>
      <c r="I232">
        <v>9505</v>
      </c>
      <c r="J232" t="s">
        <v>167</v>
      </c>
      <c r="K232" t="s">
        <v>281</v>
      </c>
      <c r="L232">
        <v>727</v>
      </c>
      <c r="M232">
        <v>716</v>
      </c>
      <c r="N232">
        <v>1300</v>
      </c>
      <c r="O232" t="s">
        <v>229</v>
      </c>
      <c r="P232">
        <v>0.90933101705385</v>
      </c>
      <c r="Q232">
        <v>0.91102949297257696</v>
      </c>
      <c r="R232">
        <v>0.20354337560157101</v>
      </c>
      <c r="S232">
        <v>0.246361446166456</v>
      </c>
      <c r="T232">
        <v>-0.385866438508357</v>
      </c>
      <c r="U232">
        <v>0.385866438508357</v>
      </c>
      <c r="V232">
        <v>-1.43</v>
      </c>
      <c r="W232">
        <v>0.8</v>
      </c>
      <c r="X232">
        <v>-230521</v>
      </c>
      <c r="Y232">
        <v>-13560</v>
      </c>
      <c r="Z232">
        <v>-0.72</v>
      </c>
      <c r="AA232">
        <v>17</v>
      </c>
      <c r="AB232">
        <v>5</v>
      </c>
      <c r="AC232">
        <v>12</v>
      </c>
      <c r="AD232">
        <v>29.41</v>
      </c>
      <c r="AE232">
        <v>15</v>
      </c>
    </row>
    <row r="233" spans="1:31">
      <c r="A233">
        <v>92</v>
      </c>
      <c r="B233">
        <v>4208</v>
      </c>
      <c r="C233" t="s">
        <v>275</v>
      </c>
      <c r="D233" t="s">
        <v>235</v>
      </c>
      <c r="E233">
        <v>2138</v>
      </c>
      <c r="F233">
        <v>2130</v>
      </c>
      <c r="G233">
        <v>400</v>
      </c>
      <c r="H233" t="s">
        <v>227</v>
      </c>
      <c r="I233">
        <v>5991</v>
      </c>
      <c r="J233" t="s">
        <v>122</v>
      </c>
      <c r="K233" t="s">
        <v>262</v>
      </c>
      <c r="L233">
        <v>813</v>
      </c>
      <c r="M233">
        <v>807</v>
      </c>
      <c r="N233">
        <v>1100</v>
      </c>
      <c r="O233" t="s">
        <v>229</v>
      </c>
      <c r="P233">
        <v>0.94657762360271902</v>
      </c>
      <c r="Q233">
        <v>0.91060712900382002</v>
      </c>
      <c r="R233">
        <v>2.68770771690439E-2</v>
      </c>
      <c r="S233">
        <v>0.132594181086052</v>
      </c>
      <c r="T233">
        <v>-0.38328456083431001</v>
      </c>
      <c r="U233">
        <v>0.38328456083431001</v>
      </c>
      <c r="V233">
        <v>-0.96</v>
      </c>
      <c r="W233">
        <v>4.1900000000000004</v>
      </c>
      <c r="X233">
        <v>99124</v>
      </c>
      <c r="Y233">
        <v>6608</v>
      </c>
      <c r="Z233">
        <v>0.31</v>
      </c>
      <c r="AA233">
        <v>15</v>
      </c>
      <c r="AB233">
        <v>9</v>
      </c>
      <c r="AC233">
        <v>6</v>
      </c>
      <c r="AD233">
        <v>60</v>
      </c>
      <c r="AE233">
        <v>11</v>
      </c>
    </row>
    <row r="234" spans="1:31">
      <c r="A234">
        <v>62</v>
      </c>
      <c r="B234">
        <v>6472</v>
      </c>
      <c r="C234" t="s">
        <v>301</v>
      </c>
      <c r="D234" t="s">
        <v>226</v>
      </c>
      <c r="E234">
        <v>311</v>
      </c>
      <c r="F234">
        <v>309</v>
      </c>
      <c r="G234">
        <v>2900</v>
      </c>
      <c r="H234" t="s">
        <v>227</v>
      </c>
      <c r="I234">
        <v>6995</v>
      </c>
      <c r="J234" t="s">
        <v>118</v>
      </c>
      <c r="K234" t="s">
        <v>228</v>
      </c>
      <c r="L234">
        <v>1815</v>
      </c>
      <c r="M234">
        <v>1812</v>
      </c>
      <c r="N234">
        <v>500</v>
      </c>
      <c r="O234" t="s">
        <v>229</v>
      </c>
      <c r="P234">
        <v>0.95428956240108498</v>
      </c>
      <c r="Q234">
        <v>0.95263067168450599</v>
      </c>
      <c r="R234">
        <v>0.29431026841751001</v>
      </c>
      <c r="S234">
        <v>3.7236844104949499E-2</v>
      </c>
      <c r="T234">
        <v>-0.38168127793166001</v>
      </c>
      <c r="U234">
        <v>0.38168127793166001</v>
      </c>
      <c r="V234">
        <v>-1.06</v>
      </c>
      <c r="W234">
        <v>1.0900000000000001</v>
      </c>
      <c r="X234">
        <v>-3051</v>
      </c>
      <c r="Y234">
        <v>-218</v>
      </c>
      <c r="Z234">
        <v>-0.03</v>
      </c>
      <c r="AA234">
        <v>14</v>
      </c>
      <c r="AB234">
        <v>8</v>
      </c>
      <c r="AC234">
        <v>6</v>
      </c>
      <c r="AD234">
        <v>57.14</v>
      </c>
      <c r="AE234">
        <v>14</v>
      </c>
    </row>
    <row r="235" spans="1:31">
      <c r="A235">
        <v>294</v>
      </c>
      <c r="B235">
        <v>5406</v>
      </c>
      <c r="C235" t="s">
        <v>337</v>
      </c>
      <c r="D235" t="s">
        <v>252</v>
      </c>
      <c r="E235">
        <v>570</v>
      </c>
      <c r="F235">
        <v>564</v>
      </c>
      <c r="G235">
        <v>1700</v>
      </c>
      <c r="H235" t="s">
        <v>227</v>
      </c>
      <c r="I235">
        <v>9404</v>
      </c>
      <c r="J235" t="s">
        <v>121</v>
      </c>
      <c r="K235" t="s">
        <v>234</v>
      </c>
      <c r="L235">
        <v>1372</v>
      </c>
      <c r="M235">
        <v>1380</v>
      </c>
      <c r="N235">
        <v>700</v>
      </c>
      <c r="O235" t="s">
        <v>229</v>
      </c>
      <c r="P235">
        <v>0.907854205776502</v>
      </c>
      <c r="Q235">
        <v>0.93851225971827201</v>
      </c>
      <c r="R235">
        <v>1.8809096587811599E-2</v>
      </c>
      <c r="S235">
        <v>2.3204401504464001E-2</v>
      </c>
      <c r="T235">
        <v>-0.38148730437023698</v>
      </c>
      <c r="U235">
        <v>0.38148730437023698</v>
      </c>
      <c r="V235">
        <v>-1.95</v>
      </c>
      <c r="W235">
        <v>0.75</v>
      </c>
      <c r="X235">
        <v>-32766</v>
      </c>
      <c r="Y235">
        <v>-2048</v>
      </c>
      <c r="Z235">
        <v>-0.06</v>
      </c>
      <c r="AA235">
        <v>16</v>
      </c>
      <c r="AB235">
        <v>9</v>
      </c>
      <c r="AC235">
        <v>7</v>
      </c>
      <c r="AD235">
        <v>56.25</v>
      </c>
      <c r="AE235">
        <v>10</v>
      </c>
    </row>
    <row r="236" spans="1:31">
      <c r="A236">
        <v>301</v>
      </c>
      <c r="B236">
        <v>2784</v>
      </c>
      <c r="C236" t="s">
        <v>350</v>
      </c>
      <c r="D236" t="s">
        <v>257</v>
      </c>
      <c r="E236">
        <v>2330</v>
      </c>
      <c r="F236">
        <v>2356</v>
      </c>
      <c r="G236">
        <v>400</v>
      </c>
      <c r="H236" t="s">
        <v>227</v>
      </c>
      <c r="I236">
        <v>7261</v>
      </c>
      <c r="J236" t="s">
        <v>181</v>
      </c>
      <c r="K236" t="s">
        <v>228</v>
      </c>
      <c r="L236">
        <v>947</v>
      </c>
      <c r="M236">
        <v>945.7</v>
      </c>
      <c r="N236">
        <v>1000</v>
      </c>
      <c r="O236" t="s">
        <v>229</v>
      </c>
      <c r="P236">
        <v>0.90625403592360998</v>
      </c>
      <c r="Q236">
        <v>0.90250292701254897</v>
      </c>
      <c r="R236">
        <v>8.45930784096348E-2</v>
      </c>
      <c r="S236">
        <v>5.3891460780497599E-2</v>
      </c>
      <c r="T236">
        <v>-0.37803366980424402</v>
      </c>
      <c r="U236">
        <v>0.37803366980424402</v>
      </c>
      <c r="V236">
        <v>-2.0299999999999998</v>
      </c>
      <c r="W236">
        <v>0.35</v>
      </c>
      <c r="X236">
        <v>-351149</v>
      </c>
      <c r="Y236">
        <v>-18482</v>
      </c>
      <c r="Z236">
        <v>-1.1000000000000001</v>
      </c>
      <c r="AA236">
        <v>19</v>
      </c>
      <c r="AB236">
        <v>6</v>
      </c>
      <c r="AC236">
        <v>13</v>
      </c>
      <c r="AD236">
        <v>31.58</v>
      </c>
      <c r="AE236">
        <v>13</v>
      </c>
    </row>
    <row r="237" spans="1:31">
      <c r="A237">
        <v>326</v>
      </c>
      <c r="B237">
        <v>4401</v>
      </c>
      <c r="C237" t="s">
        <v>351</v>
      </c>
      <c r="D237" t="s">
        <v>235</v>
      </c>
      <c r="E237">
        <v>1340</v>
      </c>
      <c r="F237">
        <v>1352</v>
      </c>
      <c r="G237">
        <v>700</v>
      </c>
      <c r="H237" t="s">
        <v>229</v>
      </c>
      <c r="I237">
        <v>6178</v>
      </c>
      <c r="J237" t="s">
        <v>170</v>
      </c>
      <c r="K237" t="s">
        <v>319</v>
      </c>
      <c r="L237">
        <v>986</v>
      </c>
      <c r="M237">
        <v>981</v>
      </c>
      <c r="N237">
        <v>1000</v>
      </c>
      <c r="O237" t="s">
        <v>227</v>
      </c>
      <c r="P237">
        <v>0.90115878539261596</v>
      </c>
      <c r="Q237">
        <v>0.90183297947867602</v>
      </c>
      <c r="R237">
        <v>0.197322212515947</v>
      </c>
      <c r="S237">
        <v>0.18942494803875201</v>
      </c>
      <c r="T237">
        <v>0.37748096612784798</v>
      </c>
      <c r="U237">
        <v>0.37748096612784798</v>
      </c>
      <c r="V237">
        <v>1.56</v>
      </c>
      <c r="W237">
        <v>3.66</v>
      </c>
      <c r="X237">
        <v>48760</v>
      </c>
      <c r="Y237">
        <v>2709</v>
      </c>
      <c r="Z237">
        <v>0.17</v>
      </c>
      <c r="AA237">
        <v>18</v>
      </c>
      <c r="AB237">
        <v>10</v>
      </c>
      <c r="AC237">
        <v>8</v>
      </c>
      <c r="AD237">
        <v>55.56</v>
      </c>
      <c r="AE237">
        <v>12</v>
      </c>
    </row>
    <row r="238" spans="1:31">
      <c r="A238">
        <v>188</v>
      </c>
      <c r="B238">
        <v>1860</v>
      </c>
      <c r="C238" t="s">
        <v>258</v>
      </c>
      <c r="D238" t="s">
        <v>254</v>
      </c>
      <c r="E238">
        <v>611</v>
      </c>
      <c r="F238">
        <v>611</v>
      </c>
      <c r="G238">
        <v>1400</v>
      </c>
      <c r="H238" t="s">
        <v>227</v>
      </c>
      <c r="I238">
        <v>5110</v>
      </c>
      <c r="J238" t="s">
        <v>137</v>
      </c>
      <c r="K238" t="s">
        <v>284</v>
      </c>
      <c r="L238">
        <v>1281</v>
      </c>
      <c r="M238">
        <v>1264</v>
      </c>
      <c r="N238">
        <v>700</v>
      </c>
      <c r="O238" t="s">
        <v>229</v>
      </c>
      <c r="P238">
        <v>0.92747444011278901</v>
      </c>
      <c r="Q238">
        <v>0.94380412860471297</v>
      </c>
      <c r="R238">
        <v>0.30732748930791898</v>
      </c>
      <c r="S238">
        <v>3.2097557126931301E-3</v>
      </c>
      <c r="T238">
        <v>-0.37599903094897602</v>
      </c>
      <c r="U238">
        <v>0.37599903094897602</v>
      </c>
      <c r="V238">
        <v>-0.79</v>
      </c>
      <c r="W238">
        <v>3.32</v>
      </c>
      <c r="X238">
        <v>54164</v>
      </c>
      <c r="Y238">
        <v>3186</v>
      </c>
      <c r="Z238">
        <v>0.25</v>
      </c>
      <c r="AA238">
        <v>17</v>
      </c>
      <c r="AB238">
        <v>10</v>
      </c>
      <c r="AC238">
        <v>7</v>
      </c>
      <c r="AD238">
        <v>58.82</v>
      </c>
      <c r="AE238">
        <v>14</v>
      </c>
    </row>
    <row r="239" spans="1:31">
      <c r="A239">
        <v>78</v>
      </c>
      <c r="B239">
        <v>7189</v>
      </c>
      <c r="C239" t="s">
        <v>309</v>
      </c>
      <c r="D239" t="s">
        <v>232</v>
      </c>
      <c r="E239">
        <v>736</v>
      </c>
      <c r="F239">
        <v>739</v>
      </c>
      <c r="G239">
        <v>1200</v>
      </c>
      <c r="H239" t="s">
        <v>229</v>
      </c>
      <c r="I239">
        <v>9810</v>
      </c>
      <c r="J239" t="s">
        <v>152</v>
      </c>
      <c r="K239" t="s">
        <v>257</v>
      </c>
      <c r="L239">
        <v>4255</v>
      </c>
      <c r="M239">
        <v>4265</v>
      </c>
      <c r="N239">
        <v>200</v>
      </c>
      <c r="O239" t="s">
        <v>227</v>
      </c>
      <c r="P239">
        <v>0.95017044081341895</v>
      </c>
      <c r="Q239">
        <v>0.92990403485317297</v>
      </c>
      <c r="R239">
        <v>0.25502556844924101</v>
      </c>
      <c r="S239">
        <v>4.9989186811025398E-2</v>
      </c>
      <c r="T239">
        <v>0.37427316222077101</v>
      </c>
      <c r="U239">
        <v>0.37427316222077101</v>
      </c>
      <c r="V239">
        <v>1.42</v>
      </c>
      <c r="W239">
        <v>3.96</v>
      </c>
      <c r="X239">
        <v>28006</v>
      </c>
      <c r="Y239">
        <v>2154</v>
      </c>
      <c r="Z239">
        <v>0.22</v>
      </c>
      <c r="AA239">
        <v>13</v>
      </c>
      <c r="AB239">
        <v>8</v>
      </c>
      <c r="AC239">
        <v>5</v>
      </c>
      <c r="AD239">
        <v>61.54</v>
      </c>
      <c r="AE239">
        <v>12</v>
      </c>
    </row>
    <row r="240" spans="1:31">
      <c r="A240">
        <v>237</v>
      </c>
      <c r="B240">
        <v>4118</v>
      </c>
      <c r="C240" t="s">
        <v>293</v>
      </c>
      <c r="D240" t="s">
        <v>235</v>
      </c>
      <c r="E240">
        <v>3405</v>
      </c>
      <c r="F240">
        <v>3385</v>
      </c>
      <c r="G240">
        <v>200</v>
      </c>
      <c r="H240" t="s">
        <v>227</v>
      </c>
      <c r="I240">
        <v>7751</v>
      </c>
      <c r="J240" t="s">
        <v>178</v>
      </c>
      <c r="K240" t="s">
        <v>231</v>
      </c>
      <c r="L240">
        <v>2855</v>
      </c>
      <c r="M240">
        <v>2825.5</v>
      </c>
      <c r="N240">
        <v>200</v>
      </c>
      <c r="O240" t="s">
        <v>229</v>
      </c>
      <c r="P240">
        <v>0.91700379720443403</v>
      </c>
      <c r="Q240">
        <v>0.91902459583893803</v>
      </c>
      <c r="R240">
        <v>0.29191673480473002</v>
      </c>
      <c r="S240">
        <v>1.42092167363096E-2</v>
      </c>
      <c r="T240">
        <v>-0.367748406783523</v>
      </c>
      <c r="U240">
        <v>0.367748406783523</v>
      </c>
      <c r="V240">
        <v>-2.0499999999999998</v>
      </c>
      <c r="W240">
        <v>16.53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</row>
    <row r="241" spans="1:31">
      <c r="A241">
        <v>116</v>
      </c>
      <c r="B241">
        <v>4005</v>
      </c>
      <c r="C241" t="s">
        <v>330</v>
      </c>
      <c r="D241" t="s">
        <v>235</v>
      </c>
      <c r="E241">
        <v>488</v>
      </c>
      <c r="F241">
        <v>483</v>
      </c>
      <c r="G241">
        <v>1700</v>
      </c>
      <c r="H241" t="s">
        <v>227</v>
      </c>
      <c r="I241">
        <v>7267</v>
      </c>
      <c r="J241" t="s">
        <v>149</v>
      </c>
      <c r="K241" t="s">
        <v>228</v>
      </c>
      <c r="L241">
        <v>2740</v>
      </c>
      <c r="M241">
        <v>2730</v>
      </c>
      <c r="N241">
        <v>300</v>
      </c>
      <c r="O241" t="s">
        <v>229</v>
      </c>
      <c r="P241">
        <v>0.94099853865758898</v>
      </c>
      <c r="Q241">
        <v>0.90349284548137399</v>
      </c>
      <c r="R241">
        <v>1.85006038594553E-3</v>
      </c>
      <c r="S241">
        <v>0.38081353509368698</v>
      </c>
      <c r="T241">
        <v>-0.36390502783488099</v>
      </c>
      <c r="U241">
        <v>0.36390502783488099</v>
      </c>
      <c r="V241">
        <v>-1</v>
      </c>
      <c r="W241">
        <v>0.26</v>
      </c>
      <c r="X241">
        <v>244443</v>
      </c>
      <c r="Y241">
        <v>12865</v>
      </c>
      <c r="Z241">
        <v>0.69</v>
      </c>
      <c r="AA241">
        <v>19</v>
      </c>
      <c r="AB241">
        <v>13</v>
      </c>
      <c r="AC241">
        <v>6</v>
      </c>
      <c r="AD241">
        <v>68.42</v>
      </c>
      <c r="AE241">
        <v>14</v>
      </c>
    </row>
    <row r="242" spans="1:31">
      <c r="A242">
        <v>256</v>
      </c>
      <c r="B242">
        <v>7278</v>
      </c>
      <c r="C242" t="s">
        <v>339</v>
      </c>
      <c r="D242" t="s">
        <v>228</v>
      </c>
      <c r="E242">
        <v>2092</v>
      </c>
      <c r="F242">
        <v>2080</v>
      </c>
      <c r="G242">
        <v>400</v>
      </c>
      <c r="H242" t="s">
        <v>227</v>
      </c>
      <c r="I242">
        <v>9505</v>
      </c>
      <c r="J242" t="s">
        <v>167</v>
      </c>
      <c r="K242" t="s">
        <v>281</v>
      </c>
      <c r="L242">
        <v>727</v>
      </c>
      <c r="M242">
        <v>716</v>
      </c>
      <c r="N242">
        <v>1200</v>
      </c>
      <c r="O242" t="s">
        <v>229</v>
      </c>
      <c r="P242">
        <v>0.91289695634293999</v>
      </c>
      <c r="Q242">
        <v>0.91684893518070698</v>
      </c>
      <c r="R242">
        <v>3.5621543573113902E-2</v>
      </c>
      <c r="S242">
        <v>6.5988064774741201E-2</v>
      </c>
      <c r="T242">
        <v>-0.36212373414669202</v>
      </c>
      <c r="U242">
        <v>0.36212373414669202</v>
      </c>
      <c r="V242">
        <v>-1.18</v>
      </c>
      <c r="W242">
        <v>3.27</v>
      </c>
      <c r="X242">
        <v>163259</v>
      </c>
      <c r="Y242">
        <v>7421</v>
      </c>
      <c r="Z242">
        <v>0.49</v>
      </c>
      <c r="AA242">
        <v>22</v>
      </c>
      <c r="AB242">
        <v>14</v>
      </c>
      <c r="AC242">
        <v>8</v>
      </c>
      <c r="AD242">
        <v>63.64</v>
      </c>
      <c r="AE242">
        <v>12</v>
      </c>
    </row>
    <row r="243" spans="1:31">
      <c r="A243">
        <v>30</v>
      </c>
      <c r="B243">
        <v>3861</v>
      </c>
      <c r="C243" t="s">
        <v>334</v>
      </c>
      <c r="D243" t="s">
        <v>335</v>
      </c>
      <c r="E243">
        <v>507</v>
      </c>
      <c r="F243">
        <v>508</v>
      </c>
      <c r="G243">
        <v>1700</v>
      </c>
      <c r="H243" t="s">
        <v>227</v>
      </c>
      <c r="I243">
        <v>7751</v>
      </c>
      <c r="J243" t="s">
        <v>178</v>
      </c>
      <c r="K243" t="s">
        <v>231</v>
      </c>
      <c r="L243">
        <v>2855</v>
      </c>
      <c r="M243">
        <v>2825.5</v>
      </c>
      <c r="N243">
        <v>300</v>
      </c>
      <c r="O243" t="s">
        <v>229</v>
      </c>
      <c r="P243">
        <v>0.96125093363181502</v>
      </c>
      <c r="Q243">
        <v>0.91243387340686199</v>
      </c>
      <c r="R243">
        <v>4.6868241948813602E-2</v>
      </c>
      <c r="S243">
        <v>1.6916663321294999E-2</v>
      </c>
      <c r="T243">
        <v>-0.361639503106993</v>
      </c>
      <c r="U243">
        <v>0.361639503106993</v>
      </c>
      <c r="V243">
        <v>-1.46</v>
      </c>
      <c r="W243">
        <v>1.88</v>
      </c>
      <c r="X243">
        <v>9630</v>
      </c>
      <c r="Y243">
        <v>482</v>
      </c>
      <c r="Z243">
        <v>-0.02</v>
      </c>
      <c r="AA243">
        <v>20</v>
      </c>
      <c r="AB243">
        <v>11</v>
      </c>
      <c r="AC243">
        <v>9</v>
      </c>
      <c r="AD243">
        <v>55</v>
      </c>
      <c r="AE243">
        <v>14</v>
      </c>
    </row>
    <row r="244" spans="1:31">
      <c r="A244">
        <v>81</v>
      </c>
      <c r="B244">
        <v>5020</v>
      </c>
      <c r="C244" t="s">
        <v>324</v>
      </c>
      <c r="D244" t="s">
        <v>325</v>
      </c>
      <c r="E244">
        <v>483</v>
      </c>
      <c r="F244">
        <v>482.2</v>
      </c>
      <c r="G244">
        <v>2000</v>
      </c>
      <c r="H244" t="s">
        <v>227</v>
      </c>
      <c r="I244">
        <v>6752</v>
      </c>
      <c r="J244" t="s">
        <v>144</v>
      </c>
      <c r="K244" t="s">
        <v>231</v>
      </c>
      <c r="L244">
        <v>887.2</v>
      </c>
      <c r="M244">
        <v>875.7</v>
      </c>
      <c r="N244">
        <v>1100</v>
      </c>
      <c r="O244" t="s">
        <v>229</v>
      </c>
      <c r="P244">
        <v>0.94982343537146796</v>
      </c>
      <c r="Q244">
        <v>0.93728607611756998</v>
      </c>
      <c r="R244">
        <v>4.1812369941157598E-3</v>
      </c>
      <c r="S244">
        <v>0.14496367827852499</v>
      </c>
      <c r="T244">
        <v>-0.35999440515518399</v>
      </c>
      <c r="U244">
        <v>0.35999440515518399</v>
      </c>
      <c r="V244">
        <v>-1.42</v>
      </c>
      <c r="W244">
        <v>0.12</v>
      </c>
      <c r="X244">
        <v>12869</v>
      </c>
      <c r="Y244">
        <v>643</v>
      </c>
      <c r="Z244">
        <v>7.0000000000000007E-2</v>
      </c>
      <c r="AA244">
        <v>20</v>
      </c>
      <c r="AB244">
        <v>9</v>
      </c>
      <c r="AC244">
        <v>11</v>
      </c>
      <c r="AD244">
        <v>45</v>
      </c>
      <c r="AE244">
        <v>13</v>
      </c>
    </row>
    <row r="245" spans="1:31">
      <c r="A245">
        <v>9</v>
      </c>
      <c r="B245">
        <v>7211</v>
      </c>
      <c r="C245" t="s">
        <v>333</v>
      </c>
      <c r="D245" t="s">
        <v>228</v>
      </c>
      <c r="E245">
        <v>470</v>
      </c>
      <c r="F245">
        <v>469</v>
      </c>
      <c r="G245">
        <v>1400</v>
      </c>
      <c r="H245" t="s">
        <v>227</v>
      </c>
      <c r="I245">
        <v>7259</v>
      </c>
      <c r="J245" t="s">
        <v>110</v>
      </c>
      <c r="K245" t="s">
        <v>228</v>
      </c>
      <c r="L245">
        <v>3400</v>
      </c>
      <c r="M245">
        <v>3385</v>
      </c>
      <c r="N245">
        <v>200</v>
      </c>
      <c r="O245" t="s">
        <v>229</v>
      </c>
      <c r="P245">
        <v>0.97237570856920796</v>
      </c>
      <c r="Q245">
        <v>0.92392080945574995</v>
      </c>
      <c r="R245">
        <v>3.9695379969151803E-2</v>
      </c>
      <c r="S245">
        <v>0.24388092500394301</v>
      </c>
      <c r="T245">
        <v>-0.35846837498922701</v>
      </c>
      <c r="U245">
        <v>0.35846837498922701</v>
      </c>
      <c r="V245">
        <v>-0.63</v>
      </c>
      <c r="W245">
        <v>3.01</v>
      </c>
      <c r="X245">
        <v>195030</v>
      </c>
      <c r="Y245">
        <v>10835</v>
      </c>
      <c r="Z245">
        <v>0.53</v>
      </c>
      <c r="AA245">
        <v>18</v>
      </c>
      <c r="AB245">
        <v>10</v>
      </c>
      <c r="AC245">
        <v>8</v>
      </c>
      <c r="AD245">
        <v>55.56</v>
      </c>
      <c r="AE245">
        <v>12</v>
      </c>
    </row>
    <row r="246" spans="1:31">
      <c r="A246">
        <v>215</v>
      </c>
      <c r="B246">
        <v>5020</v>
      </c>
      <c r="C246" t="s">
        <v>324</v>
      </c>
      <c r="D246" t="s">
        <v>325</v>
      </c>
      <c r="E246">
        <v>483</v>
      </c>
      <c r="F246">
        <v>482.2</v>
      </c>
      <c r="G246">
        <v>1900</v>
      </c>
      <c r="H246" t="s">
        <v>229</v>
      </c>
      <c r="I246">
        <v>7013</v>
      </c>
      <c r="J246" t="s">
        <v>172</v>
      </c>
      <c r="K246" t="s">
        <v>226</v>
      </c>
      <c r="L246">
        <v>2301</v>
      </c>
      <c r="M246">
        <v>2286</v>
      </c>
      <c r="N246">
        <v>400</v>
      </c>
      <c r="O246" t="s">
        <v>227</v>
      </c>
      <c r="P246">
        <v>0.92091325249808598</v>
      </c>
      <c r="Q246">
        <v>0.95266655186863503</v>
      </c>
      <c r="R246">
        <v>0.33107685114565799</v>
      </c>
      <c r="S246">
        <v>0.16303287900066701</v>
      </c>
      <c r="T246">
        <v>0.35579233100581198</v>
      </c>
      <c r="U246">
        <v>0.35579233100581198</v>
      </c>
      <c r="V246">
        <v>1.23</v>
      </c>
      <c r="W246">
        <v>0.19</v>
      </c>
      <c r="X246">
        <v>-179375</v>
      </c>
      <c r="Y246">
        <v>-9441</v>
      </c>
      <c r="Z246">
        <v>-0.64</v>
      </c>
      <c r="AA246">
        <v>19</v>
      </c>
      <c r="AB246">
        <v>10</v>
      </c>
      <c r="AC246">
        <v>9</v>
      </c>
      <c r="AD246">
        <v>52.63</v>
      </c>
      <c r="AE246">
        <v>10</v>
      </c>
    </row>
    <row r="247" spans="1:31">
      <c r="A247">
        <v>151</v>
      </c>
      <c r="B247">
        <v>1944</v>
      </c>
      <c r="C247" t="s">
        <v>331</v>
      </c>
      <c r="D247" t="s">
        <v>254</v>
      </c>
      <c r="E247">
        <v>1577</v>
      </c>
      <c r="F247">
        <v>1580</v>
      </c>
      <c r="G247">
        <v>600</v>
      </c>
      <c r="H247" t="s">
        <v>229</v>
      </c>
      <c r="I247">
        <v>9072</v>
      </c>
      <c r="J247" t="s">
        <v>153</v>
      </c>
      <c r="K247" t="s">
        <v>261</v>
      </c>
      <c r="L247">
        <v>2426</v>
      </c>
      <c r="M247">
        <v>2420</v>
      </c>
      <c r="N247">
        <v>400</v>
      </c>
      <c r="O247" t="s">
        <v>227</v>
      </c>
      <c r="P247">
        <v>0.93463681369860396</v>
      </c>
      <c r="Q247">
        <v>0.91616031487348004</v>
      </c>
      <c r="R247">
        <v>4.8261246017244602E-2</v>
      </c>
      <c r="S247">
        <v>7.67320103847208E-2</v>
      </c>
      <c r="T247">
        <v>0.35380278448188102</v>
      </c>
      <c r="U247">
        <v>0.35380278448188102</v>
      </c>
      <c r="V247">
        <v>0.49</v>
      </c>
      <c r="W247">
        <v>2.0699999999999998</v>
      </c>
      <c r="X247">
        <v>130273</v>
      </c>
      <c r="Y247">
        <v>9305</v>
      </c>
      <c r="Z247">
        <v>0.62</v>
      </c>
      <c r="AA247">
        <v>14</v>
      </c>
      <c r="AB247">
        <v>7</v>
      </c>
      <c r="AC247">
        <v>7</v>
      </c>
      <c r="AD247">
        <v>50</v>
      </c>
      <c r="AE247">
        <v>14</v>
      </c>
    </row>
    <row r="248" spans="1:31">
      <c r="A248">
        <v>228</v>
      </c>
      <c r="B248">
        <v>4005</v>
      </c>
      <c r="C248" t="s">
        <v>330</v>
      </c>
      <c r="D248" t="s">
        <v>235</v>
      </c>
      <c r="E248">
        <v>488</v>
      </c>
      <c r="F248">
        <v>483</v>
      </c>
      <c r="G248">
        <v>1900</v>
      </c>
      <c r="H248" t="s">
        <v>227</v>
      </c>
      <c r="I248">
        <v>5802</v>
      </c>
      <c r="J248" t="s">
        <v>129</v>
      </c>
      <c r="K248" t="s">
        <v>247</v>
      </c>
      <c r="L248">
        <v>1343</v>
      </c>
      <c r="M248">
        <v>1341.5</v>
      </c>
      <c r="N248">
        <v>700</v>
      </c>
      <c r="O248" t="s">
        <v>229</v>
      </c>
      <c r="P248">
        <v>0.91862579060649296</v>
      </c>
      <c r="Q248">
        <v>0.93607179969481003</v>
      </c>
      <c r="R248">
        <v>2.9015647639640801E-2</v>
      </c>
      <c r="S248">
        <v>0.111983226604324</v>
      </c>
      <c r="T248">
        <v>-0.35369329947351902</v>
      </c>
      <c r="U248">
        <v>0.35369329947351902</v>
      </c>
      <c r="V248">
        <v>-1.07</v>
      </c>
      <c r="W248">
        <v>2.27</v>
      </c>
      <c r="X248">
        <v>120678</v>
      </c>
      <c r="Y248">
        <v>7542</v>
      </c>
      <c r="Z248">
        <v>0.38</v>
      </c>
      <c r="AA248">
        <v>16</v>
      </c>
      <c r="AB248">
        <v>9</v>
      </c>
      <c r="AC248">
        <v>7</v>
      </c>
      <c r="AD248">
        <v>56.25</v>
      </c>
      <c r="AE248">
        <v>13</v>
      </c>
    </row>
    <row r="249" spans="1:31">
      <c r="A249">
        <v>187</v>
      </c>
      <c r="B249">
        <v>7167</v>
      </c>
      <c r="C249" t="s">
        <v>299</v>
      </c>
      <c r="D249" t="s">
        <v>232</v>
      </c>
      <c r="E249">
        <v>262</v>
      </c>
      <c r="F249">
        <v>261</v>
      </c>
      <c r="G249">
        <v>3400</v>
      </c>
      <c r="H249" t="s">
        <v>227</v>
      </c>
      <c r="I249">
        <v>7984</v>
      </c>
      <c r="J249" t="s">
        <v>186</v>
      </c>
      <c r="K249" t="s">
        <v>307</v>
      </c>
      <c r="L249">
        <v>1474</v>
      </c>
      <c r="M249">
        <v>1480</v>
      </c>
      <c r="N249">
        <v>600</v>
      </c>
      <c r="O249" t="s">
        <v>229</v>
      </c>
      <c r="P249">
        <v>0.92755172642721995</v>
      </c>
      <c r="Q249">
        <v>0.92934731633971801</v>
      </c>
      <c r="R249">
        <v>7.8247776940930103E-3</v>
      </c>
      <c r="S249">
        <v>9.6088653699278204E-3</v>
      </c>
      <c r="T249">
        <v>-0.35038616576361498</v>
      </c>
      <c r="U249">
        <v>0.35038616576361498</v>
      </c>
      <c r="V249">
        <v>-1.46</v>
      </c>
      <c r="W249">
        <v>7.0000000000000007E-2</v>
      </c>
      <c r="X249">
        <v>97119</v>
      </c>
      <c r="Y249">
        <v>5396</v>
      </c>
      <c r="Z249">
        <v>0.28999999999999998</v>
      </c>
      <c r="AA249">
        <v>18</v>
      </c>
      <c r="AB249">
        <v>9</v>
      </c>
      <c r="AC249">
        <v>9</v>
      </c>
      <c r="AD249">
        <v>50</v>
      </c>
      <c r="AE249">
        <v>12</v>
      </c>
    </row>
    <row r="250" spans="1:31">
      <c r="A250">
        <v>13</v>
      </c>
      <c r="B250">
        <v>5411</v>
      </c>
      <c r="C250" t="s">
        <v>340</v>
      </c>
      <c r="D250" t="s">
        <v>252</v>
      </c>
      <c r="E250">
        <v>1289.5</v>
      </c>
      <c r="F250">
        <v>1286</v>
      </c>
      <c r="G250">
        <v>700</v>
      </c>
      <c r="H250" t="s">
        <v>229</v>
      </c>
      <c r="I250">
        <v>7731</v>
      </c>
      <c r="J250" t="s">
        <v>125</v>
      </c>
      <c r="K250" t="s">
        <v>268</v>
      </c>
      <c r="L250">
        <v>1322</v>
      </c>
      <c r="M250">
        <v>1315</v>
      </c>
      <c r="N250">
        <v>700</v>
      </c>
      <c r="O250" t="s">
        <v>227</v>
      </c>
      <c r="P250">
        <v>0.96785932829019095</v>
      </c>
      <c r="Q250">
        <v>0.91035699148703397</v>
      </c>
      <c r="R250">
        <v>1.8036445620917599E-3</v>
      </c>
      <c r="S250">
        <v>0.142394205761572</v>
      </c>
      <c r="T250">
        <v>0.348899976553945</v>
      </c>
      <c r="U250">
        <v>0.348899976553945</v>
      </c>
      <c r="V250">
        <v>1.1299999999999999</v>
      </c>
      <c r="W250">
        <v>2.21</v>
      </c>
      <c r="X250">
        <v>465526</v>
      </c>
      <c r="Y250">
        <v>25863</v>
      </c>
      <c r="Z250">
        <v>1.41</v>
      </c>
      <c r="AA250">
        <v>18</v>
      </c>
      <c r="AB250">
        <v>14</v>
      </c>
      <c r="AC250">
        <v>4</v>
      </c>
      <c r="AD250">
        <v>77.78</v>
      </c>
      <c r="AE250">
        <v>12</v>
      </c>
    </row>
    <row r="251" spans="1:31">
      <c r="A251">
        <v>279</v>
      </c>
      <c r="B251">
        <v>1820</v>
      </c>
      <c r="C251" t="s">
        <v>322</v>
      </c>
      <c r="D251" t="s">
        <v>254</v>
      </c>
      <c r="E251">
        <v>1946</v>
      </c>
      <c r="F251">
        <v>1951</v>
      </c>
      <c r="G251">
        <v>500</v>
      </c>
      <c r="H251" t="s">
        <v>227</v>
      </c>
      <c r="I251">
        <v>9505</v>
      </c>
      <c r="J251" t="s">
        <v>167</v>
      </c>
      <c r="K251" t="s">
        <v>281</v>
      </c>
      <c r="L251">
        <v>727</v>
      </c>
      <c r="M251">
        <v>716</v>
      </c>
      <c r="N251">
        <v>1400</v>
      </c>
      <c r="O251" t="s">
        <v>229</v>
      </c>
      <c r="P251">
        <v>0.91003472323967005</v>
      </c>
      <c r="Q251">
        <v>0.923660547718122</v>
      </c>
      <c r="R251">
        <v>5.5933784997166898E-2</v>
      </c>
      <c r="S251">
        <v>5.0563362970494997E-2</v>
      </c>
      <c r="T251">
        <v>-0.34525575862432201</v>
      </c>
      <c r="U251">
        <v>0.34525575862432201</v>
      </c>
      <c r="V251">
        <v>-1.1100000000000001</v>
      </c>
      <c r="W251">
        <v>2.76</v>
      </c>
      <c r="X251">
        <v>-5932</v>
      </c>
      <c r="Y251">
        <v>-297</v>
      </c>
      <c r="Z251">
        <v>-0.03</v>
      </c>
      <c r="AA251">
        <v>20</v>
      </c>
      <c r="AB251">
        <v>8</v>
      </c>
      <c r="AC251">
        <v>12</v>
      </c>
      <c r="AD251">
        <v>40</v>
      </c>
      <c r="AE251">
        <v>12</v>
      </c>
    </row>
    <row r="252" spans="1:31">
      <c r="A252">
        <v>264</v>
      </c>
      <c r="B252">
        <v>5706</v>
      </c>
      <c r="C252" t="s">
        <v>352</v>
      </c>
      <c r="D252" t="s">
        <v>247</v>
      </c>
      <c r="E252">
        <v>2572</v>
      </c>
      <c r="F252">
        <v>2513</v>
      </c>
      <c r="G252">
        <v>300</v>
      </c>
      <c r="H252" t="s">
        <v>229</v>
      </c>
      <c r="I252">
        <v>6361</v>
      </c>
      <c r="J252" t="s">
        <v>123</v>
      </c>
      <c r="K252" t="s">
        <v>226</v>
      </c>
      <c r="L252">
        <v>2827</v>
      </c>
      <c r="M252">
        <v>2829</v>
      </c>
      <c r="N252">
        <v>300</v>
      </c>
      <c r="O252" t="s">
        <v>227</v>
      </c>
      <c r="P252">
        <v>0.91181060375719403</v>
      </c>
      <c r="Q252">
        <v>0.90033123472413401</v>
      </c>
      <c r="R252">
        <v>0.29996142185541103</v>
      </c>
      <c r="S252">
        <v>3.7355719056709701E-3</v>
      </c>
      <c r="T252">
        <v>0.342064869764104</v>
      </c>
      <c r="U252">
        <v>0.342064869764104</v>
      </c>
      <c r="V252">
        <v>0.95</v>
      </c>
      <c r="W252">
        <v>11.17</v>
      </c>
      <c r="X252">
        <v>79326</v>
      </c>
      <c r="Y252">
        <v>8814</v>
      </c>
      <c r="Z252">
        <v>0.17</v>
      </c>
      <c r="AA252">
        <v>9</v>
      </c>
      <c r="AB252">
        <v>6</v>
      </c>
      <c r="AC252">
        <v>3</v>
      </c>
      <c r="AD252">
        <v>66.67</v>
      </c>
      <c r="AE252">
        <v>10</v>
      </c>
    </row>
    <row r="253" spans="1:31">
      <c r="A253">
        <v>100</v>
      </c>
      <c r="B253">
        <v>5901</v>
      </c>
      <c r="C253" t="s">
        <v>353</v>
      </c>
      <c r="D253" t="s">
        <v>262</v>
      </c>
      <c r="E253">
        <v>1665</v>
      </c>
      <c r="F253">
        <v>1682</v>
      </c>
      <c r="G253">
        <v>500</v>
      </c>
      <c r="H253" t="s">
        <v>229</v>
      </c>
      <c r="I253">
        <v>6178</v>
      </c>
      <c r="J253" t="s">
        <v>170</v>
      </c>
      <c r="K253" t="s">
        <v>319</v>
      </c>
      <c r="L253">
        <v>986</v>
      </c>
      <c r="M253">
        <v>981</v>
      </c>
      <c r="N253">
        <v>900</v>
      </c>
      <c r="O253" t="s">
        <v>227</v>
      </c>
      <c r="P253">
        <v>0.94454612416671802</v>
      </c>
      <c r="Q253">
        <v>0.93123674152319202</v>
      </c>
      <c r="R253">
        <v>5.8071025368247202E-2</v>
      </c>
      <c r="S253">
        <v>0.16071787888226</v>
      </c>
      <c r="T253">
        <v>0.33618355245835801</v>
      </c>
      <c r="U253">
        <v>0.33618355245835801</v>
      </c>
      <c r="V253">
        <v>1.54</v>
      </c>
      <c r="W253">
        <v>4.9800000000000004</v>
      </c>
      <c r="X253">
        <v>37808</v>
      </c>
      <c r="Y253">
        <v>1719</v>
      </c>
      <c r="Z253">
        <v>0.14000000000000001</v>
      </c>
      <c r="AA253">
        <v>22</v>
      </c>
      <c r="AB253">
        <v>13</v>
      </c>
      <c r="AC253">
        <v>9</v>
      </c>
      <c r="AD253">
        <v>59.09</v>
      </c>
      <c r="AE253">
        <v>14</v>
      </c>
    </row>
    <row r="254" spans="1:31">
      <c r="A254">
        <v>258</v>
      </c>
      <c r="B254">
        <v>5301</v>
      </c>
      <c r="C254" t="s">
        <v>237</v>
      </c>
      <c r="D254" t="s">
        <v>238</v>
      </c>
      <c r="E254">
        <v>1074</v>
      </c>
      <c r="F254">
        <v>1061</v>
      </c>
      <c r="G254">
        <v>500</v>
      </c>
      <c r="H254" t="s">
        <v>227</v>
      </c>
      <c r="I254">
        <v>6988</v>
      </c>
      <c r="J254" t="s">
        <v>182</v>
      </c>
      <c r="K254" t="s">
        <v>235</v>
      </c>
      <c r="L254">
        <v>5222</v>
      </c>
      <c r="M254">
        <v>5188</v>
      </c>
      <c r="N254">
        <v>100</v>
      </c>
      <c r="O254" t="s">
        <v>229</v>
      </c>
      <c r="P254">
        <v>0.91251786639982901</v>
      </c>
      <c r="Q254">
        <v>0.91668546405861595</v>
      </c>
      <c r="R254">
        <v>6.3000123810912398E-2</v>
      </c>
      <c r="S254">
        <v>7.1370555998533494E-2</v>
      </c>
      <c r="T254">
        <v>-0.33539439913202601</v>
      </c>
      <c r="U254">
        <v>0.33539439913202601</v>
      </c>
      <c r="V254">
        <v>-0.8</v>
      </c>
      <c r="W254">
        <v>2.2599999999999998</v>
      </c>
      <c r="X254">
        <v>-88370</v>
      </c>
      <c r="Y254">
        <v>-4017</v>
      </c>
      <c r="Z254">
        <v>0.01</v>
      </c>
      <c r="AA254">
        <v>22</v>
      </c>
      <c r="AB254">
        <v>13</v>
      </c>
      <c r="AC254">
        <v>9</v>
      </c>
      <c r="AD254">
        <v>59.09</v>
      </c>
      <c r="AE254">
        <v>9</v>
      </c>
    </row>
    <row r="255" spans="1:31">
      <c r="A255">
        <v>198</v>
      </c>
      <c r="B255">
        <v>3099</v>
      </c>
      <c r="C255" t="s">
        <v>265</v>
      </c>
      <c r="D255" t="s">
        <v>245</v>
      </c>
      <c r="E255">
        <v>855</v>
      </c>
      <c r="F255">
        <v>865</v>
      </c>
      <c r="G255">
        <v>1100</v>
      </c>
      <c r="H255" t="s">
        <v>229</v>
      </c>
      <c r="I255">
        <v>7189</v>
      </c>
      <c r="J255" t="s">
        <v>162</v>
      </c>
      <c r="K255" t="s">
        <v>232</v>
      </c>
      <c r="L255">
        <v>736</v>
      </c>
      <c r="M255">
        <v>739</v>
      </c>
      <c r="N255">
        <v>1300</v>
      </c>
      <c r="O255" t="s">
        <v>227</v>
      </c>
      <c r="P255">
        <v>0.92526390092248101</v>
      </c>
      <c r="Q255">
        <v>0.956261988962951</v>
      </c>
      <c r="R255">
        <v>0.33217043524702999</v>
      </c>
      <c r="S255">
        <v>3.6539045104544803E-2</v>
      </c>
      <c r="T255">
        <v>0.33183301581464902</v>
      </c>
      <c r="U255">
        <v>0.33183301581464902</v>
      </c>
      <c r="V255">
        <v>1</v>
      </c>
      <c r="W255">
        <v>0.97</v>
      </c>
      <c r="X255">
        <v>452842</v>
      </c>
      <c r="Y255">
        <v>28303</v>
      </c>
      <c r="Z255">
        <v>1.52</v>
      </c>
      <c r="AA255">
        <v>16</v>
      </c>
      <c r="AB255">
        <v>11</v>
      </c>
      <c r="AC255">
        <v>5</v>
      </c>
      <c r="AD255">
        <v>68.75</v>
      </c>
      <c r="AE255">
        <v>11</v>
      </c>
    </row>
    <row r="256" spans="1:31">
      <c r="A256">
        <v>210</v>
      </c>
      <c r="B256">
        <v>4208</v>
      </c>
      <c r="C256" t="s">
        <v>275</v>
      </c>
      <c r="D256" t="s">
        <v>235</v>
      </c>
      <c r="E256">
        <v>2138</v>
      </c>
      <c r="F256">
        <v>2130</v>
      </c>
      <c r="G256">
        <v>400</v>
      </c>
      <c r="H256" t="s">
        <v>227</v>
      </c>
      <c r="I256">
        <v>9810</v>
      </c>
      <c r="J256" t="s">
        <v>152</v>
      </c>
      <c r="K256" t="s">
        <v>257</v>
      </c>
      <c r="L256">
        <v>4255</v>
      </c>
      <c r="M256">
        <v>4265</v>
      </c>
      <c r="N256">
        <v>200</v>
      </c>
      <c r="O256" t="s">
        <v>229</v>
      </c>
      <c r="P256">
        <v>0.92282767257537202</v>
      </c>
      <c r="Q256">
        <v>0.92314349888081304</v>
      </c>
      <c r="R256">
        <v>9.6310960294897496E-2</v>
      </c>
      <c r="S256">
        <v>3.6088221829618503E-2</v>
      </c>
      <c r="T256">
        <v>-0.33041174851490002</v>
      </c>
      <c r="U256">
        <v>0.33041174851490002</v>
      </c>
      <c r="V256">
        <v>-0.59</v>
      </c>
      <c r="W256">
        <v>0.12</v>
      </c>
      <c r="X256">
        <v>227410</v>
      </c>
      <c r="Y256">
        <v>22741</v>
      </c>
      <c r="Z256">
        <v>1.67</v>
      </c>
      <c r="AA256">
        <v>10</v>
      </c>
      <c r="AB256">
        <v>8</v>
      </c>
      <c r="AC256">
        <v>2</v>
      </c>
      <c r="AD256">
        <v>80</v>
      </c>
      <c r="AE256">
        <v>14</v>
      </c>
    </row>
    <row r="257" spans="1:31">
      <c r="A257">
        <v>150</v>
      </c>
      <c r="B257">
        <v>7327</v>
      </c>
      <c r="C257" t="s">
        <v>354</v>
      </c>
      <c r="D257" t="s">
        <v>232</v>
      </c>
      <c r="E257">
        <v>2637</v>
      </c>
      <c r="F257">
        <v>2601</v>
      </c>
      <c r="G257">
        <v>300</v>
      </c>
      <c r="H257" t="s">
        <v>227</v>
      </c>
      <c r="I257">
        <v>8316</v>
      </c>
      <c r="J257" t="s">
        <v>161</v>
      </c>
      <c r="K257" t="s">
        <v>232</v>
      </c>
      <c r="L257">
        <v>3645</v>
      </c>
      <c r="M257">
        <v>3617</v>
      </c>
      <c r="N257">
        <v>200</v>
      </c>
      <c r="O257" t="s">
        <v>229</v>
      </c>
      <c r="P257">
        <v>0.93477425270595804</v>
      </c>
      <c r="Q257">
        <v>0.94381813531718095</v>
      </c>
      <c r="R257">
        <v>2.1162987474803098E-3</v>
      </c>
      <c r="S257">
        <v>0.151021763297429</v>
      </c>
      <c r="T257">
        <v>-0.326680243082554</v>
      </c>
      <c r="U257">
        <v>0.326680243082554</v>
      </c>
      <c r="V257">
        <v>-0.77</v>
      </c>
      <c r="W257">
        <v>7.87</v>
      </c>
      <c r="X257">
        <v>12378</v>
      </c>
      <c r="Y257">
        <v>12378</v>
      </c>
      <c r="Z257">
        <v>0.77</v>
      </c>
      <c r="AA257">
        <v>1</v>
      </c>
      <c r="AB257">
        <v>1</v>
      </c>
      <c r="AC257">
        <v>0</v>
      </c>
      <c r="AD257">
        <v>100</v>
      </c>
      <c r="AE257">
        <v>18</v>
      </c>
    </row>
    <row r="258" spans="1:31">
      <c r="A258">
        <v>108</v>
      </c>
      <c r="B258">
        <v>6471</v>
      </c>
      <c r="C258" t="s">
        <v>278</v>
      </c>
      <c r="D258" t="s">
        <v>226</v>
      </c>
      <c r="E258">
        <v>918</v>
      </c>
      <c r="F258">
        <v>910</v>
      </c>
      <c r="G258">
        <v>700</v>
      </c>
      <c r="H258" t="s">
        <v>229</v>
      </c>
      <c r="I258">
        <v>7259</v>
      </c>
      <c r="J258" t="s">
        <v>110</v>
      </c>
      <c r="K258" t="s">
        <v>228</v>
      </c>
      <c r="L258">
        <v>3400</v>
      </c>
      <c r="M258">
        <v>3385</v>
      </c>
      <c r="N258">
        <v>200</v>
      </c>
      <c r="O258" t="s">
        <v>227</v>
      </c>
      <c r="P258">
        <v>0.94272278933288101</v>
      </c>
      <c r="Q258">
        <v>0.92476208414744698</v>
      </c>
      <c r="R258">
        <v>0.21837788195544799</v>
      </c>
      <c r="S258">
        <v>0.174044472518776</v>
      </c>
      <c r="T258">
        <v>0.32354927841002201</v>
      </c>
      <c r="U258">
        <v>0.32354927841002201</v>
      </c>
      <c r="V258">
        <v>0.87</v>
      </c>
      <c r="W258">
        <v>5.91</v>
      </c>
      <c r="X258">
        <v>108965</v>
      </c>
      <c r="Y258">
        <v>5448</v>
      </c>
      <c r="Z258">
        <v>0.37</v>
      </c>
      <c r="AA258">
        <v>20</v>
      </c>
      <c r="AB258">
        <v>12</v>
      </c>
      <c r="AC258">
        <v>8</v>
      </c>
      <c r="AD258">
        <v>60</v>
      </c>
      <c r="AE258">
        <v>12</v>
      </c>
    </row>
    <row r="259" spans="1:31">
      <c r="A259">
        <v>313</v>
      </c>
      <c r="B259">
        <v>1963</v>
      </c>
      <c r="C259" t="s">
        <v>287</v>
      </c>
      <c r="D259" t="s">
        <v>254</v>
      </c>
      <c r="E259">
        <v>1366</v>
      </c>
      <c r="F259">
        <v>1374</v>
      </c>
      <c r="G259">
        <v>700</v>
      </c>
      <c r="H259" t="s">
        <v>227</v>
      </c>
      <c r="I259">
        <v>8795</v>
      </c>
      <c r="J259" t="s">
        <v>173</v>
      </c>
      <c r="K259" t="s">
        <v>288</v>
      </c>
      <c r="L259">
        <v>1155</v>
      </c>
      <c r="M259">
        <v>1145</v>
      </c>
      <c r="N259">
        <v>800</v>
      </c>
      <c r="O259" t="s">
        <v>229</v>
      </c>
      <c r="P259">
        <v>0.90391363240428702</v>
      </c>
      <c r="Q259">
        <v>0.91154564958797601</v>
      </c>
      <c r="R259">
        <v>0.25387977150831598</v>
      </c>
      <c r="S259">
        <v>0.35933672367077701</v>
      </c>
      <c r="T259">
        <v>-0.31796330409783802</v>
      </c>
      <c r="U259">
        <v>0.31796330409783802</v>
      </c>
      <c r="V259">
        <v>-1.03</v>
      </c>
      <c r="W259">
        <v>4.76</v>
      </c>
      <c r="X259">
        <v>-137728</v>
      </c>
      <c r="Y259">
        <v>-7652</v>
      </c>
      <c r="Z259">
        <v>-0.39</v>
      </c>
      <c r="AA259">
        <v>18</v>
      </c>
      <c r="AB259">
        <v>11</v>
      </c>
      <c r="AC259">
        <v>7</v>
      </c>
      <c r="AD259">
        <v>61.11</v>
      </c>
      <c r="AE259">
        <v>11</v>
      </c>
    </row>
    <row r="260" spans="1:31">
      <c r="A260">
        <v>26</v>
      </c>
      <c r="B260">
        <v>7167</v>
      </c>
      <c r="C260" t="s">
        <v>299</v>
      </c>
      <c r="D260" t="s">
        <v>232</v>
      </c>
      <c r="E260">
        <v>262</v>
      </c>
      <c r="F260">
        <v>261</v>
      </c>
      <c r="G260">
        <v>3600</v>
      </c>
      <c r="H260" t="s">
        <v>229</v>
      </c>
      <c r="I260">
        <v>9505</v>
      </c>
      <c r="J260" t="s">
        <v>167</v>
      </c>
      <c r="K260" t="s">
        <v>281</v>
      </c>
      <c r="L260">
        <v>727</v>
      </c>
      <c r="M260">
        <v>716</v>
      </c>
      <c r="N260">
        <v>1300</v>
      </c>
      <c r="O260" t="s">
        <v>227</v>
      </c>
      <c r="P260">
        <v>0.96199182053667798</v>
      </c>
      <c r="Q260">
        <v>0.932161642031066</v>
      </c>
      <c r="R260">
        <v>1.06784487024107E-3</v>
      </c>
      <c r="S260">
        <v>0.21977590027593599</v>
      </c>
      <c r="T260">
        <v>0.3096080744245</v>
      </c>
      <c r="U260">
        <v>0.3096080744245</v>
      </c>
      <c r="V260">
        <v>0.66</v>
      </c>
      <c r="W260">
        <v>0.95</v>
      </c>
      <c r="X260">
        <v>-9737</v>
      </c>
      <c r="Y260">
        <v>-487</v>
      </c>
      <c r="Z260">
        <v>-7.0000000000000007E-2</v>
      </c>
      <c r="AA260">
        <v>20</v>
      </c>
      <c r="AB260">
        <v>8</v>
      </c>
      <c r="AC260">
        <v>12</v>
      </c>
      <c r="AD260">
        <v>40</v>
      </c>
      <c r="AE260">
        <v>13</v>
      </c>
    </row>
    <row r="261" spans="1:31">
      <c r="A261">
        <v>304</v>
      </c>
      <c r="B261">
        <v>5406</v>
      </c>
      <c r="C261" t="s">
        <v>337</v>
      </c>
      <c r="D261" t="s">
        <v>252</v>
      </c>
      <c r="E261">
        <v>570</v>
      </c>
      <c r="F261">
        <v>564</v>
      </c>
      <c r="G261">
        <v>1700</v>
      </c>
      <c r="H261" t="s">
        <v>227</v>
      </c>
      <c r="I261">
        <v>7201</v>
      </c>
      <c r="J261" t="s">
        <v>114</v>
      </c>
      <c r="K261" t="s">
        <v>228</v>
      </c>
      <c r="L261">
        <v>664.5</v>
      </c>
      <c r="M261">
        <v>657.1</v>
      </c>
      <c r="N261">
        <v>1500</v>
      </c>
      <c r="O261" t="s">
        <v>229</v>
      </c>
      <c r="P261">
        <v>0.90555220985573504</v>
      </c>
      <c r="Q261">
        <v>0.97972969042414604</v>
      </c>
      <c r="R261">
        <v>6.5232736057089694E-2</v>
      </c>
      <c r="S261">
        <v>6.6250465745213501E-4</v>
      </c>
      <c r="T261">
        <v>-0.30850585371350397</v>
      </c>
      <c r="U261">
        <v>0.30850585371350397</v>
      </c>
      <c r="V261">
        <v>-1.66</v>
      </c>
      <c r="W261">
        <v>2.72</v>
      </c>
      <c r="X261">
        <v>304102</v>
      </c>
      <c r="Y261">
        <v>20273</v>
      </c>
      <c r="Z261">
        <v>1.05</v>
      </c>
      <c r="AA261">
        <v>15</v>
      </c>
      <c r="AB261">
        <v>11</v>
      </c>
      <c r="AC261">
        <v>4</v>
      </c>
      <c r="AD261">
        <v>73.33</v>
      </c>
      <c r="AE261">
        <v>11</v>
      </c>
    </row>
    <row r="262" spans="1:31">
      <c r="A262">
        <v>174</v>
      </c>
      <c r="B262">
        <v>4401</v>
      </c>
      <c r="C262" t="s">
        <v>351</v>
      </c>
      <c r="D262" t="s">
        <v>235</v>
      </c>
      <c r="E262">
        <v>1340</v>
      </c>
      <c r="F262">
        <v>1352</v>
      </c>
      <c r="G262">
        <v>700</v>
      </c>
      <c r="H262" t="s">
        <v>229</v>
      </c>
      <c r="I262">
        <v>9404</v>
      </c>
      <c r="J262" t="s">
        <v>121</v>
      </c>
      <c r="K262" t="s">
        <v>234</v>
      </c>
      <c r="L262">
        <v>1372</v>
      </c>
      <c r="M262">
        <v>1380</v>
      </c>
      <c r="N262">
        <v>700</v>
      </c>
      <c r="O262" t="s">
        <v>227</v>
      </c>
      <c r="P262">
        <v>0.93110716441987995</v>
      </c>
      <c r="Q262">
        <v>0.92770461708357399</v>
      </c>
      <c r="R262">
        <v>0.21301701813295901</v>
      </c>
      <c r="S262">
        <v>1.04290894186595E-2</v>
      </c>
      <c r="T262">
        <v>0.29625965612752198</v>
      </c>
      <c r="U262">
        <v>0.29625965612752198</v>
      </c>
      <c r="V262">
        <v>1.1299999999999999</v>
      </c>
      <c r="W262">
        <v>2.0299999999999998</v>
      </c>
      <c r="X262">
        <v>260176</v>
      </c>
      <c r="Y262">
        <v>17345</v>
      </c>
      <c r="Z262">
        <v>0.96</v>
      </c>
      <c r="AA262">
        <v>15</v>
      </c>
      <c r="AB262">
        <v>10</v>
      </c>
      <c r="AC262">
        <v>5</v>
      </c>
      <c r="AD262">
        <v>66.67</v>
      </c>
      <c r="AE262">
        <v>16</v>
      </c>
    </row>
    <row r="263" spans="1:31">
      <c r="A263">
        <v>273</v>
      </c>
      <c r="B263">
        <v>5802</v>
      </c>
      <c r="C263" t="s">
        <v>272</v>
      </c>
      <c r="D263" t="s">
        <v>247</v>
      </c>
      <c r="E263">
        <v>1343</v>
      </c>
      <c r="F263">
        <v>1341.5</v>
      </c>
      <c r="G263">
        <v>600</v>
      </c>
      <c r="H263" t="s">
        <v>229</v>
      </c>
      <c r="I263">
        <v>9810</v>
      </c>
      <c r="J263" t="s">
        <v>152</v>
      </c>
      <c r="K263" t="s">
        <v>257</v>
      </c>
      <c r="L263">
        <v>4255</v>
      </c>
      <c r="M263">
        <v>4265</v>
      </c>
      <c r="N263">
        <v>200</v>
      </c>
      <c r="O263" t="s">
        <v>227</v>
      </c>
      <c r="P263">
        <v>0.91080443143733003</v>
      </c>
      <c r="Q263">
        <v>0.92617143751632502</v>
      </c>
      <c r="R263">
        <v>0.38709994095036199</v>
      </c>
      <c r="S263">
        <v>7.2849679378809901E-2</v>
      </c>
      <c r="T263">
        <v>0.29550923973945997</v>
      </c>
      <c r="U263">
        <v>0.29550923973945997</v>
      </c>
      <c r="V263">
        <v>0.76</v>
      </c>
      <c r="W263">
        <v>5.64</v>
      </c>
      <c r="X263">
        <v>38825</v>
      </c>
      <c r="Y263">
        <v>2773</v>
      </c>
      <c r="Z263">
        <v>7.0000000000000007E-2</v>
      </c>
      <c r="AA263">
        <v>14</v>
      </c>
      <c r="AB263">
        <v>9</v>
      </c>
      <c r="AC263">
        <v>5</v>
      </c>
      <c r="AD263">
        <v>64.290000000000006</v>
      </c>
      <c r="AE263">
        <v>15</v>
      </c>
    </row>
    <row r="264" spans="1:31">
      <c r="A264">
        <v>48</v>
      </c>
      <c r="B264">
        <v>8341</v>
      </c>
      <c r="C264" t="s">
        <v>355</v>
      </c>
      <c r="D264" t="s">
        <v>232</v>
      </c>
      <c r="E264">
        <v>1564</v>
      </c>
      <c r="F264">
        <v>1568</v>
      </c>
      <c r="G264">
        <v>600</v>
      </c>
      <c r="H264" t="s">
        <v>227</v>
      </c>
      <c r="I264">
        <v>8750</v>
      </c>
      <c r="J264" t="s">
        <v>143</v>
      </c>
      <c r="K264" t="s">
        <v>288</v>
      </c>
      <c r="L264">
        <v>1653</v>
      </c>
      <c r="M264">
        <v>1624</v>
      </c>
      <c r="N264">
        <v>600</v>
      </c>
      <c r="O264" t="s">
        <v>229</v>
      </c>
      <c r="P264">
        <v>0.95788266471290595</v>
      </c>
      <c r="Q264">
        <v>0.968260461193032</v>
      </c>
      <c r="R264">
        <v>9.0296941111899006E-3</v>
      </c>
      <c r="S264">
        <v>7.1346423139353701E-2</v>
      </c>
      <c r="T264">
        <v>-0.28973906235661201</v>
      </c>
      <c r="U264">
        <v>0.28973906235661201</v>
      </c>
      <c r="V264">
        <v>-0.74</v>
      </c>
      <c r="W264">
        <v>3.45</v>
      </c>
      <c r="X264">
        <v>-10850</v>
      </c>
      <c r="Y264">
        <v>-723</v>
      </c>
      <c r="Z264">
        <v>-0.18</v>
      </c>
      <c r="AA264">
        <v>15</v>
      </c>
      <c r="AB264">
        <v>9</v>
      </c>
      <c r="AC264">
        <v>6</v>
      </c>
      <c r="AD264">
        <v>60</v>
      </c>
      <c r="AE264">
        <v>13</v>
      </c>
    </row>
    <row r="265" spans="1:31">
      <c r="A265">
        <v>105</v>
      </c>
      <c r="B265">
        <v>6417</v>
      </c>
      <c r="C265" t="s">
        <v>356</v>
      </c>
      <c r="D265" t="s">
        <v>226</v>
      </c>
      <c r="E265">
        <v>3715</v>
      </c>
      <c r="F265">
        <v>3685</v>
      </c>
      <c r="G265">
        <v>200</v>
      </c>
      <c r="H265" t="s">
        <v>227</v>
      </c>
      <c r="I265">
        <v>9627</v>
      </c>
      <c r="J265" t="s">
        <v>192</v>
      </c>
      <c r="K265" t="s">
        <v>245</v>
      </c>
      <c r="L265">
        <v>5970</v>
      </c>
      <c r="M265">
        <v>5940</v>
      </c>
      <c r="N265">
        <v>100</v>
      </c>
      <c r="O265" t="s">
        <v>229</v>
      </c>
      <c r="P265">
        <v>0.94376520199826797</v>
      </c>
      <c r="Q265">
        <v>0.91513300205305903</v>
      </c>
      <c r="R265">
        <v>1.27971056059304E-3</v>
      </c>
      <c r="S265">
        <v>3.4251602300422899E-3</v>
      </c>
      <c r="T265">
        <v>-0.28929164281072201</v>
      </c>
      <c r="U265">
        <v>0.28929164281072201</v>
      </c>
      <c r="V265">
        <v>-0.88</v>
      </c>
      <c r="W265">
        <v>24.07</v>
      </c>
      <c r="X265">
        <v>176932</v>
      </c>
      <c r="Y265">
        <v>14744</v>
      </c>
      <c r="Z265">
        <v>0.85</v>
      </c>
      <c r="AA265">
        <v>12</v>
      </c>
      <c r="AB265">
        <v>9</v>
      </c>
      <c r="AC265">
        <v>3</v>
      </c>
      <c r="AD265">
        <v>75</v>
      </c>
      <c r="AE265">
        <v>12</v>
      </c>
    </row>
    <row r="266" spans="1:31">
      <c r="A266">
        <v>31</v>
      </c>
      <c r="B266">
        <v>5406</v>
      </c>
      <c r="C266" t="s">
        <v>337</v>
      </c>
      <c r="D266" t="s">
        <v>252</v>
      </c>
      <c r="E266">
        <v>570</v>
      </c>
      <c r="F266">
        <v>564</v>
      </c>
      <c r="G266">
        <v>1600</v>
      </c>
      <c r="H266" t="s">
        <v>227</v>
      </c>
      <c r="I266">
        <v>7731</v>
      </c>
      <c r="J266" t="s">
        <v>125</v>
      </c>
      <c r="K266" t="s">
        <v>268</v>
      </c>
      <c r="L266">
        <v>1322</v>
      </c>
      <c r="M266">
        <v>1315</v>
      </c>
      <c r="N266">
        <v>700</v>
      </c>
      <c r="O266" t="s">
        <v>229</v>
      </c>
      <c r="P266">
        <v>0.96105233231500997</v>
      </c>
      <c r="Q266">
        <v>0.91265697049426997</v>
      </c>
      <c r="R266">
        <v>4.0476879682194303E-3</v>
      </c>
      <c r="S266">
        <v>0.26879735862854198</v>
      </c>
      <c r="T266">
        <v>-0.28907368453364202</v>
      </c>
      <c r="U266">
        <v>0.28907368453364202</v>
      </c>
      <c r="V266">
        <v>-1.29</v>
      </c>
      <c r="W266">
        <v>1.97</v>
      </c>
      <c r="X266">
        <v>-19027</v>
      </c>
      <c r="Y266">
        <v>-1057</v>
      </c>
      <c r="Z266">
        <v>-0.02</v>
      </c>
      <c r="AA266">
        <v>18</v>
      </c>
      <c r="AB266">
        <v>8</v>
      </c>
      <c r="AC266">
        <v>10</v>
      </c>
      <c r="AD266">
        <v>44.44</v>
      </c>
      <c r="AE266">
        <v>14</v>
      </c>
    </row>
    <row r="267" spans="1:31">
      <c r="A267">
        <v>158</v>
      </c>
      <c r="B267">
        <v>2531</v>
      </c>
      <c r="C267" t="s">
        <v>320</v>
      </c>
      <c r="D267" t="s">
        <v>311</v>
      </c>
      <c r="E267">
        <v>1049</v>
      </c>
      <c r="F267">
        <v>1054</v>
      </c>
      <c r="G267">
        <v>900</v>
      </c>
      <c r="H267" t="s">
        <v>227</v>
      </c>
      <c r="I267">
        <v>5020</v>
      </c>
      <c r="J267" t="s">
        <v>174</v>
      </c>
      <c r="K267" t="s">
        <v>325</v>
      </c>
      <c r="L267">
        <v>483</v>
      </c>
      <c r="M267">
        <v>482.2</v>
      </c>
      <c r="N267">
        <v>2000</v>
      </c>
      <c r="O267" t="s">
        <v>229</v>
      </c>
      <c r="P267">
        <v>0.933678511046655</v>
      </c>
      <c r="Q267">
        <v>0.92182041653580304</v>
      </c>
      <c r="R267">
        <v>4.75939022707383E-2</v>
      </c>
      <c r="S267">
        <v>3.0396468983364702E-2</v>
      </c>
      <c r="T267">
        <v>-0.28256769180970998</v>
      </c>
      <c r="U267">
        <v>0.28256769180970998</v>
      </c>
      <c r="V267">
        <v>-0.96</v>
      </c>
      <c r="W267">
        <v>1.67</v>
      </c>
      <c r="X267">
        <v>226702</v>
      </c>
      <c r="Y267">
        <v>15113</v>
      </c>
      <c r="Z267">
        <v>0.78</v>
      </c>
      <c r="AA267">
        <v>15</v>
      </c>
      <c r="AB267">
        <v>10</v>
      </c>
      <c r="AC267">
        <v>5</v>
      </c>
      <c r="AD267">
        <v>66.67</v>
      </c>
      <c r="AE267">
        <v>10</v>
      </c>
    </row>
    <row r="268" spans="1:31">
      <c r="A268">
        <v>324</v>
      </c>
      <c r="B268">
        <v>4005</v>
      </c>
      <c r="C268" t="s">
        <v>330</v>
      </c>
      <c r="D268" t="s">
        <v>235</v>
      </c>
      <c r="E268">
        <v>488</v>
      </c>
      <c r="F268">
        <v>483</v>
      </c>
      <c r="G268">
        <v>2000</v>
      </c>
      <c r="H268" t="s">
        <v>229</v>
      </c>
      <c r="I268">
        <v>7211</v>
      </c>
      <c r="J268" t="s">
        <v>115</v>
      </c>
      <c r="K268" t="s">
        <v>228</v>
      </c>
      <c r="L268">
        <v>470</v>
      </c>
      <c r="M268">
        <v>469</v>
      </c>
      <c r="N268">
        <v>2100</v>
      </c>
      <c r="O268" t="s">
        <v>227</v>
      </c>
      <c r="P268">
        <v>0.90129972257950897</v>
      </c>
      <c r="Q268">
        <v>0.95486165580466498</v>
      </c>
      <c r="R268">
        <v>0.112773898516302</v>
      </c>
      <c r="S268">
        <v>2.34705368518184E-4</v>
      </c>
      <c r="T268">
        <v>0.28239458329232697</v>
      </c>
      <c r="U268">
        <v>0.28239458329232697</v>
      </c>
      <c r="V268">
        <v>1.1200000000000001</v>
      </c>
      <c r="W268">
        <v>1.96</v>
      </c>
      <c r="X268">
        <v>110367</v>
      </c>
      <c r="Y268">
        <v>6132</v>
      </c>
      <c r="Z268">
        <v>0.3</v>
      </c>
      <c r="AA268">
        <v>18</v>
      </c>
      <c r="AB268">
        <v>10</v>
      </c>
      <c r="AC268">
        <v>8</v>
      </c>
      <c r="AD268">
        <v>55.56</v>
      </c>
      <c r="AE268">
        <v>12</v>
      </c>
    </row>
    <row r="269" spans="1:31">
      <c r="A269">
        <v>272</v>
      </c>
      <c r="B269">
        <v>1605</v>
      </c>
      <c r="C269" t="s">
        <v>357</v>
      </c>
      <c r="D269" t="s">
        <v>358</v>
      </c>
      <c r="E269">
        <v>933.7</v>
      </c>
      <c r="F269">
        <v>931.7</v>
      </c>
      <c r="G269">
        <v>1000</v>
      </c>
      <c r="H269" t="s">
        <v>227</v>
      </c>
      <c r="I269">
        <v>8002</v>
      </c>
      <c r="J269" t="s">
        <v>119</v>
      </c>
      <c r="K269" t="s">
        <v>257</v>
      </c>
      <c r="L269">
        <v>698.5</v>
      </c>
      <c r="M269">
        <v>694.6</v>
      </c>
      <c r="N269">
        <v>1300</v>
      </c>
      <c r="O269" t="s">
        <v>229</v>
      </c>
      <c r="P269">
        <v>0.91090655142813903</v>
      </c>
      <c r="Q269">
        <v>0.92689729541475896</v>
      </c>
      <c r="R269">
        <v>0.380111969030691</v>
      </c>
      <c r="S269">
        <v>6.03921411471302E-2</v>
      </c>
      <c r="T269">
        <v>-0.27788974906686398</v>
      </c>
      <c r="U269">
        <v>0.27788974906686398</v>
      </c>
      <c r="V269">
        <v>-0.59</v>
      </c>
      <c r="W269">
        <v>3.08</v>
      </c>
      <c r="X269">
        <v>-67501</v>
      </c>
      <c r="Y269">
        <v>-4219</v>
      </c>
      <c r="Z269">
        <v>-0.22</v>
      </c>
      <c r="AA269">
        <v>16</v>
      </c>
      <c r="AB269">
        <v>8</v>
      </c>
      <c r="AC269">
        <v>8</v>
      </c>
      <c r="AD269">
        <v>50</v>
      </c>
      <c r="AE269">
        <v>15</v>
      </c>
    </row>
    <row r="270" spans="1:31">
      <c r="A270">
        <v>230</v>
      </c>
      <c r="B270">
        <v>3291</v>
      </c>
      <c r="C270" t="s">
        <v>359</v>
      </c>
      <c r="D270" t="s">
        <v>360</v>
      </c>
      <c r="E270">
        <v>1730</v>
      </c>
      <c r="F270">
        <v>1730</v>
      </c>
      <c r="G270">
        <v>500</v>
      </c>
      <c r="H270" t="s">
        <v>227</v>
      </c>
      <c r="I270">
        <v>7267</v>
      </c>
      <c r="J270" t="s">
        <v>149</v>
      </c>
      <c r="K270" t="s">
        <v>228</v>
      </c>
      <c r="L270">
        <v>2740</v>
      </c>
      <c r="M270">
        <v>2730</v>
      </c>
      <c r="N270">
        <v>300</v>
      </c>
      <c r="O270" t="s">
        <v>229</v>
      </c>
      <c r="P270">
        <v>0.91766204770316995</v>
      </c>
      <c r="Q270">
        <v>0.90066910582209403</v>
      </c>
      <c r="R270">
        <v>0.21181047642405301</v>
      </c>
      <c r="S270">
        <v>3.9993476450038999E-2</v>
      </c>
      <c r="T270">
        <v>-0.27437753227894102</v>
      </c>
      <c r="U270">
        <v>0.27437753227894102</v>
      </c>
      <c r="V270">
        <v>-0.64</v>
      </c>
      <c r="W270">
        <v>5.62</v>
      </c>
      <c r="X270">
        <v>110034</v>
      </c>
      <c r="Y270">
        <v>7860</v>
      </c>
      <c r="Z270">
        <v>0.45</v>
      </c>
      <c r="AA270">
        <v>14</v>
      </c>
      <c r="AB270">
        <v>9</v>
      </c>
      <c r="AC270">
        <v>5</v>
      </c>
      <c r="AD270">
        <v>64.290000000000006</v>
      </c>
      <c r="AE270">
        <v>13</v>
      </c>
    </row>
    <row r="271" spans="1:31">
      <c r="A271">
        <v>17</v>
      </c>
      <c r="B271">
        <v>5233</v>
      </c>
      <c r="C271" t="s">
        <v>361</v>
      </c>
      <c r="D271" t="s">
        <v>238</v>
      </c>
      <c r="E271">
        <v>2820</v>
      </c>
      <c r="F271">
        <v>2802</v>
      </c>
      <c r="G271">
        <v>300</v>
      </c>
      <c r="H271" t="s">
        <v>229</v>
      </c>
      <c r="I271">
        <v>7261</v>
      </c>
      <c r="J271" t="s">
        <v>181</v>
      </c>
      <c r="K271" t="s">
        <v>228</v>
      </c>
      <c r="L271">
        <v>947</v>
      </c>
      <c r="M271">
        <v>945.7</v>
      </c>
      <c r="N271">
        <v>900</v>
      </c>
      <c r="O271" t="s">
        <v>227</v>
      </c>
      <c r="P271">
        <v>0.96705787333319104</v>
      </c>
      <c r="Q271">
        <v>0.90134631361736495</v>
      </c>
      <c r="R271">
        <v>2.21387742847935E-3</v>
      </c>
      <c r="S271">
        <v>0.24313687325708799</v>
      </c>
      <c r="T271">
        <v>0.27181876850262598</v>
      </c>
      <c r="U271">
        <v>0.27181876850262598</v>
      </c>
      <c r="V271">
        <v>0.7</v>
      </c>
      <c r="W271">
        <v>1.25</v>
      </c>
      <c r="X271">
        <v>-109801</v>
      </c>
      <c r="Y271">
        <v>-4991</v>
      </c>
      <c r="Z271">
        <v>-0.19</v>
      </c>
      <c r="AA271">
        <v>22</v>
      </c>
      <c r="AB271">
        <v>12</v>
      </c>
      <c r="AC271">
        <v>10</v>
      </c>
      <c r="AD271">
        <v>54.55</v>
      </c>
      <c r="AE271">
        <v>12</v>
      </c>
    </row>
    <row r="272" spans="1:31">
      <c r="A272">
        <v>25</v>
      </c>
      <c r="B272">
        <v>3861</v>
      </c>
      <c r="C272" t="s">
        <v>334</v>
      </c>
      <c r="D272" t="s">
        <v>335</v>
      </c>
      <c r="E272">
        <v>507</v>
      </c>
      <c r="F272">
        <v>508</v>
      </c>
      <c r="G272">
        <v>1800</v>
      </c>
      <c r="H272" t="s">
        <v>227</v>
      </c>
      <c r="I272">
        <v>5214</v>
      </c>
      <c r="J272" t="s">
        <v>104</v>
      </c>
      <c r="K272" t="s">
        <v>238</v>
      </c>
      <c r="L272">
        <v>2355</v>
      </c>
      <c r="M272">
        <v>2340</v>
      </c>
      <c r="N272">
        <v>400</v>
      </c>
      <c r="O272" t="s">
        <v>229</v>
      </c>
      <c r="P272">
        <v>0.96321743978483598</v>
      </c>
      <c r="Q272">
        <v>0.90287434243928699</v>
      </c>
      <c r="R272">
        <v>0.178458986129513</v>
      </c>
      <c r="S272">
        <v>9.3036771731909801E-2</v>
      </c>
      <c r="T272">
        <v>-0.26927273951282699</v>
      </c>
      <c r="U272">
        <v>0.26927273951282699</v>
      </c>
      <c r="V272">
        <v>-0.73</v>
      </c>
      <c r="W272">
        <v>2.31</v>
      </c>
      <c r="X272">
        <v>-153202</v>
      </c>
      <c r="Y272">
        <v>-7295</v>
      </c>
      <c r="Z272">
        <v>-0.35</v>
      </c>
      <c r="AA272">
        <v>21</v>
      </c>
      <c r="AB272">
        <v>11</v>
      </c>
      <c r="AC272">
        <v>10</v>
      </c>
      <c r="AD272">
        <v>52.38</v>
      </c>
      <c r="AE272">
        <v>10</v>
      </c>
    </row>
    <row r="273" spans="1:31">
      <c r="A273">
        <v>189</v>
      </c>
      <c r="B273">
        <v>3291</v>
      </c>
      <c r="C273" t="s">
        <v>359</v>
      </c>
      <c r="D273" t="s">
        <v>360</v>
      </c>
      <c r="E273">
        <v>1730</v>
      </c>
      <c r="F273">
        <v>1730</v>
      </c>
      <c r="G273">
        <v>500</v>
      </c>
      <c r="H273" t="s">
        <v>227</v>
      </c>
      <c r="I273">
        <v>5802</v>
      </c>
      <c r="J273" t="s">
        <v>129</v>
      </c>
      <c r="K273" t="s">
        <v>247</v>
      </c>
      <c r="L273">
        <v>1343</v>
      </c>
      <c r="M273">
        <v>1341.5</v>
      </c>
      <c r="N273">
        <v>600</v>
      </c>
      <c r="O273" t="s">
        <v>229</v>
      </c>
      <c r="P273">
        <v>0.92711594300300604</v>
      </c>
      <c r="Q273">
        <v>0.925748541787205</v>
      </c>
      <c r="R273">
        <v>6.5285554128065096E-2</v>
      </c>
      <c r="S273">
        <v>0.33720269940377001</v>
      </c>
      <c r="T273">
        <v>-0.26740715925897401</v>
      </c>
      <c r="U273">
        <v>0.26740715925897401</v>
      </c>
      <c r="V273">
        <v>-0.71</v>
      </c>
      <c r="W273">
        <v>6.95</v>
      </c>
      <c r="X273">
        <v>206499</v>
      </c>
      <c r="Y273">
        <v>10325</v>
      </c>
      <c r="Z273">
        <v>0.59</v>
      </c>
      <c r="AA273">
        <v>20</v>
      </c>
      <c r="AB273">
        <v>13</v>
      </c>
      <c r="AC273">
        <v>7</v>
      </c>
      <c r="AD273">
        <v>65</v>
      </c>
      <c r="AE273">
        <v>14</v>
      </c>
    </row>
    <row r="274" spans="1:31">
      <c r="A274">
        <v>142</v>
      </c>
      <c r="B274">
        <v>8242</v>
      </c>
      <c r="C274" t="s">
        <v>316</v>
      </c>
      <c r="D274" t="s">
        <v>245</v>
      </c>
      <c r="E274">
        <v>1191</v>
      </c>
      <c r="F274">
        <v>1199</v>
      </c>
      <c r="G274">
        <v>800</v>
      </c>
      <c r="H274" t="s">
        <v>229</v>
      </c>
      <c r="I274">
        <v>9505</v>
      </c>
      <c r="J274" t="s">
        <v>167</v>
      </c>
      <c r="K274" t="s">
        <v>281</v>
      </c>
      <c r="L274">
        <v>727</v>
      </c>
      <c r="M274">
        <v>716</v>
      </c>
      <c r="N274">
        <v>1300</v>
      </c>
      <c r="O274" t="s">
        <v>227</v>
      </c>
      <c r="P274">
        <v>0.93639990476354695</v>
      </c>
      <c r="Q274">
        <v>0.92017464031282203</v>
      </c>
      <c r="R274">
        <v>1.7139654976500201E-2</v>
      </c>
      <c r="S274">
        <v>0.21859516717390201</v>
      </c>
      <c r="T274">
        <v>0.26366806112742802</v>
      </c>
      <c r="U274">
        <v>0.26366806112742802</v>
      </c>
      <c r="V274">
        <v>0.91</v>
      </c>
      <c r="W274">
        <v>2.96</v>
      </c>
      <c r="X274">
        <v>-237367</v>
      </c>
      <c r="Y274">
        <v>-13963</v>
      </c>
      <c r="Z274">
        <v>-0.8</v>
      </c>
      <c r="AA274">
        <v>17</v>
      </c>
      <c r="AB274">
        <v>6</v>
      </c>
      <c r="AC274">
        <v>11</v>
      </c>
      <c r="AD274">
        <v>35.29</v>
      </c>
      <c r="AE274">
        <v>14</v>
      </c>
    </row>
    <row r="275" spans="1:31">
      <c r="A275">
        <v>297</v>
      </c>
      <c r="B275">
        <v>6371</v>
      </c>
      <c r="C275" t="s">
        <v>298</v>
      </c>
      <c r="D275" t="s">
        <v>226</v>
      </c>
      <c r="E275">
        <v>3365</v>
      </c>
      <c r="F275">
        <v>3400</v>
      </c>
      <c r="G275">
        <v>200</v>
      </c>
      <c r="H275" t="s">
        <v>229</v>
      </c>
      <c r="I275">
        <v>7259</v>
      </c>
      <c r="J275" t="s">
        <v>110</v>
      </c>
      <c r="K275" t="s">
        <v>228</v>
      </c>
      <c r="L275">
        <v>3400</v>
      </c>
      <c r="M275">
        <v>3385</v>
      </c>
      <c r="N275">
        <v>200</v>
      </c>
      <c r="O275" t="s">
        <v>227</v>
      </c>
      <c r="P275">
        <v>0.90721747138975095</v>
      </c>
      <c r="Q275">
        <v>0.93402608748277205</v>
      </c>
      <c r="R275">
        <v>0.17276227819956999</v>
      </c>
      <c r="S275">
        <v>4.8554517757052398E-2</v>
      </c>
      <c r="T275">
        <v>0.26248437627228399</v>
      </c>
      <c r="U275">
        <v>0.26248437627228399</v>
      </c>
      <c r="V275">
        <v>1.04</v>
      </c>
      <c r="W275">
        <v>0.44</v>
      </c>
      <c r="X275">
        <v>275336</v>
      </c>
      <c r="Y275">
        <v>34417</v>
      </c>
      <c r="Z275">
        <v>2.15</v>
      </c>
      <c r="AA275">
        <v>8</v>
      </c>
      <c r="AB275">
        <v>6</v>
      </c>
      <c r="AC275">
        <v>2</v>
      </c>
      <c r="AD275">
        <v>75</v>
      </c>
      <c r="AE275">
        <v>10</v>
      </c>
    </row>
    <row r="276" spans="1:31">
      <c r="A276">
        <v>120</v>
      </c>
      <c r="B276">
        <v>7731</v>
      </c>
      <c r="C276" t="s">
        <v>267</v>
      </c>
      <c r="D276" t="s">
        <v>268</v>
      </c>
      <c r="E276">
        <v>1322</v>
      </c>
      <c r="F276">
        <v>1315</v>
      </c>
      <c r="G276">
        <v>700</v>
      </c>
      <c r="H276" t="s">
        <v>227</v>
      </c>
      <c r="I276">
        <v>9404</v>
      </c>
      <c r="J276" t="s">
        <v>121</v>
      </c>
      <c r="K276" t="s">
        <v>234</v>
      </c>
      <c r="L276">
        <v>1372</v>
      </c>
      <c r="M276">
        <v>1380</v>
      </c>
      <c r="N276">
        <v>700</v>
      </c>
      <c r="O276" t="s">
        <v>229</v>
      </c>
      <c r="P276">
        <v>0.94050770577508402</v>
      </c>
      <c r="Q276">
        <v>0.90853070558475502</v>
      </c>
      <c r="R276">
        <v>1.9133781882227401E-2</v>
      </c>
      <c r="S276">
        <v>3.18406198950641E-2</v>
      </c>
      <c r="T276">
        <v>-0.25470686902529899</v>
      </c>
      <c r="U276">
        <v>0.25470686902529899</v>
      </c>
      <c r="V276">
        <v>-0.65</v>
      </c>
      <c r="W276">
        <v>4.71</v>
      </c>
      <c r="X276">
        <v>365087</v>
      </c>
      <c r="Y276">
        <v>20283</v>
      </c>
      <c r="Z276">
        <v>1.1599999999999999</v>
      </c>
      <c r="AA276">
        <v>18</v>
      </c>
      <c r="AB276">
        <v>13</v>
      </c>
      <c r="AC276">
        <v>5</v>
      </c>
      <c r="AD276">
        <v>72.22</v>
      </c>
      <c r="AE276">
        <v>12</v>
      </c>
    </row>
    <row r="277" spans="1:31">
      <c r="A277">
        <v>103</v>
      </c>
      <c r="B277">
        <v>7259</v>
      </c>
      <c r="C277" t="s">
        <v>362</v>
      </c>
      <c r="D277" t="s">
        <v>228</v>
      </c>
      <c r="E277">
        <v>3400</v>
      </c>
      <c r="F277">
        <v>3385</v>
      </c>
      <c r="G277">
        <v>200</v>
      </c>
      <c r="H277" t="s">
        <v>229</v>
      </c>
      <c r="I277">
        <v>7278</v>
      </c>
      <c r="J277" t="s">
        <v>96</v>
      </c>
      <c r="K277" t="s">
        <v>228</v>
      </c>
      <c r="L277">
        <v>2092</v>
      </c>
      <c r="M277">
        <v>2080</v>
      </c>
      <c r="N277">
        <v>300</v>
      </c>
      <c r="O277" t="s">
        <v>227</v>
      </c>
      <c r="P277">
        <v>0.94431688772779099</v>
      </c>
      <c r="Q277">
        <v>0.93036975350756701</v>
      </c>
      <c r="R277">
        <v>0.307431891698981</v>
      </c>
      <c r="S277">
        <v>0.28966453835287598</v>
      </c>
      <c r="T277">
        <v>0.252811892003032</v>
      </c>
      <c r="U277">
        <v>0.252811892003032</v>
      </c>
      <c r="V277">
        <v>0.67</v>
      </c>
      <c r="W277">
        <v>7.83</v>
      </c>
      <c r="X277">
        <v>240984</v>
      </c>
      <c r="Y277">
        <v>21908</v>
      </c>
      <c r="Z277">
        <v>1.49</v>
      </c>
      <c r="AA277">
        <v>11</v>
      </c>
      <c r="AB277">
        <v>8</v>
      </c>
      <c r="AC277">
        <v>3</v>
      </c>
      <c r="AD277">
        <v>72.73</v>
      </c>
      <c r="AE277">
        <v>14</v>
      </c>
    </row>
    <row r="278" spans="1:31">
      <c r="A278">
        <v>37</v>
      </c>
      <c r="B278">
        <v>7186</v>
      </c>
      <c r="C278" t="s">
        <v>236</v>
      </c>
      <c r="D278" t="s">
        <v>232</v>
      </c>
      <c r="E278">
        <v>407</v>
      </c>
      <c r="F278">
        <v>409</v>
      </c>
      <c r="G278">
        <v>2300</v>
      </c>
      <c r="H278" t="s">
        <v>229</v>
      </c>
      <c r="I278">
        <v>8341</v>
      </c>
      <c r="J278" t="s">
        <v>141</v>
      </c>
      <c r="K278" t="s">
        <v>232</v>
      </c>
      <c r="L278">
        <v>1564</v>
      </c>
      <c r="M278">
        <v>1568</v>
      </c>
      <c r="N278">
        <v>600</v>
      </c>
      <c r="O278" t="s">
        <v>227</v>
      </c>
      <c r="P278">
        <v>0.95968289526458594</v>
      </c>
      <c r="Q278">
        <v>0.93973959129268902</v>
      </c>
      <c r="R278">
        <v>0.117782587783389</v>
      </c>
      <c r="S278">
        <v>0.129735692613311</v>
      </c>
      <c r="T278">
        <v>0.25116877934200199</v>
      </c>
      <c r="U278">
        <v>0.25116877934200199</v>
      </c>
      <c r="V278">
        <v>0.61</v>
      </c>
      <c r="W278">
        <v>0.01</v>
      </c>
      <c r="X278">
        <v>22492</v>
      </c>
      <c r="Y278">
        <v>1184</v>
      </c>
      <c r="Z278">
        <v>0</v>
      </c>
      <c r="AA278">
        <v>19</v>
      </c>
      <c r="AB278">
        <v>8</v>
      </c>
      <c r="AC278">
        <v>11</v>
      </c>
      <c r="AD278">
        <v>42.11</v>
      </c>
      <c r="AE278">
        <v>13</v>
      </c>
    </row>
    <row r="279" spans="1:31">
      <c r="A279">
        <v>327</v>
      </c>
      <c r="B279">
        <v>4182</v>
      </c>
      <c r="C279" t="s">
        <v>286</v>
      </c>
      <c r="D279" t="s">
        <v>235</v>
      </c>
      <c r="E279">
        <v>1408</v>
      </c>
      <c r="F279">
        <v>1402</v>
      </c>
      <c r="G279">
        <v>600</v>
      </c>
      <c r="H279" t="s">
        <v>229</v>
      </c>
      <c r="I279">
        <v>7984</v>
      </c>
      <c r="J279" t="s">
        <v>186</v>
      </c>
      <c r="K279" t="s">
        <v>307</v>
      </c>
      <c r="L279">
        <v>1474</v>
      </c>
      <c r="M279">
        <v>1480</v>
      </c>
      <c r="N279">
        <v>600</v>
      </c>
      <c r="O279" t="s">
        <v>227</v>
      </c>
      <c r="P279">
        <v>0.90110469516166902</v>
      </c>
      <c r="Q279">
        <v>0.92825006707068403</v>
      </c>
      <c r="R279">
        <v>0.32082912108098999</v>
      </c>
      <c r="S279">
        <v>2.0047804796731301E-3</v>
      </c>
      <c r="T279">
        <v>0.23680722484764199</v>
      </c>
      <c r="U279">
        <v>0.23680722484764199</v>
      </c>
      <c r="V279">
        <v>1.01</v>
      </c>
      <c r="W279">
        <v>5.27</v>
      </c>
      <c r="X279">
        <v>389569</v>
      </c>
      <c r="Y279">
        <v>19478</v>
      </c>
      <c r="Z279">
        <v>1.1000000000000001</v>
      </c>
      <c r="AA279">
        <v>20</v>
      </c>
      <c r="AB279">
        <v>13</v>
      </c>
      <c r="AC279">
        <v>7</v>
      </c>
      <c r="AD279">
        <v>65</v>
      </c>
      <c r="AE279">
        <v>9</v>
      </c>
    </row>
    <row r="280" spans="1:31">
      <c r="A280">
        <v>165</v>
      </c>
      <c r="B280">
        <v>7013</v>
      </c>
      <c r="C280" t="s">
        <v>321</v>
      </c>
      <c r="D280" t="s">
        <v>226</v>
      </c>
      <c r="E280">
        <v>2301</v>
      </c>
      <c r="F280">
        <v>2286</v>
      </c>
      <c r="G280">
        <v>400</v>
      </c>
      <c r="H280" t="s">
        <v>227</v>
      </c>
      <c r="I280">
        <v>7278</v>
      </c>
      <c r="J280" t="s">
        <v>96</v>
      </c>
      <c r="K280" t="s">
        <v>228</v>
      </c>
      <c r="L280">
        <v>2092</v>
      </c>
      <c r="M280">
        <v>2080</v>
      </c>
      <c r="N280">
        <v>400</v>
      </c>
      <c r="O280" t="s">
        <v>229</v>
      </c>
      <c r="P280">
        <v>0.93269182134025896</v>
      </c>
      <c r="Q280">
        <v>0.92902148950971197</v>
      </c>
      <c r="R280">
        <v>3.5755547418346099E-2</v>
      </c>
      <c r="S280">
        <v>0.175337481415205</v>
      </c>
      <c r="T280">
        <v>-0.23430240900411001</v>
      </c>
      <c r="U280">
        <v>0.23430240900411001</v>
      </c>
      <c r="V280">
        <v>-1.1100000000000001</v>
      </c>
      <c r="W280">
        <v>9.01</v>
      </c>
      <c r="X280">
        <v>307564</v>
      </c>
      <c r="Y280">
        <v>38446</v>
      </c>
      <c r="Z280">
        <v>2.4500000000000002</v>
      </c>
      <c r="AA280">
        <v>8</v>
      </c>
      <c r="AB280">
        <v>8</v>
      </c>
      <c r="AC280">
        <v>0</v>
      </c>
      <c r="AD280">
        <v>100</v>
      </c>
      <c r="AE280">
        <v>7</v>
      </c>
    </row>
    <row r="281" spans="1:31">
      <c r="A281">
        <v>285</v>
      </c>
      <c r="B281">
        <v>5901</v>
      </c>
      <c r="C281" t="s">
        <v>353</v>
      </c>
      <c r="D281" t="s">
        <v>262</v>
      </c>
      <c r="E281">
        <v>1665</v>
      </c>
      <c r="F281">
        <v>1682</v>
      </c>
      <c r="G281">
        <v>500</v>
      </c>
      <c r="H281" t="s">
        <v>227</v>
      </c>
      <c r="I281">
        <v>7181</v>
      </c>
      <c r="J281" t="s">
        <v>171</v>
      </c>
      <c r="K281" t="s">
        <v>288</v>
      </c>
      <c r="L281">
        <v>1610</v>
      </c>
      <c r="M281">
        <v>1628</v>
      </c>
      <c r="N281">
        <v>500</v>
      </c>
      <c r="O281" t="s">
        <v>229</v>
      </c>
      <c r="P281">
        <v>0.90937699273307104</v>
      </c>
      <c r="Q281">
        <v>0.90926566087836203</v>
      </c>
      <c r="R281">
        <v>6.0614516401657402E-2</v>
      </c>
      <c r="S281">
        <v>0.231009983906142</v>
      </c>
      <c r="T281">
        <v>-0.229467536604367</v>
      </c>
      <c r="U281">
        <v>0.229467536604367</v>
      </c>
      <c r="V281">
        <v>-0.99</v>
      </c>
      <c r="W281">
        <v>3.21</v>
      </c>
      <c r="X281">
        <v>-289934</v>
      </c>
      <c r="Y281">
        <v>-18121</v>
      </c>
      <c r="Z281">
        <v>-1.0900000000000001</v>
      </c>
      <c r="AA281">
        <v>16</v>
      </c>
      <c r="AB281">
        <v>3</v>
      </c>
      <c r="AC281">
        <v>13</v>
      </c>
      <c r="AD281">
        <v>18.75</v>
      </c>
      <c r="AE281">
        <v>14</v>
      </c>
    </row>
    <row r="282" spans="1:31">
      <c r="A282">
        <v>44</v>
      </c>
      <c r="B282">
        <v>8242</v>
      </c>
      <c r="C282" t="s">
        <v>316</v>
      </c>
      <c r="D282" t="s">
        <v>245</v>
      </c>
      <c r="E282">
        <v>1191</v>
      </c>
      <c r="F282">
        <v>1199</v>
      </c>
      <c r="G282">
        <v>700</v>
      </c>
      <c r="H282" t="s">
        <v>229</v>
      </c>
      <c r="I282">
        <v>9810</v>
      </c>
      <c r="J282" t="s">
        <v>152</v>
      </c>
      <c r="K282" t="s">
        <v>257</v>
      </c>
      <c r="L282">
        <v>4255</v>
      </c>
      <c r="M282">
        <v>4265</v>
      </c>
      <c r="N282">
        <v>200</v>
      </c>
      <c r="O282" t="s">
        <v>227</v>
      </c>
      <c r="P282">
        <v>0.95868133567341896</v>
      </c>
      <c r="Q282">
        <v>0.91714887372200804</v>
      </c>
      <c r="R282">
        <v>1.93491200433554E-3</v>
      </c>
      <c r="S282">
        <v>8.8346929288383405E-2</v>
      </c>
      <c r="T282">
        <v>0.229395778203456</v>
      </c>
      <c r="U282">
        <v>0.229395778203456</v>
      </c>
      <c r="V282">
        <v>0.53</v>
      </c>
      <c r="W282">
        <v>1.61</v>
      </c>
      <c r="X282">
        <v>36696</v>
      </c>
      <c r="Y282">
        <v>2446</v>
      </c>
      <c r="Z282">
        <v>0.17</v>
      </c>
      <c r="AA282">
        <v>15</v>
      </c>
      <c r="AB282">
        <v>7</v>
      </c>
      <c r="AC282">
        <v>8</v>
      </c>
      <c r="AD282">
        <v>46.67</v>
      </c>
      <c r="AE282">
        <v>14</v>
      </c>
    </row>
    <row r="283" spans="1:31">
      <c r="A283">
        <v>298</v>
      </c>
      <c r="B283">
        <v>4118</v>
      </c>
      <c r="C283" t="s">
        <v>293</v>
      </c>
      <c r="D283" t="s">
        <v>235</v>
      </c>
      <c r="E283">
        <v>3405</v>
      </c>
      <c r="F283">
        <v>3385</v>
      </c>
      <c r="G283">
        <v>200</v>
      </c>
      <c r="H283" t="s">
        <v>229</v>
      </c>
      <c r="I283">
        <v>9404</v>
      </c>
      <c r="J283" t="s">
        <v>121</v>
      </c>
      <c r="K283" t="s">
        <v>234</v>
      </c>
      <c r="L283">
        <v>1372</v>
      </c>
      <c r="M283">
        <v>1380</v>
      </c>
      <c r="N283">
        <v>500</v>
      </c>
      <c r="O283" t="s">
        <v>227</v>
      </c>
      <c r="P283">
        <v>0.90720471605025099</v>
      </c>
      <c r="Q283">
        <v>0.915466521527876</v>
      </c>
      <c r="R283">
        <v>0.35577280477383999</v>
      </c>
      <c r="S283">
        <v>3.0013099999391502E-2</v>
      </c>
      <c r="T283">
        <v>0.22774968545169499</v>
      </c>
      <c r="U283">
        <v>0.22774968545169499</v>
      </c>
      <c r="V283">
        <v>1</v>
      </c>
      <c r="W283">
        <v>1.92</v>
      </c>
      <c r="X283">
        <v>185939</v>
      </c>
      <c r="Y283">
        <v>10938</v>
      </c>
      <c r="Z283">
        <v>0.76</v>
      </c>
      <c r="AA283">
        <v>17</v>
      </c>
      <c r="AB283">
        <v>11</v>
      </c>
      <c r="AC283">
        <v>6</v>
      </c>
      <c r="AD283">
        <v>64.709999999999994</v>
      </c>
      <c r="AE283">
        <v>14</v>
      </c>
    </row>
    <row r="284" spans="1:31">
      <c r="A284">
        <v>36</v>
      </c>
      <c r="B284">
        <v>4182</v>
      </c>
      <c r="C284" t="s">
        <v>286</v>
      </c>
      <c r="D284" t="s">
        <v>235</v>
      </c>
      <c r="E284">
        <v>1408</v>
      </c>
      <c r="F284">
        <v>1402</v>
      </c>
      <c r="G284">
        <v>600</v>
      </c>
      <c r="H284" t="s">
        <v>227</v>
      </c>
      <c r="I284">
        <v>6995</v>
      </c>
      <c r="J284" t="s">
        <v>118</v>
      </c>
      <c r="K284" t="s">
        <v>228</v>
      </c>
      <c r="L284">
        <v>1815</v>
      </c>
      <c r="M284">
        <v>1812</v>
      </c>
      <c r="N284">
        <v>500</v>
      </c>
      <c r="O284" t="s">
        <v>229</v>
      </c>
      <c r="P284">
        <v>0.95979767075295497</v>
      </c>
      <c r="Q284">
        <v>0.92410908698233496</v>
      </c>
      <c r="R284">
        <v>0.19943598996327</v>
      </c>
      <c r="S284">
        <v>6.4740398075025699E-2</v>
      </c>
      <c r="T284">
        <v>-0.22415811688516499</v>
      </c>
      <c r="U284">
        <v>0.22415811688516499</v>
      </c>
      <c r="V284">
        <v>-0.65</v>
      </c>
      <c r="W284">
        <v>7.15</v>
      </c>
      <c r="X284">
        <v>-34519</v>
      </c>
      <c r="Y284">
        <v>-3138</v>
      </c>
      <c r="Z284">
        <v>-0.23</v>
      </c>
      <c r="AA284">
        <v>11</v>
      </c>
      <c r="AB284">
        <v>6</v>
      </c>
      <c r="AC284">
        <v>5</v>
      </c>
      <c r="AD284">
        <v>54.55</v>
      </c>
      <c r="AE284">
        <v>15</v>
      </c>
    </row>
    <row r="285" spans="1:31">
      <c r="A285">
        <v>259</v>
      </c>
      <c r="B285">
        <v>2784</v>
      </c>
      <c r="C285" t="s">
        <v>350</v>
      </c>
      <c r="D285" t="s">
        <v>257</v>
      </c>
      <c r="E285">
        <v>2330</v>
      </c>
      <c r="F285">
        <v>2356</v>
      </c>
      <c r="G285">
        <v>400</v>
      </c>
      <c r="H285" t="s">
        <v>229</v>
      </c>
      <c r="I285">
        <v>9956</v>
      </c>
      <c r="J285" t="s">
        <v>193</v>
      </c>
      <c r="K285" t="s">
        <v>245</v>
      </c>
      <c r="L285">
        <v>1810</v>
      </c>
      <c r="M285">
        <v>1825</v>
      </c>
      <c r="N285">
        <v>500</v>
      </c>
      <c r="O285" t="s">
        <v>227</v>
      </c>
      <c r="P285">
        <v>0.91237848225947404</v>
      </c>
      <c r="Q285">
        <v>0.91460635796757905</v>
      </c>
      <c r="R285">
        <v>0.11125352776059</v>
      </c>
      <c r="S285">
        <v>6.24177518403633E-2</v>
      </c>
      <c r="T285">
        <v>0.21761643743227399</v>
      </c>
      <c r="U285">
        <v>0.21761643743227399</v>
      </c>
      <c r="V285">
        <v>1.52</v>
      </c>
      <c r="W285">
        <v>3.17</v>
      </c>
      <c r="X285">
        <v>-28357</v>
      </c>
      <c r="Y285">
        <v>-2026</v>
      </c>
      <c r="Z285">
        <v>-0.19</v>
      </c>
      <c r="AA285">
        <v>14</v>
      </c>
      <c r="AB285">
        <v>7</v>
      </c>
      <c r="AC285">
        <v>7</v>
      </c>
      <c r="AD285">
        <v>50</v>
      </c>
      <c r="AE285">
        <v>15</v>
      </c>
    </row>
    <row r="286" spans="1:31">
      <c r="A286">
        <v>244</v>
      </c>
      <c r="B286">
        <v>1820</v>
      </c>
      <c r="C286" t="s">
        <v>322</v>
      </c>
      <c r="D286" t="s">
        <v>254</v>
      </c>
      <c r="E286">
        <v>1946</v>
      </c>
      <c r="F286">
        <v>1951</v>
      </c>
      <c r="G286">
        <v>300</v>
      </c>
      <c r="H286" t="s">
        <v>227</v>
      </c>
      <c r="I286">
        <v>7259</v>
      </c>
      <c r="J286" t="s">
        <v>110</v>
      </c>
      <c r="K286" t="s">
        <v>228</v>
      </c>
      <c r="L286">
        <v>3400</v>
      </c>
      <c r="M286">
        <v>3385</v>
      </c>
      <c r="N286">
        <v>200</v>
      </c>
      <c r="O286" t="s">
        <v>229</v>
      </c>
      <c r="P286">
        <v>0.91533774250113797</v>
      </c>
      <c r="Q286">
        <v>0.91422831048453601</v>
      </c>
      <c r="R286">
        <v>3.8984462145350299E-2</v>
      </c>
      <c r="S286">
        <v>9.8551659524357994E-3</v>
      </c>
      <c r="T286">
        <v>-0.212552694970777</v>
      </c>
      <c r="U286">
        <v>0.212552694970777</v>
      </c>
      <c r="V286">
        <v>-0.7</v>
      </c>
      <c r="W286">
        <v>13.55</v>
      </c>
      <c r="X286">
        <v>-24038</v>
      </c>
      <c r="Y286">
        <v>-1849</v>
      </c>
      <c r="Z286">
        <v>-0.31</v>
      </c>
      <c r="AA286">
        <v>13</v>
      </c>
      <c r="AB286">
        <v>5</v>
      </c>
      <c r="AC286">
        <v>8</v>
      </c>
      <c r="AD286">
        <v>38.46</v>
      </c>
      <c r="AE286">
        <v>11</v>
      </c>
    </row>
    <row r="287" spans="1:31">
      <c r="A287">
        <v>41</v>
      </c>
      <c r="B287">
        <v>4182</v>
      </c>
      <c r="C287" t="s">
        <v>286</v>
      </c>
      <c r="D287" t="s">
        <v>235</v>
      </c>
      <c r="E287">
        <v>1408</v>
      </c>
      <c r="F287">
        <v>1402</v>
      </c>
      <c r="G287">
        <v>700</v>
      </c>
      <c r="H287" t="s">
        <v>229</v>
      </c>
      <c r="I287">
        <v>6472</v>
      </c>
      <c r="J287" t="s">
        <v>134</v>
      </c>
      <c r="K287" t="s">
        <v>226</v>
      </c>
      <c r="L287">
        <v>311</v>
      </c>
      <c r="M287">
        <v>309</v>
      </c>
      <c r="N287">
        <v>3200</v>
      </c>
      <c r="O287" t="s">
        <v>227</v>
      </c>
      <c r="P287">
        <v>0.95917358588108603</v>
      </c>
      <c r="Q287">
        <v>0.945594224150204</v>
      </c>
      <c r="R287">
        <v>0.11454350528893199</v>
      </c>
      <c r="S287">
        <v>0.14814981431947699</v>
      </c>
      <c r="T287">
        <v>0.20412610311812299</v>
      </c>
      <c r="U287">
        <v>0.20412610311812299</v>
      </c>
      <c r="V287">
        <v>0.39</v>
      </c>
      <c r="W287">
        <v>0.75</v>
      </c>
      <c r="X287">
        <v>45328</v>
      </c>
      <c r="Y287">
        <v>2666</v>
      </c>
      <c r="Z287">
        <v>0.17</v>
      </c>
      <c r="AA287">
        <v>17</v>
      </c>
      <c r="AB287">
        <v>9</v>
      </c>
      <c r="AC287">
        <v>8</v>
      </c>
      <c r="AD287">
        <v>52.94</v>
      </c>
      <c r="AE287">
        <v>13</v>
      </c>
    </row>
    <row r="288" spans="1:31">
      <c r="A288">
        <v>50</v>
      </c>
      <c r="B288">
        <v>8359</v>
      </c>
      <c r="C288" t="s">
        <v>363</v>
      </c>
      <c r="D288" t="s">
        <v>232</v>
      </c>
      <c r="E288">
        <v>429</v>
      </c>
      <c r="F288">
        <v>435</v>
      </c>
      <c r="G288">
        <v>2200</v>
      </c>
      <c r="H288" t="s">
        <v>227</v>
      </c>
      <c r="I288">
        <v>8385</v>
      </c>
      <c r="J288" t="s">
        <v>120</v>
      </c>
      <c r="K288" t="s">
        <v>232</v>
      </c>
      <c r="L288">
        <v>565</v>
      </c>
      <c r="M288">
        <v>560</v>
      </c>
      <c r="N288">
        <v>1700</v>
      </c>
      <c r="O288" t="s">
        <v>229</v>
      </c>
      <c r="P288">
        <v>0.95687108993196501</v>
      </c>
      <c r="Q288">
        <v>0.93620256778878397</v>
      </c>
      <c r="R288">
        <v>0.28161351617090402</v>
      </c>
      <c r="S288">
        <v>0.15880079554111701</v>
      </c>
      <c r="T288">
        <v>-0.20202477558299001</v>
      </c>
      <c r="U288">
        <v>0.20202477558299001</v>
      </c>
      <c r="V288">
        <v>-0.48</v>
      </c>
      <c r="W288">
        <v>0.53</v>
      </c>
      <c r="X288">
        <v>222208</v>
      </c>
      <c r="Y288">
        <v>13888</v>
      </c>
      <c r="Z288">
        <v>0.73</v>
      </c>
      <c r="AA288">
        <v>16</v>
      </c>
      <c r="AB288">
        <v>10</v>
      </c>
      <c r="AC288">
        <v>6</v>
      </c>
      <c r="AD288">
        <v>62.5</v>
      </c>
      <c r="AE288">
        <v>14</v>
      </c>
    </row>
    <row r="289" spans="1:31">
      <c r="A289">
        <v>242</v>
      </c>
      <c r="B289">
        <v>1860</v>
      </c>
      <c r="C289" t="s">
        <v>258</v>
      </c>
      <c r="D289" t="s">
        <v>254</v>
      </c>
      <c r="E289">
        <v>611</v>
      </c>
      <c r="F289">
        <v>611</v>
      </c>
      <c r="G289">
        <v>1500</v>
      </c>
      <c r="H289" t="s">
        <v>227</v>
      </c>
      <c r="I289">
        <v>6995</v>
      </c>
      <c r="J289" t="s">
        <v>118</v>
      </c>
      <c r="K289" t="s">
        <v>228</v>
      </c>
      <c r="L289">
        <v>1815</v>
      </c>
      <c r="M289">
        <v>1812</v>
      </c>
      <c r="N289">
        <v>500</v>
      </c>
      <c r="O289" t="s">
        <v>229</v>
      </c>
      <c r="P289">
        <v>0.91610167932519504</v>
      </c>
      <c r="Q289">
        <v>0.91249979162074002</v>
      </c>
      <c r="R289">
        <v>0.32706692253397202</v>
      </c>
      <c r="S289">
        <v>1.5727937584467899E-2</v>
      </c>
      <c r="T289">
        <v>-0.19952993795613999</v>
      </c>
      <c r="U289">
        <v>0.19952993795613999</v>
      </c>
      <c r="V289">
        <v>-0.5</v>
      </c>
      <c r="W289">
        <v>1.1599999999999999</v>
      </c>
      <c r="X289">
        <v>40799</v>
      </c>
      <c r="Y289">
        <v>2040</v>
      </c>
      <c r="Z289">
        <v>0.09</v>
      </c>
      <c r="AA289">
        <v>20</v>
      </c>
      <c r="AB289">
        <v>12</v>
      </c>
      <c r="AC289">
        <v>8</v>
      </c>
      <c r="AD289">
        <v>60</v>
      </c>
      <c r="AE289">
        <v>14</v>
      </c>
    </row>
    <row r="290" spans="1:31">
      <c r="A290">
        <v>35</v>
      </c>
      <c r="B290">
        <v>7167</v>
      </c>
      <c r="C290" t="s">
        <v>299</v>
      </c>
      <c r="D290" t="s">
        <v>232</v>
      </c>
      <c r="E290">
        <v>262</v>
      </c>
      <c r="F290">
        <v>261</v>
      </c>
      <c r="G290">
        <v>3000</v>
      </c>
      <c r="H290" t="s">
        <v>229</v>
      </c>
      <c r="I290">
        <v>7846</v>
      </c>
      <c r="J290" t="s">
        <v>159</v>
      </c>
      <c r="K290" t="s">
        <v>307</v>
      </c>
      <c r="L290">
        <v>3905</v>
      </c>
      <c r="M290">
        <v>3900</v>
      </c>
      <c r="N290">
        <v>200</v>
      </c>
      <c r="O290" t="s">
        <v>227</v>
      </c>
      <c r="P290">
        <v>0.95984563263313605</v>
      </c>
      <c r="Q290">
        <v>0.94136373550674701</v>
      </c>
      <c r="R290">
        <v>5.1756276957421899E-3</v>
      </c>
      <c r="S290">
        <v>0.16095136881776601</v>
      </c>
      <c r="T290">
        <v>0.195632784567738</v>
      </c>
      <c r="U290">
        <v>0.195632784567738</v>
      </c>
      <c r="V290">
        <v>0.41</v>
      </c>
      <c r="W290">
        <v>0.38</v>
      </c>
      <c r="X290">
        <v>-38272</v>
      </c>
      <c r="Y290">
        <v>-1914</v>
      </c>
      <c r="Z290">
        <v>0.03</v>
      </c>
      <c r="AA290">
        <v>20</v>
      </c>
      <c r="AB290">
        <v>9</v>
      </c>
      <c r="AC290">
        <v>11</v>
      </c>
      <c r="AD290">
        <v>45</v>
      </c>
      <c r="AE290">
        <v>14</v>
      </c>
    </row>
    <row r="291" spans="1:31">
      <c r="A291">
        <v>87</v>
      </c>
      <c r="B291">
        <v>5214</v>
      </c>
      <c r="C291" t="s">
        <v>243</v>
      </c>
      <c r="D291" t="s">
        <v>238</v>
      </c>
      <c r="E291">
        <v>2355</v>
      </c>
      <c r="F291">
        <v>2340</v>
      </c>
      <c r="G291">
        <v>400</v>
      </c>
      <c r="H291" t="s">
        <v>227</v>
      </c>
      <c r="I291">
        <v>7751</v>
      </c>
      <c r="J291" t="s">
        <v>178</v>
      </c>
      <c r="K291" t="s">
        <v>231</v>
      </c>
      <c r="L291">
        <v>2855</v>
      </c>
      <c r="M291">
        <v>2825.5</v>
      </c>
      <c r="N291">
        <v>300</v>
      </c>
      <c r="O291" t="s">
        <v>229</v>
      </c>
      <c r="P291">
        <v>0.94824425551637104</v>
      </c>
      <c r="Q291">
        <v>0.91138697509966704</v>
      </c>
      <c r="R291">
        <v>1.7482881806115701E-2</v>
      </c>
      <c r="S291">
        <v>7.7661546233300599E-2</v>
      </c>
      <c r="T291">
        <v>-0.18782514817700799</v>
      </c>
      <c r="U291">
        <v>0.18782514817700799</v>
      </c>
      <c r="V291">
        <v>-0.76</v>
      </c>
      <c r="W291">
        <v>10.42</v>
      </c>
      <c r="X291">
        <v>-114933</v>
      </c>
      <c r="Y291">
        <v>-10448</v>
      </c>
      <c r="Z291">
        <v>-0.6</v>
      </c>
      <c r="AA291">
        <v>11</v>
      </c>
      <c r="AB291">
        <v>5</v>
      </c>
      <c r="AC291">
        <v>6</v>
      </c>
      <c r="AD291">
        <v>45.45</v>
      </c>
      <c r="AE291">
        <v>13</v>
      </c>
    </row>
    <row r="292" spans="1:31">
      <c r="A292">
        <v>57</v>
      </c>
      <c r="B292">
        <v>5401</v>
      </c>
      <c r="C292" t="s">
        <v>295</v>
      </c>
      <c r="D292" t="s">
        <v>252</v>
      </c>
      <c r="E292">
        <v>1485.5</v>
      </c>
      <c r="F292">
        <v>1481</v>
      </c>
      <c r="G292">
        <v>600</v>
      </c>
      <c r="H292" t="s">
        <v>229</v>
      </c>
      <c r="I292">
        <v>6586</v>
      </c>
      <c r="J292" t="s">
        <v>95</v>
      </c>
      <c r="K292" t="s">
        <v>226</v>
      </c>
      <c r="L292">
        <v>3030</v>
      </c>
      <c r="M292">
        <v>3045</v>
      </c>
      <c r="N292">
        <v>300</v>
      </c>
      <c r="O292" t="s">
        <v>227</v>
      </c>
      <c r="P292">
        <v>0.95497696393980702</v>
      </c>
      <c r="Q292">
        <v>0.90937071617771603</v>
      </c>
      <c r="R292">
        <v>0.130283766015444</v>
      </c>
      <c r="S292">
        <v>0.293225644959617</v>
      </c>
      <c r="T292">
        <v>0.17959805343111099</v>
      </c>
      <c r="U292">
        <v>0.17959805343111099</v>
      </c>
      <c r="V292">
        <v>0.81</v>
      </c>
      <c r="W292">
        <v>2.73</v>
      </c>
      <c r="X292">
        <v>95483</v>
      </c>
      <c r="Y292">
        <v>8680</v>
      </c>
      <c r="Z292">
        <v>0.65</v>
      </c>
      <c r="AA292">
        <v>11</v>
      </c>
      <c r="AB292">
        <v>6</v>
      </c>
      <c r="AC292">
        <v>5</v>
      </c>
      <c r="AD292">
        <v>54.55</v>
      </c>
      <c r="AE292">
        <v>14</v>
      </c>
    </row>
    <row r="293" spans="1:31">
      <c r="A293">
        <v>33</v>
      </c>
      <c r="B293">
        <v>4061</v>
      </c>
      <c r="C293" t="s">
        <v>263</v>
      </c>
      <c r="D293" t="s">
        <v>235</v>
      </c>
      <c r="E293">
        <v>2861</v>
      </c>
      <c r="F293">
        <v>2888</v>
      </c>
      <c r="G293">
        <v>300</v>
      </c>
      <c r="H293" t="s">
        <v>227</v>
      </c>
      <c r="I293">
        <v>8377</v>
      </c>
      <c r="J293" t="s">
        <v>108</v>
      </c>
      <c r="K293" t="s">
        <v>232</v>
      </c>
      <c r="L293">
        <v>1021</v>
      </c>
      <c r="M293">
        <v>1017</v>
      </c>
      <c r="N293">
        <v>900</v>
      </c>
      <c r="O293" t="s">
        <v>229</v>
      </c>
      <c r="P293">
        <v>0.96011433565184701</v>
      </c>
      <c r="Q293">
        <v>0.91200887573684097</v>
      </c>
      <c r="R293">
        <v>3.4525140253346201E-2</v>
      </c>
      <c r="S293">
        <v>2.2776427853049199E-2</v>
      </c>
      <c r="T293">
        <v>-0.17836417789989401</v>
      </c>
      <c r="U293">
        <v>0.17836417789989401</v>
      </c>
      <c r="V293">
        <v>-0.44</v>
      </c>
      <c r="W293">
        <v>5.64</v>
      </c>
      <c r="X293">
        <v>-23863</v>
      </c>
      <c r="Y293">
        <v>-1256</v>
      </c>
      <c r="Z293">
        <v>-0.17</v>
      </c>
      <c r="AA293">
        <v>19</v>
      </c>
      <c r="AB293">
        <v>10</v>
      </c>
      <c r="AC293">
        <v>9</v>
      </c>
      <c r="AD293">
        <v>52.63</v>
      </c>
      <c r="AE293">
        <v>11</v>
      </c>
    </row>
    <row r="294" spans="1:31">
      <c r="A294">
        <v>322</v>
      </c>
      <c r="B294">
        <v>5393</v>
      </c>
      <c r="C294" t="s">
        <v>285</v>
      </c>
      <c r="D294" t="s">
        <v>238</v>
      </c>
      <c r="E294">
        <v>1822</v>
      </c>
      <c r="F294">
        <v>1824</v>
      </c>
      <c r="G294">
        <v>400</v>
      </c>
      <c r="H294" t="s">
        <v>229</v>
      </c>
      <c r="I294">
        <v>8316</v>
      </c>
      <c r="J294" t="s">
        <v>161</v>
      </c>
      <c r="K294" t="s">
        <v>232</v>
      </c>
      <c r="L294">
        <v>3645</v>
      </c>
      <c r="M294">
        <v>3617</v>
      </c>
      <c r="N294">
        <v>200</v>
      </c>
      <c r="O294" t="s">
        <v>227</v>
      </c>
      <c r="P294">
        <v>0.90141996162723004</v>
      </c>
      <c r="Q294">
        <v>0.905136508241835</v>
      </c>
      <c r="R294">
        <v>0.35721089076871698</v>
      </c>
      <c r="S294">
        <v>0.170297146369251</v>
      </c>
      <c r="T294">
        <v>0.176503210914495</v>
      </c>
      <c r="U294">
        <v>0.176503210914495</v>
      </c>
      <c r="V294">
        <v>0.46</v>
      </c>
      <c r="W294">
        <v>0.86</v>
      </c>
      <c r="X294">
        <v>477871</v>
      </c>
      <c r="Y294">
        <v>36759</v>
      </c>
      <c r="Z294">
        <v>2.09</v>
      </c>
      <c r="AA294">
        <v>13</v>
      </c>
      <c r="AB294">
        <v>10</v>
      </c>
      <c r="AC294">
        <v>3</v>
      </c>
      <c r="AD294">
        <v>76.92</v>
      </c>
      <c r="AE294">
        <v>12</v>
      </c>
    </row>
    <row r="295" spans="1:31">
      <c r="A295">
        <v>235</v>
      </c>
      <c r="B295">
        <v>4005</v>
      </c>
      <c r="C295" t="s">
        <v>330</v>
      </c>
      <c r="D295" t="s">
        <v>235</v>
      </c>
      <c r="E295">
        <v>488</v>
      </c>
      <c r="F295">
        <v>483</v>
      </c>
      <c r="G295">
        <v>1800</v>
      </c>
      <c r="H295" t="s">
        <v>229</v>
      </c>
      <c r="I295">
        <v>4208</v>
      </c>
      <c r="J295" t="s">
        <v>133</v>
      </c>
      <c r="K295" t="s">
        <v>235</v>
      </c>
      <c r="L295">
        <v>2138</v>
      </c>
      <c r="M295">
        <v>2130</v>
      </c>
      <c r="N295">
        <v>400</v>
      </c>
      <c r="O295" t="s">
        <v>227</v>
      </c>
      <c r="P295">
        <v>0.91703351685827095</v>
      </c>
      <c r="Q295">
        <v>0.90548964257150999</v>
      </c>
      <c r="R295">
        <v>0.29536670895790801</v>
      </c>
      <c r="S295">
        <v>0.223434124370916</v>
      </c>
      <c r="T295">
        <v>0.171646321634847</v>
      </c>
      <c r="U295">
        <v>0.171646321634847</v>
      </c>
      <c r="V295">
        <v>0.33</v>
      </c>
      <c r="W295">
        <v>2.04</v>
      </c>
      <c r="X295">
        <v>-18878</v>
      </c>
      <c r="Y295">
        <v>-1259</v>
      </c>
      <c r="Z295">
        <v>-0.12</v>
      </c>
      <c r="AA295">
        <v>15</v>
      </c>
      <c r="AB295">
        <v>8</v>
      </c>
      <c r="AC295">
        <v>7</v>
      </c>
      <c r="AD295">
        <v>53.33</v>
      </c>
      <c r="AE295">
        <v>13</v>
      </c>
    </row>
    <row r="296" spans="1:31">
      <c r="A296">
        <v>20</v>
      </c>
      <c r="B296">
        <v>6287</v>
      </c>
      <c r="C296" t="s">
        <v>364</v>
      </c>
      <c r="D296" t="s">
        <v>226</v>
      </c>
      <c r="E296">
        <v>2909</v>
      </c>
      <c r="F296">
        <v>2885</v>
      </c>
      <c r="G296">
        <v>300</v>
      </c>
      <c r="H296" t="s">
        <v>227</v>
      </c>
      <c r="I296">
        <v>6465</v>
      </c>
      <c r="J296" t="s">
        <v>194</v>
      </c>
      <c r="K296" t="s">
        <v>226</v>
      </c>
      <c r="L296">
        <v>8410</v>
      </c>
      <c r="M296">
        <v>8370</v>
      </c>
      <c r="N296">
        <v>100</v>
      </c>
      <c r="O296" t="s">
        <v>229</v>
      </c>
      <c r="P296">
        <v>0.965408143003328</v>
      </c>
      <c r="Q296">
        <v>0.91751560044471303</v>
      </c>
      <c r="R296">
        <v>9.5089796103636098E-4</v>
      </c>
      <c r="S296">
        <v>2.3529601396968698E-3</v>
      </c>
      <c r="T296">
        <v>-0.171312247590684</v>
      </c>
      <c r="U296">
        <v>0.171312247590684</v>
      </c>
      <c r="V296">
        <v>-0.27</v>
      </c>
      <c r="W296">
        <v>3.41</v>
      </c>
      <c r="X296">
        <v>78231</v>
      </c>
      <c r="Y296">
        <v>19558</v>
      </c>
      <c r="Z296">
        <v>2.2200000000000002</v>
      </c>
      <c r="AA296">
        <v>4</v>
      </c>
      <c r="AB296">
        <v>2</v>
      </c>
      <c r="AC296">
        <v>2</v>
      </c>
      <c r="AD296">
        <v>50</v>
      </c>
      <c r="AE296">
        <v>12</v>
      </c>
    </row>
    <row r="297" spans="1:31">
      <c r="A297">
        <v>250</v>
      </c>
      <c r="B297">
        <v>5110</v>
      </c>
      <c r="C297" t="s">
        <v>283</v>
      </c>
      <c r="D297" t="s">
        <v>284</v>
      </c>
      <c r="E297">
        <v>1281</v>
      </c>
      <c r="F297">
        <v>1264</v>
      </c>
      <c r="G297">
        <v>700</v>
      </c>
      <c r="H297" t="s">
        <v>227</v>
      </c>
      <c r="I297">
        <v>6923</v>
      </c>
      <c r="J297" t="s">
        <v>126</v>
      </c>
      <c r="K297" t="s">
        <v>231</v>
      </c>
      <c r="L297">
        <v>2800</v>
      </c>
      <c r="M297">
        <v>2780</v>
      </c>
      <c r="N297">
        <v>300</v>
      </c>
      <c r="O297" t="s">
        <v>229</v>
      </c>
      <c r="P297">
        <v>0.91375334811518305</v>
      </c>
      <c r="Q297">
        <v>0.93567302249904205</v>
      </c>
      <c r="R297">
        <v>0.31750387703518002</v>
      </c>
      <c r="S297">
        <v>8.8745539039911295E-2</v>
      </c>
      <c r="T297">
        <v>-0.158922537598886</v>
      </c>
      <c r="U297">
        <v>0.158922537598886</v>
      </c>
      <c r="V297">
        <v>-0.42</v>
      </c>
      <c r="W297">
        <v>6.09</v>
      </c>
      <c r="X297">
        <v>348562</v>
      </c>
      <c r="Y297">
        <v>18345</v>
      </c>
      <c r="Z297">
        <v>1.1100000000000001</v>
      </c>
      <c r="AA297">
        <v>19</v>
      </c>
      <c r="AB297">
        <v>12</v>
      </c>
      <c r="AC297">
        <v>7</v>
      </c>
      <c r="AD297">
        <v>63.16</v>
      </c>
      <c r="AE297">
        <v>14</v>
      </c>
    </row>
    <row r="298" spans="1:31">
      <c r="A298">
        <v>201</v>
      </c>
      <c r="B298">
        <v>6371</v>
      </c>
      <c r="C298" t="s">
        <v>298</v>
      </c>
      <c r="D298" t="s">
        <v>226</v>
      </c>
      <c r="E298">
        <v>3365</v>
      </c>
      <c r="F298">
        <v>3400</v>
      </c>
      <c r="G298">
        <v>300</v>
      </c>
      <c r="H298" t="s">
        <v>229</v>
      </c>
      <c r="I298">
        <v>9810</v>
      </c>
      <c r="J298" t="s">
        <v>152</v>
      </c>
      <c r="K298" t="s">
        <v>257</v>
      </c>
      <c r="L298">
        <v>4255</v>
      </c>
      <c r="M298">
        <v>4265</v>
      </c>
      <c r="N298">
        <v>200</v>
      </c>
      <c r="O298" t="s">
        <v>227</v>
      </c>
      <c r="P298">
        <v>0.92511737990357701</v>
      </c>
      <c r="Q298">
        <v>0.913828712725269</v>
      </c>
      <c r="R298">
        <v>9.7897332560989894E-3</v>
      </c>
      <c r="S298">
        <v>0.19700935113731599</v>
      </c>
      <c r="T298">
        <v>0.151444223404128</v>
      </c>
      <c r="U298">
        <v>0.151444223404128</v>
      </c>
      <c r="V298">
        <v>0.28999999999999998</v>
      </c>
      <c r="W298">
        <v>19.579999999999998</v>
      </c>
      <c r="X298">
        <v>42984</v>
      </c>
      <c r="Y298">
        <v>8597</v>
      </c>
      <c r="Z298">
        <v>0.5</v>
      </c>
      <c r="AA298">
        <v>5</v>
      </c>
      <c r="AB298">
        <v>3</v>
      </c>
      <c r="AC298">
        <v>2</v>
      </c>
      <c r="AD298">
        <v>60</v>
      </c>
      <c r="AE298">
        <v>11</v>
      </c>
    </row>
    <row r="299" spans="1:31">
      <c r="A299">
        <v>22</v>
      </c>
      <c r="B299">
        <v>5020</v>
      </c>
      <c r="C299" t="s">
        <v>324</v>
      </c>
      <c r="D299" t="s">
        <v>325</v>
      </c>
      <c r="E299">
        <v>483</v>
      </c>
      <c r="F299">
        <v>482.2</v>
      </c>
      <c r="G299">
        <v>1500</v>
      </c>
      <c r="H299" t="s">
        <v>229</v>
      </c>
      <c r="I299">
        <v>8316</v>
      </c>
      <c r="J299" t="s">
        <v>161</v>
      </c>
      <c r="K299" t="s">
        <v>232</v>
      </c>
      <c r="L299">
        <v>3645</v>
      </c>
      <c r="M299">
        <v>3617</v>
      </c>
      <c r="N299">
        <v>200</v>
      </c>
      <c r="O299" t="s">
        <v>227</v>
      </c>
      <c r="P299">
        <v>0.96442076548744704</v>
      </c>
      <c r="Q299">
        <v>0.90526059955550797</v>
      </c>
      <c r="R299">
        <v>3.9105637133379098E-2</v>
      </c>
      <c r="S299">
        <v>0.248852720510992</v>
      </c>
      <c r="T299">
        <v>0.13371630723905301</v>
      </c>
      <c r="U299">
        <v>0.13371630723905301</v>
      </c>
      <c r="V299">
        <v>0.56000000000000005</v>
      </c>
      <c r="W299">
        <v>0.01</v>
      </c>
      <c r="X299">
        <v>-66686</v>
      </c>
      <c r="Y299">
        <v>-3334</v>
      </c>
      <c r="Z299">
        <v>-0.22</v>
      </c>
      <c r="AA299">
        <v>20</v>
      </c>
      <c r="AB299">
        <v>10</v>
      </c>
      <c r="AC299">
        <v>10</v>
      </c>
      <c r="AD299">
        <v>50</v>
      </c>
      <c r="AE299">
        <v>14</v>
      </c>
    </row>
    <row r="300" spans="1:31">
      <c r="A300">
        <v>110</v>
      </c>
      <c r="B300">
        <v>7182</v>
      </c>
      <c r="C300" t="s">
        <v>248</v>
      </c>
      <c r="D300" t="s">
        <v>232</v>
      </c>
      <c r="E300">
        <v>1030</v>
      </c>
      <c r="F300">
        <v>1026</v>
      </c>
      <c r="G300">
        <v>900</v>
      </c>
      <c r="H300" t="s">
        <v>227</v>
      </c>
      <c r="I300">
        <v>7211</v>
      </c>
      <c r="J300" t="s">
        <v>115</v>
      </c>
      <c r="K300" t="s">
        <v>228</v>
      </c>
      <c r="L300">
        <v>470</v>
      </c>
      <c r="M300">
        <v>469</v>
      </c>
      <c r="N300">
        <v>2000</v>
      </c>
      <c r="O300" t="s">
        <v>229</v>
      </c>
      <c r="P300">
        <v>0.94217938790097999</v>
      </c>
      <c r="Q300">
        <v>0.96309268610427901</v>
      </c>
      <c r="R300">
        <v>0.163114448626587</v>
      </c>
      <c r="S300">
        <v>1.01338179485606E-2</v>
      </c>
      <c r="T300">
        <v>-0.12928559081461599</v>
      </c>
      <c r="U300">
        <v>0.12928559081461599</v>
      </c>
      <c r="V300">
        <v>-0.37</v>
      </c>
      <c r="W300">
        <v>1.58</v>
      </c>
      <c r="X300">
        <v>136892</v>
      </c>
      <c r="Y300">
        <v>9126</v>
      </c>
      <c r="Z300">
        <v>0.48</v>
      </c>
      <c r="AA300">
        <v>15</v>
      </c>
      <c r="AB300">
        <v>8</v>
      </c>
      <c r="AC300">
        <v>7</v>
      </c>
      <c r="AD300">
        <v>53.33</v>
      </c>
      <c r="AE300">
        <v>16</v>
      </c>
    </row>
    <row r="301" spans="1:31">
      <c r="A301">
        <v>171</v>
      </c>
      <c r="B301">
        <v>5214</v>
      </c>
      <c r="C301" t="s">
        <v>243</v>
      </c>
      <c r="D301" t="s">
        <v>238</v>
      </c>
      <c r="E301">
        <v>2355</v>
      </c>
      <c r="F301">
        <v>2340</v>
      </c>
      <c r="G301">
        <v>300</v>
      </c>
      <c r="H301" t="s">
        <v>227</v>
      </c>
      <c r="I301">
        <v>8058</v>
      </c>
      <c r="J301" t="s">
        <v>195</v>
      </c>
      <c r="K301" t="s">
        <v>257</v>
      </c>
      <c r="L301">
        <v>2630.5</v>
      </c>
      <c r="M301">
        <v>2638.5</v>
      </c>
      <c r="N301">
        <v>300</v>
      </c>
      <c r="O301" t="s">
        <v>229</v>
      </c>
      <c r="P301">
        <v>0.93153628984863801</v>
      </c>
      <c r="Q301">
        <v>0.92394104735793703</v>
      </c>
      <c r="R301">
        <v>8.4304211128808204E-2</v>
      </c>
      <c r="S301">
        <v>4.9394605315017E-2</v>
      </c>
      <c r="T301">
        <v>-0.124483585341385</v>
      </c>
      <c r="U301">
        <v>0.124483585341385</v>
      </c>
      <c r="V301">
        <v>-0.59</v>
      </c>
      <c r="W301">
        <v>11.31</v>
      </c>
      <c r="X301">
        <v>-187373</v>
      </c>
      <c r="Y301">
        <v>-15614</v>
      </c>
      <c r="Z301">
        <v>-0.93</v>
      </c>
      <c r="AA301">
        <v>12</v>
      </c>
      <c r="AB301">
        <v>4</v>
      </c>
      <c r="AC301">
        <v>8</v>
      </c>
      <c r="AD301">
        <v>33.33</v>
      </c>
      <c r="AE301">
        <v>15</v>
      </c>
    </row>
    <row r="302" spans="1:31">
      <c r="A302">
        <v>160</v>
      </c>
      <c r="B302">
        <v>5411</v>
      </c>
      <c r="C302" t="s">
        <v>340</v>
      </c>
      <c r="D302" t="s">
        <v>252</v>
      </c>
      <c r="E302">
        <v>1289.5</v>
      </c>
      <c r="F302">
        <v>1286</v>
      </c>
      <c r="G302">
        <v>800</v>
      </c>
      <c r="H302" t="s">
        <v>229</v>
      </c>
      <c r="I302">
        <v>9404</v>
      </c>
      <c r="J302" t="s">
        <v>121</v>
      </c>
      <c r="K302" t="s">
        <v>234</v>
      </c>
      <c r="L302">
        <v>1372</v>
      </c>
      <c r="M302">
        <v>1380</v>
      </c>
      <c r="N302">
        <v>700</v>
      </c>
      <c r="O302" t="s">
        <v>227</v>
      </c>
      <c r="P302">
        <v>0.933557442884698</v>
      </c>
      <c r="Q302">
        <v>0.92215987685391099</v>
      </c>
      <c r="R302">
        <v>0.12010433422175799</v>
      </c>
      <c r="S302">
        <v>0.190238885954475</v>
      </c>
      <c r="T302">
        <v>0.124323120632565</v>
      </c>
      <c r="U302">
        <v>0.124323120632565</v>
      </c>
      <c r="V302">
        <v>0.49</v>
      </c>
      <c r="W302">
        <v>6.5</v>
      </c>
      <c r="X302">
        <v>-249333</v>
      </c>
      <c r="Y302">
        <v>-12467</v>
      </c>
      <c r="Z302">
        <v>-0.7</v>
      </c>
      <c r="AA302">
        <v>20</v>
      </c>
      <c r="AB302">
        <v>8</v>
      </c>
      <c r="AC302">
        <v>12</v>
      </c>
      <c r="AD302">
        <v>40</v>
      </c>
      <c r="AE302">
        <v>13</v>
      </c>
    </row>
    <row r="303" spans="1:31">
      <c r="A303">
        <v>176</v>
      </c>
      <c r="B303">
        <v>7201</v>
      </c>
      <c r="C303" t="s">
        <v>365</v>
      </c>
      <c r="D303" t="s">
        <v>228</v>
      </c>
      <c r="E303">
        <v>664.5</v>
      </c>
      <c r="F303">
        <v>657.1</v>
      </c>
      <c r="G303">
        <v>1500</v>
      </c>
      <c r="H303" t="s">
        <v>227</v>
      </c>
      <c r="I303">
        <v>9404</v>
      </c>
      <c r="J303" t="s">
        <v>121</v>
      </c>
      <c r="K303" t="s">
        <v>234</v>
      </c>
      <c r="L303">
        <v>1372</v>
      </c>
      <c r="M303">
        <v>1380</v>
      </c>
      <c r="N303">
        <v>700</v>
      </c>
      <c r="O303" t="s">
        <v>229</v>
      </c>
      <c r="P303">
        <v>0.93059296368981403</v>
      </c>
      <c r="Q303">
        <v>0.92150377562597696</v>
      </c>
      <c r="R303">
        <v>0.27622866871653001</v>
      </c>
      <c r="S303">
        <v>0.169160825354609</v>
      </c>
      <c r="T303">
        <v>-0.12369988896463199</v>
      </c>
      <c r="U303">
        <v>0.12369988896463199</v>
      </c>
      <c r="V303">
        <v>-0.34</v>
      </c>
      <c r="W303">
        <v>2.0299999999999998</v>
      </c>
      <c r="X303">
        <v>326914</v>
      </c>
      <c r="Y303">
        <v>19230</v>
      </c>
      <c r="Z303">
        <v>1.06</v>
      </c>
      <c r="AA303">
        <v>17</v>
      </c>
      <c r="AB303">
        <v>14</v>
      </c>
      <c r="AC303">
        <v>3</v>
      </c>
      <c r="AD303">
        <v>82.35</v>
      </c>
      <c r="AE303">
        <v>14</v>
      </c>
    </row>
    <row r="304" spans="1:31">
      <c r="A304">
        <v>276</v>
      </c>
      <c r="B304">
        <v>4581</v>
      </c>
      <c r="C304" t="s">
        <v>250</v>
      </c>
      <c r="D304" t="s">
        <v>251</v>
      </c>
      <c r="E304">
        <v>7770</v>
      </c>
      <c r="F304">
        <v>7760</v>
      </c>
      <c r="G304">
        <v>100</v>
      </c>
      <c r="H304" t="s">
        <v>227</v>
      </c>
      <c r="I304">
        <v>7278</v>
      </c>
      <c r="J304" t="s">
        <v>96</v>
      </c>
      <c r="K304" t="s">
        <v>228</v>
      </c>
      <c r="L304">
        <v>2092</v>
      </c>
      <c r="M304">
        <v>2080</v>
      </c>
      <c r="N304">
        <v>400</v>
      </c>
      <c r="O304" t="s">
        <v>229</v>
      </c>
      <c r="P304">
        <v>0.91039663830430295</v>
      </c>
      <c r="Q304">
        <v>0.91791673162707399</v>
      </c>
      <c r="R304">
        <v>0.21572602900659299</v>
      </c>
      <c r="S304">
        <v>0.39380492338699102</v>
      </c>
      <c r="T304">
        <v>-0.119769949502425</v>
      </c>
      <c r="U304">
        <v>0.119769949502425</v>
      </c>
      <c r="V304">
        <v>-0.32</v>
      </c>
      <c r="W304">
        <v>7.22</v>
      </c>
      <c r="X304">
        <v>-22951</v>
      </c>
      <c r="Y304">
        <v>-7650</v>
      </c>
      <c r="Z304">
        <v>-0.38</v>
      </c>
      <c r="AA304">
        <v>3</v>
      </c>
      <c r="AB304">
        <v>2</v>
      </c>
      <c r="AC304">
        <v>1</v>
      </c>
      <c r="AD304">
        <v>66.67</v>
      </c>
      <c r="AE304">
        <v>15</v>
      </c>
    </row>
    <row r="305" spans="1:31">
      <c r="A305">
        <v>238</v>
      </c>
      <c r="B305">
        <v>3116</v>
      </c>
      <c r="C305" t="s">
        <v>239</v>
      </c>
      <c r="D305" t="s">
        <v>228</v>
      </c>
      <c r="E305">
        <v>1475</v>
      </c>
      <c r="F305">
        <v>1469</v>
      </c>
      <c r="G305">
        <v>600</v>
      </c>
      <c r="H305" t="s">
        <v>227</v>
      </c>
      <c r="I305">
        <v>8601</v>
      </c>
      <c r="J305" t="s">
        <v>105</v>
      </c>
      <c r="K305" t="s">
        <v>242</v>
      </c>
      <c r="L305">
        <v>488.6</v>
      </c>
      <c r="M305">
        <v>482.6</v>
      </c>
      <c r="N305">
        <v>1800</v>
      </c>
      <c r="O305" t="s">
        <v>229</v>
      </c>
      <c r="P305">
        <v>0.91674627011295595</v>
      </c>
      <c r="Q305">
        <v>0.92688182782095396</v>
      </c>
      <c r="R305">
        <v>1.1807971537769E-2</v>
      </c>
      <c r="S305">
        <v>0.20919481016989599</v>
      </c>
      <c r="T305">
        <v>-0.11784085500753499</v>
      </c>
      <c r="U305">
        <v>0.11784085500753499</v>
      </c>
      <c r="V305">
        <v>-0.28000000000000003</v>
      </c>
      <c r="W305">
        <v>1.44</v>
      </c>
      <c r="X305">
        <v>146523</v>
      </c>
      <c r="Y305">
        <v>11271</v>
      </c>
      <c r="Z305">
        <v>0.7</v>
      </c>
      <c r="AA305">
        <v>13</v>
      </c>
      <c r="AB305">
        <v>9</v>
      </c>
      <c r="AC305">
        <v>4</v>
      </c>
      <c r="AD305">
        <v>69.23</v>
      </c>
      <c r="AE305">
        <v>13</v>
      </c>
    </row>
    <row r="306" spans="1:31">
      <c r="A306">
        <v>85</v>
      </c>
      <c r="B306">
        <v>1963</v>
      </c>
      <c r="C306" t="s">
        <v>287</v>
      </c>
      <c r="D306" t="s">
        <v>254</v>
      </c>
      <c r="E306">
        <v>1366</v>
      </c>
      <c r="F306">
        <v>1374</v>
      </c>
      <c r="G306">
        <v>700</v>
      </c>
      <c r="H306" t="s">
        <v>229</v>
      </c>
      <c r="I306">
        <v>6752</v>
      </c>
      <c r="J306" t="s">
        <v>144</v>
      </c>
      <c r="K306" t="s">
        <v>231</v>
      </c>
      <c r="L306">
        <v>887.2</v>
      </c>
      <c r="M306">
        <v>875.7</v>
      </c>
      <c r="N306">
        <v>1100</v>
      </c>
      <c r="O306" t="s">
        <v>227</v>
      </c>
      <c r="P306">
        <v>0.94868164973893598</v>
      </c>
      <c r="Q306">
        <v>0.92113613269581396</v>
      </c>
      <c r="R306">
        <v>7.1288975661790398E-3</v>
      </c>
      <c r="S306">
        <v>0.33110850238608402</v>
      </c>
      <c r="T306">
        <v>0.11684013399161</v>
      </c>
      <c r="U306">
        <v>0.11684013399161</v>
      </c>
      <c r="V306">
        <v>0.38</v>
      </c>
      <c r="W306">
        <v>0.15</v>
      </c>
      <c r="X306">
        <v>-253015</v>
      </c>
      <c r="Y306">
        <v>-11001</v>
      </c>
      <c r="Z306">
        <v>-0.62</v>
      </c>
      <c r="AA306">
        <v>23</v>
      </c>
      <c r="AB306">
        <v>8</v>
      </c>
      <c r="AC306">
        <v>15</v>
      </c>
      <c r="AD306">
        <v>34.78</v>
      </c>
      <c r="AE306">
        <v>11</v>
      </c>
    </row>
    <row r="307" spans="1:31">
      <c r="A307">
        <v>147</v>
      </c>
      <c r="B307">
        <v>6371</v>
      </c>
      <c r="C307" t="s">
        <v>298</v>
      </c>
      <c r="D307" t="s">
        <v>226</v>
      </c>
      <c r="E307">
        <v>3365</v>
      </c>
      <c r="F307">
        <v>3400</v>
      </c>
      <c r="G307">
        <v>200</v>
      </c>
      <c r="H307" t="s">
        <v>229</v>
      </c>
      <c r="I307">
        <v>6752</v>
      </c>
      <c r="J307" t="s">
        <v>144</v>
      </c>
      <c r="K307" t="s">
        <v>231</v>
      </c>
      <c r="L307">
        <v>887.2</v>
      </c>
      <c r="M307">
        <v>875.7</v>
      </c>
      <c r="N307">
        <v>800</v>
      </c>
      <c r="O307" t="s">
        <v>227</v>
      </c>
      <c r="P307">
        <v>0.93546044421770802</v>
      </c>
      <c r="Q307">
        <v>0.93916999576208304</v>
      </c>
      <c r="R307">
        <v>1.5898760651903501E-2</v>
      </c>
      <c r="S307">
        <v>0.143232407278755</v>
      </c>
      <c r="T307">
        <v>0.114902795876401</v>
      </c>
      <c r="U307">
        <v>0.114902795876401</v>
      </c>
      <c r="V307">
        <v>0.19</v>
      </c>
      <c r="W307">
        <v>3.02</v>
      </c>
      <c r="X307">
        <v>-90905</v>
      </c>
      <c r="Y307">
        <v>-4784</v>
      </c>
      <c r="Z307">
        <v>-0.24</v>
      </c>
      <c r="AA307">
        <v>19</v>
      </c>
      <c r="AB307">
        <v>8</v>
      </c>
      <c r="AC307">
        <v>11</v>
      </c>
      <c r="AD307">
        <v>42.11</v>
      </c>
      <c r="AE307">
        <v>14</v>
      </c>
    </row>
    <row r="308" spans="1:31">
      <c r="A308">
        <v>321</v>
      </c>
      <c r="B308">
        <v>3405</v>
      </c>
      <c r="C308" t="s">
        <v>290</v>
      </c>
      <c r="D308" t="s">
        <v>235</v>
      </c>
      <c r="E308">
        <v>1292</v>
      </c>
      <c r="F308">
        <v>1294</v>
      </c>
      <c r="G308">
        <v>700</v>
      </c>
      <c r="H308" t="s">
        <v>227</v>
      </c>
      <c r="I308">
        <v>9412</v>
      </c>
      <c r="J308" t="s">
        <v>169</v>
      </c>
      <c r="K308" t="s">
        <v>234</v>
      </c>
      <c r="L308">
        <v>435</v>
      </c>
      <c r="M308">
        <v>436</v>
      </c>
      <c r="N308">
        <v>2100</v>
      </c>
      <c r="O308" t="s">
        <v>229</v>
      </c>
      <c r="P308">
        <v>0.90145614353506698</v>
      </c>
      <c r="Q308">
        <v>0.901414777601376</v>
      </c>
      <c r="R308">
        <v>1.7869572173788201E-3</v>
      </c>
      <c r="S308">
        <v>0.12901787134762299</v>
      </c>
      <c r="T308">
        <v>-0.114836630189654</v>
      </c>
      <c r="U308">
        <v>0.114836630189654</v>
      </c>
      <c r="V308">
        <v>-0.27</v>
      </c>
      <c r="W308">
        <v>1.08</v>
      </c>
      <c r="X308">
        <v>-278476</v>
      </c>
      <c r="Y308">
        <v>-14657</v>
      </c>
      <c r="Z308">
        <v>-0.8</v>
      </c>
      <c r="AA308">
        <v>19</v>
      </c>
      <c r="AB308">
        <v>6</v>
      </c>
      <c r="AC308">
        <v>13</v>
      </c>
      <c r="AD308">
        <v>31.58</v>
      </c>
      <c r="AE308">
        <v>11</v>
      </c>
    </row>
    <row r="309" spans="1:31">
      <c r="A309">
        <v>195</v>
      </c>
      <c r="B309">
        <v>6752</v>
      </c>
      <c r="C309" t="s">
        <v>308</v>
      </c>
      <c r="D309" t="s">
        <v>231</v>
      </c>
      <c r="E309">
        <v>887.2</v>
      </c>
      <c r="F309">
        <v>875.7</v>
      </c>
      <c r="G309">
        <v>1100</v>
      </c>
      <c r="H309" t="s">
        <v>229</v>
      </c>
      <c r="I309">
        <v>9505</v>
      </c>
      <c r="J309" t="s">
        <v>167</v>
      </c>
      <c r="K309" t="s">
        <v>281</v>
      </c>
      <c r="L309">
        <v>727</v>
      </c>
      <c r="M309">
        <v>716</v>
      </c>
      <c r="N309">
        <v>1300</v>
      </c>
      <c r="O309" t="s">
        <v>227</v>
      </c>
      <c r="P309">
        <v>0.92562477532573895</v>
      </c>
      <c r="Q309">
        <v>0.91529784441204698</v>
      </c>
      <c r="R309">
        <v>1.6990989006820001E-2</v>
      </c>
      <c r="S309">
        <v>0.26407680513015602</v>
      </c>
      <c r="T309">
        <v>0.111832582758361</v>
      </c>
      <c r="U309">
        <v>0.111832582758361</v>
      </c>
      <c r="V309">
        <v>0.43</v>
      </c>
      <c r="W309">
        <v>3.37</v>
      </c>
      <c r="X309">
        <v>-19760</v>
      </c>
      <c r="Y309">
        <v>-859</v>
      </c>
      <c r="Z309">
        <v>-0.08</v>
      </c>
      <c r="AA309">
        <v>23</v>
      </c>
      <c r="AB309">
        <v>12</v>
      </c>
      <c r="AC309">
        <v>11</v>
      </c>
      <c r="AD309">
        <v>52.17</v>
      </c>
      <c r="AE309">
        <v>13</v>
      </c>
    </row>
    <row r="310" spans="1:31">
      <c r="A310">
        <v>247</v>
      </c>
      <c r="B310">
        <v>4005</v>
      </c>
      <c r="C310" t="s">
        <v>330</v>
      </c>
      <c r="D310" t="s">
        <v>235</v>
      </c>
      <c r="E310">
        <v>488</v>
      </c>
      <c r="F310">
        <v>483</v>
      </c>
      <c r="G310">
        <v>2000</v>
      </c>
      <c r="H310" t="s">
        <v>227</v>
      </c>
      <c r="I310">
        <v>5301</v>
      </c>
      <c r="J310" t="s">
        <v>102</v>
      </c>
      <c r="K310" t="s">
        <v>238</v>
      </c>
      <c r="L310">
        <v>1074</v>
      </c>
      <c r="M310">
        <v>1061</v>
      </c>
      <c r="N310">
        <v>900</v>
      </c>
      <c r="O310" t="s">
        <v>229</v>
      </c>
      <c r="P310">
        <v>0.91456036412336195</v>
      </c>
      <c r="Q310">
        <v>0.907046724614199</v>
      </c>
      <c r="R310">
        <v>6.6593584189218402E-2</v>
      </c>
      <c r="S310">
        <v>4.0356096697488499E-2</v>
      </c>
      <c r="T310">
        <v>-0.108141143134595</v>
      </c>
      <c r="U310">
        <v>0.108141143134595</v>
      </c>
      <c r="V310">
        <v>-0.28000000000000003</v>
      </c>
      <c r="W310">
        <v>1.1599999999999999</v>
      </c>
      <c r="X310">
        <v>179799</v>
      </c>
      <c r="Y310">
        <v>7817</v>
      </c>
      <c r="Z310">
        <v>0.44</v>
      </c>
      <c r="AA310">
        <v>23</v>
      </c>
      <c r="AB310">
        <v>14</v>
      </c>
      <c r="AC310">
        <v>9</v>
      </c>
      <c r="AD310">
        <v>60.87</v>
      </c>
      <c r="AE310">
        <v>9</v>
      </c>
    </row>
    <row r="311" spans="1:31">
      <c r="A311">
        <v>212</v>
      </c>
      <c r="B311">
        <v>7182</v>
      </c>
      <c r="C311" t="s">
        <v>248</v>
      </c>
      <c r="D311" t="s">
        <v>232</v>
      </c>
      <c r="E311">
        <v>1030</v>
      </c>
      <c r="F311">
        <v>1026</v>
      </c>
      <c r="G311">
        <v>800</v>
      </c>
      <c r="H311" t="s">
        <v>227</v>
      </c>
      <c r="I311">
        <v>7278</v>
      </c>
      <c r="J311" t="s">
        <v>96</v>
      </c>
      <c r="K311" t="s">
        <v>228</v>
      </c>
      <c r="L311">
        <v>2092</v>
      </c>
      <c r="M311">
        <v>2080</v>
      </c>
      <c r="N311">
        <v>400</v>
      </c>
      <c r="O311" t="s">
        <v>229</v>
      </c>
      <c r="P311">
        <v>0.92265774210458196</v>
      </c>
      <c r="Q311">
        <v>0.92397971077913998</v>
      </c>
      <c r="R311">
        <v>7.0307673223817197E-3</v>
      </c>
      <c r="S311">
        <v>0.36142263787703599</v>
      </c>
      <c r="T311">
        <v>-0.10779848532906899</v>
      </c>
      <c r="U311">
        <v>0.10779848532906899</v>
      </c>
      <c r="V311">
        <v>-0.26</v>
      </c>
      <c r="W311">
        <v>1.35</v>
      </c>
      <c r="X311">
        <v>122229</v>
      </c>
      <c r="Y311">
        <v>7190</v>
      </c>
      <c r="Z311">
        <v>0.46</v>
      </c>
      <c r="AA311">
        <v>17</v>
      </c>
      <c r="AB311">
        <v>10</v>
      </c>
      <c r="AC311">
        <v>7</v>
      </c>
      <c r="AD311">
        <v>58.82</v>
      </c>
      <c r="AE311">
        <v>13</v>
      </c>
    </row>
    <row r="312" spans="1:31">
      <c r="A312">
        <v>61</v>
      </c>
      <c r="B312">
        <v>3291</v>
      </c>
      <c r="C312" t="s">
        <v>359</v>
      </c>
      <c r="D312" t="s">
        <v>360</v>
      </c>
      <c r="E312">
        <v>1730</v>
      </c>
      <c r="F312">
        <v>1730</v>
      </c>
      <c r="G312">
        <v>500</v>
      </c>
      <c r="H312" t="s">
        <v>227</v>
      </c>
      <c r="I312">
        <v>5991</v>
      </c>
      <c r="J312" t="s">
        <v>122</v>
      </c>
      <c r="K312" t="s">
        <v>262</v>
      </c>
      <c r="L312">
        <v>813</v>
      </c>
      <c r="M312">
        <v>807</v>
      </c>
      <c r="N312">
        <v>1100</v>
      </c>
      <c r="O312" t="s">
        <v>229</v>
      </c>
      <c r="P312">
        <v>0.95439250621445804</v>
      </c>
      <c r="Q312">
        <v>0.91517585384242595</v>
      </c>
      <c r="R312">
        <v>2.9637926740170599E-3</v>
      </c>
      <c r="S312">
        <v>7.4963131702371105E-4</v>
      </c>
      <c r="T312">
        <v>-0.104808719987193</v>
      </c>
      <c r="U312">
        <v>0.104808719987193</v>
      </c>
      <c r="V312">
        <v>-0.26</v>
      </c>
      <c r="W312">
        <v>2.62</v>
      </c>
      <c r="X312">
        <v>251970</v>
      </c>
      <c r="Y312">
        <v>11453</v>
      </c>
      <c r="Z312">
        <v>0.6</v>
      </c>
      <c r="AA312">
        <v>22</v>
      </c>
      <c r="AB312">
        <v>14</v>
      </c>
      <c r="AC312">
        <v>8</v>
      </c>
      <c r="AD312">
        <v>63.64</v>
      </c>
      <c r="AE312">
        <v>13</v>
      </c>
    </row>
    <row r="313" spans="1:31">
      <c r="A313">
        <v>82</v>
      </c>
      <c r="B313">
        <v>1963</v>
      </c>
      <c r="C313" t="s">
        <v>287</v>
      </c>
      <c r="D313" t="s">
        <v>254</v>
      </c>
      <c r="E313">
        <v>1366</v>
      </c>
      <c r="F313">
        <v>1374</v>
      </c>
      <c r="G313">
        <v>700</v>
      </c>
      <c r="H313" t="s">
        <v>229</v>
      </c>
      <c r="I313">
        <v>7167</v>
      </c>
      <c r="J313" t="s">
        <v>136</v>
      </c>
      <c r="K313" t="s">
        <v>232</v>
      </c>
      <c r="L313">
        <v>262</v>
      </c>
      <c r="M313">
        <v>261</v>
      </c>
      <c r="N313">
        <v>3700</v>
      </c>
      <c r="O313" t="s">
        <v>227</v>
      </c>
      <c r="P313">
        <v>0.94937097656311498</v>
      </c>
      <c r="Q313">
        <v>0.90548296990680699</v>
      </c>
      <c r="R313">
        <v>7.7296591486371302E-2</v>
      </c>
      <c r="S313">
        <v>1.14344059586877E-2</v>
      </c>
      <c r="T313">
        <v>0.102754512442766</v>
      </c>
      <c r="U313">
        <v>0.102754512442766</v>
      </c>
      <c r="V313">
        <v>0.23</v>
      </c>
      <c r="W313">
        <v>0.41</v>
      </c>
      <c r="X313">
        <v>-20782</v>
      </c>
      <c r="Y313">
        <v>-945</v>
      </c>
      <c r="Z313">
        <v>0.06</v>
      </c>
      <c r="AA313">
        <v>22</v>
      </c>
      <c r="AB313">
        <v>10</v>
      </c>
      <c r="AC313">
        <v>12</v>
      </c>
      <c r="AD313">
        <v>45.45</v>
      </c>
      <c r="AE313">
        <v>12</v>
      </c>
    </row>
    <row r="314" spans="1:31">
      <c r="A314">
        <v>56</v>
      </c>
      <c r="B314">
        <v>5406</v>
      </c>
      <c r="C314" t="s">
        <v>337</v>
      </c>
      <c r="D314" t="s">
        <v>252</v>
      </c>
      <c r="E314">
        <v>570</v>
      </c>
      <c r="F314">
        <v>564</v>
      </c>
      <c r="G314">
        <v>1600</v>
      </c>
      <c r="H314" t="s">
        <v>229</v>
      </c>
      <c r="I314">
        <v>6586</v>
      </c>
      <c r="J314" t="s">
        <v>95</v>
      </c>
      <c r="K314" t="s">
        <v>226</v>
      </c>
      <c r="L314">
        <v>3030</v>
      </c>
      <c r="M314">
        <v>3045</v>
      </c>
      <c r="N314">
        <v>300</v>
      </c>
      <c r="O314" t="s">
        <v>227</v>
      </c>
      <c r="P314">
        <v>0.95531157409384404</v>
      </c>
      <c r="Q314">
        <v>0.90866438982498099</v>
      </c>
      <c r="R314">
        <v>1.16483654438996E-3</v>
      </c>
      <c r="S314">
        <v>0.27266003359441499</v>
      </c>
      <c r="T314">
        <v>9.5045649914329303E-2</v>
      </c>
      <c r="U314">
        <v>9.5045649914329303E-2</v>
      </c>
      <c r="V314">
        <v>0.48</v>
      </c>
      <c r="W314">
        <v>1.22</v>
      </c>
      <c r="X314">
        <v>253476</v>
      </c>
      <c r="Y314">
        <v>14082</v>
      </c>
      <c r="Z314">
        <v>0.92</v>
      </c>
      <c r="AA314">
        <v>18</v>
      </c>
      <c r="AB314">
        <v>11</v>
      </c>
      <c r="AC314">
        <v>7</v>
      </c>
      <c r="AD314">
        <v>61.11</v>
      </c>
      <c r="AE314">
        <v>10</v>
      </c>
    </row>
    <row r="315" spans="1:31">
      <c r="A315">
        <v>323</v>
      </c>
      <c r="B315">
        <v>7182</v>
      </c>
      <c r="C315" t="s">
        <v>248</v>
      </c>
      <c r="D315" t="s">
        <v>232</v>
      </c>
      <c r="E315">
        <v>1030</v>
      </c>
      <c r="F315">
        <v>1026</v>
      </c>
      <c r="G315">
        <v>900</v>
      </c>
      <c r="H315" t="s">
        <v>229</v>
      </c>
      <c r="I315">
        <v>9072</v>
      </c>
      <c r="J315" t="s">
        <v>153</v>
      </c>
      <c r="K315" t="s">
        <v>261</v>
      </c>
      <c r="L315">
        <v>2426</v>
      </c>
      <c r="M315">
        <v>2420</v>
      </c>
      <c r="N315">
        <v>400</v>
      </c>
      <c r="O315" t="s">
        <v>227</v>
      </c>
      <c r="P315">
        <v>0.90133907543750502</v>
      </c>
      <c r="Q315">
        <v>0.90833501339879896</v>
      </c>
      <c r="R315">
        <v>0.145471060198333</v>
      </c>
      <c r="S315">
        <v>1.7610447873077199E-2</v>
      </c>
      <c r="T315">
        <v>9.4688095986489196E-2</v>
      </c>
      <c r="U315">
        <v>9.4688095986489196E-2</v>
      </c>
      <c r="V315">
        <v>0.2</v>
      </c>
      <c r="W315">
        <v>4.6100000000000003</v>
      </c>
      <c r="X315">
        <v>3548</v>
      </c>
      <c r="Y315">
        <v>253</v>
      </c>
      <c r="Z315">
        <v>0.08</v>
      </c>
      <c r="AA315">
        <v>14</v>
      </c>
      <c r="AB315">
        <v>8</v>
      </c>
      <c r="AC315">
        <v>6</v>
      </c>
      <c r="AD315">
        <v>57.14</v>
      </c>
      <c r="AE315">
        <v>15</v>
      </c>
    </row>
    <row r="316" spans="1:31">
      <c r="A316">
        <v>69</v>
      </c>
      <c r="B316">
        <v>6752</v>
      </c>
      <c r="C316" t="s">
        <v>308</v>
      </c>
      <c r="D316" t="s">
        <v>231</v>
      </c>
      <c r="E316">
        <v>887.2</v>
      </c>
      <c r="F316">
        <v>875.7</v>
      </c>
      <c r="G316">
        <v>900</v>
      </c>
      <c r="H316" t="s">
        <v>229</v>
      </c>
      <c r="I316">
        <v>7846</v>
      </c>
      <c r="J316" t="s">
        <v>159</v>
      </c>
      <c r="K316" t="s">
        <v>307</v>
      </c>
      <c r="L316">
        <v>3905</v>
      </c>
      <c r="M316">
        <v>3900</v>
      </c>
      <c r="N316">
        <v>200</v>
      </c>
      <c r="O316" t="s">
        <v>227</v>
      </c>
      <c r="P316">
        <v>0.95156953313848402</v>
      </c>
      <c r="Q316">
        <v>0.95765384967922496</v>
      </c>
      <c r="R316">
        <v>1.16959583006601E-2</v>
      </c>
      <c r="S316">
        <v>0.199220373182283</v>
      </c>
      <c r="T316">
        <v>9.1821331693585695E-2</v>
      </c>
      <c r="U316">
        <v>9.1821331693585695E-2</v>
      </c>
      <c r="V316">
        <v>0.23</v>
      </c>
      <c r="W316">
        <v>1.04</v>
      </c>
      <c r="X316">
        <v>21070</v>
      </c>
      <c r="Y316">
        <v>1405</v>
      </c>
      <c r="Z316">
        <v>0.11</v>
      </c>
      <c r="AA316">
        <v>15</v>
      </c>
      <c r="AB316">
        <v>6</v>
      </c>
      <c r="AC316">
        <v>9</v>
      </c>
      <c r="AD316">
        <v>40</v>
      </c>
      <c r="AE316">
        <v>13</v>
      </c>
    </row>
    <row r="317" spans="1:31">
      <c r="A317">
        <v>0</v>
      </c>
      <c r="B317">
        <v>4118</v>
      </c>
      <c r="C317" t="s">
        <v>293</v>
      </c>
      <c r="D317" t="s">
        <v>235</v>
      </c>
      <c r="E317">
        <v>3405</v>
      </c>
      <c r="F317">
        <v>3385</v>
      </c>
      <c r="G317">
        <v>200</v>
      </c>
      <c r="H317" t="s">
        <v>227</v>
      </c>
      <c r="I317">
        <v>4401</v>
      </c>
      <c r="J317" t="s">
        <v>191</v>
      </c>
      <c r="K317" t="s">
        <v>235</v>
      </c>
      <c r="L317">
        <v>1340</v>
      </c>
      <c r="M317">
        <v>1352</v>
      </c>
      <c r="N317">
        <v>500</v>
      </c>
      <c r="O317" t="s">
        <v>229</v>
      </c>
      <c r="P317">
        <v>0.99284706391839594</v>
      </c>
      <c r="Q317">
        <v>0.92871709497087795</v>
      </c>
      <c r="R317">
        <v>2.01368073469371E-2</v>
      </c>
      <c r="S317">
        <v>0.36085889599083198</v>
      </c>
      <c r="T317">
        <v>-8.9096712927807603E-2</v>
      </c>
      <c r="U317">
        <v>8.9096712927807603E-2</v>
      </c>
      <c r="V317">
        <v>-0.11</v>
      </c>
      <c r="W317">
        <v>0.15</v>
      </c>
      <c r="X317">
        <v>182466</v>
      </c>
      <c r="Y317">
        <v>14036</v>
      </c>
      <c r="Z317">
        <v>0.92</v>
      </c>
      <c r="AA317">
        <v>13</v>
      </c>
      <c r="AB317">
        <v>8</v>
      </c>
      <c r="AC317">
        <v>5</v>
      </c>
      <c r="AD317">
        <v>61.54</v>
      </c>
      <c r="AE317">
        <v>16</v>
      </c>
    </row>
    <row r="318" spans="1:31">
      <c r="A318">
        <v>124</v>
      </c>
      <c r="B318">
        <v>5020</v>
      </c>
      <c r="C318" t="s">
        <v>324</v>
      </c>
      <c r="D318" t="s">
        <v>325</v>
      </c>
      <c r="E318">
        <v>483</v>
      </c>
      <c r="F318">
        <v>482.2</v>
      </c>
      <c r="G318">
        <v>1700</v>
      </c>
      <c r="H318" t="s">
        <v>229</v>
      </c>
      <c r="I318">
        <v>7278</v>
      </c>
      <c r="J318" t="s">
        <v>96</v>
      </c>
      <c r="K318" t="s">
        <v>228</v>
      </c>
      <c r="L318">
        <v>2092</v>
      </c>
      <c r="M318">
        <v>2080</v>
      </c>
      <c r="N318">
        <v>400</v>
      </c>
      <c r="O318" t="s">
        <v>227</v>
      </c>
      <c r="P318">
        <v>0.93975000257164698</v>
      </c>
      <c r="Q318">
        <v>0.90511138067758101</v>
      </c>
      <c r="R318">
        <v>7.0337403118364505E-2</v>
      </c>
      <c r="S318">
        <v>0.20877541257204901</v>
      </c>
      <c r="T318">
        <v>8.1312343565502099E-2</v>
      </c>
      <c r="U318">
        <v>8.1312343565502099E-2</v>
      </c>
      <c r="V318">
        <v>0.25</v>
      </c>
      <c r="W318">
        <v>1.47</v>
      </c>
      <c r="X318">
        <v>53197</v>
      </c>
      <c r="Y318">
        <v>2418</v>
      </c>
      <c r="Z318">
        <v>0</v>
      </c>
      <c r="AA318">
        <v>22</v>
      </c>
      <c r="AB318">
        <v>11</v>
      </c>
      <c r="AC318">
        <v>11</v>
      </c>
      <c r="AD318">
        <v>50</v>
      </c>
      <c r="AE318">
        <v>11</v>
      </c>
    </row>
    <row r="319" spans="1:31">
      <c r="A319">
        <v>130</v>
      </c>
      <c r="B319">
        <v>7846</v>
      </c>
      <c r="C319" t="s">
        <v>306</v>
      </c>
      <c r="D319" t="s">
        <v>307</v>
      </c>
      <c r="E319">
        <v>3905</v>
      </c>
      <c r="F319">
        <v>3900</v>
      </c>
      <c r="G319">
        <v>200</v>
      </c>
      <c r="H319" t="s">
        <v>229</v>
      </c>
      <c r="I319">
        <v>9505</v>
      </c>
      <c r="J319" t="s">
        <v>167</v>
      </c>
      <c r="K319" t="s">
        <v>281</v>
      </c>
      <c r="L319">
        <v>727</v>
      </c>
      <c r="M319">
        <v>716</v>
      </c>
      <c r="N319">
        <v>1100</v>
      </c>
      <c r="O319" t="s">
        <v>227</v>
      </c>
      <c r="P319">
        <v>0.93867706422478903</v>
      </c>
      <c r="Q319">
        <v>0.95407773179173005</v>
      </c>
      <c r="R319">
        <v>5.9984186609474404E-4</v>
      </c>
      <c r="S319">
        <v>4.9657515856795398E-2</v>
      </c>
      <c r="T319">
        <v>8.0019062804131E-2</v>
      </c>
      <c r="U319">
        <v>8.0019062804131E-2</v>
      </c>
      <c r="V319">
        <v>0.21</v>
      </c>
      <c r="W319">
        <v>0.97</v>
      </c>
      <c r="X319">
        <v>64563</v>
      </c>
      <c r="Y319">
        <v>2935</v>
      </c>
      <c r="Z319">
        <v>0.21</v>
      </c>
      <c r="AA319">
        <v>22</v>
      </c>
      <c r="AB319">
        <v>10</v>
      </c>
      <c r="AC319">
        <v>12</v>
      </c>
      <c r="AD319">
        <v>45.45</v>
      </c>
      <c r="AE319">
        <v>12</v>
      </c>
    </row>
    <row r="320" spans="1:31">
      <c r="A320">
        <v>207</v>
      </c>
      <c r="B320">
        <v>4507</v>
      </c>
      <c r="C320" t="s">
        <v>291</v>
      </c>
      <c r="D320" t="s">
        <v>251</v>
      </c>
      <c r="E320">
        <v>6022</v>
      </c>
      <c r="F320">
        <v>6036</v>
      </c>
      <c r="G320">
        <v>100</v>
      </c>
      <c r="H320" t="s">
        <v>227</v>
      </c>
      <c r="I320">
        <v>7189</v>
      </c>
      <c r="J320" t="s">
        <v>162</v>
      </c>
      <c r="K320" t="s">
        <v>232</v>
      </c>
      <c r="L320">
        <v>736</v>
      </c>
      <c r="M320">
        <v>739</v>
      </c>
      <c r="N320">
        <v>800</v>
      </c>
      <c r="O320" t="s">
        <v>229</v>
      </c>
      <c r="P320">
        <v>0.92388914670406397</v>
      </c>
      <c r="Q320">
        <v>0.93770056233380705</v>
      </c>
      <c r="R320">
        <v>1.8000448713897998E-2</v>
      </c>
      <c r="S320">
        <v>1.90718177045968E-3</v>
      </c>
      <c r="T320">
        <v>-7.6666571937667696E-2</v>
      </c>
      <c r="U320">
        <v>7.6666571937667696E-2</v>
      </c>
      <c r="V320">
        <v>-0.35</v>
      </c>
      <c r="W320">
        <v>2.0499999999999998</v>
      </c>
      <c r="X320">
        <v>-214674</v>
      </c>
      <c r="Y320">
        <v>-8587</v>
      </c>
      <c r="Z320">
        <v>-0.68</v>
      </c>
      <c r="AA320">
        <v>25</v>
      </c>
      <c r="AB320">
        <v>9</v>
      </c>
      <c r="AC320">
        <v>16</v>
      </c>
      <c r="AD320">
        <v>36</v>
      </c>
      <c r="AE320">
        <v>12</v>
      </c>
    </row>
    <row r="321" spans="1:31">
      <c r="A321">
        <v>11</v>
      </c>
      <c r="B321">
        <v>6752</v>
      </c>
      <c r="C321" t="s">
        <v>308</v>
      </c>
      <c r="D321" t="s">
        <v>231</v>
      </c>
      <c r="E321">
        <v>887.2</v>
      </c>
      <c r="F321">
        <v>875.7</v>
      </c>
      <c r="G321">
        <v>1100</v>
      </c>
      <c r="H321" t="s">
        <v>227</v>
      </c>
      <c r="I321">
        <v>7167</v>
      </c>
      <c r="J321" t="s">
        <v>136</v>
      </c>
      <c r="K321" t="s">
        <v>232</v>
      </c>
      <c r="L321">
        <v>262</v>
      </c>
      <c r="M321">
        <v>261</v>
      </c>
      <c r="N321">
        <v>3700</v>
      </c>
      <c r="O321" t="s">
        <v>229</v>
      </c>
      <c r="P321">
        <v>0.97056637594600104</v>
      </c>
      <c r="Q321">
        <v>0.96110920531380994</v>
      </c>
      <c r="R321">
        <v>4.9057291167278701E-2</v>
      </c>
      <c r="S321">
        <v>4.4830769574287402E-2</v>
      </c>
      <c r="T321">
        <v>-7.6352430921390504E-2</v>
      </c>
      <c r="U321">
        <v>7.6352430921390504E-2</v>
      </c>
      <c r="V321">
        <v>-0.21</v>
      </c>
      <c r="W321">
        <v>0.25</v>
      </c>
      <c r="X321">
        <v>110092</v>
      </c>
      <c r="Y321">
        <v>6116</v>
      </c>
      <c r="Z321">
        <v>0.28999999999999998</v>
      </c>
      <c r="AA321">
        <v>18</v>
      </c>
      <c r="AB321">
        <v>9</v>
      </c>
      <c r="AC321">
        <v>9</v>
      </c>
      <c r="AD321">
        <v>50</v>
      </c>
      <c r="AE321">
        <v>13</v>
      </c>
    </row>
    <row r="322" spans="1:31">
      <c r="A322">
        <v>99</v>
      </c>
      <c r="B322">
        <v>4188</v>
      </c>
      <c r="C322" t="s">
        <v>343</v>
      </c>
      <c r="D322" t="s">
        <v>235</v>
      </c>
      <c r="E322">
        <v>765</v>
      </c>
      <c r="F322">
        <v>760.8</v>
      </c>
      <c r="G322">
        <v>1300</v>
      </c>
      <c r="H322" t="s">
        <v>229</v>
      </c>
      <c r="I322">
        <v>7205</v>
      </c>
      <c r="J322" t="s">
        <v>184</v>
      </c>
      <c r="K322" t="s">
        <v>228</v>
      </c>
      <c r="L322">
        <v>878</v>
      </c>
      <c r="M322">
        <v>875</v>
      </c>
      <c r="N322">
        <v>1100</v>
      </c>
      <c r="O322" t="s">
        <v>227</v>
      </c>
      <c r="P322">
        <v>0.94503782001716496</v>
      </c>
      <c r="Q322">
        <v>0.90046604727756896</v>
      </c>
      <c r="R322">
        <v>1.23704196402531E-3</v>
      </c>
      <c r="S322">
        <v>0.146544048890071</v>
      </c>
      <c r="T322">
        <v>6.2427458842750402E-2</v>
      </c>
      <c r="U322">
        <v>6.2427458842750402E-2</v>
      </c>
      <c r="V322">
        <v>0.13</v>
      </c>
      <c r="W322">
        <v>2.76</v>
      </c>
      <c r="X322">
        <v>296665</v>
      </c>
      <c r="Y322">
        <v>15614</v>
      </c>
      <c r="Z322">
        <v>0.81</v>
      </c>
      <c r="AA322">
        <v>19</v>
      </c>
      <c r="AB322">
        <v>12</v>
      </c>
      <c r="AC322">
        <v>7</v>
      </c>
      <c r="AD322">
        <v>63.16</v>
      </c>
      <c r="AE322">
        <v>12</v>
      </c>
    </row>
    <row r="323" spans="1:31">
      <c r="A323">
        <v>240</v>
      </c>
      <c r="B323">
        <v>6178</v>
      </c>
      <c r="C323" t="s">
        <v>318</v>
      </c>
      <c r="D323" t="s">
        <v>319</v>
      </c>
      <c r="E323">
        <v>986</v>
      </c>
      <c r="F323">
        <v>981</v>
      </c>
      <c r="G323">
        <v>1000</v>
      </c>
      <c r="H323" t="s">
        <v>227</v>
      </c>
      <c r="I323">
        <v>7201</v>
      </c>
      <c r="J323" t="s">
        <v>114</v>
      </c>
      <c r="K323" t="s">
        <v>228</v>
      </c>
      <c r="L323">
        <v>664.5</v>
      </c>
      <c r="M323">
        <v>657.1</v>
      </c>
      <c r="N323">
        <v>1500</v>
      </c>
      <c r="O323" t="s">
        <v>229</v>
      </c>
      <c r="P323">
        <v>0.91619790306311</v>
      </c>
      <c r="Q323">
        <v>0.92380148405071905</v>
      </c>
      <c r="R323">
        <v>0.18201489029904699</v>
      </c>
      <c r="S323">
        <v>0.32553607384136302</v>
      </c>
      <c r="T323">
        <v>-6.0125554228896198E-2</v>
      </c>
      <c r="U323">
        <v>6.0125554228896198E-2</v>
      </c>
      <c r="V323">
        <v>-0.22</v>
      </c>
      <c r="W323">
        <v>0.47</v>
      </c>
      <c r="X323">
        <v>87746</v>
      </c>
      <c r="Y323">
        <v>4618</v>
      </c>
      <c r="Z323">
        <v>0.25</v>
      </c>
      <c r="AA323">
        <v>19</v>
      </c>
      <c r="AB323">
        <v>9</v>
      </c>
      <c r="AC323">
        <v>10</v>
      </c>
      <c r="AD323">
        <v>47.37</v>
      </c>
      <c r="AE323">
        <v>14</v>
      </c>
    </row>
    <row r="324" spans="1:31">
      <c r="A324">
        <v>117</v>
      </c>
      <c r="B324">
        <v>3116</v>
      </c>
      <c r="C324" t="s">
        <v>239</v>
      </c>
      <c r="D324" t="s">
        <v>228</v>
      </c>
      <c r="E324">
        <v>1475</v>
      </c>
      <c r="F324">
        <v>1469</v>
      </c>
      <c r="G324">
        <v>600</v>
      </c>
      <c r="H324" t="s">
        <v>229</v>
      </c>
      <c r="I324">
        <v>8306</v>
      </c>
      <c r="J324" t="s">
        <v>98</v>
      </c>
      <c r="K324" t="s">
        <v>232</v>
      </c>
      <c r="L324">
        <v>538.29999999999995</v>
      </c>
      <c r="M324">
        <v>532.79999999999995</v>
      </c>
      <c r="N324">
        <v>1700</v>
      </c>
      <c r="O324" t="s">
        <v>227</v>
      </c>
      <c r="P324">
        <v>0.94096814873741397</v>
      </c>
      <c r="Q324">
        <v>0.90657487547306603</v>
      </c>
      <c r="R324">
        <v>4.7797980104172699E-4</v>
      </c>
      <c r="S324">
        <v>0.38216370939112299</v>
      </c>
      <c r="T324">
        <v>5.4539914747472197E-2</v>
      </c>
      <c r="U324">
        <v>5.4539914747472197E-2</v>
      </c>
      <c r="V324">
        <v>7.0000000000000007E-2</v>
      </c>
      <c r="W324">
        <v>2.76</v>
      </c>
      <c r="X324">
        <v>-82781</v>
      </c>
      <c r="Y324">
        <v>-6368</v>
      </c>
      <c r="Z324">
        <v>-0.39</v>
      </c>
      <c r="AA324">
        <v>13</v>
      </c>
      <c r="AB324">
        <v>7</v>
      </c>
      <c r="AC324">
        <v>6</v>
      </c>
      <c r="AD324">
        <v>53.85</v>
      </c>
      <c r="AE324">
        <v>16</v>
      </c>
    </row>
    <row r="325" spans="1:31">
      <c r="A325">
        <v>126</v>
      </c>
      <c r="B325">
        <v>4208</v>
      </c>
      <c r="C325" t="s">
        <v>275</v>
      </c>
      <c r="D325" t="s">
        <v>235</v>
      </c>
      <c r="E325">
        <v>2138</v>
      </c>
      <c r="F325">
        <v>2130</v>
      </c>
      <c r="G325">
        <v>300</v>
      </c>
      <c r="H325" t="s">
        <v>229</v>
      </c>
      <c r="I325">
        <v>7259</v>
      </c>
      <c r="J325" t="s">
        <v>110</v>
      </c>
      <c r="K325" t="s">
        <v>228</v>
      </c>
      <c r="L325">
        <v>3400</v>
      </c>
      <c r="M325">
        <v>3385</v>
      </c>
      <c r="N325">
        <v>200</v>
      </c>
      <c r="O325" t="s">
        <v>227</v>
      </c>
      <c r="P325">
        <v>0.93948809389634502</v>
      </c>
      <c r="Q325">
        <v>0.92867599113925203</v>
      </c>
      <c r="R325">
        <v>0.17760090486006999</v>
      </c>
      <c r="S325">
        <v>1.3088539871850701E-2</v>
      </c>
      <c r="T325">
        <v>5.0597333976705697E-2</v>
      </c>
      <c r="U325">
        <v>5.0597333976705697E-2</v>
      </c>
      <c r="V325">
        <v>0.18</v>
      </c>
      <c r="W325">
        <v>5.61</v>
      </c>
      <c r="X325">
        <v>131488</v>
      </c>
      <c r="Y325">
        <v>10957</v>
      </c>
      <c r="Z325">
        <v>0.67</v>
      </c>
      <c r="AA325">
        <v>12</v>
      </c>
      <c r="AB325">
        <v>7</v>
      </c>
      <c r="AC325">
        <v>5</v>
      </c>
      <c r="AD325">
        <v>58.33</v>
      </c>
      <c r="AE325">
        <v>13</v>
      </c>
    </row>
    <row r="326" spans="1:31">
      <c r="A326">
        <v>42</v>
      </c>
      <c r="B326">
        <v>7186</v>
      </c>
      <c r="C326" t="s">
        <v>236</v>
      </c>
      <c r="D326" t="s">
        <v>232</v>
      </c>
      <c r="E326">
        <v>407</v>
      </c>
      <c r="F326">
        <v>409</v>
      </c>
      <c r="G326">
        <v>2400</v>
      </c>
      <c r="H326" t="s">
        <v>227</v>
      </c>
      <c r="I326">
        <v>8750</v>
      </c>
      <c r="J326" t="s">
        <v>143</v>
      </c>
      <c r="K326" t="s">
        <v>288</v>
      </c>
      <c r="L326">
        <v>1653</v>
      </c>
      <c r="M326">
        <v>1624</v>
      </c>
      <c r="N326">
        <v>600</v>
      </c>
      <c r="O326" t="s">
        <v>229</v>
      </c>
      <c r="P326">
        <v>0.95901500687208996</v>
      </c>
      <c r="Q326">
        <v>0.93614238513930403</v>
      </c>
      <c r="R326">
        <v>1.67295658274331E-2</v>
      </c>
      <c r="S326">
        <v>0.26682092512115202</v>
      </c>
      <c r="T326">
        <v>-4.31416296928386E-2</v>
      </c>
      <c r="U326">
        <v>4.31416296928386E-2</v>
      </c>
      <c r="V326">
        <v>-0.08</v>
      </c>
      <c r="W326">
        <v>0.74</v>
      </c>
      <c r="X326">
        <v>283771</v>
      </c>
      <c r="Y326">
        <v>18918</v>
      </c>
      <c r="Z326">
        <v>1.08</v>
      </c>
      <c r="AA326">
        <v>15</v>
      </c>
      <c r="AB326">
        <v>9</v>
      </c>
      <c r="AC326">
        <v>6</v>
      </c>
      <c r="AD326">
        <v>60</v>
      </c>
      <c r="AE326">
        <v>11</v>
      </c>
    </row>
    <row r="327" spans="1:31">
      <c r="A327">
        <v>123</v>
      </c>
      <c r="B327">
        <v>2784</v>
      </c>
      <c r="C327" t="s">
        <v>350</v>
      </c>
      <c r="D327" t="s">
        <v>257</v>
      </c>
      <c r="E327">
        <v>2330</v>
      </c>
      <c r="F327">
        <v>2356</v>
      </c>
      <c r="G327">
        <v>400</v>
      </c>
      <c r="H327" t="s">
        <v>229</v>
      </c>
      <c r="I327">
        <v>6178</v>
      </c>
      <c r="J327" t="s">
        <v>170</v>
      </c>
      <c r="K327" t="s">
        <v>319</v>
      </c>
      <c r="L327">
        <v>986</v>
      </c>
      <c r="M327">
        <v>981</v>
      </c>
      <c r="N327">
        <v>1000</v>
      </c>
      <c r="O327" t="s">
        <v>227</v>
      </c>
      <c r="P327">
        <v>0.93981492538696099</v>
      </c>
      <c r="Q327">
        <v>0.90659187197360602</v>
      </c>
      <c r="R327">
        <v>2.3911243549812299E-3</v>
      </c>
      <c r="S327">
        <v>0.148452563961602</v>
      </c>
      <c r="T327">
        <v>4.2446978553310602E-2</v>
      </c>
      <c r="U327">
        <v>4.2446978553310602E-2</v>
      </c>
      <c r="V327">
        <v>0.18</v>
      </c>
      <c r="W327">
        <v>4.0999999999999996</v>
      </c>
      <c r="X327">
        <v>-72273</v>
      </c>
      <c r="Y327">
        <v>-3804</v>
      </c>
      <c r="Z327">
        <v>-0.22</v>
      </c>
      <c r="AA327">
        <v>19</v>
      </c>
      <c r="AB327">
        <v>10</v>
      </c>
      <c r="AC327">
        <v>9</v>
      </c>
      <c r="AD327">
        <v>52.63</v>
      </c>
      <c r="AE327">
        <v>14</v>
      </c>
    </row>
    <row r="328" spans="1:31">
      <c r="A328">
        <v>53</v>
      </c>
      <c r="B328">
        <v>4202</v>
      </c>
      <c r="C328" t="s">
        <v>297</v>
      </c>
      <c r="D328" t="s">
        <v>235</v>
      </c>
      <c r="E328">
        <v>903</v>
      </c>
      <c r="F328">
        <v>907</v>
      </c>
      <c r="G328">
        <v>1100</v>
      </c>
      <c r="H328" t="s">
        <v>229</v>
      </c>
      <c r="I328">
        <v>7189</v>
      </c>
      <c r="J328" t="s">
        <v>162</v>
      </c>
      <c r="K328" t="s">
        <v>232</v>
      </c>
      <c r="L328">
        <v>736</v>
      </c>
      <c r="M328">
        <v>739</v>
      </c>
      <c r="N328">
        <v>1400</v>
      </c>
      <c r="O328" t="s">
        <v>227</v>
      </c>
      <c r="P328">
        <v>0.95616407537436199</v>
      </c>
      <c r="Q328">
        <v>0.93559075046250195</v>
      </c>
      <c r="R328">
        <v>0.17823869364196299</v>
      </c>
      <c r="S328">
        <v>0.387661954254646</v>
      </c>
      <c r="T328">
        <v>3.55945731501758E-2</v>
      </c>
      <c r="U328">
        <v>3.55945731501758E-2</v>
      </c>
      <c r="V328">
        <v>0.09</v>
      </c>
      <c r="W328">
        <v>3.7</v>
      </c>
      <c r="X328">
        <v>488486</v>
      </c>
      <c r="Y328">
        <v>23261</v>
      </c>
      <c r="Z328">
        <v>1.25</v>
      </c>
      <c r="AA328">
        <v>21</v>
      </c>
      <c r="AB328">
        <v>14</v>
      </c>
      <c r="AC328">
        <v>7</v>
      </c>
      <c r="AD328">
        <v>66.67</v>
      </c>
      <c r="AE328">
        <v>14</v>
      </c>
    </row>
    <row r="329" spans="1:31">
      <c r="A329">
        <v>257</v>
      </c>
      <c r="B329">
        <v>4581</v>
      </c>
      <c r="C329" t="s">
        <v>250</v>
      </c>
      <c r="D329" t="s">
        <v>251</v>
      </c>
      <c r="E329">
        <v>7770</v>
      </c>
      <c r="F329">
        <v>7760</v>
      </c>
      <c r="G329">
        <v>100</v>
      </c>
      <c r="H329" t="s">
        <v>227</v>
      </c>
      <c r="I329">
        <v>7182</v>
      </c>
      <c r="J329" t="s">
        <v>111</v>
      </c>
      <c r="K329" t="s">
        <v>232</v>
      </c>
      <c r="L329">
        <v>1030</v>
      </c>
      <c r="M329">
        <v>1026</v>
      </c>
      <c r="N329">
        <v>800</v>
      </c>
      <c r="O329" t="s">
        <v>229</v>
      </c>
      <c r="P329">
        <v>0.91269807373209599</v>
      </c>
      <c r="Q329">
        <v>0.96294153455450104</v>
      </c>
      <c r="R329">
        <v>0.12893664482127101</v>
      </c>
      <c r="S329">
        <v>7.3583638719325495E-2</v>
      </c>
      <c r="T329">
        <v>-3.3933606080247702E-2</v>
      </c>
      <c r="U329">
        <v>3.3933606080247702E-2</v>
      </c>
      <c r="V329">
        <v>-7.0000000000000007E-2</v>
      </c>
      <c r="W329">
        <v>5.77</v>
      </c>
      <c r="X329">
        <v>-50206</v>
      </c>
      <c r="Y329">
        <v>-4564</v>
      </c>
      <c r="Z329">
        <v>-0.18</v>
      </c>
      <c r="AA329">
        <v>11</v>
      </c>
      <c r="AB329">
        <v>5</v>
      </c>
      <c r="AC329">
        <v>6</v>
      </c>
      <c r="AD329">
        <v>45.45</v>
      </c>
      <c r="AE329">
        <v>16</v>
      </c>
    </row>
    <row r="330" spans="1:31">
      <c r="A330">
        <v>248</v>
      </c>
      <c r="B330">
        <v>1820</v>
      </c>
      <c r="C330" t="s">
        <v>322</v>
      </c>
      <c r="D330" t="s">
        <v>254</v>
      </c>
      <c r="E330">
        <v>1946</v>
      </c>
      <c r="F330">
        <v>1951</v>
      </c>
      <c r="G330">
        <v>500</v>
      </c>
      <c r="H330" t="s">
        <v>227</v>
      </c>
      <c r="I330">
        <v>7211</v>
      </c>
      <c r="J330" t="s">
        <v>115</v>
      </c>
      <c r="K330" t="s">
        <v>228</v>
      </c>
      <c r="L330">
        <v>470</v>
      </c>
      <c r="M330">
        <v>469</v>
      </c>
      <c r="N330">
        <v>2100</v>
      </c>
      <c r="O330" t="s">
        <v>229</v>
      </c>
      <c r="P330">
        <v>0.914105783246279</v>
      </c>
      <c r="Q330">
        <v>0.95157152956954705</v>
      </c>
      <c r="R330">
        <v>0.28770534745647203</v>
      </c>
      <c r="S330">
        <v>6.16864523245708E-3</v>
      </c>
      <c r="T330">
        <v>-2.4501785507090298E-2</v>
      </c>
      <c r="U330">
        <v>2.4501785507090298E-2</v>
      </c>
      <c r="V330">
        <v>-7.0000000000000007E-2</v>
      </c>
      <c r="W330">
        <v>0.96</v>
      </c>
      <c r="X330">
        <v>429505</v>
      </c>
      <c r="Y330">
        <v>28634</v>
      </c>
      <c r="Z330">
        <v>1.6</v>
      </c>
      <c r="AA330">
        <v>15</v>
      </c>
      <c r="AB330">
        <v>11</v>
      </c>
      <c r="AC330">
        <v>4</v>
      </c>
      <c r="AD330">
        <v>73.33</v>
      </c>
      <c r="AE330">
        <v>11</v>
      </c>
    </row>
    <row r="331" spans="1:31">
      <c r="A331">
        <v>152</v>
      </c>
      <c r="B331">
        <v>1820</v>
      </c>
      <c r="C331" t="s">
        <v>322</v>
      </c>
      <c r="D331" t="s">
        <v>254</v>
      </c>
      <c r="E331">
        <v>1946</v>
      </c>
      <c r="F331">
        <v>1951</v>
      </c>
      <c r="G331">
        <v>400</v>
      </c>
      <c r="H331" t="s">
        <v>229</v>
      </c>
      <c r="I331">
        <v>7278</v>
      </c>
      <c r="J331" t="s">
        <v>96</v>
      </c>
      <c r="K331" t="s">
        <v>228</v>
      </c>
      <c r="L331">
        <v>2092</v>
      </c>
      <c r="M331">
        <v>2080</v>
      </c>
      <c r="N331">
        <v>400</v>
      </c>
      <c r="O331" t="s">
        <v>227</v>
      </c>
      <c r="P331">
        <v>0.93459803521626506</v>
      </c>
      <c r="Q331">
        <v>0.92496262367433202</v>
      </c>
      <c r="R331">
        <v>0.17060825999940499</v>
      </c>
      <c r="S331">
        <v>0.21999938578262199</v>
      </c>
      <c r="T331">
        <v>2.08476457090369E-2</v>
      </c>
      <c r="U331">
        <v>2.08476457090369E-2</v>
      </c>
      <c r="V331">
        <v>0.04</v>
      </c>
      <c r="W331">
        <v>6.2</v>
      </c>
      <c r="X331">
        <v>302562</v>
      </c>
      <c r="Y331">
        <v>25214</v>
      </c>
      <c r="Z331">
        <v>1.57</v>
      </c>
      <c r="AA331">
        <v>12</v>
      </c>
      <c r="AB331">
        <v>10</v>
      </c>
      <c r="AC331">
        <v>2</v>
      </c>
      <c r="AD331">
        <v>83.33</v>
      </c>
      <c r="AE331">
        <v>12</v>
      </c>
    </row>
    <row r="332" spans="1:31">
      <c r="A332">
        <v>141</v>
      </c>
      <c r="B332">
        <v>8273</v>
      </c>
      <c r="C332" t="s">
        <v>271</v>
      </c>
      <c r="D332" t="s">
        <v>245</v>
      </c>
      <c r="E332">
        <v>4130</v>
      </c>
      <c r="F332">
        <v>4165</v>
      </c>
      <c r="G332">
        <v>200</v>
      </c>
      <c r="H332" t="s">
        <v>229</v>
      </c>
      <c r="I332">
        <v>8309</v>
      </c>
      <c r="J332" t="s">
        <v>101</v>
      </c>
      <c r="K332" t="s">
        <v>232</v>
      </c>
      <c r="L332">
        <v>3780</v>
      </c>
      <c r="M332">
        <v>3739</v>
      </c>
      <c r="N332">
        <v>200</v>
      </c>
      <c r="O332" t="s">
        <v>227</v>
      </c>
      <c r="P332">
        <v>0.93668369228425796</v>
      </c>
      <c r="Q332">
        <v>0.91818110690707699</v>
      </c>
      <c r="R332">
        <v>3.84644658657146E-2</v>
      </c>
      <c r="S332">
        <v>0.14529892437955699</v>
      </c>
      <c r="T332">
        <v>2.0051278277821299E-2</v>
      </c>
      <c r="U332">
        <v>2.0051278277821299E-2</v>
      </c>
      <c r="V332">
        <v>0.05</v>
      </c>
      <c r="W332">
        <v>10.23</v>
      </c>
      <c r="X332">
        <v>80179</v>
      </c>
      <c r="Y332">
        <v>80179</v>
      </c>
      <c r="Z332">
        <v>4.84</v>
      </c>
      <c r="AA332">
        <v>1</v>
      </c>
      <c r="AB332">
        <v>1</v>
      </c>
      <c r="AC332">
        <v>0</v>
      </c>
      <c r="AD332">
        <v>100</v>
      </c>
      <c r="AE332">
        <v>5</v>
      </c>
    </row>
    <row r="333" spans="1:31">
      <c r="A333">
        <v>148</v>
      </c>
      <c r="B333">
        <v>6674</v>
      </c>
      <c r="C333" t="s">
        <v>336</v>
      </c>
      <c r="D333" t="s">
        <v>231</v>
      </c>
      <c r="E333">
        <v>1858</v>
      </c>
      <c r="F333">
        <v>1844</v>
      </c>
      <c r="G333">
        <v>500</v>
      </c>
      <c r="H333" t="s">
        <v>227</v>
      </c>
      <c r="I333">
        <v>7181</v>
      </c>
      <c r="J333" t="s">
        <v>171</v>
      </c>
      <c r="K333" t="s">
        <v>288</v>
      </c>
      <c r="L333">
        <v>1610</v>
      </c>
      <c r="M333">
        <v>1628</v>
      </c>
      <c r="N333">
        <v>600</v>
      </c>
      <c r="O333" t="s">
        <v>229</v>
      </c>
      <c r="P333">
        <v>0.93516489449844098</v>
      </c>
      <c r="Q333">
        <v>0.925842581757926</v>
      </c>
      <c r="R333">
        <v>2.4662644178760101E-2</v>
      </c>
      <c r="S333">
        <v>0.10670075162484099</v>
      </c>
      <c r="T333">
        <v>-1.3835196180636399E-2</v>
      </c>
      <c r="U333">
        <v>1.3835196180636399E-2</v>
      </c>
      <c r="V333">
        <v>-7.0000000000000007E-2</v>
      </c>
      <c r="W333">
        <v>5.94</v>
      </c>
      <c r="X333">
        <v>-111487</v>
      </c>
      <c r="Y333">
        <v>-8576</v>
      </c>
      <c r="Z333">
        <v>-0.7</v>
      </c>
      <c r="AA333">
        <v>13</v>
      </c>
      <c r="AB333">
        <v>6</v>
      </c>
      <c r="AC333">
        <v>7</v>
      </c>
      <c r="AD333">
        <v>46.15</v>
      </c>
      <c r="AE333">
        <v>13</v>
      </c>
    </row>
    <row r="334" spans="1:31">
      <c r="A334">
        <v>266</v>
      </c>
      <c r="B334">
        <v>6371</v>
      </c>
      <c r="C334" t="s">
        <v>298</v>
      </c>
      <c r="D334" t="s">
        <v>226</v>
      </c>
      <c r="E334">
        <v>3365</v>
      </c>
      <c r="F334">
        <v>3400</v>
      </c>
      <c r="G334">
        <v>200</v>
      </c>
      <c r="H334" t="s">
        <v>227</v>
      </c>
      <c r="I334">
        <v>7167</v>
      </c>
      <c r="J334" t="s">
        <v>136</v>
      </c>
      <c r="K334" t="s">
        <v>232</v>
      </c>
      <c r="L334">
        <v>262</v>
      </c>
      <c r="M334">
        <v>261</v>
      </c>
      <c r="N334">
        <v>2600</v>
      </c>
      <c r="O334" t="s">
        <v>229</v>
      </c>
      <c r="P334">
        <v>0.91180484172758802</v>
      </c>
      <c r="Q334">
        <v>0.90767727532866904</v>
      </c>
      <c r="R334">
        <v>6.8381206350190599E-2</v>
      </c>
      <c r="S334">
        <v>0.27285620937117699</v>
      </c>
      <c r="T334">
        <v>-5.1984640995050698E-3</v>
      </c>
      <c r="U334">
        <v>5.1984640995050698E-3</v>
      </c>
      <c r="V334">
        <v>-0.02</v>
      </c>
      <c r="W334">
        <v>0.21</v>
      </c>
      <c r="X334">
        <v>125333</v>
      </c>
      <c r="Y334">
        <v>6963</v>
      </c>
      <c r="Z334">
        <v>0.59</v>
      </c>
      <c r="AA334">
        <v>18</v>
      </c>
      <c r="AB334">
        <v>10</v>
      </c>
      <c r="AC334">
        <v>8</v>
      </c>
      <c r="AD334">
        <v>55.56</v>
      </c>
      <c r="AE334">
        <v>15</v>
      </c>
    </row>
    <row r="335" spans="1:31">
      <c r="A335">
        <v>218</v>
      </c>
      <c r="B335">
        <v>5991</v>
      </c>
      <c r="C335" t="s">
        <v>317</v>
      </c>
      <c r="D335" t="s">
        <v>262</v>
      </c>
      <c r="E335">
        <v>813</v>
      </c>
      <c r="F335">
        <v>807</v>
      </c>
      <c r="G335">
        <v>800</v>
      </c>
      <c r="H335" t="s">
        <v>229</v>
      </c>
      <c r="I335">
        <v>6371</v>
      </c>
      <c r="J335" t="s">
        <v>139</v>
      </c>
      <c r="K335" t="s">
        <v>226</v>
      </c>
      <c r="L335">
        <v>3365</v>
      </c>
      <c r="M335">
        <v>3400</v>
      </c>
      <c r="N335">
        <v>200</v>
      </c>
      <c r="O335" t="s">
        <v>227</v>
      </c>
      <c r="P335">
        <v>0.92047885137595797</v>
      </c>
      <c r="Q335">
        <v>0.91793152541457101</v>
      </c>
      <c r="R335">
        <v>0.149851421480202</v>
      </c>
      <c r="S335">
        <v>0.28259362928536103</v>
      </c>
      <c r="T335">
        <v>2.0997637762880002E-3</v>
      </c>
      <c r="U335">
        <v>2.0997637762880002E-3</v>
      </c>
      <c r="V335">
        <v>0.01</v>
      </c>
      <c r="W335">
        <v>5.0599999999999996</v>
      </c>
      <c r="X335">
        <v>106088</v>
      </c>
      <c r="Y335">
        <v>5584</v>
      </c>
      <c r="Z335">
        <v>0.42</v>
      </c>
      <c r="AA335">
        <v>19</v>
      </c>
      <c r="AB335">
        <v>10</v>
      </c>
      <c r="AC335">
        <v>9</v>
      </c>
      <c r="AD335">
        <v>52.63</v>
      </c>
      <c r="AE335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G36" sqref="G36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2"/>
  <dimension ref="A1"/>
  <sheetViews>
    <sheetView workbookViewId="0">
      <selection activeCell="X9" sqref="X9"/>
    </sheetView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表紙-</vt:lpstr>
      <vt:lpstr>建玉管理</vt:lpstr>
      <vt:lpstr>取引履歴</vt:lpstr>
      <vt:lpstr>監視</vt:lpstr>
      <vt:lpstr>シミュレーション</vt:lpstr>
      <vt:lpstr>抽出結果</vt:lpstr>
      <vt:lpstr>個別計算</vt:lpstr>
      <vt:lpstr>日経サヤ計算</vt:lpstr>
      <vt:lpstr>グラフ</vt:lpstr>
      <vt:lpstr>code</vt:lpstr>
      <vt:lpstr>元データ</vt:lpstr>
      <vt:lpstr>改訂欄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2019-10-07T12:32:33Z</dcterms:modified>
</cp:coreProperties>
</file>