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firstSheet="1" activeTab="18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監視" sheetId="3" r:id="rId6"/>
    <sheet name="シミュレーション" sheetId="4" r:id="rId7"/>
    <sheet name="Search Result" sheetId="5" r:id="rId8"/>
    <sheet name="グラフ" sheetId="7" r:id="rId9"/>
    <sheet name="BACK_TEST" sheetId="23" r:id="rId10"/>
    <sheet name="個別計算" sheetId="6" r:id="rId11"/>
    <sheet name="日経サヤ計算" sheetId="11" r:id="rId12"/>
    <sheet name="code" sheetId="8" r:id="rId13"/>
    <sheet name="元データ" sheetId="9" r:id="rId14"/>
    <sheet name="改訂欄" sheetId="10" r:id="rId15"/>
    <sheet name="Fee_Refer" sheetId="17" r:id="rId16"/>
    <sheet name="Faiue" sheetId="18" r:id="rId17"/>
    <sheet name="Fiscal_date" sheetId="19" r:id="rId18"/>
    <sheet name="gyakunipo_data" sheetId="22" r:id="rId19"/>
  </sheets>
  <functionGroups/>
  <definedNames>
    <definedName name="_xlnm._FilterDatabase" localSheetId="2" hidden="1">取引履歴!$B$3:$AC$23</definedName>
    <definedName name="_xlnm._FilterDatabase" localSheetId="13" hidden="1">元データ!$A$1:$AH$1</definedName>
  </definedNames>
  <calcPr calcId="125725"/>
</workbook>
</file>

<file path=xl/calcChain.xml><?xml version="1.0" encoding="utf-8"?>
<calcChain xmlns="http://schemas.openxmlformats.org/spreadsheetml/2006/main">
  <c r="R2" i="13"/>
  <c r="AC34"/>
  <c r="AB34"/>
  <c r="AA34"/>
  <c r="N35"/>
  <c r="N34"/>
  <c r="P34" s="1"/>
  <c r="J35"/>
  <c r="V34"/>
  <c r="J34"/>
  <c r="A36" i="23"/>
  <c r="A35"/>
  <c r="H4"/>
  <c r="L4" s="1"/>
  <c r="L3"/>
  <c r="H3"/>
  <c r="C21" i="4"/>
  <c r="C20"/>
  <c r="J9" i="2"/>
  <c r="J8"/>
  <c r="C8"/>
  <c r="J7"/>
  <c r="J6"/>
  <c r="C6"/>
  <c r="AC32" i="13"/>
  <c r="AB32"/>
  <c r="AA32"/>
  <c r="AC30"/>
  <c r="AB30"/>
  <c r="AA30"/>
  <c r="P4" i="3"/>
  <c r="N4"/>
  <c r="J4"/>
  <c r="V3"/>
  <c r="U3"/>
  <c r="P3"/>
  <c r="N3"/>
  <c r="J3"/>
  <c r="C3"/>
  <c r="J5" i="2"/>
  <c r="J4"/>
  <c r="C4"/>
  <c r="M33" i="13"/>
  <c r="M31"/>
  <c r="M23"/>
  <c r="P23" s="1"/>
  <c r="Q23" s="1"/>
  <c r="M21"/>
  <c r="P21" s="1"/>
  <c r="Q21" s="1"/>
  <c r="M17"/>
  <c r="P17" s="1"/>
  <c r="Q17" s="1"/>
  <c r="M15"/>
  <c r="P15" s="1"/>
  <c r="Q15" s="1"/>
  <c r="P13"/>
  <c r="M13"/>
  <c r="Q13" s="1"/>
  <c r="M32"/>
  <c r="M30"/>
  <c r="M29"/>
  <c r="M28"/>
  <c r="M27"/>
  <c r="P27" s="1"/>
  <c r="Q27" s="1"/>
  <c r="M26"/>
  <c r="P26" s="1"/>
  <c r="Q26" s="1"/>
  <c r="M25"/>
  <c r="P25" s="1"/>
  <c r="Q25" s="1"/>
  <c r="M24"/>
  <c r="M22"/>
  <c r="P22" s="1"/>
  <c r="Q22" s="1"/>
  <c r="M20"/>
  <c r="P20" s="1"/>
  <c r="Q20" s="1"/>
  <c r="M19"/>
  <c r="P19" s="1"/>
  <c r="Q19" s="1"/>
  <c r="M18"/>
  <c r="M16"/>
  <c r="P16" s="1"/>
  <c r="Q16" s="1"/>
  <c r="M14"/>
  <c r="M12"/>
  <c r="P12" s="1"/>
  <c r="Q12" s="1"/>
  <c r="M11"/>
  <c r="M10"/>
  <c r="P10" s="1"/>
  <c r="Q10" s="1"/>
  <c r="M9"/>
  <c r="M8"/>
  <c r="P8" s="1"/>
  <c r="Q8" s="1"/>
  <c r="M7"/>
  <c r="P7" s="1"/>
  <c r="Q7" s="1"/>
  <c r="M6"/>
  <c r="P6" s="1"/>
  <c r="Q6" s="1"/>
  <c r="P9"/>
  <c r="Q9" s="1"/>
  <c r="P11"/>
  <c r="Q11" s="1"/>
  <c r="P14"/>
  <c r="Q14" s="1"/>
  <c r="P18"/>
  <c r="Q18" s="1"/>
  <c r="P24"/>
  <c r="Q24" s="1"/>
  <c r="P28"/>
  <c r="Q28" s="1"/>
  <c r="P29"/>
  <c r="Q29" s="1"/>
  <c r="P30"/>
  <c r="Q30" s="1"/>
  <c r="P31"/>
  <c r="Q31" s="1"/>
  <c r="P32"/>
  <c r="Q32" s="1"/>
  <c r="P33"/>
  <c r="Q33" s="1"/>
  <c r="M5"/>
  <c r="O5"/>
  <c r="P5" s="1"/>
  <c r="Q5" s="1"/>
  <c r="Q4"/>
  <c r="P4"/>
  <c r="M4"/>
  <c r="J33"/>
  <c r="V32"/>
  <c r="N32" s="1"/>
  <c r="J32"/>
  <c r="J31"/>
  <c r="V30"/>
  <c r="N30" s="1"/>
  <c r="J30"/>
  <c r="C4" i="20"/>
  <c r="C5" s="1"/>
  <c r="AC28" i="13"/>
  <c r="AB28"/>
  <c r="AA28"/>
  <c r="C19" i="4"/>
  <c r="C18"/>
  <c r="C4" i="17"/>
  <c r="C5"/>
  <c r="C6"/>
  <c r="C3"/>
  <c r="C26" i="13"/>
  <c r="J26"/>
  <c r="J27"/>
  <c r="C24"/>
  <c r="J24"/>
  <c r="J25"/>
  <c r="AB22"/>
  <c r="AA22"/>
  <c r="C22"/>
  <c r="J22"/>
  <c r="J23"/>
  <c r="C20"/>
  <c r="J20"/>
  <c r="J21"/>
  <c r="AB18"/>
  <c r="AA18"/>
  <c r="J19"/>
  <c r="V18"/>
  <c r="J18"/>
  <c r="C18"/>
  <c r="AA14"/>
  <c r="AB14"/>
  <c r="AA16"/>
  <c r="AB16"/>
  <c r="J17"/>
  <c r="V16"/>
  <c r="J16"/>
  <c r="C16"/>
  <c r="J15"/>
  <c r="V14"/>
  <c r="J14"/>
  <c r="C14"/>
  <c r="C12"/>
  <c r="J12"/>
  <c r="J13"/>
  <c r="AA10"/>
  <c r="AB10"/>
  <c r="V10"/>
  <c r="J11"/>
  <c r="J10"/>
  <c r="C10"/>
  <c r="AB6"/>
  <c r="AB8"/>
  <c r="AB4"/>
  <c r="AA6"/>
  <c r="AA8"/>
  <c r="AA4"/>
  <c r="J9"/>
  <c r="V8"/>
  <c r="J8"/>
  <c r="C8"/>
  <c r="V6"/>
  <c r="V4"/>
  <c r="P1" i="2"/>
  <c r="V24" i="13" s="1"/>
  <c r="P35" l="1"/>
  <c r="R34" s="1"/>
  <c r="Q34"/>
  <c r="U8" i="2"/>
  <c r="V8" s="1"/>
  <c r="U6"/>
  <c r="V6" s="1"/>
  <c r="Q4" i="3"/>
  <c r="R3"/>
  <c r="S3" s="1"/>
  <c r="Q3"/>
  <c r="U4" i="2"/>
  <c r="V4" s="1"/>
  <c r="R32" i="13"/>
  <c r="S32" s="1"/>
  <c r="R30"/>
  <c r="S30" s="1"/>
  <c r="R26"/>
  <c r="AB24"/>
  <c r="AA24"/>
  <c r="R24"/>
  <c r="R22"/>
  <c r="V22"/>
  <c r="R16"/>
  <c r="R20"/>
  <c r="R18"/>
  <c r="R14"/>
  <c r="R12"/>
  <c r="R8"/>
  <c r="S8" s="1"/>
  <c r="R10"/>
  <c r="J2" i="2"/>
  <c r="R6" i="13"/>
  <c r="R4"/>
  <c r="Q35" l="1"/>
  <c r="S34"/>
  <c r="N9" i="2"/>
  <c r="P9" s="1"/>
  <c r="Q9" s="1"/>
  <c r="N8"/>
  <c r="P8" s="1"/>
  <c r="N7"/>
  <c r="P7" s="1"/>
  <c r="Q7" s="1"/>
  <c r="N6"/>
  <c r="P6" s="1"/>
  <c r="N4"/>
  <c r="P4" s="1"/>
  <c r="N5"/>
  <c r="P5" s="1"/>
  <c r="Q5" s="1"/>
  <c r="S26" i="13"/>
  <c r="AC26"/>
  <c r="V26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S4"/>
  <c r="AC4"/>
  <c r="S6"/>
  <c r="AC6"/>
  <c r="AC8"/>
  <c r="S10"/>
  <c r="AC10"/>
  <c r="R8" i="2" l="1"/>
  <c r="S8" s="1"/>
  <c r="Q8"/>
  <c r="R6"/>
  <c r="S6" s="1"/>
  <c r="Q6"/>
  <c r="Q4"/>
  <c r="R4"/>
  <c r="S4" s="1"/>
  <c r="L5" i="20"/>
  <c r="M4" l="1"/>
  <c r="V4"/>
  <c r="V3"/>
  <c r="V5"/>
  <c r="K4"/>
  <c r="K5"/>
  <c r="K3"/>
  <c r="M3"/>
  <c r="M5"/>
  <c r="L4"/>
  <c r="L3"/>
  <c r="S2" i="2"/>
  <c r="R2"/>
  <c r="P3" i="20" l="1"/>
  <c r="E3"/>
  <c r="P4" l="1"/>
  <c r="E4"/>
  <c r="P5" l="1"/>
  <c r="E5"/>
</calcChain>
</file>

<file path=xl/sharedStrings.xml><?xml version="1.0" encoding="utf-8"?>
<sst xmlns="http://schemas.openxmlformats.org/spreadsheetml/2006/main" count="9282" uniqueCount="2625">
  <si>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</si>
  <si>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</si>
  <si>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</si>
  <si>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</si>
  <si>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</si>
  <si>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</si>
  <si>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</si>
  <si>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</si>
  <si>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</si>
  <si>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</si>
  <si>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</si>
  <si>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</si>
  <si>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</si>
  <si>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</si>
  <si>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</si>
  <si>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</si>
  <si>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</si>
  <si>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</si>
  <si>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</si>
  <si>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</si>
  <si>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</si>
  <si>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</si>
  <si>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</si>
  <si>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</si>
  <si>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</si>
  <si>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</si>
  <si>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</si>
  <si>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</si>
  <si>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</si>
  <si>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</si>
  <si>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</si>
  <si>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</si>
  <si>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</si>
  <si>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</si>
  <si>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</si>
  <si>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</si>
  <si>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</si>
  <si>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</si>
  <si>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</si>
  <si>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</si>
  <si>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</si>
  <si>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</si>
  <si>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</si>
  <si>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</si>
  <si>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</si>
  <si>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</si>
  <si>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</si>
  <si>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</si>
  <si>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</si>
  <si>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</si>
  <si>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</si>
  <si>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</si>
  <si>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</si>
  <si>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</si>
  <si>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</si>
  <si>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</si>
  <si>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</si>
  <si>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</si>
  <si>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</si>
  <si>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</si>
  <si>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</si>
  <si>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</si>
  <si>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</si>
  <si>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</si>
  <si>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</si>
  <si>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</si>
  <si>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</si>
  <si>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</si>
  <si>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</si>
  <si>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</si>
  <si>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</si>
  <si>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</si>
  <si>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</si>
  <si>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</si>
  <si>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</si>
  <si>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</si>
  <si>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</si>
  <si>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</si>
  <si>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</si>
  <si>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</si>
  <si>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</si>
  <si>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</si>
  <si>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</si>
  <si>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</si>
  <si>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</si>
  <si>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</si>
  <si>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</si>
  <si>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</si>
  <si>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</si>
  <si>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</si>
  <si>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</si>
  <si>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</si>
  <si>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</si>
  <si>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</si>
  <si>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</si>
  <si>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</si>
  <si>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</si>
  <si>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</si>
  <si>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</si>
  <si>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</si>
  <si>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</si>
  <si>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</si>
  <si>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</si>
  <si>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</si>
  <si>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</si>
  <si>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</si>
  <si>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</si>
  <si>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</si>
  <si>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</si>
  <si>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</si>
  <si>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</si>
  <si>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</si>
  <si>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</si>
  <si>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</si>
  <si>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</si>
  <si>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</si>
  <si>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</si>
  <si>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</si>
  <si>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</si>
  <si>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</si>
  <si>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</si>
  <si>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西松建設</t>
  </si>
  <si>
    <t>デンカ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</si>
  <si>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</si>
  <si>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</si>
  <si>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</si>
  <si>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</si>
  <si>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</si>
  <si>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</si>
  <si>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</si>
  <si>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</si>
  <si>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</si>
  <si>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</si>
  <si>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</si>
  <si>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</si>
  <si>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</si>
  <si>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</si>
  <si>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</si>
  <si>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</si>
  <si>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</si>
  <si>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</si>
  <si>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</si>
  <si>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</si>
  <si>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</si>
  <si>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</si>
  <si>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</si>
  <si>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</si>
  <si>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</si>
  <si>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</si>
  <si>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</si>
  <si>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</si>
  <si>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</si>
  <si>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</si>
  <si>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</si>
  <si>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</si>
  <si>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</si>
  <si>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</si>
  <si>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</si>
  <si>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</si>
  <si>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</si>
  <si>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</si>
  <si>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</si>
  <si>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</si>
  <si>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</si>
  <si>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</si>
  <si>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</si>
  <si>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</si>
  <si>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</si>
  <si>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</si>
  <si>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</si>
  <si>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</si>
  <si>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</si>
  <si>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</si>
  <si>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</si>
  <si>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</si>
  <si>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</si>
  <si>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</si>
  <si>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</si>
  <si>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</si>
  <si>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</si>
  <si>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</si>
  <si>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</si>
  <si>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</si>
  <si>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</si>
  <si>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</si>
  <si>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</si>
  <si>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</si>
  <si>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</si>
  <si>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</si>
  <si>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</si>
  <si>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</si>
  <si>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</si>
  <si>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</si>
  <si>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</si>
  <si>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</si>
  <si>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</si>
  <si>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</si>
  <si>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</si>
  <si>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</si>
  <si>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</si>
  <si>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</si>
  <si>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</si>
  <si>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</si>
  <si>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</si>
  <si>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</si>
  <si>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</si>
  <si>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</si>
  <si>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</si>
  <si>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</si>
  <si>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</si>
  <si>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</si>
  <si>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</si>
  <si>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</si>
  <si>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</si>
  <si>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</si>
  <si>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</si>
  <si>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</si>
  <si>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</si>
  <si>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</si>
  <si>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</si>
  <si>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</si>
  <si>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</si>
  <si>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</si>
  <si>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</si>
  <si>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</si>
  <si>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</si>
  <si>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</si>
  <si>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</si>
  <si>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</si>
  <si>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</si>
  <si>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</si>
  <si>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</si>
  <si>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</si>
  <si>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</si>
  <si>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</si>
  <si>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</si>
  <si>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</si>
  <si>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</si>
  <si>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</si>
  <si>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</si>
  <si>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</si>
  <si>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</si>
  <si>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</si>
  <si>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</si>
  <si>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</si>
  <si>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</si>
  <si>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</si>
  <si>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</si>
  <si>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</si>
  <si>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</si>
  <si>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</si>
  <si>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</si>
  <si>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</si>
  <si>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</si>
  <si>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</si>
  <si>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</si>
  <si>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</si>
  <si>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</si>
  <si>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</si>
  <si>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</si>
  <si>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</si>
  <si>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</si>
  <si>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</si>
  <si>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</si>
  <si>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</si>
  <si>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</si>
  <si>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</si>
  <si>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</si>
  <si>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</si>
  <si>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</si>
  <si>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</si>
  <si>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</si>
  <si>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</si>
  <si>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</si>
  <si>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</si>
  <si>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</si>
  <si>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</si>
  <si>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</si>
  <si>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</si>
  <si>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</si>
  <si>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相関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</si>
  <si>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</si>
  <si>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</si>
  <si>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</si>
  <si>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</si>
  <si>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</si>
  <si>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</si>
  <si>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</si>
  <si>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</si>
  <si>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</si>
  <si>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</si>
  <si>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</si>
  <si>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</si>
  <si>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</si>
  <si>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</si>
  <si>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</si>
  <si>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</si>
  <si>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</si>
  <si>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</si>
  <si>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三井化学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</si>
  <si>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</si>
  <si>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</si>
  <si>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</si>
  <si>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</si>
  <si>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</si>
  <si>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</si>
  <si>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</si>
  <si>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</si>
  <si>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</si>
  <si>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</si>
  <si>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</si>
  <si>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</si>
  <si>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</si>
  <si>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</si>
  <si>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ＡＤＥＫＡ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</si>
  <si>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</si>
  <si>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</si>
  <si>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</si>
  <si>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</si>
  <si>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</si>
  <si>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</si>
  <si>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</si>
  <si>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</si>
  <si>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</si>
  <si>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</si>
  <si>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</si>
  <si>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</si>
  <si>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</si>
  <si>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</si>
  <si>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</si>
  <si>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</si>
  <si>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</si>
  <si>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</si>
  <si>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</si>
  <si>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</si>
  <si>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</si>
  <si>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</si>
  <si>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</si>
  <si>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</si>
  <si>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</si>
  <si>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</si>
  <si>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</si>
  <si>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</si>
  <si>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</si>
  <si>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</si>
  <si>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</si>
  <si>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</si>
  <si>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</si>
  <si>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</si>
  <si>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</si>
  <si>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</si>
  <si>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</si>
  <si>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</si>
  <si>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</si>
  <si>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</si>
  <si>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</si>
  <si>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</si>
  <si>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</si>
  <si>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</si>
  <si>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</si>
  <si>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</si>
  <si>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</si>
  <si>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</si>
  <si>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</si>
  <si>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</si>
  <si>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</si>
  <si>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</si>
  <si>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</si>
  <si>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</si>
  <si>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</si>
  <si>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</si>
  <si>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</si>
  <si>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</si>
  <si>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</si>
  <si>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</si>
  <si>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</si>
  <si>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</si>
  <si>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</si>
  <si>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</si>
  <si>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</si>
  <si>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</si>
  <si>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</si>
  <si>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</si>
  <si>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</si>
  <si>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</si>
  <si>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</si>
  <si>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</si>
  <si>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</si>
  <si>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</si>
  <si>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</si>
  <si>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</si>
  <si>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</si>
  <si>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</si>
  <si>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</si>
  <si>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</si>
  <si>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</si>
  <si>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</si>
  <si>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</si>
  <si>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</si>
  <si>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</si>
  <si>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</si>
  <si>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</si>
  <si>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</si>
  <si>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</si>
  <si>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</si>
  <si>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</si>
  <si>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</si>
  <si>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</si>
  <si>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</si>
  <si>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</si>
  <si>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</si>
  <si>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</si>
  <si>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</si>
  <si>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</si>
  <si>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</si>
  <si>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</si>
  <si>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</si>
  <si>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</si>
  <si>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</si>
  <si>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</si>
  <si>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</si>
  <si>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</si>
  <si>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</si>
  <si>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</si>
  <si>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</si>
  <si>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</si>
  <si>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</si>
  <si>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</si>
  <si>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</si>
  <si>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</si>
  <si>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</si>
  <si>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</si>
  <si>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</si>
  <si>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</si>
  <si>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</si>
  <si>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</si>
  <si>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</si>
  <si>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</si>
  <si>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</si>
  <si>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</si>
  <si>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</si>
  <si>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</si>
  <si>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</si>
  <si>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</si>
  <si>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</si>
  <si>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</si>
  <si>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</si>
  <si>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</si>
  <si>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</si>
  <si>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</si>
  <si>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</si>
  <si>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</si>
  <si>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</si>
  <si>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</si>
  <si>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</si>
  <si>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</si>
  <si>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</si>
  <si>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</si>
  <si>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</si>
  <si>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</si>
  <si>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</si>
  <si>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</si>
  <si>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</si>
  <si>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</si>
  <si>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</si>
  <si>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</si>
  <si>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</si>
  <si>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</si>
  <si>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</si>
  <si>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</si>
  <si>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</si>
  <si>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</si>
  <si>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</si>
  <si>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</si>
  <si>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</si>
  <si>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</si>
  <si>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</si>
  <si>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</si>
  <si>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</si>
  <si>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</si>
  <si>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</si>
  <si>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</si>
  <si>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</si>
  <si>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</si>
  <si>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</si>
  <si>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</si>
  <si>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</si>
  <si>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</si>
  <si>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</si>
  <si>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</si>
  <si>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</si>
  <si>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</si>
  <si>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</si>
  <si>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</si>
  <si>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</si>
  <si>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</si>
  <si>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</si>
  <si>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</si>
  <si>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</si>
  <si>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</si>
  <si>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</si>
  <si>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</si>
  <si>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</si>
  <si>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</si>
  <si>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</si>
  <si>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</si>
  <si>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</si>
  <si>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</si>
  <si>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</si>
  <si>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</si>
  <si>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</si>
  <si>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</si>
  <si>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</si>
  <si>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</si>
  <si>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</si>
  <si>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</si>
  <si>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</si>
  <si>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</si>
  <si>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</si>
  <si>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</si>
  <si>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</si>
  <si>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</si>
  <si>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</si>
  <si>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</si>
  <si>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</si>
  <si>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</si>
  <si>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</si>
  <si>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</si>
  <si>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</si>
  <si>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</si>
  <si>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</si>
  <si>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</si>
  <si>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</si>
  <si>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</si>
  <si>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</si>
  <si>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</si>
  <si>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</si>
  <si>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</si>
  <si>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</si>
  <si>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</si>
  <si>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</si>
  <si>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</si>
  <si>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</si>
  <si>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</si>
  <si>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</si>
  <si>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</si>
  <si>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</si>
  <si>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</si>
  <si>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</si>
  <si>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</si>
  <si>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</si>
  <si>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</si>
  <si>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</si>
  <si>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</si>
  <si>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</si>
  <si>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</si>
  <si>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</si>
  <si>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</si>
  <si>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</si>
  <si>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</si>
  <si>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</si>
  <si>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</si>
  <si>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</si>
  <si>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</si>
  <si>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</si>
  <si>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</si>
  <si>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</si>
  <si>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</si>
  <si>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</si>
  <si>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</si>
  <si>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</si>
  <si>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</si>
  <si>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</si>
  <si>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</si>
  <si>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</si>
  <si>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</si>
  <si>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</si>
  <si>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</si>
  <si>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</si>
  <si>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</si>
  <si>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</si>
  <si>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</si>
  <si>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</si>
  <si>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</si>
  <si>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</si>
  <si>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</si>
  <si>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</si>
  <si>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</si>
  <si>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</si>
  <si>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</si>
  <si>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</si>
  <si>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</si>
  <si>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</si>
  <si>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</si>
  <si>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</si>
  <si>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</si>
  <si>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</si>
  <si>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</si>
  <si>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</si>
  <si>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</si>
  <si>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</si>
  <si>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</si>
  <si>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</si>
  <si>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</si>
  <si>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</si>
  <si>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</si>
  <si>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</si>
  <si>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</si>
  <si>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</si>
  <si>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</si>
  <si>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</si>
  <si>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</si>
  <si>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</si>
  <si>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</si>
  <si>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</si>
  <si>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</si>
  <si>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</si>
  <si>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</si>
  <si>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</si>
  <si>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</si>
  <si>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</si>
  <si>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</si>
  <si>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</si>
  <si>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</si>
  <si>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</si>
  <si>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</si>
  <si>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</si>
  <si>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</si>
  <si>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</si>
  <si>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</si>
  <si>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</si>
  <si>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</si>
  <si>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</si>
  <si>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</si>
  <si>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</si>
  <si>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</si>
  <si>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</si>
  <si>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</si>
  <si>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</si>
  <si>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</si>
  <si>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</si>
  <si>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</si>
  <si>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</si>
  <si>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</si>
  <si>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</si>
  <si>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</si>
  <si>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</si>
  <si>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</si>
  <si>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</si>
  <si>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</si>
  <si>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</si>
  <si>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</si>
  <si>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</si>
  <si>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</si>
  <si>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</si>
  <si>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</si>
  <si>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</si>
  <si>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</si>
  <si>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</si>
  <si>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</si>
  <si>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</si>
  <si>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</si>
  <si>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</si>
  <si>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</si>
  <si>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</si>
  <si>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</si>
  <si>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</si>
  <si>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</si>
  <si>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</si>
  <si>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</si>
  <si>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</si>
  <si>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</si>
  <si>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</si>
  <si>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</si>
  <si>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</si>
  <si>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</si>
  <si>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</si>
  <si>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</si>
  <si>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</si>
  <si>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</si>
  <si>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</si>
  <si>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</si>
  <si>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</si>
  <si>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</si>
  <si>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</si>
  <si>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</si>
  <si>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</si>
  <si>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</si>
  <si>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</si>
  <si>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</si>
  <si>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</si>
  <si>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</si>
  <si>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</si>
  <si>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</si>
  <si>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</si>
  <si>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</si>
  <si>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</si>
  <si>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</si>
  <si>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</si>
  <si>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</si>
  <si>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</si>
  <si>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</si>
  <si>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</si>
  <si>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</si>
  <si>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</si>
  <si>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</si>
  <si>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</si>
  <si>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</si>
  <si>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</si>
  <si>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</si>
  <si>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</si>
  <si>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</si>
  <si>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</si>
  <si>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</si>
  <si>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</si>
  <si>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</si>
  <si>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</si>
  <si>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</si>
  <si>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</si>
  <si>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</si>
  <si>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</si>
  <si>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</si>
  <si>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</si>
  <si>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</si>
  <si>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</si>
  <si>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</si>
  <si>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</si>
  <si>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</si>
  <si>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</si>
  <si>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</si>
  <si>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</si>
  <si>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</si>
  <si>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</si>
  <si>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</si>
  <si>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</si>
  <si>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</si>
  <si>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</si>
  <si>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</si>
  <si>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</si>
  <si>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</si>
  <si>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</si>
  <si>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</si>
  <si>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</si>
  <si>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</si>
  <si>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</si>
  <si>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</si>
  <si>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</si>
  <si>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</si>
  <si>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</si>
  <si>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</si>
  <si>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</si>
  <si>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</si>
  <si>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</si>
  <si>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</si>
  <si>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</si>
  <si>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</si>
  <si>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</si>
  <si>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</si>
  <si>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</si>
  <si>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</si>
  <si>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</si>
  <si>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</si>
  <si>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</si>
  <si>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</si>
  <si>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</si>
  <si>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</si>
  <si>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</si>
  <si>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</si>
  <si>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</si>
  <si>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</si>
  <si>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</si>
  <si>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</si>
  <si>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</si>
  <si>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</si>
  <si>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</si>
  <si>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</si>
  <si>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</si>
  <si>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</si>
  <si>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</si>
  <si>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OSGコーポ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</si>
  <si>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</si>
  <si>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</si>
  <si>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</si>
  <si>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</si>
  <si>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</si>
  <si>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</si>
  <si>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</si>
  <si>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</si>
  <si>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</si>
  <si>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</si>
  <si>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</si>
  <si>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</si>
  <si>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</si>
  <si>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</si>
  <si>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ブラザー工業</t>
  </si>
  <si>
    <t>浜松ホトニクス</t>
  </si>
  <si>
    <t>野村不動産ホールディングス</t>
  </si>
  <si>
    <t xml:space="preserve"> 象　印</t>
  </si>
  <si>
    <t xml:space="preserve"> ヒマラヤ</t>
  </si>
  <si>
    <t>710"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</si>
  <si>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</si>
  <si>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</si>
  <si>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</si>
  <si>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</si>
  <si>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</si>
  <si>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</si>
  <si>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</si>
  <si>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</si>
  <si>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</si>
  <si>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</si>
  <si>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</si>
  <si>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</si>
  <si>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</si>
  <si>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</si>
  <si>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</si>
  <si>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</si>
  <si>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</si>
  <si>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</si>
  <si>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</si>
  <si>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</si>
  <si>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</si>
  <si>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</si>
  <si>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</si>
  <si>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</si>
  <si>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</si>
  <si>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</si>
  <si>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</si>
  <si>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</si>
  <si>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</si>
  <si>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</si>
  <si>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</si>
  <si>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</si>
  <si>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</si>
  <si>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</si>
  <si>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単に運がよかった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</si>
  <si>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</si>
  <si>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</si>
  <si>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</si>
  <si>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</si>
  <si>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</si>
  <si>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</si>
  <si>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</si>
  <si>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</si>
  <si>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</si>
  <si>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</si>
  <si>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</si>
  <si>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</si>
  <si>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</si>
  <si>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</si>
  <si>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</si>
  <si>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091"</t>
  </si>
  <si>
    <t>258"</t>
  </si>
  <si>
    <t xml:space="preserve"> 12/24</t>
  </si>
  <si>
    <t>282"</t>
  </si>
  <si>
    <t xml:space="preserve"> TAKARA&amp;C</t>
  </si>
  <si>
    <t>245"</t>
  </si>
  <si>
    <t>389"</t>
  </si>
  <si>
    <t xml:space="preserve"> トレファク</t>
  </si>
  <si>
    <t xml:space="preserve"> いちご</t>
  </si>
  <si>
    <t xml:space="preserve"> コスモス薬品</t>
  </si>
  <si>
    <t xml:space="preserve"> 久光薬</t>
  </si>
  <si>
    <t xml:space="preserve"> 佐鳥電機</t>
  </si>
  <si>
    <t xml:space="preserve"> 良品計画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</si>
  <si>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</si>
  <si>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</si>
  <si>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</si>
  <si>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</si>
  <si>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</si>
  <si>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 xml:space="preserve"> プレナス</t>
  </si>
  <si>
    <t xml:space="preserve"> 阪急神RE</t>
  </si>
  <si>
    <t>452"</t>
  </si>
  <si>
    <t xml:space="preserve"> 14:00</t>
  </si>
  <si>
    <t xml:space="preserve"> 大豊工業</t>
  </si>
  <si>
    <t xml:space="preserve"> 味の素</t>
  </si>
  <si>
    <t>102"</t>
  </si>
  <si>
    <t xml:space="preserve"> ヒューリック</t>
  </si>
  <si>
    <t xml:space="preserve"> TOKAI HD</t>
  </si>
  <si>
    <t xml:space="preserve"> 明治電機</t>
  </si>
  <si>
    <t xml:space="preserve"> 電　算</t>
  </si>
  <si>
    <t xml:space="preserve"> JR東日本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</si>
  <si>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</si>
  <si>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</si>
  <si>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</si>
  <si>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</si>
  <si>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</si>
  <si>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</si>
  <si>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</si>
  <si>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</si>
  <si>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</si>
  <si>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>081"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</si>
  <si>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</si>
  <si>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</si>
  <si>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</si>
  <si>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</si>
  <si>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</si>
  <si>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</si>
  <si>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>554"</t>
  </si>
  <si>
    <t xml:space="preserve"> 京　王</t>
  </si>
  <si>
    <t xml:space="preserve"> 不二製油</t>
  </si>
  <si>
    <t xml:space="preserve"> ウェルネット</t>
  </si>
  <si>
    <t xml:space="preserve"> ニチレイ</t>
  </si>
  <si>
    <t>" 50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</si>
  <si>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</si>
  <si>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</si>
  <si>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</si>
  <si>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</si>
  <si>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</si>
  <si>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</si>
  <si>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</si>
  <si>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</si>
  <si>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</si>
  <si>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</si>
  <si>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</si>
  <si>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</si>
  <si>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</si>
  <si>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</si>
  <si>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</si>
  <si>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</si>
  <si>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</si>
  <si>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</si>
  <si>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</si>
  <si>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</si>
  <si>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</si>
  <si>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</si>
  <si>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>545"</t>
  </si>
  <si>
    <t xml:space="preserve"> ＩＣＤＡ</t>
  </si>
  <si>
    <t xml:space="preserve"> フェイスNW</t>
  </si>
  <si>
    <t xml:space="preserve"> 3/2</t>
  </si>
  <si>
    <t>853"</t>
  </si>
  <si>
    <t xml:space="preserve"> 3/3</t>
  </si>
  <si>
    <t xml:space="preserve"> トヨタ紡織</t>
  </si>
  <si>
    <t xml:space="preserve"> マクニカ富士</t>
  </si>
  <si>
    <t xml:space="preserve"> LIXILビ</t>
  </si>
  <si>
    <t xml:space="preserve"> イーブック</t>
  </si>
  <si>
    <t xml:space="preserve"> さくら</t>
  </si>
  <si>
    <t>" 20</t>
  </si>
  <si>
    <t>358"</t>
  </si>
  <si>
    <t xml:space="preserve"> 西川計測</t>
  </si>
  <si>
    <t xml:space="preserve"> 技研製</t>
  </si>
  <si>
    <t>659"</t>
  </si>
  <si>
    <t>738"</t>
  </si>
  <si>
    <t>807"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</si>
  <si>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</si>
  <si>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</si>
  <si>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</si>
  <si>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</si>
  <si>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</si>
  <si>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</si>
  <si>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</si>
  <si>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</si>
  <si>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</si>
  <si>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</si>
  <si>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</si>
  <si>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</si>
  <si>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</si>
  <si>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</si>
  <si>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</si>
  <si>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>577"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</si>
  <si>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</si>
  <si>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</si>
  <si>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</si>
  <si>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</si>
  <si>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</si>
  <si>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</si>
  <si>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</si>
  <si>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</si>
  <si>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</si>
  <si>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</si>
  <si>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</si>
  <si>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</si>
  <si>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</si>
  <si>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</si>
  <si>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</si>
  <si>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</si>
  <si>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</si>
  <si>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</si>
  <si>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</si>
  <si>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</si>
  <si>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</si>
  <si>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</si>
  <si>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</si>
  <si>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</si>
  <si>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</si>
  <si>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</si>
  <si>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</si>
  <si>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</si>
  <si>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</si>
  <si>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</si>
  <si>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</si>
  <si>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</si>
  <si>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</si>
  <si>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</si>
  <si>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</si>
  <si>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</si>
  <si>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</si>
  <si>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</si>
  <si>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</si>
  <si>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</si>
  <si>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</si>
  <si>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</si>
  <si>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</si>
  <si>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</si>
  <si>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</si>
  <si>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ジャストシステム</t>
  </si>
  <si>
    <t>クレディセゾン</t>
  </si>
  <si>
    <t>富士通ゼネラル</t>
  </si>
  <si>
    <t>三井住友フィナンシャルグループ</t>
  </si>
  <si>
    <t>東京電力ホールディングス</t>
  </si>
  <si>
    <t>九州電力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</si>
  <si>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</si>
  <si>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</si>
  <si>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</si>
  <si>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</si>
  <si>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</si>
  <si>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</si>
  <si>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</si>
  <si>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</si>
  <si>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</si>
  <si>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</si>
  <si>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</si>
  <si>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</si>
  <si>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</si>
  <si>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2/2/12</t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</si>
  <si>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</si>
  <si>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</si>
  <si>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</si>
  <si>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</si>
  <si>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</si>
  <si>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</si>
  <si>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</si>
  <si>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日東紡績</t>
  </si>
  <si>
    <t>逆日歩</t>
    <phoneticPr fontId="1" type="noConversion"/>
  </si>
  <si>
    <t>No</t>
    <phoneticPr fontId="1" type="noConversion"/>
  </si>
  <si>
    <t>CLOSE_B_ADJUST</t>
  </si>
  <si>
    <t>コンコルディア・フィナンシャルグループ</t>
  </si>
  <si>
    <t>東ソー</t>
  </si>
  <si>
    <t>東京精密</t>
  </si>
  <si>
    <t>中電工</t>
  </si>
  <si>
    <t>安藤・間</t>
  </si>
  <si>
    <t>清水建設</t>
  </si>
  <si>
    <t>フジテック</t>
  </si>
  <si>
    <t>デジタルガレージ</t>
  </si>
  <si>
    <t>エン・ジャパン</t>
  </si>
  <si>
    <t>ＫＤＤＩ</t>
  </si>
  <si>
    <t>ニプロ</t>
  </si>
  <si>
    <t>ミネベアミツミ</t>
  </si>
  <si>
    <t>東洋紡</t>
  </si>
  <si>
    <t>繊維製品</t>
  </si>
  <si>
    <t>セブン銀行</t>
  </si>
  <si>
    <t>ヒューリック</t>
  </si>
  <si>
    <t>サンドラッグ</t>
  </si>
  <si>
    <t>日清オイリオグループ</t>
  </si>
  <si>
    <t>日本Ｍ＆Ａセンター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</si>
  <si>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</si>
  <si>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</si>
  <si>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</si>
  <si>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</si>
  <si>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</si>
  <si>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その他製品</t>
  </si>
  <si>
    <t>エイチ・アイ・エス</t>
  </si>
  <si>
    <t>三菱商事</t>
  </si>
  <si>
    <t>旭化成</t>
  </si>
  <si>
    <t>八十二銀行</t>
  </si>
  <si>
    <t>ダイフク</t>
  </si>
  <si>
    <t>CHT</t>
  </si>
  <si>
    <t>NEW</t>
  </si>
  <si>
    <t>MOR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</si>
  <si>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</si>
  <si>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</si>
  <si>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</si>
  <si>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</si>
  <si>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</si>
  <si>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</si>
  <si>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</si>
  <si>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</si>
  <si>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</si>
  <si>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</si>
  <si>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</si>
  <si>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</si>
  <si>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</si>
  <si>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</si>
  <si>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</si>
  <si>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</si>
  <si>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</si>
  <si>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大成建設</t>
  </si>
  <si>
    <t>長谷工コーポレーション</t>
  </si>
  <si>
    <t>松井建設</t>
  </si>
  <si>
    <t>佐田建設</t>
  </si>
  <si>
    <t>富士ピー・エス</t>
  </si>
  <si>
    <t>矢作建設工業</t>
  </si>
  <si>
    <t>大東建託</t>
  </si>
  <si>
    <t>ＮＩＰＰＯ</t>
  </si>
  <si>
    <t>前田道路</t>
  </si>
  <si>
    <t>日本道路</t>
  </si>
  <si>
    <t>巴コーポレーション</t>
  </si>
  <si>
    <t>北陸電気工事</t>
  </si>
  <si>
    <t>四電工</t>
  </si>
  <si>
    <t>住友電設</t>
  </si>
  <si>
    <t>新日本空調</t>
  </si>
  <si>
    <t>日本工営</t>
  </si>
  <si>
    <t>三機工業</t>
  </si>
  <si>
    <t>日揮ホールディングス</t>
  </si>
  <si>
    <t>中外炉工業</t>
  </si>
  <si>
    <t>高砂熱学工業</t>
  </si>
  <si>
    <t>明星工業</t>
  </si>
  <si>
    <t>大氣社</t>
  </si>
  <si>
    <t>ダイダン</t>
  </si>
  <si>
    <t>東芝プラントシステム</t>
  </si>
  <si>
    <t>昭和産業</t>
  </si>
  <si>
    <t>メンバーズ</t>
  </si>
  <si>
    <t>中広</t>
  </si>
  <si>
    <t>ＵＴグループ</t>
  </si>
  <si>
    <t>リンクアンドモチベーション</t>
  </si>
  <si>
    <t>パーソルホールディングス</t>
  </si>
  <si>
    <t>クックパッド</t>
  </si>
  <si>
    <t>アイ・ケイ・ケイ</t>
  </si>
  <si>
    <t>森永製菓</t>
  </si>
  <si>
    <t>中村屋</t>
  </si>
  <si>
    <t>江崎グリコ</t>
  </si>
  <si>
    <t>不二家</t>
  </si>
  <si>
    <t>山崎製パン</t>
  </si>
  <si>
    <t>第一屋製パン</t>
  </si>
  <si>
    <t>モロゾフ</t>
  </si>
  <si>
    <t>亀田製菓</t>
  </si>
  <si>
    <t>寿スピリッツ</t>
  </si>
  <si>
    <t>カルビー</t>
  </si>
  <si>
    <t>六甲バター</t>
  </si>
  <si>
    <t>日本ハム</t>
  </si>
  <si>
    <t>丸大食品</t>
  </si>
  <si>
    <t>柿安本店</t>
  </si>
  <si>
    <t>伊藤ハム米久ホールディングス</t>
  </si>
  <si>
    <t>学情</t>
  </si>
  <si>
    <t>スタジオアリス</t>
  </si>
  <si>
    <t>日鉄ソリューションズ</t>
  </si>
  <si>
    <t>いちご</t>
  </si>
  <si>
    <t>カカクコム</t>
  </si>
  <si>
    <t>ＳＢＳホールディングス</t>
  </si>
  <si>
    <t>キャリアデザインセンター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</si>
  <si>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</si>
  <si>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</si>
  <si>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</si>
  <si>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</si>
  <si>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</si>
  <si>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</si>
  <si>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</si>
  <si>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</si>
  <si>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アサヒグループホールディングス</t>
  </si>
  <si>
    <t>ダイドーグループホールディングス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</si>
  <si>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</si>
  <si>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</si>
  <si>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</si>
  <si>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</si>
  <si>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</si>
  <si>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</si>
  <si>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エービーシー・マート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</si>
  <si>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</si>
  <si>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</si>
  <si>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</si>
  <si>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</si>
  <si>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</si>
  <si>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</si>
  <si>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ＪＡＬＵＸ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</si>
  <si>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</si>
  <si>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</si>
  <si>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</si>
  <si>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</si>
  <si>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</si>
  <si>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</si>
  <si>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</si>
  <si>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</si>
  <si>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</si>
  <si>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</si>
  <si>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</si>
  <si>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</si>
  <si>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</si>
  <si>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</si>
  <si>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</si>
  <si>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</si>
  <si>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</si>
  <si>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</si>
  <si>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グンゼ</t>
  </si>
  <si>
    <t>神栄</t>
  </si>
  <si>
    <t>ジンズホールディングス</t>
  </si>
  <si>
    <t>ビックカメラ</t>
  </si>
  <si>
    <t>東京一番フーズ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</si>
  <si>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</si>
  <si>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</si>
  <si>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</si>
  <si>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</si>
  <si>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</si>
  <si>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</si>
  <si>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</si>
  <si>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</si>
  <si>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</si>
  <si>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</si>
  <si>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</si>
  <si>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</si>
  <si>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</si>
  <si>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</si>
  <si>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</si>
  <si>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ＴＯＫＡＩホールディングス</t>
  </si>
  <si>
    <t>黒谷</t>
  </si>
  <si>
    <t>チムニー</t>
  </si>
  <si>
    <t>シュッピン</t>
  </si>
  <si>
    <t>ビューティガレージ</t>
  </si>
  <si>
    <t>ウイン・パートナーズ</t>
  </si>
  <si>
    <t>ネクステージ</t>
  </si>
  <si>
    <t>ジョイフル本田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</si>
  <si>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</si>
  <si>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</si>
  <si>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</si>
  <si>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</si>
  <si>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</si>
  <si>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</si>
  <si>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</si>
  <si>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サムティ</t>
  </si>
  <si>
    <t>ＴＨＥグローバル社</t>
  </si>
  <si>
    <t>日本管理センター</t>
  </si>
  <si>
    <t>フージャースホールディングス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</si>
  <si>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</si>
  <si>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</si>
  <si>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</si>
  <si>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</si>
  <si>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</si>
  <si>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</si>
  <si>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</si>
  <si>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</si>
  <si>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</si>
  <si>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トーカロ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</si>
  <si>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</si>
  <si>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</si>
  <si>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</si>
  <si>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</si>
  <si>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</si>
  <si>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</si>
  <si>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</si>
  <si>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</si>
  <si>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</si>
  <si>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セーレン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</si>
  <si>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</si>
  <si>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</si>
  <si>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</si>
  <si>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</si>
  <si>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</si>
  <si>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</si>
  <si>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</si>
  <si>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グリー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</si>
  <si>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</si>
  <si>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</si>
  <si>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</si>
  <si>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</si>
  <si>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</si>
  <si>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</si>
  <si>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</si>
  <si>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</si>
  <si>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</si>
  <si>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</si>
  <si>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</si>
  <si>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</si>
  <si>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サイバーリンクス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</si>
  <si>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</si>
  <si>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</si>
  <si>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</si>
  <si>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</si>
  <si>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</si>
  <si>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</si>
  <si>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</si>
  <si>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コムチュア</t>
  </si>
  <si>
    <t>北越コーポレーション</t>
  </si>
  <si>
    <t>中越パルプ工業</t>
  </si>
  <si>
    <t>巴川製紙所</t>
  </si>
  <si>
    <t>トーモク</t>
  </si>
  <si>
    <t>オークネット</t>
  </si>
  <si>
    <t>セグエグループ</t>
  </si>
  <si>
    <t>ＡＯＩ　ＴＹＯ　Ｈｏｌｄｉｎｇｓ</t>
  </si>
  <si>
    <t>オロ</t>
  </si>
  <si>
    <t>サインポスト</t>
  </si>
  <si>
    <t>ラサ工業</t>
  </si>
  <si>
    <t>多木化学</t>
  </si>
  <si>
    <t>片倉コープアグリ</t>
  </si>
  <si>
    <t>日本曹達</t>
  </si>
  <si>
    <t>トクヤマ</t>
  </si>
  <si>
    <t>セントラル硝子</t>
  </si>
  <si>
    <t>東亞合成</t>
  </si>
  <si>
    <t>大阪ソーダ</t>
  </si>
  <si>
    <t>関東電化工業</t>
  </si>
  <si>
    <t>大陽日酸</t>
  </si>
  <si>
    <t>日本化学工業</t>
  </si>
  <si>
    <t>高圧ガス工業</t>
  </si>
  <si>
    <t>戸田工業</t>
  </si>
  <si>
    <t>保土谷化学工業</t>
  </si>
  <si>
    <t>日本触媒</t>
  </si>
  <si>
    <t>大日精化工業</t>
  </si>
  <si>
    <t>協和キリン</t>
  </si>
  <si>
    <t>東京応化工業</t>
  </si>
  <si>
    <t>住友ベークライト</t>
  </si>
  <si>
    <t>日本ゼオン</t>
  </si>
  <si>
    <t>積水樹脂</t>
  </si>
  <si>
    <t>旭有機材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</si>
  <si>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</si>
  <si>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</si>
  <si>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</si>
  <si>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</si>
  <si>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</si>
  <si>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</si>
  <si>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</si>
  <si>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</si>
  <si>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ぴあ</t>
  </si>
  <si>
    <t>ソースネクスト</t>
  </si>
  <si>
    <t>シーティーエス</t>
  </si>
  <si>
    <t>扶桑化学工業</t>
  </si>
  <si>
    <t>日油</t>
  </si>
  <si>
    <t>ミヨシ油脂</t>
  </si>
  <si>
    <t>ハリマ化成グループ</t>
  </si>
  <si>
    <t>花王</t>
  </si>
  <si>
    <t>第一工業製薬</t>
  </si>
  <si>
    <t>アステラス製薬</t>
  </si>
  <si>
    <t>わかもと製薬</t>
  </si>
  <si>
    <t>科研製薬</t>
  </si>
  <si>
    <t>理研ビタミン</t>
  </si>
  <si>
    <t>ロート製薬</t>
  </si>
  <si>
    <t>小野薬品工業</t>
  </si>
  <si>
    <t>有機合成薬品工業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</si>
  <si>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</si>
  <si>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</si>
  <si>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</si>
  <si>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</si>
  <si>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</si>
  <si>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</si>
  <si>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東和薬品</t>
  </si>
  <si>
    <t>富士製薬工業</t>
  </si>
  <si>
    <t>沢井製薬</t>
  </si>
  <si>
    <t>ゼリア新薬工業</t>
  </si>
  <si>
    <t>大幸薬品</t>
  </si>
  <si>
    <t>日本ペイントホールディングス</t>
  </si>
  <si>
    <t>中国塗料</t>
  </si>
  <si>
    <t>サカタインクス</t>
  </si>
  <si>
    <t>日本空調サービス</t>
  </si>
  <si>
    <t>ダスキン</t>
  </si>
  <si>
    <t>パーク２４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</si>
  <si>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</si>
  <si>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</si>
  <si>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</si>
  <si>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</si>
  <si>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</si>
  <si>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</si>
  <si>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</si>
  <si>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</si>
  <si>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</si>
  <si>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</si>
  <si>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</si>
  <si>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</si>
  <si>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</si>
  <si>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</si>
  <si>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</si>
  <si>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</si>
  <si>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</si>
  <si>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ノエビアホールディングス</t>
  </si>
  <si>
    <t>アジュバンコスメジャパン</t>
  </si>
  <si>
    <t>エステー</t>
  </si>
  <si>
    <t>アグロ　カネショウ</t>
  </si>
  <si>
    <t>長谷川香料</t>
  </si>
  <si>
    <t>星光ＰＭＣ</t>
  </si>
  <si>
    <t>小林製薬</t>
  </si>
  <si>
    <t>荒川化学工業</t>
  </si>
  <si>
    <t>ＪＣＵ</t>
  </si>
  <si>
    <t>アース製薬</t>
  </si>
  <si>
    <t>大成ラミック</t>
  </si>
  <si>
    <t>日本農薬</t>
  </si>
  <si>
    <t>ＭＯＲＥＳＣＯ</t>
  </si>
  <si>
    <t>ＴＯＹＯ　ＴＩＲＥ</t>
  </si>
  <si>
    <t>ブリヂストン</t>
  </si>
  <si>
    <t>藤倉コンポジット</t>
  </si>
  <si>
    <t>アキレス</t>
  </si>
  <si>
    <t>フコク</t>
  </si>
  <si>
    <t>ニッタ</t>
  </si>
  <si>
    <t>住友理工</t>
  </si>
  <si>
    <t>三ツ星ベルト</t>
  </si>
  <si>
    <t>バンドー化学</t>
  </si>
  <si>
    <t>ＡＧＣ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</si>
  <si>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</si>
  <si>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</si>
  <si>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</si>
  <si>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</si>
  <si>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</si>
  <si>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</si>
  <si>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</si>
  <si>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</si>
  <si>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</si>
  <si>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</si>
  <si>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</si>
  <si>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フジミインコーポレーテッド</t>
  </si>
  <si>
    <t>日本製鉄</t>
  </si>
  <si>
    <t>中山製鋼所</t>
  </si>
  <si>
    <t>合同製鐵</t>
  </si>
  <si>
    <t>ジェイ　エフ　イー　ホールディングス</t>
  </si>
  <si>
    <t>共英製鋼</t>
  </si>
  <si>
    <t>淀川製鋼所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</si>
  <si>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</si>
  <si>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</si>
  <si>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</si>
  <si>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</si>
  <si>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</si>
  <si>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</si>
  <si>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</si>
  <si>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</si>
  <si>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</si>
  <si>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</si>
  <si>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三菱マテリアル</t>
  </si>
  <si>
    <t>ＤＯＷＡホールディングス</t>
  </si>
  <si>
    <t>ＵＡＣＪ</t>
  </si>
  <si>
    <t>昭和電線ホールディングス</t>
  </si>
  <si>
    <t>東京特殊電線</t>
  </si>
  <si>
    <t>タツタ電線</t>
  </si>
  <si>
    <t>アーレスティ</t>
  </si>
  <si>
    <t>ホッカンホールディングス</t>
  </si>
  <si>
    <t>横河ブリッジホールディングス</t>
  </si>
  <si>
    <t>三協立山</t>
  </si>
  <si>
    <t>アルインコ</t>
  </si>
  <si>
    <t>ノーリツ</t>
  </si>
  <si>
    <t>長府製作所</t>
  </si>
  <si>
    <t>ユニプレス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</si>
  <si>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</si>
  <si>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</si>
  <si>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</si>
  <si>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</si>
  <si>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</si>
  <si>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</si>
  <si>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</si>
  <si>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</si>
  <si>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</si>
  <si>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</si>
  <si>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</si>
  <si>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</si>
  <si>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</si>
  <si>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</si>
  <si>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</si>
  <si>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</si>
  <si>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</si>
  <si>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</si>
  <si>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</si>
  <si>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</si>
  <si>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</si>
  <si>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旭ダイヤモンド工業</t>
  </si>
  <si>
    <t>ソディック</t>
  </si>
  <si>
    <t>ディスコ</t>
  </si>
  <si>
    <t>日東工器</t>
  </si>
  <si>
    <t>日進工具</t>
  </si>
  <si>
    <t>パンチ工業</t>
  </si>
  <si>
    <t>鎌倉新書</t>
  </si>
  <si>
    <t>ＬＩＴＡＬＩＣＯ</t>
  </si>
  <si>
    <t>アトラエ</t>
  </si>
  <si>
    <t>ストライク</t>
  </si>
  <si>
    <t>インソース</t>
  </si>
  <si>
    <t>ＯＫＫ</t>
  </si>
  <si>
    <t>津田駒工業</t>
  </si>
  <si>
    <t>エンシュウ</t>
  </si>
  <si>
    <t>島精機製作所</t>
  </si>
  <si>
    <t>イワキ</t>
  </si>
  <si>
    <t>ヤマシンフィルタ</t>
  </si>
  <si>
    <t>日阪製作所</t>
  </si>
  <si>
    <t>やまびこ</t>
  </si>
  <si>
    <t>平田機工</t>
  </si>
  <si>
    <t>ペガサスミシン製造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</si>
  <si>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</si>
  <si>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</si>
  <si>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</si>
  <si>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</si>
  <si>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</si>
  <si>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</si>
  <si>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</si>
  <si>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</si>
  <si>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</si>
  <si>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</si>
  <si>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</si>
  <si>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</si>
  <si>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</si>
  <si>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</si>
  <si>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</si>
  <si>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</si>
  <si>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</si>
  <si>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</si>
  <si>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</si>
  <si>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</si>
  <si>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</si>
  <si>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栗田工業</t>
  </si>
  <si>
    <t>大同工業</t>
  </si>
  <si>
    <t>アネスト岩田</t>
  </si>
  <si>
    <t>油研工業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</si>
  <si>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</si>
  <si>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</si>
  <si>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</si>
  <si>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</si>
  <si>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</si>
  <si>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</si>
  <si>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</si>
  <si>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</si>
  <si>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大和冷機工業</t>
  </si>
  <si>
    <t>ＴＰＲ</t>
  </si>
  <si>
    <t>日本トムソン</t>
  </si>
  <si>
    <t>ユーシン精機</t>
  </si>
  <si>
    <t>日本ピラー工業</t>
  </si>
  <si>
    <t>東洋電機製造</t>
  </si>
  <si>
    <t>安川電機</t>
  </si>
  <si>
    <t>明電舎</t>
  </si>
  <si>
    <t>アイモバイル</t>
  </si>
  <si>
    <t>グリーンズ</t>
  </si>
  <si>
    <t>ツナググループ・ホールディングス</t>
  </si>
  <si>
    <t>ＧａｍｅＷｉｔｈ</t>
  </si>
  <si>
    <t>マキタ</t>
  </si>
  <si>
    <t>東光高岳</t>
  </si>
  <si>
    <t>ダイヘン</t>
  </si>
  <si>
    <t>第一精工</t>
  </si>
  <si>
    <t>日新電機</t>
  </si>
  <si>
    <t>オムロン</t>
  </si>
  <si>
    <t>ＩＤＥＣ</t>
  </si>
  <si>
    <t>正興電機製作所</t>
  </si>
  <si>
    <t>不二電機工業</t>
  </si>
  <si>
    <t>メルコホールディングス</t>
  </si>
  <si>
    <t>岩崎通信機</t>
  </si>
  <si>
    <t>電気興業</t>
  </si>
  <si>
    <t>サンケン電気</t>
  </si>
  <si>
    <t>ナカヨ</t>
  </si>
  <si>
    <t>ルネサスエレクトロニクス</t>
  </si>
  <si>
    <t>セイコーエプソン</t>
  </si>
  <si>
    <t>京三製作所</t>
  </si>
  <si>
    <t>星和電機</t>
  </si>
  <si>
    <t>エレコム</t>
  </si>
  <si>
    <t>アンリツ</t>
  </si>
  <si>
    <t>ソニー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</si>
  <si>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</si>
  <si>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</si>
  <si>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</si>
  <si>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</si>
  <si>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</si>
  <si>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</si>
  <si>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</si>
  <si>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</si>
  <si>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</si>
  <si>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</si>
  <si>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</si>
  <si>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</si>
  <si>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共和電業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</si>
  <si>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</si>
  <si>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</si>
  <si>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</si>
  <si>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</si>
  <si>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</si>
  <si>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澤藤電機</t>
  </si>
  <si>
    <t>デンソー</t>
  </si>
  <si>
    <t>千代田インテグレ</t>
  </si>
  <si>
    <t>アイ・オー・データ機器</t>
  </si>
  <si>
    <t>岡谷電機産業</t>
  </si>
  <si>
    <t>日本セラミック</t>
  </si>
  <si>
    <t>山一電機</t>
  </si>
  <si>
    <t>図研</t>
  </si>
  <si>
    <t>ファナック</t>
  </si>
  <si>
    <t>日本シイエムケイ</t>
  </si>
  <si>
    <t>エンプラス</t>
  </si>
  <si>
    <t>大真空</t>
  </si>
  <si>
    <t>新光電気工業</t>
  </si>
  <si>
    <t>京セラ</t>
  </si>
  <si>
    <t>太陽誘電</t>
  </si>
  <si>
    <t>双葉電子工業</t>
  </si>
  <si>
    <t>北陸電気工業</t>
  </si>
  <si>
    <t>三井Ｅ＆Ｓホールディングス</t>
  </si>
  <si>
    <t>川崎重工業</t>
  </si>
  <si>
    <t>名村造船所</t>
  </si>
  <si>
    <t>サノヤスホールディングス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</si>
  <si>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</si>
  <si>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</si>
  <si>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</si>
  <si>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</si>
  <si>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</si>
  <si>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</si>
  <si>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九州フィナンシャルグループ</t>
  </si>
  <si>
    <t>富山第一銀行</t>
  </si>
  <si>
    <t>ジェイリース</t>
  </si>
  <si>
    <t>マーキュリアインベストメント</t>
  </si>
  <si>
    <t>イントラスト</t>
  </si>
  <si>
    <t>日産自動車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</si>
  <si>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</si>
  <si>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</si>
  <si>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</si>
  <si>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</si>
  <si>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</si>
  <si>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</si>
  <si>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</si>
  <si>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</si>
  <si>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</si>
  <si>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</si>
  <si>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</si>
  <si>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</si>
  <si>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</si>
  <si>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</si>
  <si>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</si>
  <si>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</si>
  <si>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</si>
  <si>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</si>
  <si>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佐鳥電機</t>
  </si>
  <si>
    <t>エコートレーディング</t>
  </si>
  <si>
    <t>中山福</t>
  </si>
  <si>
    <t>ライトオン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</si>
  <si>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</si>
  <si>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</si>
  <si>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</si>
  <si>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</si>
  <si>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</si>
  <si>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</si>
  <si>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</si>
  <si>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</si>
  <si>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</si>
  <si>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</si>
  <si>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</si>
  <si>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</si>
  <si>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ワタミ</t>
  </si>
  <si>
    <t>マルシェ</t>
  </si>
  <si>
    <t>パン・パシフィック・インターナショナルホールディングス</t>
  </si>
  <si>
    <t>西松屋チェーン</t>
  </si>
  <si>
    <t>橋本総業ホールディングス</t>
  </si>
  <si>
    <t>ＶＴホールディングス</t>
  </si>
  <si>
    <t>ＩＤＯＭ</t>
  </si>
  <si>
    <t>ポプラ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</si>
  <si>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</si>
  <si>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</si>
  <si>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</si>
  <si>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</si>
  <si>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</si>
  <si>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</si>
  <si>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</si>
  <si>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</si>
  <si>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</si>
  <si>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</si>
  <si>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</si>
  <si>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マニー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</si>
  <si>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</si>
  <si>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</si>
  <si>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</si>
  <si>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</si>
  <si>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</si>
  <si>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</si>
  <si>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</si>
  <si>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</si>
  <si>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</si>
  <si>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</si>
  <si>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</si>
  <si>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</si>
  <si>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</si>
  <si>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</si>
  <si>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トッパン・フォームズ</t>
  </si>
  <si>
    <t>タカノ</t>
  </si>
  <si>
    <t>ウッドワン</t>
  </si>
  <si>
    <t>凸版印刷</t>
  </si>
  <si>
    <t>大日本印刷</t>
  </si>
  <si>
    <t>光村印刷</t>
  </si>
  <si>
    <t>藤森工業</t>
  </si>
  <si>
    <t>未来工業</t>
  </si>
  <si>
    <t>アシックス</t>
  </si>
  <si>
    <t>ツツミ</t>
  </si>
  <si>
    <t>小松ウオール工業</t>
  </si>
  <si>
    <t>ヤマハ</t>
  </si>
  <si>
    <t>河合楽器製作所</t>
  </si>
  <si>
    <t>クリナップ</t>
  </si>
  <si>
    <t>キングジム</t>
  </si>
  <si>
    <t>象印マホービン</t>
  </si>
  <si>
    <t>信越ポリマー</t>
  </si>
  <si>
    <t>松風</t>
  </si>
  <si>
    <t>タカラスタンダード</t>
  </si>
  <si>
    <t>コクヨ</t>
  </si>
  <si>
    <t>ニフコ</t>
  </si>
  <si>
    <t>オカムラ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</si>
  <si>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</si>
  <si>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</si>
  <si>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</si>
  <si>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</si>
  <si>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</si>
  <si>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</si>
  <si>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</si>
  <si>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</si>
  <si>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</si>
  <si>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</si>
  <si>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</si>
  <si>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</si>
  <si>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</si>
  <si>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</si>
  <si>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</si>
  <si>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菱洋エレクトロ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</si>
  <si>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</si>
  <si>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</si>
  <si>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</si>
  <si>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</si>
  <si>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</si>
  <si>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</si>
  <si>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</si>
  <si>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</si>
  <si>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</si>
  <si>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</si>
  <si>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</si>
  <si>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</si>
  <si>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</si>
  <si>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</si>
  <si>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</si>
  <si>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</si>
  <si>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</si>
  <si>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</si>
  <si>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</si>
  <si>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</si>
  <si>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</si>
  <si>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</si>
  <si>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</si>
  <si>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</si>
  <si>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千趣会</t>
  </si>
  <si>
    <t>ケーヨー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</si>
  <si>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</si>
  <si>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</si>
  <si>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</si>
  <si>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</si>
  <si>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</si>
  <si>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</si>
  <si>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</si>
  <si>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</si>
  <si>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</si>
  <si>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</si>
  <si>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</si>
  <si>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</si>
  <si>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</si>
  <si>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高島屋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</si>
  <si>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</si>
  <si>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</si>
  <si>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</si>
  <si>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</si>
  <si>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</si>
  <si>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</si>
  <si>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</si>
  <si>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</si>
  <si>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</si>
  <si>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</si>
  <si>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</si>
  <si>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</si>
  <si>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</si>
  <si>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</si>
  <si>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</si>
  <si>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</si>
  <si>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群馬銀行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</si>
  <si>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</si>
  <si>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</si>
  <si>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</si>
  <si>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</si>
  <si>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</si>
  <si>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</si>
  <si>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</si>
  <si>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</si>
  <si>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</si>
  <si>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</si>
  <si>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</si>
  <si>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</si>
  <si>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</si>
  <si>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</si>
  <si>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</si>
  <si>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</si>
  <si>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</si>
  <si>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</si>
  <si>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</si>
  <si>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</si>
  <si>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</si>
  <si>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</si>
  <si>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</si>
  <si>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</si>
  <si>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</si>
  <si>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</si>
  <si>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</si>
  <si>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</si>
  <si>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</si>
  <si>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</si>
  <si>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</si>
  <si>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</si>
  <si>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</si>
  <si>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みずほリース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</si>
  <si>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</si>
  <si>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</si>
  <si>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</si>
  <si>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</si>
  <si>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</si>
  <si>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</si>
  <si>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</si>
  <si>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</si>
  <si>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</si>
  <si>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</si>
  <si>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福島銀行</t>
  </si>
  <si>
    <t>大東銀行</t>
  </si>
  <si>
    <t>リコーリース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</si>
  <si>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</si>
  <si>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</si>
  <si>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</si>
  <si>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</si>
  <si>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</si>
  <si>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</si>
  <si>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</si>
  <si>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</si>
  <si>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</si>
  <si>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</si>
  <si>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</si>
  <si>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</si>
  <si>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</si>
  <si>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</si>
  <si>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</si>
  <si>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</si>
  <si>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</si>
  <si>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</si>
  <si>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</si>
  <si>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ダイビル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</si>
  <si>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</si>
  <si>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</si>
  <si>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</si>
  <si>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</si>
  <si>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</si>
  <si>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</si>
  <si>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</si>
  <si>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</si>
  <si>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</si>
  <si>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</si>
  <si>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</si>
  <si>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相鉄ホールディングス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</si>
  <si>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</si>
  <si>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</si>
  <si>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</si>
  <si>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</si>
  <si>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</si>
  <si>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</si>
  <si>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</si>
  <si>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</si>
  <si>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</si>
  <si>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</si>
  <si>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</si>
  <si>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</si>
  <si>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</si>
  <si>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</si>
  <si>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</si>
  <si>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</si>
  <si>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</si>
  <si>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</si>
  <si>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</si>
  <si>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日新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</si>
  <si>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</si>
  <si>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</si>
  <si>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</si>
  <si>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</si>
  <si>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</si>
  <si>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</si>
  <si>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</si>
  <si>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</si>
  <si>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</si>
  <si>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</si>
  <si>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</si>
  <si>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</si>
  <si>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</si>
  <si>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</si>
  <si>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</si>
  <si>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住友倉庫</t>
  </si>
  <si>
    <t>東陽倉庫</t>
  </si>
  <si>
    <t>乾汽船</t>
  </si>
  <si>
    <t>日本トランスシティ</t>
  </si>
  <si>
    <t>東洋埠頭</t>
  </si>
  <si>
    <t>サンリツ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</si>
  <si>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</si>
  <si>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</si>
  <si>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</si>
  <si>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</si>
  <si>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</si>
  <si>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日本ＢＳ放送</t>
  </si>
  <si>
    <t>ビジョン</t>
  </si>
  <si>
    <t>スマートバリュー</t>
  </si>
  <si>
    <t>コネクシオ</t>
  </si>
  <si>
    <t>日本電信電話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</si>
  <si>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</si>
  <si>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</si>
  <si>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</si>
  <si>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</si>
  <si>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</si>
  <si>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</si>
  <si>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</si>
  <si>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東北電力</t>
  </si>
  <si>
    <t>電源開発</t>
  </si>
  <si>
    <t>イーレックス</t>
  </si>
  <si>
    <t>レノバ</t>
  </si>
  <si>
    <t>大阪瓦斯</t>
  </si>
  <si>
    <t>東邦瓦斯</t>
  </si>
  <si>
    <t>広島ガス</t>
  </si>
  <si>
    <t>西部瓦斯</t>
  </si>
  <si>
    <t>静岡ガス</t>
  </si>
  <si>
    <t>メタウォーター</t>
  </si>
  <si>
    <t>松竹</t>
  </si>
  <si>
    <t>東映</t>
  </si>
  <si>
    <t>エヌ・ティ・ティ・データ</t>
  </si>
  <si>
    <t>イチネンホールディングス</t>
  </si>
  <si>
    <t>スペース</t>
  </si>
  <si>
    <t>アインホールディングス</t>
  </si>
  <si>
    <t>ナガワ</t>
  </si>
  <si>
    <t>常磐興産</t>
  </si>
  <si>
    <t>東京ドーム</t>
  </si>
  <si>
    <t>カプコン</t>
  </si>
  <si>
    <t>トランス・コスモス</t>
  </si>
  <si>
    <t>ジャステック</t>
  </si>
  <si>
    <t>ＫＮＴ－ＣＴホールディングス</t>
  </si>
  <si>
    <t>トーカイ</t>
  </si>
  <si>
    <t>セントラル警備保障</t>
  </si>
  <si>
    <t>丹青社</t>
  </si>
  <si>
    <t>メイテック</t>
  </si>
  <si>
    <t>オオバ</t>
  </si>
  <si>
    <t>イオンディライト</t>
  </si>
  <si>
    <t>ナック</t>
  </si>
  <si>
    <t>福井コンピュータホールディングス</t>
  </si>
  <si>
    <t>泉州電業</t>
  </si>
  <si>
    <t>トラスコ中山</t>
  </si>
  <si>
    <t>ヤマダ電機</t>
  </si>
  <si>
    <t>モリト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</si>
  <si>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</si>
  <si>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</si>
  <si>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</si>
  <si>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</si>
  <si>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</si>
  <si>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</si>
  <si>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</si>
  <si>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</si>
  <si>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</si>
  <si>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</si>
  <si>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</si>
  <si>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</si>
  <si>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</si>
  <si>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</si>
  <si>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</si>
  <si>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</si>
  <si>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</si>
  <si>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</si>
  <si>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</si>
  <si>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</si>
  <si>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</si>
  <si>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</si>
  <si>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</si>
  <si>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</si>
  <si>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</si>
  <si>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</si>
  <si>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</si>
  <si>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</si>
  <si>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</si>
  <si>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</si>
  <si>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</si>
  <si>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</si>
  <si>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逆日歩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</si>
  <si>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</si>
  <si>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</si>
  <si>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</si>
  <si>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</si>
  <si>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</si>
  <si>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</si>
  <si>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</si>
  <si>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</si>
  <si>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1Y</t>
    <phoneticPr fontId="1" type="noConversion"/>
  </si>
  <si>
    <t>CLOSE_A_ADJUST</t>
  </si>
  <si>
    <t>OPEN_1951</t>
  </si>
  <si>
    <t>CLOSE_1951</t>
  </si>
  <si>
    <t>OPEN_4042</t>
  </si>
  <si>
    <t>CLOSE_4042</t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</si>
  <si>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</si>
  <si>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</si>
  <si>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</si>
  <si>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</si>
  <si>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</si>
  <si>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</si>
  <si>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</si>
  <si>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</si>
  <si>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</si>
  <si>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1Y</t>
    <phoneticPr fontId="1" type="noConversion"/>
  </si>
  <si>
    <t>SELL</t>
    <phoneticPr fontId="1" type="noConversion"/>
  </si>
  <si>
    <t>東ソー</t>
    <phoneticPr fontId="1" type="noConversion"/>
  </si>
  <si>
    <t>BUY</t>
    <phoneticPr fontId="1" type="noConversion"/>
  </si>
  <si>
    <t>協和エクシオ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</si>
  <si>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</si>
  <si>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</si>
  <si>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</si>
  <si>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</si>
  <si>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</si>
  <si>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</si>
  <si>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</si>
  <si>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</si>
  <si>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</si>
  <si>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OPEN_6471</t>
  </si>
  <si>
    <t>CLOSE_6471</t>
  </si>
  <si>
    <t>OPEN_6473</t>
  </si>
  <si>
    <t>CLOSE_6473</t>
  </si>
  <si>
    <t>sell(6471)</t>
  </si>
  <si>
    <t>buy(6473)</t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</si>
  <si>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</si>
  <si>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</si>
  <si>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</si>
  <si>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手数料などチェック</t>
    <phoneticPr fontId="1" type="noConversion"/>
  </si>
  <si>
    <t xml:space="preserve"> 12/20</t>
  </si>
  <si>
    <t xml:space="preserve"> サツドラHD</t>
  </si>
  <si>
    <t xml:space="preserve"> 12/23</t>
  </si>
  <si>
    <t xml:space="preserve"> あさひ</t>
  </si>
  <si>
    <t xml:space="preserve"> ピックルス</t>
  </si>
  <si>
    <t xml:space="preserve"> ハピネス&amp;D</t>
  </si>
  <si>
    <t xml:space="preserve"> ストライク</t>
  </si>
  <si>
    <t>440"</t>
  </si>
  <si>
    <t>769"</t>
  </si>
  <si>
    <t xml:space="preserve"> パルコ</t>
  </si>
  <si>
    <t>383"</t>
  </si>
  <si>
    <t xml:space="preserve"> ミタチ</t>
  </si>
  <si>
    <t xml:space="preserve"> 出前館</t>
  </si>
  <si>
    <t xml:space="preserve"> パレモ・HD</t>
  </si>
  <si>
    <t xml:space="preserve"> Jフロント</t>
  </si>
  <si>
    <t>021"</t>
  </si>
  <si>
    <t xml:space="preserve"> ニイタカ</t>
  </si>
  <si>
    <t xml:space="preserve"> WNIウェザー</t>
  </si>
  <si>
    <t xml:space="preserve"> ナガイレーベ</t>
  </si>
  <si>
    <t xml:space="preserve"> スギＨＤ</t>
  </si>
  <si>
    <t>876"</t>
  </si>
  <si>
    <t xml:space="preserve"> 高島屋</t>
  </si>
  <si>
    <t xml:space="preserve"> 平和堂</t>
  </si>
  <si>
    <t>236"</t>
  </si>
  <si>
    <t xml:space="preserve"> セキチュー</t>
  </si>
  <si>
    <t>276"</t>
  </si>
  <si>
    <t xml:space="preserve"> ハローズ</t>
  </si>
  <si>
    <t xml:space="preserve"> トシンＧ</t>
  </si>
  <si>
    <t xml:space="preserve"> ＤＣＭ</t>
  </si>
  <si>
    <t>526"</t>
  </si>
  <si>
    <t xml:space="preserve"> テクノアルファ</t>
  </si>
  <si>
    <t xml:space="preserve"> ERI HD</t>
  </si>
  <si>
    <t xml:space="preserve"> タカキュー</t>
  </si>
  <si>
    <t xml:space="preserve"> ケーヨー</t>
  </si>
  <si>
    <t xml:space="preserve"> ニトリHD</t>
  </si>
  <si>
    <t>119"</t>
  </si>
  <si>
    <t xml:space="preserve"> 北  恵</t>
  </si>
  <si>
    <t xml:space="preserve"> カネコ種</t>
  </si>
  <si>
    <t xml:space="preserve"> スタジオアリス</t>
  </si>
  <si>
    <t>376"</t>
  </si>
  <si>
    <t xml:space="preserve"> アオキスーパー</t>
  </si>
  <si>
    <t xml:space="preserve"> 暁飯島</t>
  </si>
  <si>
    <t xml:space="preserve"> サンエー</t>
  </si>
  <si>
    <t>596"</t>
  </si>
  <si>
    <t xml:space="preserve"> サムティ</t>
  </si>
  <si>
    <t xml:space="preserve"> 京　進</t>
  </si>
  <si>
    <t xml:space="preserve"> 薬王堂HD</t>
  </si>
  <si>
    <t xml:space="preserve"> 和田興産</t>
  </si>
  <si>
    <t xml:space="preserve"> ベルク</t>
  </si>
  <si>
    <t>141"</t>
  </si>
  <si>
    <t xml:space="preserve"> トライステージ</t>
  </si>
  <si>
    <t xml:space="preserve"> ABC マート</t>
  </si>
  <si>
    <t>133"</t>
  </si>
  <si>
    <t xml:space="preserve"> ウエルシアHD</t>
  </si>
  <si>
    <t>180"</t>
  </si>
  <si>
    <t xml:space="preserve"> スタジオアタオ</t>
  </si>
  <si>
    <t xml:space="preserve"> ベル24HD</t>
  </si>
  <si>
    <t>265"</t>
  </si>
  <si>
    <t xml:space="preserve"> 放電精密</t>
  </si>
  <si>
    <t xml:space="preserve"> GameWith</t>
  </si>
  <si>
    <t xml:space="preserve"> サイゼリヤ</t>
  </si>
  <si>
    <t>377"</t>
  </si>
  <si>
    <t xml:space="preserve"> フ　ジ</t>
  </si>
  <si>
    <t xml:space="preserve"> ヤマシタヘルケア</t>
  </si>
  <si>
    <t xml:space="preserve"> 日本BS放</t>
  </si>
  <si>
    <t xml:space="preserve"> 天満屋ス</t>
  </si>
  <si>
    <t xml:space="preserve"> ヤマザワ</t>
  </si>
  <si>
    <t xml:space="preserve"> アルバイトタイ</t>
  </si>
  <si>
    <t xml:space="preserve"> 大黒天</t>
  </si>
  <si>
    <t xml:space="preserve"> アヲハタ</t>
  </si>
  <si>
    <t xml:space="preserve"> わらべや</t>
  </si>
  <si>
    <t xml:space="preserve"> シーズメン</t>
  </si>
  <si>
    <t xml:space="preserve"> オンリー</t>
  </si>
  <si>
    <t>096"</t>
  </si>
  <si>
    <t xml:space="preserve"> SHIFT</t>
  </si>
  <si>
    <t>246"</t>
  </si>
  <si>
    <t xml:space="preserve"> 大有機</t>
  </si>
  <si>
    <t xml:space="preserve"> 東京個別</t>
  </si>
  <si>
    <t xml:space="preserve"> クリーク&amp;リバ</t>
  </si>
  <si>
    <t xml:space="preserve"> 三協立山</t>
  </si>
  <si>
    <t xml:space="preserve"> 日フイルコン</t>
  </si>
  <si>
    <t xml:space="preserve"> エスクローAJ</t>
  </si>
  <si>
    <t xml:space="preserve"> フロイント</t>
  </si>
  <si>
    <t xml:space="preserve"> 安川電</t>
  </si>
  <si>
    <t>468"</t>
  </si>
  <si>
    <t xml:space="preserve"> ニューテック</t>
  </si>
  <si>
    <t xml:space="preserve"> スリーエフ</t>
  </si>
  <si>
    <t xml:space="preserve"> ポプラ</t>
  </si>
  <si>
    <t xml:space="preserve"> グラファイトD</t>
  </si>
  <si>
    <t xml:space="preserve"> 三光合成</t>
  </si>
  <si>
    <t xml:space="preserve"> リヒトラブ</t>
  </si>
  <si>
    <t xml:space="preserve"> 島　忠</t>
  </si>
  <si>
    <t>293"</t>
  </si>
  <si>
    <t xml:space="preserve"> 松　屋</t>
  </si>
  <si>
    <t xml:space="preserve"> 井筒屋</t>
  </si>
  <si>
    <t xml:space="preserve"> イズミ</t>
  </si>
  <si>
    <t>906"</t>
  </si>
  <si>
    <t xml:space="preserve"> リベレステ</t>
  </si>
  <si>
    <t xml:space="preserve"> イオンモール</t>
  </si>
  <si>
    <t>325"</t>
  </si>
  <si>
    <t xml:space="preserve"> キユソー流通</t>
  </si>
  <si>
    <t xml:space="preserve"> 乃村工</t>
  </si>
  <si>
    <t>721"</t>
  </si>
  <si>
    <t xml:space="preserve"> オオバ</t>
  </si>
  <si>
    <t xml:space="preserve"> 昴</t>
  </si>
  <si>
    <t xml:space="preserve"> カンセキ</t>
  </si>
  <si>
    <t>" 71</t>
  </si>
  <si>
    <t xml:space="preserve"> ＯＳＧ</t>
  </si>
  <si>
    <t>063"</t>
  </si>
  <si>
    <t xml:space="preserve"> 竹内製作</t>
  </si>
  <si>
    <t xml:space="preserve"> 15:20</t>
  </si>
  <si>
    <t xml:space="preserve"> ウッドフレンス</t>
  </si>
  <si>
    <t xml:space="preserve"> エムビーエス</t>
  </si>
  <si>
    <t xml:space="preserve"> イージェイHD</t>
  </si>
  <si>
    <t xml:space="preserve"> コシダカHD</t>
  </si>
  <si>
    <t xml:space="preserve"> 地域新聞</t>
  </si>
  <si>
    <t xml:space="preserve"> S Foods</t>
  </si>
  <si>
    <t xml:space="preserve"> ディップ</t>
  </si>
  <si>
    <t xml:space="preserve"> アウンコンサル</t>
  </si>
  <si>
    <t>359"</t>
  </si>
  <si>
    <t xml:space="preserve"> タビオ</t>
  </si>
  <si>
    <t xml:space="preserve"> カネ美食品</t>
  </si>
  <si>
    <t xml:space="preserve"> ジーフット</t>
  </si>
  <si>
    <t xml:space="preserve"> シーヴイエス</t>
  </si>
  <si>
    <t xml:space="preserve"> ワッツ</t>
  </si>
  <si>
    <t xml:space="preserve"> フェスタリアHD</t>
  </si>
  <si>
    <t xml:space="preserve"> 北雄ラッキー</t>
  </si>
  <si>
    <t xml:space="preserve"> セイヒョー</t>
  </si>
  <si>
    <t xml:space="preserve"> スターマイカHD</t>
  </si>
  <si>
    <t xml:space="preserve"> カワサキ</t>
  </si>
  <si>
    <t xml:space="preserve"> JINSHD</t>
  </si>
  <si>
    <t>753"</t>
  </si>
  <si>
    <t xml:space="preserve"> ビックカメラ</t>
  </si>
  <si>
    <t>356"</t>
  </si>
  <si>
    <t xml:space="preserve"> jGroup</t>
  </si>
  <si>
    <t xml:space="preserve"> ライフフーズ</t>
  </si>
  <si>
    <t xml:space="preserve"> スーパーＶ</t>
  </si>
  <si>
    <t xml:space="preserve"> ＡＮＡＰ</t>
  </si>
  <si>
    <t xml:space="preserve"> キリン堂HD</t>
  </si>
  <si>
    <t xml:space="preserve"> フィルカンパニ</t>
  </si>
  <si>
    <t xml:space="preserve"> エストラスト</t>
  </si>
  <si>
    <t>570"</t>
  </si>
  <si>
    <t xml:space="preserve"> アズ企画</t>
  </si>
  <si>
    <t xml:space="preserve"> コメダ</t>
  </si>
  <si>
    <t xml:space="preserve"> ほぼ日</t>
  </si>
  <si>
    <t xml:space="preserve"> クラウディアH</t>
  </si>
  <si>
    <t xml:space="preserve"> TSI HD</t>
  </si>
  <si>
    <t xml:space="preserve"> ネオス</t>
  </si>
  <si>
    <t xml:space="preserve"> メディカネット</t>
  </si>
  <si>
    <t xml:space="preserve"> 協立情報</t>
  </si>
  <si>
    <t xml:space="preserve"> 創　通</t>
  </si>
  <si>
    <t xml:space="preserve"> メディ工房</t>
  </si>
  <si>
    <t xml:space="preserve"> システムインテ</t>
  </si>
  <si>
    <t xml:space="preserve"> 岡山製紙</t>
  </si>
  <si>
    <t xml:space="preserve"> テラスカイ</t>
  </si>
  <si>
    <t xml:space="preserve"> エルテス</t>
  </si>
  <si>
    <t xml:space="preserve"> エクスモーション</t>
  </si>
  <si>
    <t xml:space="preserve"> 東　名</t>
  </si>
  <si>
    <t>582"</t>
  </si>
  <si>
    <t xml:space="preserve"> ALPHA</t>
  </si>
  <si>
    <t xml:space="preserve"> 日本色材</t>
  </si>
  <si>
    <t xml:space="preserve"> トーヨーアサノ</t>
  </si>
  <si>
    <t xml:space="preserve"> ダイケン</t>
  </si>
  <si>
    <t xml:space="preserve"> マルゼン</t>
  </si>
  <si>
    <t xml:space="preserve"> タケダ機</t>
  </si>
  <si>
    <t xml:space="preserve"> エヌピーシー</t>
  </si>
  <si>
    <t>372"</t>
  </si>
  <si>
    <t xml:space="preserve"> ローツェ</t>
  </si>
  <si>
    <t xml:space="preserve"> プラズマ</t>
  </si>
  <si>
    <t xml:space="preserve"> ツインバード</t>
  </si>
  <si>
    <t xml:space="preserve"> ＨＫＳ</t>
  </si>
  <si>
    <t xml:space="preserve"> エコトレディン</t>
  </si>
  <si>
    <t xml:space="preserve"> オータケ</t>
  </si>
  <si>
    <t xml:space="preserve"> サンデー</t>
  </si>
  <si>
    <t>104"</t>
  </si>
  <si>
    <t xml:space="preserve"> 小津産業</t>
  </si>
  <si>
    <t xml:space="preserve"> コーナン商事</t>
  </si>
  <si>
    <t xml:space="preserve"> エコス</t>
  </si>
  <si>
    <t xml:space="preserve"> マックハウス</t>
  </si>
  <si>
    <t xml:space="preserve"> 進　和</t>
  </si>
  <si>
    <t xml:space="preserve"> インタアクション</t>
  </si>
  <si>
    <t xml:space="preserve"> マニー</t>
  </si>
  <si>
    <t xml:space="preserve"> 幸和製作</t>
  </si>
  <si>
    <t xml:space="preserve"> トランザクショ</t>
  </si>
  <si>
    <t xml:space="preserve"> 旭化学</t>
  </si>
  <si>
    <t xml:space="preserve"> オンワードHD</t>
  </si>
  <si>
    <t>044"</t>
  </si>
  <si>
    <t xml:space="preserve"> ファミリーマート</t>
  </si>
  <si>
    <t>781"</t>
  </si>
  <si>
    <t xml:space="preserve"> イワキ</t>
  </si>
  <si>
    <t xml:space="preserve"> ヤマトインタ</t>
  </si>
  <si>
    <t xml:space="preserve"> ラピーヌ</t>
  </si>
  <si>
    <t xml:space="preserve"> リテールPT</t>
  </si>
  <si>
    <t xml:space="preserve"> チヨダ</t>
  </si>
  <si>
    <t xml:space="preserve"> ライフコーポ</t>
  </si>
  <si>
    <t>395"</t>
  </si>
  <si>
    <t xml:space="preserve"> MrMaxHD</t>
  </si>
  <si>
    <t xml:space="preserve"> MV西日本</t>
  </si>
  <si>
    <t xml:space="preserve"> サンヨーナゴヤ</t>
  </si>
  <si>
    <t xml:space="preserve"> エネクスインフラ</t>
  </si>
  <si>
    <t xml:space="preserve"> 丸八倉</t>
  </si>
  <si>
    <t xml:space="preserve"> 歌舞伎</t>
  </si>
  <si>
    <t xml:space="preserve"> ジャステック</t>
  </si>
  <si>
    <t xml:space="preserve"> ＣＳＰ</t>
  </si>
  <si>
    <t xml:space="preserve"> テーオーHD</t>
  </si>
  <si>
    <t xml:space="preserve"> 吉野家HD</t>
  </si>
  <si>
    <t>768"</t>
  </si>
  <si>
    <t xml:space="preserve"> アークス</t>
  </si>
  <si>
    <t>340"</t>
  </si>
  <si>
    <t xml:space="preserve"> 文教堂HD</t>
  </si>
  <si>
    <t xml:space="preserve"> アイケイ</t>
  </si>
  <si>
    <t xml:space="preserve"> インターライフ</t>
  </si>
  <si>
    <t xml:space="preserve"> タマホーム</t>
  </si>
  <si>
    <t xml:space="preserve"> JESCO HD</t>
  </si>
  <si>
    <t xml:space="preserve"> プラップＪ</t>
  </si>
  <si>
    <t xml:space="preserve"> パルGHD</t>
  </si>
  <si>
    <t xml:space="preserve"> ヴィレッジV</t>
  </si>
  <si>
    <t xml:space="preserve"> ファーマライズ</t>
  </si>
  <si>
    <t xml:space="preserve"> Ｙ’Ｓ</t>
  </si>
  <si>
    <t xml:space="preserve"> ヨシムラフード</t>
  </si>
  <si>
    <t xml:space="preserve"> PCNET</t>
  </si>
  <si>
    <t xml:space="preserve"> ＤＤＨＤ</t>
  </si>
  <si>
    <t xml:space="preserve"> ジェーソン</t>
  </si>
  <si>
    <t xml:space="preserve"> ドトル日レス</t>
  </si>
  <si>
    <t xml:space="preserve"> ラクトJPN</t>
  </si>
  <si>
    <t xml:space="preserve"> クリエイトSDH</t>
  </si>
  <si>
    <t xml:space="preserve"> 買取王国</t>
  </si>
  <si>
    <t xml:space="preserve"> 白　鳩</t>
  </si>
  <si>
    <t xml:space="preserve"> ＳＦＰ</t>
  </si>
  <si>
    <t xml:space="preserve"> エスエルディー</t>
  </si>
  <si>
    <t xml:space="preserve"> 三栄建築</t>
  </si>
  <si>
    <t xml:space="preserve"> プロパスト</t>
  </si>
  <si>
    <t xml:space="preserve"> ファンドクリG</t>
  </si>
  <si>
    <t>725"</t>
  </si>
  <si>
    <t xml:space="preserve"> 日創プロ</t>
  </si>
  <si>
    <t>663"</t>
  </si>
  <si>
    <t xml:space="preserve"> 霞ヶ関キャ</t>
  </si>
  <si>
    <t xml:space="preserve"> アクサスHD</t>
  </si>
  <si>
    <t xml:space="preserve"> 農総研</t>
  </si>
  <si>
    <t xml:space="preserve"> 串カツ田中</t>
  </si>
  <si>
    <t xml:space="preserve"> ロコンド</t>
  </si>
  <si>
    <t xml:space="preserve"> ケイブ</t>
  </si>
  <si>
    <t xml:space="preserve"> IGポート</t>
  </si>
  <si>
    <t xml:space="preserve"> サイバーS</t>
  </si>
  <si>
    <t xml:space="preserve"> アクロディア</t>
  </si>
  <si>
    <t xml:space="preserve"> エディア</t>
  </si>
  <si>
    <t xml:space="preserve"> ＵＵＵＭ</t>
  </si>
  <si>
    <t xml:space="preserve"> ウォンテッドリ</t>
  </si>
  <si>
    <t xml:space="preserve"> マネフォワ-ド</t>
  </si>
  <si>
    <t>059"</t>
  </si>
  <si>
    <t xml:space="preserve"> チームスピリト</t>
  </si>
  <si>
    <t>527"</t>
  </si>
  <si>
    <t xml:space="preserve"> ダイト</t>
  </si>
  <si>
    <t xml:space="preserve"> 川上塗</t>
  </si>
  <si>
    <t xml:space="preserve"> 市進ＨＤ</t>
  </si>
  <si>
    <t xml:space="preserve"> トーセ</t>
  </si>
  <si>
    <t xml:space="preserve"> 北興化</t>
  </si>
  <si>
    <t xml:space="preserve"> MORESCO</t>
  </si>
  <si>
    <t xml:space="preserve"> 石油石炭製品</t>
  </si>
  <si>
    <t xml:space="preserve"> JMACS</t>
  </si>
  <si>
    <t xml:space="preserve"> 三機Ｓ</t>
  </si>
  <si>
    <t xml:space="preserve"> Gunosy</t>
  </si>
  <si>
    <t xml:space="preserve"> デザインワン</t>
  </si>
  <si>
    <t xml:space="preserve"> キャリアリンク</t>
  </si>
  <si>
    <t xml:space="preserve"> シンメンテHD</t>
  </si>
  <si>
    <t xml:space="preserve"> ロゼッタ</t>
  </si>
  <si>
    <t xml:space="preserve"> セラク</t>
  </si>
  <si>
    <t xml:space="preserve"> 東洋電</t>
  </si>
  <si>
    <t xml:space="preserve"> クックビズ</t>
  </si>
  <si>
    <t xml:space="preserve"> ＲＰＡ</t>
  </si>
  <si>
    <t xml:space="preserve"> anfac</t>
  </si>
  <si>
    <t xml:space="preserve"> ライトオン</t>
  </si>
  <si>
    <t xml:space="preserve"> マルヨシセンター</t>
  </si>
  <si>
    <t xml:space="preserve"> ＩＤＯＭ</t>
  </si>
  <si>
    <t xml:space="preserve"> エスケイ</t>
  </si>
  <si>
    <t xml:space="preserve"> CSランバー</t>
  </si>
  <si>
    <t xml:space="preserve"> 東天紅</t>
  </si>
  <si>
    <t xml:space="preserve"> サイカ屋</t>
  </si>
  <si>
    <t xml:space="preserve"> 山陽百</t>
  </si>
  <si>
    <t xml:space="preserve"> インテリックス</t>
  </si>
  <si>
    <t xml:space="preserve"> ポエック</t>
  </si>
  <si>
    <t xml:space="preserve"> ＳＯＵ</t>
  </si>
  <si>
    <t xml:space="preserve"> ナルミヤ</t>
  </si>
  <si>
    <t xml:space="preserve"> 松　竹</t>
  </si>
  <si>
    <t>277"</t>
  </si>
  <si>
    <t xml:space="preserve"> モリト</t>
  </si>
  <si>
    <t xml:space="preserve"> アルテック</t>
  </si>
  <si>
    <t xml:space="preserve"> 大　庄</t>
  </si>
  <si>
    <t xml:space="preserve"> ニッケ</t>
  </si>
  <si>
    <t xml:space="preserve"> 川口化</t>
  </si>
  <si>
    <t xml:space="preserve"> 川崎地質</t>
  </si>
  <si>
    <t xml:space="preserve"> アクトコール</t>
  </si>
  <si>
    <t xml:space="preserve"> 不二越</t>
  </si>
  <si>
    <t>222"</t>
  </si>
  <si>
    <t xml:space="preserve"> マルカ</t>
  </si>
  <si>
    <t xml:space="preserve"> ノ　ダ</t>
  </si>
  <si>
    <t xml:space="preserve"> タカラインフラF</t>
  </si>
  <si>
    <t xml:space="preserve"> 1/16</t>
  </si>
  <si>
    <t xml:space="preserve"> 平和RE</t>
  </si>
  <si>
    <t>348"</t>
  </si>
  <si>
    <t>111"</t>
  </si>
  <si>
    <t xml:space="preserve"> プロロジス</t>
  </si>
  <si>
    <t xml:space="preserve"> 津田駒</t>
  </si>
  <si>
    <t xml:space="preserve"> くろ工</t>
  </si>
  <si>
    <t xml:space="preserve"> ユナイテッドU</t>
  </si>
  <si>
    <t xml:space="preserve"> 協和コンサ</t>
  </si>
  <si>
    <t xml:space="preserve"> 1/20</t>
  </si>
  <si>
    <t xml:space="preserve"> アサヒ陶</t>
  </si>
  <si>
    <t xml:space="preserve"> 1/21</t>
  </si>
  <si>
    <t xml:space="preserve"> 大江戸温</t>
  </si>
  <si>
    <t xml:space="preserve"> 大和オフィス</t>
  </si>
  <si>
    <t>160"</t>
  </si>
  <si>
    <t xml:space="preserve"> 1/24</t>
  </si>
  <si>
    <t xml:space="preserve"> エンプラス</t>
  </si>
  <si>
    <t xml:space="preserve"> ジャフコ</t>
  </si>
  <si>
    <t xml:space="preserve"> 証券商品先物</t>
  </si>
  <si>
    <t>408"</t>
  </si>
  <si>
    <t>" 76</t>
  </si>
  <si>
    <t>126"</t>
  </si>
  <si>
    <t xml:space="preserve"> 洋 シヤタ</t>
  </si>
  <si>
    <t xml:space="preserve"> SE H&amp;I</t>
  </si>
  <si>
    <t xml:space="preserve"> NTTDIM</t>
  </si>
  <si>
    <t xml:space="preserve"> 養命酒</t>
  </si>
  <si>
    <t xml:space="preserve"> 四国化</t>
  </si>
  <si>
    <t>509"</t>
  </si>
  <si>
    <t>995"</t>
  </si>
  <si>
    <t xml:space="preserve"> 日清粉Ｇ</t>
  </si>
  <si>
    <t>054"</t>
  </si>
  <si>
    <t>286"</t>
  </si>
  <si>
    <t>036"</t>
  </si>
  <si>
    <t>588"</t>
  </si>
  <si>
    <t>889"</t>
  </si>
  <si>
    <t>590"</t>
  </si>
  <si>
    <t xml:space="preserve"> ウェッズ</t>
  </si>
  <si>
    <t xml:space="preserve"> サンワテクノス</t>
  </si>
  <si>
    <t>370"</t>
  </si>
  <si>
    <t xml:space="preserve"> ステップ</t>
  </si>
  <si>
    <t>646"</t>
  </si>
  <si>
    <t>051"</t>
  </si>
  <si>
    <t>658"</t>
  </si>
  <si>
    <t>046"</t>
  </si>
  <si>
    <t>442"</t>
  </si>
  <si>
    <t xml:space="preserve"> 京　写</t>
  </si>
  <si>
    <t>197"</t>
  </si>
  <si>
    <t>597"</t>
  </si>
  <si>
    <t xml:space="preserve"> フラベッドH</t>
  </si>
  <si>
    <t>401"</t>
  </si>
  <si>
    <t>018"</t>
  </si>
  <si>
    <t xml:space="preserve"> 沖縄電</t>
  </si>
  <si>
    <t>128"</t>
  </si>
  <si>
    <t xml:space="preserve"> ＮＳＤ</t>
  </si>
  <si>
    <t>681"</t>
  </si>
  <si>
    <t xml:space="preserve"> 日鉄鉱</t>
  </si>
  <si>
    <t xml:space="preserve"> カワニシHD</t>
  </si>
  <si>
    <t xml:space="preserve"> セ硝子</t>
  </si>
  <si>
    <t>163"</t>
  </si>
  <si>
    <t xml:space="preserve"> 三浦工</t>
  </si>
  <si>
    <t>686"</t>
  </si>
  <si>
    <t>761"</t>
  </si>
  <si>
    <t>690"</t>
  </si>
  <si>
    <t>645"</t>
  </si>
  <si>
    <t>" 70</t>
  </si>
  <si>
    <t>463"</t>
  </si>
  <si>
    <t xml:space="preserve"> キッコーマン</t>
  </si>
  <si>
    <t>683"</t>
  </si>
  <si>
    <t>550"</t>
  </si>
  <si>
    <t>176"</t>
  </si>
  <si>
    <t xml:space="preserve"> 大陽日酸</t>
  </si>
  <si>
    <t>598"</t>
  </si>
  <si>
    <t xml:space="preserve"> 三井化学</t>
  </si>
  <si>
    <t>583"</t>
  </si>
  <si>
    <t xml:space="preserve"> 日　油</t>
  </si>
  <si>
    <t>135"</t>
  </si>
  <si>
    <t xml:space="preserve"> 日本新薬</t>
  </si>
  <si>
    <t>703"</t>
  </si>
  <si>
    <t>730"</t>
  </si>
  <si>
    <t>272"</t>
  </si>
  <si>
    <t>259"</t>
  </si>
  <si>
    <t xml:space="preserve"> ナカヨ</t>
  </si>
  <si>
    <t xml:space="preserve"> 西武ＨＤ</t>
  </si>
  <si>
    <t xml:space="preserve"> コムシスHD</t>
  </si>
  <si>
    <t>484"</t>
  </si>
  <si>
    <t>127"</t>
  </si>
  <si>
    <t>171"</t>
  </si>
  <si>
    <t xml:space="preserve"> トランス</t>
  </si>
  <si>
    <t>539"</t>
  </si>
  <si>
    <t xml:space="preserve"> ソフトマックス</t>
  </si>
  <si>
    <t xml:space="preserve"> ULS-G</t>
  </si>
  <si>
    <t>475"</t>
  </si>
  <si>
    <t xml:space="preserve"> ナブテスコ</t>
  </si>
  <si>
    <t>186"</t>
  </si>
  <si>
    <t xml:space="preserve"> 双葉電</t>
  </si>
  <si>
    <t xml:space="preserve"> ゼ　ロ</t>
  </si>
  <si>
    <t xml:space="preserve"> 2/8</t>
  </si>
  <si>
    <t xml:space="preserve"> 北川精機</t>
  </si>
  <si>
    <t xml:space="preserve"> 13:00</t>
  </si>
  <si>
    <t xml:space="preserve"> Tナカヤマ</t>
  </si>
  <si>
    <t>943"</t>
  </si>
  <si>
    <t>426"</t>
  </si>
  <si>
    <t>953"</t>
  </si>
  <si>
    <t xml:space="preserve"> ウインパートナ</t>
  </si>
  <si>
    <t xml:space="preserve"> 高松機械</t>
  </si>
  <si>
    <t>845"</t>
  </si>
  <si>
    <t xml:space="preserve"> ファルテック</t>
  </si>
  <si>
    <t xml:space="preserve"> インプレス</t>
  </si>
  <si>
    <t xml:space="preserve"> サイババズ</t>
  </si>
  <si>
    <t>108"</t>
  </si>
  <si>
    <t>035"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</si>
  <si>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</si>
  <si>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</si>
  <si>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</si>
  <si>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</si>
  <si>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</si>
  <si>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</si>
  <si>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</si>
  <si>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</si>
  <si>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</si>
  <si>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>327"</t>
  </si>
  <si>
    <t xml:space="preserve"> 市光工</t>
  </si>
  <si>
    <t xml:space="preserve"> シークス</t>
  </si>
  <si>
    <t xml:space="preserve"> 黒田精</t>
  </si>
  <si>
    <t>620"</t>
  </si>
  <si>
    <t xml:space="preserve"> ユニチャーム</t>
  </si>
  <si>
    <t>" 23</t>
  </si>
  <si>
    <t>138"</t>
  </si>
  <si>
    <t>673"</t>
  </si>
  <si>
    <t>478"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</si>
  <si>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</si>
  <si>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</si>
  <si>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</si>
  <si>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</si>
  <si>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</si>
  <si>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</si>
  <si>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>137"</t>
  </si>
  <si>
    <t xml:space="preserve"> ファイバーGT</t>
  </si>
  <si>
    <t xml:space="preserve"> 2/19</t>
  </si>
  <si>
    <t xml:space="preserve"> AOITYOHD</t>
  </si>
  <si>
    <t xml:space="preserve"> 2/27</t>
  </si>
  <si>
    <t>074"</t>
  </si>
  <si>
    <t>942"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</si>
  <si>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</si>
  <si>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</si>
  <si>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</si>
  <si>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</si>
  <si>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</si>
  <si>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>517"</t>
  </si>
  <si>
    <t>381"</t>
  </si>
  <si>
    <t>447"</t>
  </si>
  <si>
    <t>207"</t>
  </si>
  <si>
    <t>031"</t>
  </si>
  <si>
    <t>472"</t>
  </si>
  <si>
    <t>302"</t>
  </si>
  <si>
    <t>049"</t>
  </si>
  <si>
    <t>" 26</t>
  </si>
  <si>
    <t>260"</t>
  </si>
  <si>
    <t>291"</t>
  </si>
  <si>
    <t>571"</t>
  </si>
  <si>
    <t>220"</t>
  </si>
  <si>
    <t xml:space="preserve"> 中山福</t>
  </si>
  <si>
    <t>634"</t>
  </si>
  <si>
    <t>441"</t>
  </si>
  <si>
    <t xml:space="preserve"> 三住トラスト</t>
  </si>
  <si>
    <t xml:space="preserve"> アルプス物</t>
  </si>
  <si>
    <t>776"</t>
  </si>
  <si>
    <t xml:space="preserve"> 沖縄セルラー</t>
  </si>
  <si>
    <t>469"</t>
  </si>
  <si>
    <t>087"</t>
  </si>
  <si>
    <t>011"</t>
  </si>
  <si>
    <t>919"</t>
  </si>
  <si>
    <t>888"</t>
  </si>
  <si>
    <t>384"</t>
  </si>
  <si>
    <t xml:space="preserve"> 五洋建</t>
  </si>
  <si>
    <t>959"</t>
  </si>
  <si>
    <t>480"</t>
  </si>
  <si>
    <t xml:space="preserve"> 永谷園HD</t>
  </si>
  <si>
    <t>155"</t>
  </si>
  <si>
    <t xml:space="preserve"> テクノフレックス</t>
  </si>
  <si>
    <t>750"</t>
  </si>
  <si>
    <t xml:space="preserve"> 住友ベ</t>
  </si>
  <si>
    <t>093"</t>
  </si>
  <si>
    <t xml:space="preserve"> オイレス工</t>
  </si>
  <si>
    <t xml:space="preserve"> 東　リ</t>
  </si>
  <si>
    <t>662"</t>
  </si>
  <si>
    <t>283"</t>
  </si>
  <si>
    <t>687"</t>
  </si>
  <si>
    <t>656"</t>
  </si>
  <si>
    <t xml:space="preserve"> 総医研</t>
  </si>
  <si>
    <t>727"</t>
  </si>
  <si>
    <t xml:space="preserve"> ｉｐｓ</t>
  </si>
  <si>
    <t xml:space="preserve"> ウィルズ</t>
  </si>
  <si>
    <t xml:space="preserve"> ランサーズ</t>
  </si>
  <si>
    <t>940"</t>
  </si>
  <si>
    <t xml:space="preserve"> ウチヤマHD</t>
  </si>
  <si>
    <t xml:space="preserve"> アンビス</t>
  </si>
  <si>
    <t xml:space="preserve"> 応用地</t>
  </si>
  <si>
    <t>279"</t>
  </si>
  <si>
    <t>169"</t>
  </si>
  <si>
    <t>109"</t>
  </si>
  <si>
    <t xml:space="preserve"> ALiNK</t>
  </si>
  <si>
    <t>住石ホールディングス</t>
  </si>
  <si>
    <t>高松コンストラクショングループ</t>
  </si>
  <si>
    <t>不動テトラ</t>
  </si>
  <si>
    <t>日本基礎技術</t>
  </si>
  <si>
    <t>ユアテック</t>
  </si>
  <si>
    <t>ＣＤＳ</t>
  </si>
  <si>
    <t>システナ</t>
  </si>
  <si>
    <t>オプトホールディング</t>
  </si>
  <si>
    <t>ツクイ</t>
  </si>
  <si>
    <t>アウトソーシング</t>
  </si>
  <si>
    <t>高千穂交易</t>
  </si>
  <si>
    <t>あらた</t>
  </si>
  <si>
    <t>ＪＰホールディングス</t>
  </si>
  <si>
    <t>アルフレッサ　ホールディングス</t>
  </si>
  <si>
    <t>横浜冷凍</t>
  </si>
  <si>
    <t>片倉工業</t>
  </si>
  <si>
    <t>ココカラファイン</t>
  </si>
  <si>
    <t>シキボウ</t>
  </si>
  <si>
    <t>Ｈａｍｅｅ</t>
  </si>
  <si>
    <t>ホットランド</t>
  </si>
  <si>
    <t>オープンハウス</t>
  </si>
  <si>
    <t>帝国繊維</t>
  </si>
  <si>
    <t>シップヘルスケアホールディングス</t>
  </si>
  <si>
    <t>明治電機工業</t>
  </si>
  <si>
    <t>クラレ</t>
  </si>
  <si>
    <t>ケイアイスター不動産</t>
  </si>
  <si>
    <t>グッドコムアセット</t>
  </si>
  <si>
    <t>芦森工業</t>
  </si>
  <si>
    <t>マツオカコーポレーション</t>
  </si>
  <si>
    <t>ｅｎｉｓｈ</t>
  </si>
  <si>
    <t>フリービット</t>
  </si>
  <si>
    <t>マイネット</t>
  </si>
  <si>
    <t>ザ・パック</t>
  </si>
  <si>
    <t>シンクロ・フード</t>
  </si>
  <si>
    <t>昭和電工</t>
  </si>
  <si>
    <t>住友精化</t>
  </si>
  <si>
    <t>日産化学</t>
  </si>
  <si>
    <t>日本カーバイド工業</t>
  </si>
  <si>
    <t>四国化成工業</t>
  </si>
  <si>
    <t>ＪＳＲ</t>
  </si>
  <si>
    <t>大阪有機化学工業</t>
  </si>
  <si>
    <t>タキロンシーアイ</t>
  </si>
  <si>
    <t>大倉工業</t>
  </si>
  <si>
    <t>ダイキアクシス</t>
  </si>
  <si>
    <t>ダイキョーニシカワ</t>
  </si>
  <si>
    <t>日本精化</t>
  </si>
  <si>
    <t>久光製薬</t>
  </si>
  <si>
    <t>日医工</t>
  </si>
  <si>
    <t>日水製薬</t>
  </si>
  <si>
    <t>秀英予備校</t>
  </si>
  <si>
    <t>ビー・エム・エル</t>
  </si>
  <si>
    <t>トレンドマイクロ</t>
  </si>
  <si>
    <t>ＳＢテクノロジー</t>
  </si>
  <si>
    <t>ＪＸＴＧホールディングス</t>
  </si>
  <si>
    <t>横浜ゴム</t>
  </si>
  <si>
    <t>日本電気硝子</t>
  </si>
  <si>
    <t>日本コンクリート工業</t>
  </si>
  <si>
    <t>住友金属鉱山</t>
  </si>
  <si>
    <t>アマダホールディングス</t>
  </si>
  <si>
    <t>豊和工業</t>
  </si>
  <si>
    <t>タツモ</t>
  </si>
  <si>
    <t>ワイエイシイホールディングス</t>
  </si>
  <si>
    <t>新東工業</t>
  </si>
  <si>
    <t>レイズネクスト</t>
  </si>
  <si>
    <t>ＳＡＮＫＹＯ</t>
  </si>
  <si>
    <t>前澤給装工業</t>
  </si>
  <si>
    <t>日立製作所</t>
  </si>
  <si>
    <t>ミマキエンジニアリング</t>
  </si>
  <si>
    <t>日本信号</t>
  </si>
  <si>
    <t>ティアック</t>
  </si>
  <si>
    <t>チノー</t>
  </si>
  <si>
    <t>イリソ電子工業</t>
  </si>
  <si>
    <t>村田製作所</t>
  </si>
  <si>
    <t>ゆうちょ銀行</t>
  </si>
  <si>
    <t>エフテック</t>
  </si>
  <si>
    <t>河西工業</t>
  </si>
  <si>
    <t>スズキ</t>
  </si>
  <si>
    <t>ヨロズ</t>
  </si>
  <si>
    <t>三十三フィナンシャルグループ</t>
  </si>
  <si>
    <t>Ｇ－７ホールディングス</t>
  </si>
  <si>
    <t>イオン北海道</t>
  </si>
  <si>
    <t>ユナイテッドアローズ</t>
  </si>
  <si>
    <t>ダイトロン</t>
  </si>
  <si>
    <t>スギホールディングス</t>
  </si>
  <si>
    <t>ＳＣＲＥＥＮホールディングス</t>
  </si>
  <si>
    <t>ＨＯＹＡ</t>
  </si>
  <si>
    <t>ＮＩＳＳＨＡ</t>
  </si>
  <si>
    <t>ＪＳＰ</t>
  </si>
  <si>
    <t>立川ブラインド工業</t>
  </si>
  <si>
    <t>蝶理</t>
  </si>
  <si>
    <t>山善</t>
  </si>
  <si>
    <t>兼松エレクトロニクス</t>
  </si>
  <si>
    <t>ゴールドウイン</t>
  </si>
  <si>
    <t>イズミ</t>
  </si>
  <si>
    <t>ふくおかフィナンシャルグループ</t>
  </si>
  <si>
    <t>百五銀行</t>
  </si>
  <si>
    <t>山口フィナンシャルグループ</t>
  </si>
  <si>
    <t>愛知銀行</t>
  </si>
  <si>
    <t>東洋証券</t>
  </si>
  <si>
    <t>スターツコーポレーション</t>
  </si>
  <si>
    <t>エスリード</t>
  </si>
  <si>
    <t>東祥</t>
  </si>
  <si>
    <t>エフ・ジェー・ネクスト</t>
  </si>
  <si>
    <t>丸全昭和運輸</t>
  </si>
  <si>
    <t>神奈川中央交通</t>
  </si>
  <si>
    <t>朝日放送グループホールディングス</t>
  </si>
  <si>
    <t>ワイヤレスゲート</t>
  </si>
  <si>
    <t>クロップス</t>
  </si>
  <si>
    <t>インプレスホールディングス</t>
  </si>
  <si>
    <t>四国電力</t>
  </si>
  <si>
    <t>東京瓦斯</t>
  </si>
  <si>
    <t>東宝</t>
  </si>
  <si>
    <t>セコム</t>
  </si>
  <si>
    <t>ベネッセホールディングス</t>
  </si>
  <si>
    <t>ベルク</t>
  </si>
  <si>
    <t>ジェコス</t>
  </si>
  <si>
    <t>5/14/1</t>
  </si>
  <si>
    <t>5/12/4</t>
  </si>
  <si>
    <t>5/10/5</t>
  </si>
  <si>
    <t>4/7/6</t>
  </si>
  <si>
    <t>3/7/9</t>
  </si>
  <si>
    <t>2/5/8</t>
  </si>
  <si>
    <t>3/5/6</t>
  </si>
  <si>
    <t>3/6/7</t>
  </si>
  <si>
    <t>0/4/9</t>
  </si>
  <si>
    <t>6/7/4</t>
  </si>
  <si>
    <t>3/5/9</t>
  </si>
  <si>
    <t>6/5/6</t>
  </si>
  <si>
    <t>5/4/7</t>
  </si>
  <si>
    <t>12/10/1</t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</si>
</sst>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6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宋体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9"/>
      <name val="Microsoft YaHei"/>
      <family val="2"/>
    </font>
    <font>
      <sz val="11"/>
      <color rgb="FF9C0006"/>
      <name val="宋体"/>
      <family val="2"/>
      <charset val="134"/>
      <scheme val="minor"/>
    </font>
    <font>
      <b/>
      <sz val="11"/>
      <color rgb="FF006100"/>
      <name val="宋体"/>
      <scheme val="minor"/>
    </font>
    <font>
      <sz val="11"/>
      <color theme="1"/>
      <name val="Tahoma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39" fillId="2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5" fillId="27" borderId="50" applyNumberFormat="0" applyFont="0" applyAlignment="0" applyProtection="0">
      <alignment vertical="center"/>
    </xf>
  </cellStyleXfs>
  <cellXfs count="351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1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3" borderId="1" xfId="0" applyNumberFormat="1" applyFill="1" applyBorder="1"/>
    <xf numFmtId="0" fontId="16" fillId="3" borderId="6" xfId="0" applyFont="1" applyFill="1" applyBorder="1" applyAlignment="1">
      <alignment horizontal="center"/>
    </xf>
    <xf numFmtId="178" fontId="16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/>
    </xf>
    <xf numFmtId="178" fontId="16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/>
    </xf>
    <xf numFmtId="178" fontId="16" fillId="3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/>
    </xf>
    <xf numFmtId="0" fontId="10" fillId="3" borderId="1" xfId="0" applyFont="1" applyFill="1" applyBorder="1" applyAlignment="1">
      <alignment horizontal="center"/>
    </xf>
    <xf numFmtId="179" fontId="16" fillId="3" borderId="6" xfId="0" applyNumberFormat="1" applyFont="1" applyFill="1" applyBorder="1" applyAlignment="1">
      <alignment horizontal="center"/>
    </xf>
    <xf numFmtId="179" fontId="16" fillId="8" borderId="1" xfId="0" applyNumberFormat="1" applyFont="1" applyFill="1" applyBorder="1" applyAlignment="1">
      <alignment horizontal="center"/>
    </xf>
    <xf numFmtId="179" fontId="16" fillId="3" borderId="1" xfId="0" applyNumberFormat="1" applyFont="1" applyFill="1" applyBorder="1" applyAlignment="1">
      <alignment horizontal="center"/>
    </xf>
    <xf numFmtId="180" fontId="16" fillId="3" borderId="6" xfId="0" applyNumberFormat="1" applyFont="1" applyFill="1" applyBorder="1" applyAlignment="1">
      <alignment horizontal="center"/>
    </xf>
    <xf numFmtId="6" fontId="16" fillId="3" borderId="6" xfId="0" applyNumberFormat="1" applyFont="1" applyFill="1" applyBorder="1" applyAlignment="1">
      <alignment horizontal="center"/>
    </xf>
    <xf numFmtId="10" fontId="16" fillId="3" borderId="6" xfId="0" applyNumberFormat="1" applyFont="1" applyFill="1" applyBorder="1" applyAlignment="1">
      <alignment horizontal="center"/>
    </xf>
    <xf numFmtId="180" fontId="16" fillId="8" borderId="1" xfId="0" applyNumberFormat="1" applyFont="1" applyFill="1" applyBorder="1" applyAlignment="1">
      <alignment horizontal="center"/>
    </xf>
    <xf numFmtId="6" fontId="16" fillId="8" borderId="1" xfId="0" applyNumberFormat="1" applyFont="1" applyFill="1" applyBorder="1" applyAlignment="1">
      <alignment horizontal="center"/>
    </xf>
    <xf numFmtId="10" fontId="16" fillId="8" borderId="1" xfId="0" applyNumberFormat="1" applyFont="1" applyFill="1" applyBorder="1" applyAlignment="1">
      <alignment horizontal="center"/>
    </xf>
    <xf numFmtId="180" fontId="16" fillId="3" borderId="1" xfId="0" applyNumberFormat="1" applyFont="1" applyFill="1" applyBorder="1" applyAlignment="1">
      <alignment horizontal="center"/>
    </xf>
    <xf numFmtId="6" fontId="16" fillId="3" borderId="1" xfId="0" applyNumberFormat="1" applyFont="1" applyFill="1" applyBorder="1" applyAlignment="1">
      <alignment horizontal="center"/>
    </xf>
    <xf numFmtId="10" fontId="16" fillId="3" borderId="1" xfId="0" applyNumberFormat="1" applyFont="1" applyFill="1" applyBorder="1" applyAlignment="1">
      <alignment horizontal="center"/>
    </xf>
    <xf numFmtId="0" fontId="17" fillId="3" borderId="6" xfId="0" applyFont="1" applyFill="1" applyBorder="1" applyAlignment="1">
      <alignment horizontal="center" shrinkToFit="1"/>
    </xf>
    <xf numFmtId="0" fontId="10" fillId="3" borderId="6" xfId="0" applyFont="1" applyFill="1" applyBorder="1" applyAlignment="1">
      <alignment horizontal="left" shrinkToFit="1"/>
    </xf>
    <xf numFmtId="0" fontId="17" fillId="8" borderId="6" xfId="0" applyFont="1" applyFill="1" applyBorder="1" applyAlignment="1">
      <alignment horizontal="left" shrinkToFit="1"/>
    </xf>
    <xf numFmtId="0" fontId="17" fillId="3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7" borderId="13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7" borderId="17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4" borderId="22" xfId="0" applyFont="1" applyFill="1" applyBorder="1" applyAlignment="1">
      <alignment horizontal="center" vertical="center" wrapText="1"/>
    </xf>
    <xf numFmtId="0" fontId="23" fillId="14" borderId="23" xfId="0" applyFont="1" applyFill="1" applyBorder="1" applyAlignment="1">
      <alignment horizontal="center" vertical="center" wrapText="1"/>
    </xf>
    <xf numFmtId="0" fontId="22" fillId="15" borderId="24" xfId="0" applyFont="1" applyFill="1" applyBorder="1" applyAlignment="1">
      <alignment horizontal="left" wrapText="1"/>
    </xf>
    <xf numFmtId="0" fontId="22" fillId="13" borderId="24" xfId="0" applyFont="1" applyFill="1" applyBorder="1" applyAlignment="1">
      <alignment horizontal="left" wrapText="1"/>
    </xf>
    <xf numFmtId="0" fontId="24" fillId="13" borderId="21" xfId="0" applyFont="1" applyFill="1" applyBorder="1" applyAlignment="1">
      <alignment horizontal="left" wrapText="1"/>
    </xf>
    <xf numFmtId="0" fontId="22" fillId="16" borderId="24" xfId="0" applyFont="1" applyFill="1" applyBorder="1" applyAlignment="1">
      <alignment horizontal="left" wrapText="1"/>
    </xf>
    <xf numFmtId="0" fontId="24" fillId="16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5" borderId="26" xfId="0" applyFont="1" applyFill="1" applyBorder="1" applyAlignment="1">
      <alignment horizontal="left" wrapText="1"/>
    </xf>
    <xf numFmtId="0" fontId="26" fillId="19" borderId="21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8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4" borderId="24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13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7" borderId="15" xfId="0" applyFont="1" applyFill="1" applyBorder="1" applyAlignment="1">
      <alignment horizontal="center" vertical="center" wrapText="1"/>
    </xf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 wrapText="1"/>
    </xf>
    <xf numFmtId="0" fontId="7" fillId="11" borderId="10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0" fontId="7" fillId="10" borderId="10" xfId="0" applyFont="1" applyFill="1" applyBorder="1" applyAlignment="1">
      <alignment horizontal="center" vertical="center" wrapText="1"/>
    </xf>
    <xf numFmtId="0" fontId="7" fillId="10" borderId="11" xfId="0" applyFont="1" applyFill="1" applyBorder="1" applyAlignment="1">
      <alignment horizontal="center" vertical="center" wrapText="1"/>
    </xf>
    <xf numFmtId="0" fontId="7" fillId="10" borderId="12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29" fillId="0" borderId="0" xfId="1" applyAlignment="1" applyProtection="1"/>
    <xf numFmtId="0" fontId="7" fillId="9" borderId="11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3" borderId="39" xfId="0" applyFont="1" applyFill="1" applyBorder="1" applyAlignment="1">
      <alignment horizontal="center"/>
    </xf>
    <xf numFmtId="0" fontId="16" fillId="8" borderId="39" xfId="0" applyFont="1" applyFill="1" applyBorder="1" applyAlignment="1">
      <alignment horizont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2" borderId="0" xfId="0" applyFill="1"/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5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1" fontId="16" fillId="3" borderId="1" xfId="0" applyNumberFormat="1" applyFont="1" applyFill="1" applyBorder="1" applyAlignment="1">
      <alignment horizontal="center"/>
    </xf>
    <xf numFmtId="0" fontId="17" fillId="8" borderId="6" xfId="0" applyFont="1" applyFill="1" applyBorder="1" applyAlignment="1">
      <alignment horizontal="center" shrinkToFit="1"/>
    </xf>
    <xf numFmtId="181" fontId="10" fillId="8" borderId="1" xfId="0" applyNumberFormat="1" applyFont="1" applyFill="1" applyBorder="1" applyAlignment="1">
      <alignment horizontal="center" vertical="center"/>
    </xf>
    <xf numFmtId="183" fontId="16" fillId="3" borderId="1" xfId="0" applyNumberFormat="1" applyFont="1" applyFill="1" applyBorder="1" applyAlignment="1">
      <alignment horizontal="center"/>
    </xf>
    <xf numFmtId="183" fontId="16" fillId="8" borderId="1" xfId="0" applyNumberFormat="1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 vertical="center" wrapText="1"/>
    </xf>
    <xf numFmtId="179" fontId="37" fillId="13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/>
    </xf>
    <xf numFmtId="0" fontId="15" fillId="7" borderId="46" xfId="0" applyFont="1" applyFill="1" applyBorder="1" applyAlignment="1">
      <alignment horizontal="center" vertical="center" wrapText="1"/>
    </xf>
    <xf numFmtId="0" fontId="15" fillId="7" borderId="18" xfId="0" applyFont="1" applyFill="1" applyBorder="1" applyAlignment="1">
      <alignment horizontal="center" vertical="center" wrapText="1"/>
    </xf>
    <xf numFmtId="0" fontId="15" fillId="7" borderId="47" xfId="0" applyFont="1" applyFill="1" applyBorder="1" applyAlignment="1">
      <alignment horizontal="center" vertical="center" wrapText="1"/>
    </xf>
    <xf numFmtId="0" fontId="15" fillId="7" borderId="5" xfId="0" applyFont="1" applyFill="1" applyBorder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83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8" fillId="0" borderId="0" xfId="0" applyFont="1"/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9" fillId="23" borderId="0" xfId="2" applyAlignment="1"/>
    <xf numFmtId="0" fontId="40" fillId="8" borderId="1" xfId="0" applyFont="1" applyFill="1" applyBorder="1" applyAlignment="1">
      <alignment horizontal="center"/>
    </xf>
    <xf numFmtId="0" fontId="41" fillId="8" borderId="1" xfId="0" applyFont="1" applyFill="1" applyBorder="1" applyAlignment="1">
      <alignment horizontal="center"/>
    </xf>
    <xf numFmtId="0" fontId="33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8" fillId="3" borderId="1" xfId="0" applyFont="1" applyFill="1" applyBorder="1"/>
    <xf numFmtId="0" fontId="3" fillId="3" borderId="1" xfId="0" applyFont="1" applyFill="1" applyBorder="1"/>
    <xf numFmtId="0" fontId="18" fillId="3" borderId="1" xfId="0" applyFont="1" applyFill="1" applyBorder="1" applyAlignment="1">
      <alignment wrapText="1"/>
    </xf>
    <xf numFmtId="0" fontId="16" fillId="8" borderId="1" xfId="0" applyFont="1" applyFill="1" applyBorder="1" applyAlignment="1">
      <alignment horizontal="center" vertical="center"/>
    </xf>
    <xf numFmtId="6" fontId="30" fillId="0" borderId="13" xfId="0" applyNumberFormat="1" applyFont="1" applyBorder="1"/>
    <xf numFmtId="10" fontId="20" fillId="0" borderId="0" xfId="0" applyNumberFormat="1" applyFont="1"/>
    <xf numFmtId="0" fontId="7" fillId="9" borderId="11" xfId="0" applyFont="1" applyFill="1" applyBorder="1" applyAlignment="1">
      <alignment horizontal="center" vertical="center" wrapText="1"/>
    </xf>
    <xf numFmtId="0" fontId="7" fillId="9" borderId="37" xfId="0" applyFont="1" applyFill="1" applyBorder="1" applyAlignment="1">
      <alignment horizontal="center" vertical="center" wrapText="1"/>
    </xf>
    <xf numFmtId="0" fontId="7" fillId="9" borderId="0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7" fillId="0" borderId="0" xfId="0" applyFont="1"/>
    <xf numFmtId="0" fontId="38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8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20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0" fontId="0" fillId="25" borderId="37" xfId="0" applyFill="1" applyBorder="1"/>
    <xf numFmtId="14" fontId="0" fillId="0" borderId="0" xfId="0" applyNumberFormat="1" applyBorder="1"/>
    <xf numFmtId="0" fontId="44" fillId="23" borderId="1" xfId="2" applyFont="1" applyBorder="1" applyAlignment="1">
      <alignment horizontal="center" vertical="center"/>
    </xf>
    <xf numFmtId="0" fontId="44" fillId="23" borderId="1" xfId="2" applyFont="1" applyBorder="1" applyAlignment="1">
      <alignment horizontal="center"/>
    </xf>
    <xf numFmtId="0" fontId="39" fillId="23" borderId="1" xfId="2" applyBorder="1" applyAlignment="1"/>
    <xf numFmtId="0" fontId="0" fillId="8" borderId="1" xfId="0" applyFill="1" applyBorder="1"/>
    <xf numFmtId="0" fontId="20" fillId="8" borderId="1" xfId="0" applyFont="1" applyFill="1" applyBorder="1"/>
    <xf numFmtId="0" fontId="3" fillId="8" borderId="1" xfId="0" applyFont="1" applyFill="1" applyBorder="1"/>
    <xf numFmtId="0" fontId="43" fillId="8" borderId="1" xfId="3" applyFill="1" applyBorder="1" applyAlignment="1"/>
    <xf numFmtId="0" fontId="39" fillId="3" borderId="1" xfId="2" applyFill="1" applyBorder="1" applyAlignment="1"/>
    <xf numFmtId="0" fontId="0" fillId="3" borderId="1" xfId="0" applyFill="1" applyBorder="1"/>
    <xf numFmtId="0" fontId="2" fillId="0" borderId="37" xfId="0" applyFont="1" applyFill="1" applyBorder="1"/>
    <xf numFmtId="0" fontId="2" fillId="25" borderId="37" xfId="0" applyFont="1" applyFill="1" applyBorder="1"/>
    <xf numFmtId="183" fontId="16" fillId="8" borderId="1" xfId="0" applyNumberFormat="1" applyFont="1" applyFill="1" applyBorder="1" applyAlignment="1">
      <alignment horizontal="center" vertical="center"/>
    </xf>
    <xf numFmtId="10" fontId="16" fillId="8" borderId="1" xfId="0" applyNumberFormat="1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33" fillId="0" borderId="0" xfId="0" applyFont="1" applyBorder="1" applyAlignment="1">
      <alignment horizontal="left" vertical="center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right" vertical="center"/>
    </xf>
    <xf numFmtId="0" fontId="17" fillId="3" borderId="6" xfId="0" applyFont="1" applyFill="1" applyBorder="1" applyAlignment="1">
      <alignment horizontal="left" vertical="center" shrinkToFit="1"/>
    </xf>
    <xf numFmtId="180" fontId="16" fillId="3" borderId="1" xfId="0" applyNumberFormat="1" applyFont="1" applyFill="1" applyBorder="1" applyAlignment="1">
      <alignment horizontal="center" vertical="center"/>
    </xf>
    <xf numFmtId="6" fontId="16" fillId="3" borderId="1" xfId="0" applyNumberFormat="1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 shrinkToFit="1"/>
    </xf>
    <xf numFmtId="181" fontId="16" fillId="3" borderId="1" xfId="0" applyNumberFormat="1" applyFont="1" applyFill="1" applyBorder="1" applyAlignment="1">
      <alignment horizontal="center" vertical="center"/>
    </xf>
    <xf numFmtId="183" fontId="16" fillId="3" borderId="1" xfId="0" applyNumberFormat="1" applyFont="1" applyFill="1" applyBorder="1" applyAlignment="1">
      <alignment horizontal="center" vertical="center"/>
    </xf>
    <xf numFmtId="10" fontId="16" fillId="3" borderId="1" xfId="0" applyNumberFormat="1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left" vertical="center" shrinkToFit="1"/>
    </xf>
    <xf numFmtId="180" fontId="16" fillId="8" borderId="1" xfId="0" applyNumberFormat="1" applyFont="1" applyFill="1" applyBorder="1" applyAlignment="1">
      <alignment horizontal="center" vertical="center"/>
    </xf>
    <xf numFmtId="6" fontId="16" fillId="8" borderId="1" xfId="0" applyNumberFormat="1" applyFont="1" applyFill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 shrinkToFit="1"/>
    </xf>
    <xf numFmtId="179" fontId="16" fillId="8" borderId="1" xfId="0" applyNumberFormat="1" applyFont="1" applyFill="1" applyBorder="1" applyAlignment="1">
      <alignment horizontal="center" vertical="center"/>
    </xf>
    <xf numFmtId="0" fontId="20" fillId="0" borderId="11" xfId="0" applyFont="1" applyBorder="1"/>
    <xf numFmtId="14" fontId="16" fillId="3" borderId="1" xfId="0" applyNumberFormat="1" applyFont="1" applyFill="1" applyBorder="1" applyAlignment="1">
      <alignment horizontal="center"/>
    </xf>
    <xf numFmtId="0" fontId="2" fillId="25" borderId="0" xfId="0" applyFont="1" applyFill="1" applyAlignment="1">
      <alignment vertical="center"/>
    </xf>
    <xf numFmtId="14" fontId="0" fillId="26" borderId="0" xfId="0" applyNumberFormat="1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6" borderId="0" xfId="0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27" fillId="8" borderId="1" xfId="0" applyFont="1" applyFill="1" applyBorder="1" applyAlignment="1">
      <alignment horizontal="center" vertical="center"/>
    </xf>
    <xf numFmtId="0" fontId="11" fillId="8" borderId="5" xfId="0" applyFont="1" applyFill="1" applyBorder="1" applyAlignment="1">
      <alignment horizontal="center" vertical="center"/>
    </xf>
    <xf numFmtId="0" fontId="11" fillId="8" borderId="6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left" vertical="center"/>
    </xf>
    <xf numFmtId="177" fontId="16" fillId="8" borderId="6" xfId="0" applyNumberFormat="1" applyFont="1" applyFill="1" applyBorder="1" applyAlignment="1">
      <alignment horizontal="left" vertical="center"/>
    </xf>
    <xf numFmtId="183" fontId="16" fillId="8" borderId="1" xfId="0" applyNumberFormat="1" applyFont="1" applyFill="1" applyBorder="1" applyAlignment="1">
      <alignment horizontal="center" vertical="center"/>
    </xf>
    <xf numFmtId="10" fontId="16" fillId="8" borderId="1" xfId="0" applyNumberFormat="1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14" fontId="11" fillId="8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6" fillId="8" borderId="6" xfId="0" applyFont="1" applyFill="1" applyBorder="1" applyAlignment="1">
      <alignment horizontal="center" vertical="center"/>
    </xf>
    <xf numFmtId="177" fontId="16" fillId="8" borderId="14" xfId="0" applyNumberFormat="1" applyFont="1" applyFill="1" applyBorder="1" applyAlignment="1">
      <alignment horizontal="right" vertical="center"/>
    </xf>
    <xf numFmtId="177" fontId="16" fillId="8" borderId="6" xfId="0" applyNumberFormat="1" applyFont="1" applyFill="1" applyBorder="1" applyAlignment="1">
      <alignment horizontal="right" vertical="center"/>
    </xf>
    <xf numFmtId="0" fontId="36" fillId="8" borderId="1" xfId="0" applyFont="1" applyFill="1" applyBorder="1" applyAlignment="1">
      <alignment horizontal="center" vertical="center"/>
    </xf>
    <xf numFmtId="0" fontId="32" fillId="8" borderId="1" xfId="0" applyFont="1" applyFill="1" applyBorder="1" applyAlignment="1">
      <alignment horizontal="center" vertical="center"/>
    </xf>
    <xf numFmtId="182" fontId="27" fillId="8" borderId="5" xfId="0" applyNumberFormat="1" applyFont="1" applyFill="1" applyBorder="1" applyAlignment="1">
      <alignment horizontal="center" vertical="center"/>
    </xf>
    <xf numFmtId="182" fontId="27" fillId="8" borderId="6" xfId="0" applyNumberFormat="1" applyFont="1" applyFill="1" applyBorder="1" applyAlignment="1">
      <alignment horizontal="center" vertical="center"/>
    </xf>
    <xf numFmtId="182" fontId="32" fillId="8" borderId="5" xfId="0" applyNumberFormat="1" applyFont="1" applyFill="1" applyBorder="1" applyAlignment="1">
      <alignment horizontal="center" vertical="center"/>
    </xf>
    <xf numFmtId="182" fontId="32" fillId="8" borderId="6" xfId="0" applyNumberFormat="1" applyFont="1" applyFill="1" applyBorder="1" applyAlignment="1">
      <alignment horizontal="center" vertical="center"/>
    </xf>
    <xf numFmtId="182" fontId="27" fillId="8" borderId="1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2" fontId="27" fillId="8" borderId="18" xfId="0" applyNumberFormat="1" applyFont="1" applyFill="1" applyBorder="1" applyAlignment="1">
      <alignment horizontal="center" vertical="center"/>
    </xf>
    <xf numFmtId="182" fontId="27" fillId="8" borderId="14" xfId="0" applyNumberFormat="1" applyFont="1" applyFill="1" applyBorder="1" applyAlignment="1">
      <alignment horizontal="center" vertical="center"/>
    </xf>
    <xf numFmtId="177" fontId="16" fillId="8" borderId="5" xfId="0" applyNumberFormat="1" applyFont="1" applyFill="1" applyBorder="1" applyAlignment="1">
      <alignment horizontal="right" vertical="center"/>
    </xf>
    <xf numFmtId="10" fontId="16" fillId="8" borderId="6" xfId="0" applyNumberFormat="1" applyFont="1" applyFill="1" applyBorder="1" applyAlignment="1">
      <alignment horizontal="center" vertical="center"/>
    </xf>
    <xf numFmtId="14" fontId="11" fillId="8" borderId="6" xfId="0" applyNumberFormat="1" applyFont="1" applyFill="1" applyBorder="1" applyAlignment="1">
      <alignment horizontal="center" vertical="center"/>
    </xf>
    <xf numFmtId="182" fontId="16" fillId="8" borderId="18" xfId="0" applyNumberFormat="1" applyFont="1" applyFill="1" applyBorder="1" applyAlignment="1">
      <alignment horizontal="center" vertical="center"/>
    </xf>
    <xf numFmtId="182" fontId="16" fillId="8" borderId="14" xfId="0" applyNumberFormat="1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14" fontId="16" fillId="8" borderId="1" xfId="0" applyNumberFormat="1" applyFont="1" applyFill="1" applyBorder="1" applyAlignment="1">
      <alignment horizontal="center" vertical="center"/>
    </xf>
    <xf numFmtId="182" fontId="16" fillId="8" borderId="1" xfId="0" applyNumberFormat="1" applyFont="1" applyFill="1" applyBorder="1" applyAlignment="1">
      <alignment horizontal="center" vertical="center"/>
    </xf>
    <xf numFmtId="177" fontId="16" fillId="8" borderId="18" xfId="0" applyNumberFormat="1" applyFont="1" applyFill="1" applyBorder="1" applyAlignment="1">
      <alignment horizontal="right" vertical="center"/>
    </xf>
    <xf numFmtId="0" fontId="16" fillId="8" borderId="5" xfId="0" applyFont="1" applyFill="1" applyBorder="1" applyAlignment="1">
      <alignment horizontal="center" vertical="center"/>
    </xf>
    <xf numFmtId="14" fontId="16" fillId="8" borderId="18" xfId="0" applyNumberFormat="1" applyFont="1" applyFill="1" applyBorder="1" applyAlignment="1">
      <alignment horizontal="center" vertical="center"/>
    </xf>
    <xf numFmtId="14" fontId="16" fillId="8" borderId="14" xfId="0" applyNumberFormat="1" applyFont="1" applyFill="1" applyBorder="1" applyAlignment="1">
      <alignment horizontal="center" vertical="center"/>
    </xf>
    <xf numFmtId="183" fontId="16" fillId="8" borderId="6" xfId="0" applyNumberFormat="1" applyFont="1" applyFill="1" applyBorder="1" applyAlignment="1">
      <alignment horizontal="center" vertical="center"/>
    </xf>
    <xf numFmtId="14" fontId="11" fillId="8" borderId="5" xfId="0" applyNumberFormat="1" applyFont="1" applyFill="1" applyBorder="1" applyAlignment="1">
      <alignment horizontal="center" vertical="center"/>
    </xf>
    <xf numFmtId="182" fontId="32" fillId="8" borderId="1" xfId="0" applyNumberFormat="1" applyFont="1" applyFill="1" applyBorder="1" applyAlignment="1">
      <alignment horizontal="center" vertical="center"/>
    </xf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4" fillId="0" borderId="34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6" fillId="17" borderId="29" xfId="0" applyFont="1" applyFill="1" applyBorder="1" applyAlignment="1">
      <alignment horizontal="left" vertical="center" wrapText="1"/>
    </xf>
    <xf numFmtId="0" fontId="26" fillId="17" borderId="30" xfId="0" applyFont="1" applyFill="1" applyBorder="1" applyAlignment="1">
      <alignment horizontal="left" vertical="center" wrapText="1"/>
    </xf>
    <xf numFmtId="0" fontId="26" fillId="17" borderId="33" xfId="0" applyFont="1" applyFill="1" applyBorder="1" applyAlignment="1">
      <alignment horizontal="left" vertical="center" wrapText="1"/>
    </xf>
    <xf numFmtId="0" fontId="26" fillId="17" borderId="21" xfId="0" applyFont="1" applyFill="1" applyBorder="1" applyAlignment="1">
      <alignment horizontal="left" vertical="center" wrapText="1"/>
    </xf>
    <xf numFmtId="0" fontId="26" fillId="14" borderId="34" xfId="0" applyFont="1" applyFill="1" applyBorder="1" applyAlignment="1">
      <alignment horizontal="left" vertical="center" wrapText="1"/>
    </xf>
    <xf numFmtId="0" fontId="26" fillId="14" borderId="31" xfId="0" applyFont="1" applyFill="1" applyBorder="1" applyAlignment="1">
      <alignment horizontal="left" vertical="center" wrapText="1"/>
    </xf>
    <xf numFmtId="0" fontId="26" fillId="14" borderId="23" xfId="0" applyFont="1" applyFill="1" applyBorder="1" applyAlignment="1">
      <alignment horizontal="left" vertical="center" wrapText="1"/>
    </xf>
    <xf numFmtId="0" fontId="26" fillId="18" borderId="34" xfId="0" applyFont="1" applyFill="1" applyBorder="1" applyAlignment="1">
      <alignment horizontal="left" vertical="center" wrapText="1"/>
    </xf>
    <xf numFmtId="0" fontId="26" fillId="18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3" borderId="27" xfId="0" applyNumberFormat="1" applyFont="1" applyFill="1" applyBorder="1" applyAlignment="1">
      <alignment horizontal="left" vertical="center" wrapText="1"/>
    </xf>
    <xf numFmtId="10" fontId="24" fillId="13" borderId="26" xfId="0" applyNumberFormat="1" applyFont="1" applyFill="1" applyBorder="1" applyAlignment="1">
      <alignment horizontal="left" vertical="center" wrapText="1"/>
    </xf>
    <xf numFmtId="10" fontId="24" fillId="13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4" fillId="21" borderId="27" xfId="0" applyFont="1" applyFill="1" applyBorder="1" applyAlignment="1">
      <alignment horizontal="left" vertical="center" wrapText="1"/>
    </xf>
    <xf numFmtId="0" fontId="24" fillId="21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13" borderId="27" xfId="0" applyFont="1" applyFill="1" applyBorder="1" applyAlignment="1">
      <alignment horizontal="left" vertical="center" wrapText="1"/>
    </xf>
    <xf numFmtId="0" fontId="24" fillId="13" borderId="24" xfId="0" applyFont="1" applyFill="1" applyBorder="1" applyAlignment="1">
      <alignment horizontal="left" vertical="center" wrapText="1"/>
    </xf>
    <xf numFmtId="0" fontId="24" fillId="21" borderId="26" xfId="0" applyFont="1" applyFill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0" fontId="0" fillId="27" borderId="50" xfId="4" applyFont="1" applyAlignment="1"/>
    <xf numFmtId="0" fontId="2" fillId="27" borderId="50" xfId="4" applyFont="1" applyAlignment="1"/>
    <xf numFmtId="0" fontId="37" fillId="22" borderId="0" xfId="0" applyFont="1" applyFill="1"/>
    <xf numFmtId="49" fontId="0" fillId="22" borderId="0" xfId="0" applyNumberFormat="1" applyFill="1"/>
    <xf numFmtId="0" fontId="29" fillId="22" borderId="0" xfId="1" applyFill="1" applyAlignment="1" applyProtection="1"/>
  </cellXfs>
  <cellStyles count="5">
    <cellStyle name="好" xfId="2" builtinId="26"/>
    <cellStyle name="差" xfId="3" builtinId="27"/>
    <cellStyle name="常规" xfId="0" builtinId="0"/>
    <cellStyle name="注释" xfId="4" builtinId="1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417E-2"/>
          <c:y val="8.1284535694720383E-2"/>
          <c:w val="0.90558616623760613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</c:numCache>
            </c:numRef>
          </c:val>
        </c:ser>
        <c:marker val="1"/>
        <c:axId val="115632384"/>
        <c:axId val="115646464"/>
      </c:lineChart>
      <c:catAx>
        <c:axId val="115632384"/>
        <c:scaling>
          <c:orientation val="minMax"/>
        </c:scaling>
        <c:axPos val="b"/>
        <c:numFmt formatCode="yyyy/mm/dd" sourceLinked="1"/>
        <c:tickLblPos val="nextTo"/>
        <c:crossAx val="115646464"/>
        <c:crosses val="autoZero"/>
        <c:auto val="1"/>
        <c:lblAlgn val="ctr"/>
        <c:lblOffset val="100"/>
      </c:catAx>
      <c:valAx>
        <c:axId val="115646464"/>
        <c:scaling>
          <c:orientation val="minMax"/>
          <c:min val="0.9"/>
        </c:scaling>
        <c:axPos val="l"/>
        <c:majorGridlines/>
        <c:numFmt formatCode="General" sourceLinked="1"/>
        <c:majorTickMark val="none"/>
        <c:tickLblPos val="nextTo"/>
        <c:crossAx val="1156323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07E-2"/>
          <c:w val="0.11146820076747002"/>
          <c:h val="0.1504558576043829"/>
        </c:manualLayout>
      </c:layout>
    </c:legend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7868241892809438E-2"/>
          <c:y val="5.9472583760440983E-2"/>
          <c:w val="0.90558616623760568"/>
          <c:h val="0.81364905578327418"/>
        </c:manualLayout>
      </c:layout>
      <c:lineChart>
        <c:grouping val="standard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43798</c:v>
                </c:pt>
                <c:pt idx="15">
                  <c:v>43797</c:v>
                </c:pt>
                <c:pt idx="16">
                  <c:v>43796</c:v>
                </c:pt>
                <c:pt idx="17">
                  <c:v>43795</c:v>
                </c:pt>
                <c:pt idx="18">
                  <c:v>43794</c:v>
                </c:pt>
                <c:pt idx="19">
                  <c:v>43791</c:v>
                </c:pt>
                <c:pt idx="20">
                  <c:v>43790</c:v>
                </c:pt>
                <c:pt idx="21">
                  <c:v>43789</c:v>
                </c:pt>
                <c:pt idx="22">
                  <c:v>43788</c:v>
                </c:pt>
                <c:pt idx="23">
                  <c:v>43787</c:v>
                </c:pt>
                <c:pt idx="24">
                  <c:v>43784</c:v>
                </c:pt>
                <c:pt idx="25">
                  <c:v>43783</c:v>
                </c:pt>
                <c:pt idx="26">
                  <c:v>43782</c:v>
                </c:pt>
                <c:pt idx="27">
                  <c:v>43781</c:v>
                </c:pt>
                <c:pt idx="28">
                  <c:v>43780</c:v>
                </c:pt>
                <c:pt idx="29">
                  <c:v>43777</c:v>
                </c:pt>
                <c:pt idx="30">
                  <c:v>43776</c:v>
                </c:pt>
                <c:pt idx="31">
                  <c:v>43775</c:v>
                </c:pt>
                <c:pt idx="32">
                  <c:v>43774</c:v>
                </c:pt>
                <c:pt idx="33">
                  <c:v>43770</c:v>
                </c:pt>
                <c:pt idx="34">
                  <c:v>43769</c:v>
                </c:pt>
                <c:pt idx="35">
                  <c:v>43768</c:v>
                </c:pt>
                <c:pt idx="36">
                  <c:v>43767</c:v>
                </c:pt>
                <c:pt idx="37">
                  <c:v>43766</c:v>
                </c:pt>
                <c:pt idx="38">
                  <c:v>43763</c:v>
                </c:pt>
                <c:pt idx="39">
                  <c:v>43762</c:v>
                </c:pt>
                <c:pt idx="40">
                  <c:v>43761</c:v>
                </c:pt>
                <c:pt idx="41">
                  <c:v>43759</c:v>
                </c:pt>
                <c:pt idx="42">
                  <c:v>43756</c:v>
                </c:pt>
                <c:pt idx="43">
                  <c:v>43755</c:v>
                </c:pt>
                <c:pt idx="44">
                  <c:v>43754</c:v>
                </c:pt>
                <c:pt idx="45">
                  <c:v>43753</c:v>
                </c:pt>
                <c:pt idx="46">
                  <c:v>43749</c:v>
                </c:pt>
                <c:pt idx="47">
                  <c:v>43748</c:v>
                </c:pt>
                <c:pt idx="48">
                  <c:v>43747</c:v>
                </c:pt>
                <c:pt idx="49">
                  <c:v>43746</c:v>
                </c:pt>
                <c:pt idx="50">
                  <c:v>43745</c:v>
                </c:pt>
                <c:pt idx="51">
                  <c:v>43742</c:v>
                </c:pt>
                <c:pt idx="52">
                  <c:v>43741</c:v>
                </c:pt>
                <c:pt idx="53">
                  <c:v>43740</c:v>
                </c:pt>
                <c:pt idx="54">
                  <c:v>43739</c:v>
                </c:pt>
                <c:pt idx="55">
                  <c:v>43738</c:v>
                </c:pt>
                <c:pt idx="56">
                  <c:v>43735</c:v>
                </c:pt>
                <c:pt idx="57">
                  <c:v>43734</c:v>
                </c:pt>
                <c:pt idx="58">
                  <c:v>43733</c:v>
                </c:pt>
                <c:pt idx="59">
                  <c:v>43732</c:v>
                </c:pt>
                <c:pt idx="60">
                  <c:v>43728</c:v>
                </c:pt>
                <c:pt idx="61">
                  <c:v>43727</c:v>
                </c:pt>
                <c:pt idx="62">
                  <c:v>43726</c:v>
                </c:pt>
                <c:pt idx="63">
                  <c:v>43725</c:v>
                </c:pt>
                <c:pt idx="64">
                  <c:v>43721</c:v>
                </c:pt>
                <c:pt idx="65">
                  <c:v>43720</c:v>
                </c:pt>
                <c:pt idx="66">
                  <c:v>43719</c:v>
                </c:pt>
                <c:pt idx="67">
                  <c:v>43718</c:v>
                </c:pt>
                <c:pt idx="68">
                  <c:v>43717</c:v>
                </c:pt>
                <c:pt idx="69">
                  <c:v>43714</c:v>
                </c:pt>
                <c:pt idx="70">
                  <c:v>43713</c:v>
                </c:pt>
                <c:pt idx="71">
                  <c:v>43712</c:v>
                </c:pt>
                <c:pt idx="72">
                  <c:v>43711</c:v>
                </c:pt>
                <c:pt idx="73">
                  <c:v>43710</c:v>
                </c:pt>
                <c:pt idx="74">
                  <c:v>43707</c:v>
                </c:pt>
                <c:pt idx="75">
                  <c:v>43706</c:v>
                </c:pt>
                <c:pt idx="76">
                  <c:v>43705</c:v>
                </c:pt>
                <c:pt idx="77">
                  <c:v>43704</c:v>
                </c:pt>
                <c:pt idx="78">
                  <c:v>43703</c:v>
                </c:pt>
                <c:pt idx="79">
                  <c:v>43700</c:v>
                </c:pt>
                <c:pt idx="80">
                  <c:v>43699</c:v>
                </c:pt>
                <c:pt idx="81">
                  <c:v>43698</c:v>
                </c:pt>
                <c:pt idx="82">
                  <c:v>43697</c:v>
                </c:pt>
                <c:pt idx="83">
                  <c:v>43696</c:v>
                </c:pt>
                <c:pt idx="84">
                  <c:v>43693</c:v>
                </c:pt>
                <c:pt idx="85">
                  <c:v>43692</c:v>
                </c:pt>
                <c:pt idx="86">
                  <c:v>43691</c:v>
                </c:pt>
                <c:pt idx="87">
                  <c:v>43690</c:v>
                </c:pt>
                <c:pt idx="88">
                  <c:v>43686</c:v>
                </c:pt>
                <c:pt idx="89">
                  <c:v>43685</c:v>
                </c:pt>
                <c:pt idx="90">
                  <c:v>43684</c:v>
                </c:pt>
                <c:pt idx="91">
                  <c:v>43683</c:v>
                </c:pt>
                <c:pt idx="92">
                  <c:v>43682</c:v>
                </c:pt>
                <c:pt idx="93">
                  <c:v>43679</c:v>
                </c:pt>
                <c:pt idx="94">
                  <c:v>43678</c:v>
                </c:pt>
                <c:pt idx="95">
                  <c:v>43677</c:v>
                </c:pt>
                <c:pt idx="96">
                  <c:v>43676</c:v>
                </c:pt>
                <c:pt idx="97">
                  <c:v>43675</c:v>
                </c:pt>
                <c:pt idx="98">
                  <c:v>43672</c:v>
                </c:pt>
                <c:pt idx="99">
                  <c:v>43671</c:v>
                </c:pt>
                <c:pt idx="100">
                  <c:v>43670</c:v>
                </c:pt>
                <c:pt idx="101">
                  <c:v>43669</c:v>
                </c:pt>
                <c:pt idx="102">
                  <c:v>43668</c:v>
                </c:pt>
                <c:pt idx="103">
                  <c:v>43665</c:v>
                </c:pt>
                <c:pt idx="104">
                  <c:v>43664</c:v>
                </c:pt>
                <c:pt idx="105">
                  <c:v>43663</c:v>
                </c:pt>
                <c:pt idx="106">
                  <c:v>43662</c:v>
                </c:pt>
                <c:pt idx="107">
                  <c:v>43658</c:v>
                </c:pt>
                <c:pt idx="108">
                  <c:v>43657</c:v>
                </c:pt>
                <c:pt idx="109">
                  <c:v>43656</c:v>
                </c:pt>
                <c:pt idx="110">
                  <c:v>43655</c:v>
                </c:pt>
                <c:pt idx="111">
                  <c:v>43654</c:v>
                </c:pt>
                <c:pt idx="112">
                  <c:v>43651</c:v>
                </c:pt>
                <c:pt idx="113">
                  <c:v>43650</c:v>
                </c:pt>
                <c:pt idx="114">
                  <c:v>43649</c:v>
                </c:pt>
                <c:pt idx="115">
                  <c:v>43648</c:v>
                </c:pt>
                <c:pt idx="116">
                  <c:v>43647</c:v>
                </c:pt>
                <c:pt idx="117">
                  <c:v>43644</c:v>
                </c:pt>
                <c:pt idx="118">
                  <c:v>43643</c:v>
                </c:pt>
                <c:pt idx="119">
                  <c:v>43642</c:v>
                </c:pt>
                <c:pt idx="120">
                  <c:v>43641</c:v>
                </c:pt>
                <c:pt idx="121">
                  <c:v>43640</c:v>
                </c:pt>
                <c:pt idx="122">
                  <c:v>43637</c:v>
                </c:pt>
                <c:pt idx="123">
                  <c:v>43636</c:v>
                </c:pt>
                <c:pt idx="124">
                  <c:v>43635</c:v>
                </c:pt>
                <c:pt idx="125">
                  <c:v>43634</c:v>
                </c:pt>
                <c:pt idx="126">
                  <c:v>43633</c:v>
                </c:pt>
                <c:pt idx="127">
                  <c:v>43630</c:v>
                </c:pt>
                <c:pt idx="128">
                  <c:v>43629</c:v>
                </c:pt>
                <c:pt idx="129">
                  <c:v>43628</c:v>
                </c:pt>
                <c:pt idx="130">
                  <c:v>43627</c:v>
                </c:pt>
                <c:pt idx="131">
                  <c:v>43626</c:v>
                </c:pt>
                <c:pt idx="132">
                  <c:v>43623</c:v>
                </c:pt>
                <c:pt idx="133">
                  <c:v>43622</c:v>
                </c:pt>
                <c:pt idx="134">
                  <c:v>43621</c:v>
                </c:pt>
                <c:pt idx="135">
                  <c:v>43620</c:v>
                </c:pt>
                <c:pt idx="136">
                  <c:v>43619</c:v>
                </c:pt>
                <c:pt idx="137">
                  <c:v>43616</c:v>
                </c:pt>
                <c:pt idx="138">
                  <c:v>43615</c:v>
                </c:pt>
                <c:pt idx="139">
                  <c:v>43614</c:v>
                </c:pt>
                <c:pt idx="140">
                  <c:v>43613</c:v>
                </c:pt>
                <c:pt idx="141">
                  <c:v>43612</c:v>
                </c:pt>
                <c:pt idx="142">
                  <c:v>43609</c:v>
                </c:pt>
                <c:pt idx="143">
                  <c:v>43608</c:v>
                </c:pt>
                <c:pt idx="144">
                  <c:v>43607</c:v>
                </c:pt>
                <c:pt idx="145">
                  <c:v>43606</c:v>
                </c:pt>
                <c:pt idx="146">
                  <c:v>43605</c:v>
                </c:pt>
                <c:pt idx="147">
                  <c:v>43602</c:v>
                </c:pt>
                <c:pt idx="148">
                  <c:v>43601</c:v>
                </c:pt>
                <c:pt idx="149">
                  <c:v>43600</c:v>
                </c:pt>
                <c:pt idx="150">
                  <c:v>43599</c:v>
                </c:pt>
                <c:pt idx="151">
                  <c:v>43598</c:v>
                </c:pt>
                <c:pt idx="152">
                  <c:v>43595</c:v>
                </c:pt>
                <c:pt idx="153">
                  <c:v>43594</c:v>
                </c:pt>
                <c:pt idx="154">
                  <c:v>43593</c:v>
                </c:pt>
                <c:pt idx="155">
                  <c:v>43592</c:v>
                </c:pt>
                <c:pt idx="156">
                  <c:v>43581</c:v>
                </c:pt>
                <c:pt idx="157">
                  <c:v>43580</c:v>
                </c:pt>
                <c:pt idx="158">
                  <c:v>43579</c:v>
                </c:pt>
                <c:pt idx="159">
                  <c:v>43578</c:v>
                </c:pt>
                <c:pt idx="160">
                  <c:v>43577</c:v>
                </c:pt>
                <c:pt idx="161">
                  <c:v>43574</c:v>
                </c:pt>
                <c:pt idx="162">
                  <c:v>43573</c:v>
                </c:pt>
                <c:pt idx="163">
                  <c:v>43572</c:v>
                </c:pt>
                <c:pt idx="164">
                  <c:v>43571</c:v>
                </c:pt>
                <c:pt idx="165">
                  <c:v>43570</c:v>
                </c:pt>
                <c:pt idx="166">
                  <c:v>43567</c:v>
                </c:pt>
                <c:pt idx="167">
                  <c:v>43566</c:v>
                </c:pt>
                <c:pt idx="168">
                  <c:v>43565</c:v>
                </c:pt>
                <c:pt idx="169">
                  <c:v>43564</c:v>
                </c:pt>
                <c:pt idx="170">
                  <c:v>43563</c:v>
                </c:pt>
                <c:pt idx="171">
                  <c:v>43560</c:v>
                </c:pt>
                <c:pt idx="172">
                  <c:v>43559</c:v>
                </c:pt>
                <c:pt idx="173">
                  <c:v>43558</c:v>
                </c:pt>
                <c:pt idx="174">
                  <c:v>43557</c:v>
                </c:pt>
                <c:pt idx="175">
                  <c:v>43556</c:v>
                </c:pt>
                <c:pt idx="176">
                  <c:v>43553</c:v>
                </c:pt>
                <c:pt idx="177">
                  <c:v>43552</c:v>
                </c:pt>
                <c:pt idx="178">
                  <c:v>43551</c:v>
                </c:pt>
                <c:pt idx="179">
                  <c:v>43550</c:v>
                </c:pt>
                <c:pt idx="180">
                  <c:v>43549</c:v>
                </c:pt>
                <c:pt idx="181">
                  <c:v>43546</c:v>
                </c:pt>
                <c:pt idx="182">
                  <c:v>43544</c:v>
                </c:pt>
                <c:pt idx="183">
                  <c:v>43543</c:v>
                </c:pt>
                <c:pt idx="184">
                  <c:v>43542</c:v>
                </c:pt>
                <c:pt idx="185">
                  <c:v>43539</c:v>
                </c:pt>
                <c:pt idx="186">
                  <c:v>43538</c:v>
                </c:pt>
                <c:pt idx="187">
                  <c:v>43537</c:v>
                </c:pt>
                <c:pt idx="188">
                  <c:v>43536</c:v>
                </c:pt>
                <c:pt idx="189">
                  <c:v>43535</c:v>
                </c:pt>
                <c:pt idx="190">
                  <c:v>43532</c:v>
                </c:pt>
                <c:pt idx="191">
                  <c:v>43531</c:v>
                </c:pt>
                <c:pt idx="192">
                  <c:v>43530</c:v>
                </c:pt>
                <c:pt idx="193">
                  <c:v>43529</c:v>
                </c:pt>
                <c:pt idx="194">
                  <c:v>43528</c:v>
                </c:pt>
                <c:pt idx="195">
                  <c:v>43525</c:v>
                </c:pt>
                <c:pt idx="196">
                  <c:v>43524</c:v>
                </c:pt>
                <c:pt idx="197">
                  <c:v>43523</c:v>
                </c:pt>
                <c:pt idx="198">
                  <c:v>43522</c:v>
                </c:pt>
                <c:pt idx="199">
                  <c:v>43521</c:v>
                </c:pt>
                <c:pt idx="200">
                  <c:v>43518</c:v>
                </c:pt>
                <c:pt idx="201">
                  <c:v>43517</c:v>
                </c:pt>
                <c:pt idx="202">
                  <c:v>43516</c:v>
                </c:pt>
                <c:pt idx="203">
                  <c:v>43515</c:v>
                </c:pt>
                <c:pt idx="204">
                  <c:v>43514</c:v>
                </c:pt>
                <c:pt idx="205">
                  <c:v>43511</c:v>
                </c:pt>
                <c:pt idx="206">
                  <c:v>43510</c:v>
                </c:pt>
                <c:pt idx="207">
                  <c:v>43509</c:v>
                </c:pt>
                <c:pt idx="208">
                  <c:v>43508</c:v>
                </c:pt>
                <c:pt idx="209">
                  <c:v>43504</c:v>
                </c:pt>
                <c:pt idx="210">
                  <c:v>43503</c:v>
                </c:pt>
                <c:pt idx="211">
                  <c:v>43502</c:v>
                </c:pt>
                <c:pt idx="212">
                  <c:v>43501</c:v>
                </c:pt>
                <c:pt idx="213">
                  <c:v>43500</c:v>
                </c:pt>
                <c:pt idx="214">
                  <c:v>43497</c:v>
                </c:pt>
                <c:pt idx="215">
                  <c:v>43496</c:v>
                </c:pt>
                <c:pt idx="216">
                  <c:v>43495</c:v>
                </c:pt>
                <c:pt idx="217">
                  <c:v>43494</c:v>
                </c:pt>
                <c:pt idx="218">
                  <c:v>43493</c:v>
                </c:pt>
                <c:pt idx="219">
                  <c:v>43490</c:v>
                </c:pt>
                <c:pt idx="220">
                  <c:v>43489</c:v>
                </c:pt>
                <c:pt idx="221">
                  <c:v>43488</c:v>
                </c:pt>
                <c:pt idx="222">
                  <c:v>43487</c:v>
                </c:pt>
                <c:pt idx="223">
                  <c:v>43486</c:v>
                </c:pt>
                <c:pt idx="224">
                  <c:v>43483</c:v>
                </c:pt>
                <c:pt idx="225">
                  <c:v>43482</c:v>
                </c:pt>
                <c:pt idx="226">
                  <c:v>43481</c:v>
                </c:pt>
                <c:pt idx="227">
                  <c:v>43480</c:v>
                </c:pt>
                <c:pt idx="228">
                  <c:v>43476</c:v>
                </c:pt>
                <c:pt idx="229">
                  <c:v>43475</c:v>
                </c:pt>
                <c:pt idx="230">
                  <c:v>43474</c:v>
                </c:pt>
                <c:pt idx="231">
                  <c:v>43473</c:v>
                </c:pt>
                <c:pt idx="232">
                  <c:v>43472</c:v>
                </c:pt>
                <c:pt idx="233">
                  <c:v>43469</c:v>
                </c:pt>
                <c:pt idx="234">
                  <c:v>43462</c:v>
                </c:pt>
                <c:pt idx="235">
                  <c:v>43461</c:v>
                </c:pt>
                <c:pt idx="236">
                  <c:v>43460</c:v>
                </c:pt>
                <c:pt idx="237">
                  <c:v>43459</c:v>
                </c:pt>
                <c:pt idx="238">
                  <c:v>43455</c:v>
                </c:pt>
                <c:pt idx="239">
                  <c:v>43454</c:v>
                </c:pt>
                <c:pt idx="240">
                  <c:v>43453</c:v>
                </c:pt>
                <c:pt idx="241">
                  <c:v>43452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0.78873239436619702</c:v>
                </c:pt>
                <c:pt idx="1">
                  <c:v>0.78097345132743301</c:v>
                </c:pt>
                <c:pt idx="2">
                  <c:v>0.77705156136528597</c:v>
                </c:pt>
                <c:pt idx="3">
                  <c:v>0.78535170413343003</c:v>
                </c:pt>
                <c:pt idx="4">
                  <c:v>0.78783490224474995</c:v>
                </c:pt>
                <c:pt idx="5">
                  <c:v>0.79101123595505596</c:v>
                </c:pt>
                <c:pt idx="6">
                  <c:v>0.78841870824053395</c:v>
                </c:pt>
                <c:pt idx="7">
                  <c:v>0.78861788617886097</c:v>
                </c:pt>
                <c:pt idx="8">
                  <c:v>0.78425655976676301</c:v>
                </c:pt>
                <c:pt idx="9">
                  <c:v>0.78046989720998505</c:v>
                </c:pt>
                <c:pt idx="10">
                  <c:v>0.78021978021978</c:v>
                </c:pt>
                <c:pt idx="11">
                  <c:v>0.78076062639820998</c:v>
                </c:pt>
                <c:pt idx="12">
                  <c:v>0.78088235294117603</c:v>
                </c:pt>
                <c:pt idx="13">
                  <c:v>0.77817919075144504</c:v>
                </c:pt>
                <c:pt idx="14">
                  <c:v>0.77794117647058803</c:v>
                </c:pt>
                <c:pt idx="15">
                  <c:v>0.77802037845705896</c:v>
                </c:pt>
                <c:pt idx="16">
                  <c:v>0.77753779697624104</c:v>
                </c:pt>
                <c:pt idx="17">
                  <c:v>0.78254545454545399</c:v>
                </c:pt>
                <c:pt idx="18">
                  <c:v>0.77062228654124398</c:v>
                </c:pt>
                <c:pt idx="19">
                  <c:v>0.75677655677655598</c:v>
                </c:pt>
                <c:pt idx="20">
                  <c:v>0.748169838945827</c:v>
                </c:pt>
                <c:pt idx="21">
                  <c:v>0.75072886297376096</c:v>
                </c:pt>
                <c:pt idx="22">
                  <c:v>0.75197132616487405</c:v>
                </c:pt>
                <c:pt idx="23">
                  <c:v>0.761938202247191</c:v>
                </c:pt>
                <c:pt idx="24">
                  <c:v>0.75312066574202496</c:v>
                </c:pt>
                <c:pt idx="25">
                  <c:v>0.74702172389628596</c:v>
                </c:pt>
                <c:pt idx="26">
                  <c:v>0.75360329444063101</c:v>
                </c:pt>
                <c:pt idx="27">
                  <c:v>0.74848688634835203</c:v>
                </c:pt>
                <c:pt idx="28">
                  <c:v>0.75204918032786805</c:v>
                </c:pt>
                <c:pt idx="29">
                  <c:v>0.753229095853161</c:v>
                </c:pt>
                <c:pt idx="30">
                  <c:v>0.75592747559274698</c:v>
                </c:pt>
                <c:pt idx="31">
                  <c:v>0.756028368794326</c:v>
                </c:pt>
                <c:pt idx="32">
                  <c:v>0.75879396984924596</c:v>
                </c:pt>
                <c:pt idx="33">
                  <c:v>0.74569932685115903</c:v>
                </c:pt>
                <c:pt idx="34">
                  <c:v>0.72883787661405997</c:v>
                </c:pt>
                <c:pt idx="35">
                  <c:v>0.76453055141579696</c:v>
                </c:pt>
                <c:pt idx="36">
                  <c:v>0.77185185185185101</c:v>
                </c:pt>
                <c:pt idx="37">
                  <c:v>0.764441110277569</c:v>
                </c:pt>
                <c:pt idx="38">
                  <c:v>0.76484018264840103</c:v>
                </c:pt>
                <c:pt idx="39">
                  <c:v>0.76122754491017897</c:v>
                </c:pt>
                <c:pt idx="40">
                  <c:v>0.75607902735562305</c:v>
                </c:pt>
                <c:pt idx="41">
                  <c:v>0.76726144297905297</c:v>
                </c:pt>
                <c:pt idx="42">
                  <c:v>0.76260667183863395</c:v>
                </c:pt>
                <c:pt idx="43">
                  <c:v>0.76465989053948402</c:v>
                </c:pt>
                <c:pt idx="44">
                  <c:v>0.76009316770186297</c:v>
                </c:pt>
                <c:pt idx="45">
                  <c:v>0.75915822291504198</c:v>
                </c:pt>
                <c:pt idx="46">
                  <c:v>0.75396825396825395</c:v>
                </c:pt>
                <c:pt idx="47">
                  <c:v>0.75777414075286398</c:v>
                </c:pt>
                <c:pt idx="48">
                  <c:v>0.75495049504950495</c:v>
                </c:pt>
                <c:pt idx="49">
                  <c:v>0.75223395613322497</c:v>
                </c:pt>
                <c:pt idx="50">
                  <c:v>0.74958813838550198</c:v>
                </c:pt>
                <c:pt idx="51">
                  <c:v>0.75164473684210498</c:v>
                </c:pt>
                <c:pt idx="52">
                  <c:v>0.74508196721311404</c:v>
                </c:pt>
                <c:pt idx="53">
                  <c:v>0.74121405750798697</c:v>
                </c:pt>
                <c:pt idx="54">
                  <c:v>0.74024960998439904</c:v>
                </c:pt>
                <c:pt idx="55">
                  <c:v>0.73446327683615797</c:v>
                </c:pt>
                <c:pt idx="56">
                  <c:v>0.73095238095238002</c:v>
                </c:pt>
                <c:pt idx="57">
                  <c:v>0.73426573426573405</c:v>
                </c:pt>
                <c:pt idx="58">
                  <c:v>0.73937007874015703</c:v>
                </c:pt>
                <c:pt idx="59">
                  <c:v>0.73926619828259099</c:v>
                </c:pt>
                <c:pt idx="60">
                  <c:v>0.74314800313234097</c:v>
                </c:pt>
                <c:pt idx="61">
                  <c:v>0.734520123839009</c:v>
                </c:pt>
                <c:pt idx="62">
                  <c:v>0.74651162790697601</c:v>
                </c:pt>
                <c:pt idx="63">
                  <c:v>0.75441289332310002</c:v>
                </c:pt>
                <c:pt idx="64">
                  <c:v>0.74653312788906001</c:v>
                </c:pt>
                <c:pt idx="65">
                  <c:v>0.76733436055469895</c:v>
                </c:pt>
                <c:pt idx="66">
                  <c:v>0.75640031031807597</c:v>
                </c:pt>
                <c:pt idx="67">
                  <c:v>0.76545166402535603</c:v>
                </c:pt>
                <c:pt idx="68">
                  <c:v>0.75460636515912805</c:v>
                </c:pt>
                <c:pt idx="69">
                  <c:v>0.76138279932546304</c:v>
                </c:pt>
                <c:pt idx="70">
                  <c:v>0.75744680851063795</c:v>
                </c:pt>
                <c:pt idx="71">
                  <c:v>0.74406332453825796</c:v>
                </c:pt>
                <c:pt idx="72">
                  <c:v>0.75739130434782598</c:v>
                </c:pt>
                <c:pt idx="73">
                  <c:v>0.75306479859894904</c:v>
                </c:pt>
                <c:pt idx="74">
                  <c:v>0.73958333333333304</c:v>
                </c:pt>
                <c:pt idx="75">
                  <c:v>0.73398576512455505</c:v>
                </c:pt>
                <c:pt idx="76">
                  <c:v>0.73042704626334498</c:v>
                </c:pt>
                <c:pt idx="77">
                  <c:v>0.736098852603707</c:v>
                </c:pt>
                <c:pt idx="78">
                  <c:v>0.73731077471059603</c:v>
                </c:pt>
                <c:pt idx="79">
                  <c:v>0.73619631901840399</c:v>
                </c:pt>
                <c:pt idx="80">
                  <c:v>0.73315835520559902</c:v>
                </c:pt>
                <c:pt idx="81">
                  <c:v>0.73637961335676605</c:v>
                </c:pt>
                <c:pt idx="82">
                  <c:v>0.74230430958663096</c:v>
                </c:pt>
                <c:pt idx="83">
                  <c:v>0.72549019607843102</c:v>
                </c:pt>
                <c:pt idx="84">
                  <c:v>0.72488687782805405</c:v>
                </c:pt>
                <c:pt idx="85">
                  <c:v>0.717741935483871</c:v>
                </c:pt>
                <c:pt idx="86">
                  <c:v>0.72148541114058296</c:v>
                </c:pt>
                <c:pt idx="87">
                  <c:v>0.72207327971403001</c:v>
                </c:pt>
                <c:pt idx="88">
                  <c:v>0.72013949433304203</c:v>
                </c:pt>
                <c:pt idx="89">
                  <c:v>0.71972318339100305</c:v>
                </c:pt>
                <c:pt idx="90">
                  <c:v>0.721791559000861</c:v>
                </c:pt>
                <c:pt idx="91">
                  <c:v>0.72442941673710903</c:v>
                </c:pt>
                <c:pt idx="92">
                  <c:v>0.73294018534119598</c:v>
                </c:pt>
                <c:pt idx="93">
                  <c:v>0.73740710156895095</c:v>
                </c:pt>
                <c:pt idx="94">
                  <c:v>0.73974763406940003</c:v>
                </c:pt>
                <c:pt idx="95">
                  <c:v>0.714175654853621</c:v>
                </c:pt>
                <c:pt idx="96">
                  <c:v>0.70704012112036296</c:v>
                </c:pt>
                <c:pt idx="97">
                  <c:v>0.71714066102997698</c:v>
                </c:pt>
                <c:pt idx="98">
                  <c:v>0.72351615326821905</c:v>
                </c:pt>
                <c:pt idx="99">
                  <c:v>0.72794662713120795</c:v>
                </c:pt>
                <c:pt idx="100">
                  <c:v>0.73461823573017004</c:v>
                </c:pt>
                <c:pt idx="101">
                  <c:v>0.74752851711026602</c:v>
                </c:pt>
                <c:pt idx="102">
                  <c:v>0.74768518518518501</c:v>
                </c:pt>
                <c:pt idx="103">
                  <c:v>0.74145962732919202</c:v>
                </c:pt>
                <c:pt idx="104">
                  <c:v>0.73885350318471299</c:v>
                </c:pt>
                <c:pt idx="105">
                  <c:v>0.727764887857695</c:v>
                </c:pt>
                <c:pt idx="106">
                  <c:v>0.72358346094946402</c:v>
                </c:pt>
                <c:pt idx="107">
                  <c:v>0.71963330786860202</c:v>
                </c:pt>
                <c:pt idx="108">
                  <c:v>0.70987189148455099</c:v>
                </c:pt>
                <c:pt idx="109">
                  <c:v>0.71482889733840305</c:v>
                </c:pt>
                <c:pt idx="110">
                  <c:v>0.71860816944024197</c:v>
                </c:pt>
                <c:pt idx="111">
                  <c:v>0.72168042010502598</c:v>
                </c:pt>
                <c:pt idx="112">
                  <c:v>0.72625280478683596</c:v>
                </c:pt>
                <c:pt idx="113">
                  <c:v>0.725431357839459</c:v>
                </c:pt>
                <c:pt idx="114">
                  <c:v>0.72659176029962502</c:v>
                </c:pt>
                <c:pt idx="115">
                  <c:v>0.73082595870206402</c:v>
                </c:pt>
                <c:pt idx="116">
                  <c:v>0.73505535055350502</c:v>
                </c:pt>
                <c:pt idx="117">
                  <c:v>0.73506891271056596</c:v>
                </c:pt>
                <c:pt idx="118">
                  <c:v>0.73466257668711599</c:v>
                </c:pt>
                <c:pt idx="119">
                  <c:v>0.73218480814408704</c:v>
                </c:pt>
                <c:pt idx="120">
                  <c:v>0.73663208300079797</c:v>
                </c:pt>
                <c:pt idx="121">
                  <c:v>0.74740207833732997</c:v>
                </c:pt>
                <c:pt idx="122">
                  <c:v>0.73454833597464297</c:v>
                </c:pt>
                <c:pt idx="123">
                  <c:v>0.734177215189873</c:v>
                </c:pt>
                <c:pt idx="124">
                  <c:v>0.736464968152866</c:v>
                </c:pt>
                <c:pt idx="125">
                  <c:v>0.73130649137222603</c:v>
                </c:pt>
                <c:pt idx="126">
                  <c:v>0.73705834018077199</c:v>
                </c:pt>
                <c:pt idx="127">
                  <c:v>0.74530612244897898</c:v>
                </c:pt>
                <c:pt idx="128">
                  <c:v>0.73581847649918897</c:v>
                </c:pt>
                <c:pt idx="129">
                  <c:v>0.74476650563607005</c:v>
                </c:pt>
                <c:pt idx="130">
                  <c:v>0.74281150159744402</c:v>
                </c:pt>
                <c:pt idx="131">
                  <c:v>0.742903487429034</c:v>
                </c:pt>
                <c:pt idx="132">
                  <c:v>0.74257425742574201</c:v>
                </c:pt>
                <c:pt idx="133">
                  <c:v>0.74292845257903495</c:v>
                </c:pt>
                <c:pt idx="134">
                  <c:v>0.74631751227495902</c:v>
                </c:pt>
                <c:pt idx="135">
                  <c:v>0.754893617021276</c:v>
                </c:pt>
                <c:pt idx="136">
                  <c:v>0.76429199648196999</c:v>
                </c:pt>
                <c:pt idx="137">
                  <c:v>0.7578125</c:v>
                </c:pt>
                <c:pt idx="138">
                  <c:v>0.76064735945485495</c:v>
                </c:pt>
                <c:pt idx="139">
                  <c:v>0.76279863481228605</c:v>
                </c:pt>
                <c:pt idx="140">
                  <c:v>0.76138279932546304</c:v>
                </c:pt>
                <c:pt idx="141">
                  <c:v>0.77268871925360405</c:v>
                </c:pt>
                <c:pt idx="142">
                  <c:v>0.77721088435374097</c:v>
                </c:pt>
                <c:pt idx="143">
                  <c:v>0.76624472573839597</c:v>
                </c:pt>
                <c:pt idx="144">
                  <c:v>0.75947281713344295</c:v>
                </c:pt>
                <c:pt idx="145">
                  <c:v>0.76993355481727499</c:v>
                </c:pt>
                <c:pt idx="146">
                  <c:v>0.76578073089700904</c:v>
                </c:pt>
                <c:pt idx="147">
                  <c:v>0.75020610057708104</c:v>
                </c:pt>
                <c:pt idx="148">
                  <c:v>0.75657894736842102</c:v>
                </c:pt>
                <c:pt idx="149">
                  <c:v>0.75887096774193497</c:v>
                </c:pt>
                <c:pt idx="150">
                  <c:v>0.77414075286415696</c:v>
                </c:pt>
                <c:pt idx="151">
                  <c:v>0.77669902912621303</c:v>
                </c:pt>
                <c:pt idx="152">
                  <c:v>0.78397486252945803</c:v>
                </c:pt>
                <c:pt idx="153">
                  <c:v>0.81904761904761902</c:v>
                </c:pt>
                <c:pt idx="154">
                  <c:v>0.81566820276497698</c:v>
                </c:pt>
                <c:pt idx="155">
                  <c:v>0.822784810126582</c:v>
                </c:pt>
                <c:pt idx="156">
                  <c:v>0.80475857242827098</c:v>
                </c:pt>
                <c:pt idx="157">
                  <c:v>0.79279891304347805</c:v>
                </c:pt>
                <c:pt idx="158">
                  <c:v>0.79522184300341203</c:v>
                </c:pt>
                <c:pt idx="159">
                  <c:v>0.78897849462365499</c:v>
                </c:pt>
                <c:pt idx="160">
                  <c:v>0.79094540612516595</c:v>
                </c:pt>
                <c:pt idx="161">
                  <c:v>0.78433974784339699</c:v>
                </c:pt>
                <c:pt idx="162">
                  <c:v>0.77022433718558803</c:v>
                </c:pt>
                <c:pt idx="163">
                  <c:v>0.75935828877005296</c:v>
                </c:pt>
                <c:pt idx="164">
                  <c:v>0.76326530612244903</c:v>
                </c:pt>
                <c:pt idx="165">
                  <c:v>0.76442953020134197</c:v>
                </c:pt>
                <c:pt idx="166">
                  <c:v>0.77430555555555503</c:v>
                </c:pt>
                <c:pt idx="167">
                  <c:v>0.77600554785020803</c:v>
                </c:pt>
                <c:pt idx="168">
                  <c:v>0.77130977130977096</c:v>
                </c:pt>
                <c:pt idx="169">
                  <c:v>0.77800687285223302</c:v>
                </c:pt>
                <c:pt idx="170">
                  <c:v>0.77401520387007605</c:v>
                </c:pt>
                <c:pt idx="171">
                  <c:v>0.78385772913816598</c:v>
                </c:pt>
                <c:pt idx="172">
                  <c:v>0.76701030927835001</c:v>
                </c:pt>
                <c:pt idx="173">
                  <c:v>0.75887978142076495</c:v>
                </c:pt>
                <c:pt idx="174">
                  <c:v>0.75241379310344803</c:v>
                </c:pt>
                <c:pt idx="175">
                  <c:v>0.75943060498220605</c:v>
                </c:pt>
                <c:pt idx="176">
                  <c:v>0.76138032305433101</c:v>
                </c:pt>
                <c:pt idx="177">
                  <c:v>0.75967261904761896</c:v>
                </c:pt>
                <c:pt idx="178">
                  <c:v>0.74926253687315603</c:v>
                </c:pt>
                <c:pt idx="179">
                  <c:v>0.74458874458874402</c:v>
                </c:pt>
                <c:pt idx="180">
                  <c:v>0.74538745387453798</c:v>
                </c:pt>
                <c:pt idx="181">
                  <c:v>0.73687943262411304</c:v>
                </c:pt>
                <c:pt idx="182">
                  <c:v>0.73236363636363599</c:v>
                </c:pt>
                <c:pt idx="183">
                  <c:v>0.74134119380987396</c:v>
                </c:pt>
                <c:pt idx="184">
                  <c:v>0.74082397003745304</c:v>
                </c:pt>
                <c:pt idx="185">
                  <c:v>0.73939393939393905</c:v>
                </c:pt>
                <c:pt idx="186">
                  <c:v>0.74364896073902997</c:v>
                </c:pt>
                <c:pt idx="187">
                  <c:v>0.74196018376722805</c:v>
                </c:pt>
                <c:pt idx="188">
                  <c:v>0.73838080959520203</c:v>
                </c:pt>
                <c:pt idx="189">
                  <c:v>0.73946360153256696</c:v>
                </c:pt>
                <c:pt idx="190">
                  <c:v>0.74111282843894899</c:v>
                </c:pt>
                <c:pt idx="191">
                  <c:v>0.73955223880596999</c:v>
                </c:pt>
                <c:pt idx="192">
                  <c:v>0.74524158125914997</c:v>
                </c:pt>
                <c:pt idx="193">
                  <c:v>0.74092888243831601</c:v>
                </c:pt>
                <c:pt idx="194">
                  <c:v>0.73944166070150297</c:v>
                </c:pt>
                <c:pt idx="195">
                  <c:v>0.73531544597534404</c:v>
                </c:pt>
                <c:pt idx="196">
                  <c:v>0.74130434782608701</c:v>
                </c:pt>
                <c:pt idx="197">
                  <c:v>0.74298056155507497</c:v>
                </c:pt>
                <c:pt idx="198">
                  <c:v>0.74501424501424496</c:v>
                </c:pt>
                <c:pt idx="199">
                  <c:v>0.75447387258410803</c:v>
                </c:pt>
                <c:pt idx="200">
                  <c:v>0.75557153127246501</c:v>
                </c:pt>
                <c:pt idx="201">
                  <c:v>0.75</c:v>
                </c:pt>
                <c:pt idx="202">
                  <c:v>0.73314801945795605</c:v>
                </c:pt>
                <c:pt idx="203">
                  <c:v>0.73888496824276595</c:v>
                </c:pt>
                <c:pt idx="204">
                  <c:v>0.74663835810332602</c:v>
                </c:pt>
                <c:pt idx="205">
                  <c:v>0.75689404934687898</c:v>
                </c:pt>
                <c:pt idx="206">
                  <c:v>0.76221264367816</c:v>
                </c:pt>
                <c:pt idx="207">
                  <c:v>0.76755973931933297</c:v>
                </c:pt>
                <c:pt idx="208">
                  <c:v>0.76183431952662695</c:v>
                </c:pt>
                <c:pt idx="209">
                  <c:v>0.78444957659738201</c:v>
                </c:pt>
                <c:pt idx="210">
                  <c:v>0.782258064516129</c:v>
                </c:pt>
                <c:pt idx="211">
                  <c:v>0.77721701514059105</c:v>
                </c:pt>
                <c:pt idx="212">
                  <c:v>0.77279305354558603</c:v>
                </c:pt>
                <c:pt idx="213">
                  <c:v>0.78020378457059603</c:v>
                </c:pt>
                <c:pt idx="214">
                  <c:v>0.78113207547169805</c:v>
                </c:pt>
                <c:pt idx="215">
                  <c:v>0.75159687721788504</c:v>
                </c:pt>
                <c:pt idx="216">
                  <c:v>0.75</c:v>
                </c:pt>
                <c:pt idx="217">
                  <c:v>0.73848334514528702</c:v>
                </c:pt>
                <c:pt idx="218">
                  <c:v>0.74736101337086502</c:v>
                </c:pt>
                <c:pt idx="219">
                  <c:v>0.75159687721788504</c:v>
                </c:pt>
                <c:pt idx="220">
                  <c:v>0.75962236746550404</c:v>
                </c:pt>
                <c:pt idx="221">
                  <c:v>0.75877192982456099</c:v>
                </c:pt>
                <c:pt idx="222">
                  <c:v>0.749456915278783</c:v>
                </c:pt>
                <c:pt idx="223">
                  <c:v>0.753237410071942</c:v>
                </c:pt>
                <c:pt idx="224">
                  <c:v>0.75418181818181795</c:v>
                </c:pt>
                <c:pt idx="225">
                  <c:v>0.76190476190476097</c:v>
                </c:pt>
                <c:pt idx="226">
                  <c:v>0.76086956521739102</c:v>
                </c:pt>
                <c:pt idx="227">
                  <c:v>0.76598946576373195</c:v>
                </c:pt>
                <c:pt idx="228">
                  <c:v>0.76425269645608596</c:v>
                </c:pt>
                <c:pt idx="229">
                  <c:v>0.76465989053948402</c:v>
                </c:pt>
                <c:pt idx="230">
                  <c:v>0.75837879968822997</c:v>
                </c:pt>
                <c:pt idx="231">
                  <c:v>0.76837944664031599</c:v>
                </c:pt>
                <c:pt idx="232">
                  <c:v>0.76725521669341801</c:v>
                </c:pt>
                <c:pt idx="233">
                  <c:v>0.77147623019182598</c:v>
                </c:pt>
                <c:pt idx="234">
                  <c:v>0.774061990212071</c:v>
                </c:pt>
                <c:pt idx="235">
                  <c:v>0.78618968386023202</c:v>
                </c:pt>
                <c:pt idx="236">
                  <c:v>0.78993055555555503</c:v>
                </c:pt>
                <c:pt idx="237">
                  <c:v>0.77534965034964998</c:v>
                </c:pt>
                <c:pt idx="238">
                  <c:v>0.76696647587898603</c:v>
                </c:pt>
                <c:pt idx="239">
                  <c:v>0.75716560509554098</c:v>
                </c:pt>
                <c:pt idx="240">
                  <c:v>0.75502318392581103</c:v>
                </c:pt>
                <c:pt idx="241">
                  <c:v>0.74750575594781199</c:v>
                </c:pt>
              </c:numCache>
            </c:numRef>
          </c:val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43798</c:v>
                </c:pt>
                <c:pt idx="15">
                  <c:v>43797</c:v>
                </c:pt>
                <c:pt idx="16">
                  <c:v>43796</c:v>
                </c:pt>
                <c:pt idx="17">
                  <c:v>43795</c:v>
                </c:pt>
                <c:pt idx="18">
                  <c:v>43794</c:v>
                </c:pt>
                <c:pt idx="19">
                  <c:v>43791</c:v>
                </c:pt>
                <c:pt idx="20">
                  <c:v>43790</c:v>
                </c:pt>
                <c:pt idx="21">
                  <c:v>43789</c:v>
                </c:pt>
                <c:pt idx="22">
                  <c:v>43788</c:v>
                </c:pt>
                <c:pt idx="23">
                  <c:v>43787</c:v>
                </c:pt>
                <c:pt idx="24">
                  <c:v>43784</c:v>
                </c:pt>
                <c:pt idx="25">
                  <c:v>43783</c:v>
                </c:pt>
                <c:pt idx="26">
                  <c:v>43782</c:v>
                </c:pt>
                <c:pt idx="27">
                  <c:v>43781</c:v>
                </c:pt>
                <c:pt idx="28">
                  <c:v>43780</c:v>
                </c:pt>
                <c:pt idx="29">
                  <c:v>43777</c:v>
                </c:pt>
                <c:pt idx="30">
                  <c:v>43776</c:v>
                </c:pt>
                <c:pt idx="31">
                  <c:v>43775</c:v>
                </c:pt>
                <c:pt idx="32">
                  <c:v>43774</c:v>
                </c:pt>
                <c:pt idx="33">
                  <c:v>43770</c:v>
                </c:pt>
                <c:pt idx="34">
                  <c:v>43769</c:v>
                </c:pt>
                <c:pt idx="35">
                  <c:v>43768</c:v>
                </c:pt>
                <c:pt idx="36">
                  <c:v>43767</c:v>
                </c:pt>
                <c:pt idx="37">
                  <c:v>43766</c:v>
                </c:pt>
                <c:pt idx="38">
                  <c:v>43763</c:v>
                </c:pt>
                <c:pt idx="39">
                  <c:v>43762</c:v>
                </c:pt>
                <c:pt idx="40">
                  <c:v>43761</c:v>
                </c:pt>
                <c:pt idx="41">
                  <c:v>43759</c:v>
                </c:pt>
                <c:pt idx="42">
                  <c:v>43756</c:v>
                </c:pt>
                <c:pt idx="43">
                  <c:v>43755</c:v>
                </c:pt>
                <c:pt idx="44">
                  <c:v>43754</c:v>
                </c:pt>
                <c:pt idx="45">
                  <c:v>43753</c:v>
                </c:pt>
                <c:pt idx="46">
                  <c:v>43749</c:v>
                </c:pt>
                <c:pt idx="47">
                  <c:v>43748</c:v>
                </c:pt>
                <c:pt idx="48">
                  <c:v>43747</c:v>
                </c:pt>
                <c:pt idx="49">
                  <c:v>43746</c:v>
                </c:pt>
                <c:pt idx="50">
                  <c:v>43745</c:v>
                </c:pt>
                <c:pt idx="51">
                  <c:v>43742</c:v>
                </c:pt>
                <c:pt idx="52">
                  <c:v>43741</c:v>
                </c:pt>
                <c:pt idx="53">
                  <c:v>43740</c:v>
                </c:pt>
                <c:pt idx="54">
                  <c:v>43739</c:v>
                </c:pt>
                <c:pt idx="55">
                  <c:v>43738</c:v>
                </c:pt>
                <c:pt idx="56">
                  <c:v>43735</c:v>
                </c:pt>
                <c:pt idx="57">
                  <c:v>43734</c:v>
                </c:pt>
                <c:pt idx="58">
                  <c:v>43733</c:v>
                </c:pt>
                <c:pt idx="59">
                  <c:v>43732</c:v>
                </c:pt>
                <c:pt idx="60">
                  <c:v>43728</c:v>
                </c:pt>
                <c:pt idx="61">
                  <c:v>43727</c:v>
                </c:pt>
                <c:pt idx="62">
                  <c:v>43726</c:v>
                </c:pt>
                <c:pt idx="63">
                  <c:v>43725</c:v>
                </c:pt>
                <c:pt idx="64">
                  <c:v>43721</c:v>
                </c:pt>
                <c:pt idx="65">
                  <c:v>43720</c:v>
                </c:pt>
                <c:pt idx="66">
                  <c:v>43719</c:v>
                </c:pt>
                <c:pt idx="67">
                  <c:v>43718</c:v>
                </c:pt>
                <c:pt idx="68">
                  <c:v>43717</c:v>
                </c:pt>
                <c:pt idx="69">
                  <c:v>43714</c:v>
                </c:pt>
                <c:pt idx="70">
                  <c:v>43713</c:v>
                </c:pt>
                <c:pt idx="71">
                  <c:v>43712</c:v>
                </c:pt>
                <c:pt idx="72">
                  <c:v>43711</c:v>
                </c:pt>
                <c:pt idx="73">
                  <c:v>43710</c:v>
                </c:pt>
                <c:pt idx="74">
                  <c:v>43707</c:v>
                </c:pt>
                <c:pt idx="75">
                  <c:v>43706</c:v>
                </c:pt>
                <c:pt idx="76">
                  <c:v>43705</c:v>
                </c:pt>
                <c:pt idx="77">
                  <c:v>43704</c:v>
                </c:pt>
                <c:pt idx="78">
                  <c:v>43703</c:v>
                </c:pt>
                <c:pt idx="79">
                  <c:v>43700</c:v>
                </c:pt>
                <c:pt idx="80">
                  <c:v>43699</c:v>
                </c:pt>
                <c:pt idx="81">
                  <c:v>43698</c:v>
                </c:pt>
                <c:pt idx="82">
                  <c:v>43697</c:v>
                </c:pt>
                <c:pt idx="83">
                  <c:v>43696</c:v>
                </c:pt>
                <c:pt idx="84">
                  <c:v>43693</c:v>
                </c:pt>
                <c:pt idx="85">
                  <c:v>43692</c:v>
                </c:pt>
                <c:pt idx="86">
                  <c:v>43691</c:v>
                </c:pt>
                <c:pt idx="87">
                  <c:v>43690</c:v>
                </c:pt>
                <c:pt idx="88">
                  <c:v>43686</c:v>
                </c:pt>
                <c:pt idx="89">
                  <c:v>43685</c:v>
                </c:pt>
                <c:pt idx="90">
                  <c:v>43684</c:v>
                </c:pt>
                <c:pt idx="91">
                  <c:v>43683</c:v>
                </c:pt>
                <c:pt idx="92">
                  <c:v>43682</c:v>
                </c:pt>
                <c:pt idx="93">
                  <c:v>43679</c:v>
                </c:pt>
                <c:pt idx="94">
                  <c:v>43678</c:v>
                </c:pt>
                <c:pt idx="95">
                  <c:v>43677</c:v>
                </c:pt>
                <c:pt idx="96">
                  <c:v>43676</c:v>
                </c:pt>
                <c:pt idx="97">
                  <c:v>43675</c:v>
                </c:pt>
                <c:pt idx="98">
                  <c:v>43672</c:v>
                </c:pt>
                <c:pt idx="99">
                  <c:v>43671</c:v>
                </c:pt>
                <c:pt idx="100">
                  <c:v>43670</c:v>
                </c:pt>
                <c:pt idx="101">
                  <c:v>43669</c:v>
                </c:pt>
                <c:pt idx="102">
                  <c:v>43668</c:v>
                </c:pt>
                <c:pt idx="103">
                  <c:v>43665</c:v>
                </c:pt>
                <c:pt idx="104">
                  <c:v>43664</c:v>
                </c:pt>
                <c:pt idx="105">
                  <c:v>43663</c:v>
                </c:pt>
                <c:pt idx="106">
                  <c:v>43662</c:v>
                </c:pt>
                <c:pt idx="107">
                  <c:v>43658</c:v>
                </c:pt>
                <c:pt idx="108">
                  <c:v>43657</c:v>
                </c:pt>
                <c:pt idx="109">
                  <c:v>43656</c:v>
                </c:pt>
                <c:pt idx="110">
                  <c:v>43655</c:v>
                </c:pt>
                <c:pt idx="111">
                  <c:v>43654</c:v>
                </c:pt>
                <c:pt idx="112">
                  <c:v>43651</c:v>
                </c:pt>
                <c:pt idx="113">
                  <c:v>43650</c:v>
                </c:pt>
                <c:pt idx="114">
                  <c:v>43649</c:v>
                </c:pt>
                <c:pt idx="115">
                  <c:v>43648</c:v>
                </c:pt>
                <c:pt idx="116">
                  <c:v>43647</c:v>
                </c:pt>
                <c:pt idx="117">
                  <c:v>43644</c:v>
                </c:pt>
                <c:pt idx="118">
                  <c:v>43643</c:v>
                </c:pt>
                <c:pt idx="119">
                  <c:v>43642</c:v>
                </c:pt>
                <c:pt idx="120">
                  <c:v>43641</c:v>
                </c:pt>
                <c:pt idx="121">
                  <c:v>43640</c:v>
                </c:pt>
                <c:pt idx="122">
                  <c:v>43637</c:v>
                </c:pt>
                <c:pt idx="123">
                  <c:v>43636</c:v>
                </c:pt>
                <c:pt idx="124">
                  <c:v>43635</c:v>
                </c:pt>
                <c:pt idx="125">
                  <c:v>43634</c:v>
                </c:pt>
                <c:pt idx="126">
                  <c:v>43633</c:v>
                </c:pt>
                <c:pt idx="127">
                  <c:v>43630</c:v>
                </c:pt>
                <c:pt idx="128">
                  <c:v>43629</c:v>
                </c:pt>
                <c:pt idx="129">
                  <c:v>43628</c:v>
                </c:pt>
                <c:pt idx="130">
                  <c:v>43627</c:v>
                </c:pt>
                <c:pt idx="131">
                  <c:v>43626</c:v>
                </c:pt>
                <c:pt idx="132">
                  <c:v>43623</c:v>
                </c:pt>
                <c:pt idx="133">
                  <c:v>43622</c:v>
                </c:pt>
                <c:pt idx="134">
                  <c:v>43621</c:v>
                </c:pt>
                <c:pt idx="135">
                  <c:v>43620</c:v>
                </c:pt>
                <c:pt idx="136">
                  <c:v>43619</c:v>
                </c:pt>
                <c:pt idx="137">
                  <c:v>43616</c:v>
                </c:pt>
                <c:pt idx="138">
                  <c:v>43615</c:v>
                </c:pt>
                <c:pt idx="139">
                  <c:v>43614</c:v>
                </c:pt>
                <c:pt idx="140">
                  <c:v>43613</c:v>
                </c:pt>
                <c:pt idx="141">
                  <c:v>43612</c:v>
                </c:pt>
                <c:pt idx="142">
                  <c:v>43609</c:v>
                </c:pt>
                <c:pt idx="143">
                  <c:v>43608</c:v>
                </c:pt>
                <c:pt idx="144">
                  <c:v>43607</c:v>
                </c:pt>
                <c:pt idx="145">
                  <c:v>43606</c:v>
                </c:pt>
                <c:pt idx="146">
                  <c:v>43605</c:v>
                </c:pt>
                <c:pt idx="147">
                  <c:v>43602</c:v>
                </c:pt>
                <c:pt idx="148">
                  <c:v>43601</c:v>
                </c:pt>
                <c:pt idx="149">
                  <c:v>43600</c:v>
                </c:pt>
                <c:pt idx="150">
                  <c:v>43599</c:v>
                </c:pt>
                <c:pt idx="151">
                  <c:v>43598</c:v>
                </c:pt>
                <c:pt idx="152">
                  <c:v>43595</c:v>
                </c:pt>
                <c:pt idx="153">
                  <c:v>43594</c:v>
                </c:pt>
                <c:pt idx="154">
                  <c:v>43593</c:v>
                </c:pt>
                <c:pt idx="155">
                  <c:v>43592</c:v>
                </c:pt>
                <c:pt idx="156">
                  <c:v>43581</c:v>
                </c:pt>
                <c:pt idx="157">
                  <c:v>43580</c:v>
                </c:pt>
                <c:pt idx="158">
                  <c:v>43579</c:v>
                </c:pt>
                <c:pt idx="159">
                  <c:v>43578</c:v>
                </c:pt>
                <c:pt idx="160">
                  <c:v>43577</c:v>
                </c:pt>
                <c:pt idx="161">
                  <c:v>43574</c:v>
                </c:pt>
                <c:pt idx="162">
                  <c:v>43573</c:v>
                </c:pt>
                <c:pt idx="163">
                  <c:v>43572</c:v>
                </c:pt>
                <c:pt idx="164">
                  <c:v>43571</c:v>
                </c:pt>
                <c:pt idx="165">
                  <c:v>43570</c:v>
                </c:pt>
                <c:pt idx="166">
                  <c:v>43567</c:v>
                </c:pt>
                <c:pt idx="167">
                  <c:v>43566</c:v>
                </c:pt>
                <c:pt idx="168">
                  <c:v>43565</c:v>
                </c:pt>
                <c:pt idx="169">
                  <c:v>43564</c:v>
                </c:pt>
                <c:pt idx="170">
                  <c:v>43563</c:v>
                </c:pt>
                <c:pt idx="171">
                  <c:v>43560</c:v>
                </c:pt>
                <c:pt idx="172">
                  <c:v>43559</c:v>
                </c:pt>
                <c:pt idx="173">
                  <c:v>43558</c:v>
                </c:pt>
                <c:pt idx="174">
                  <c:v>43557</c:v>
                </c:pt>
                <c:pt idx="175">
                  <c:v>43556</c:v>
                </c:pt>
                <c:pt idx="176">
                  <c:v>43553</c:v>
                </c:pt>
                <c:pt idx="177">
                  <c:v>43552</c:v>
                </c:pt>
                <c:pt idx="178">
                  <c:v>43551</c:v>
                </c:pt>
                <c:pt idx="179">
                  <c:v>43550</c:v>
                </c:pt>
                <c:pt idx="180">
                  <c:v>43549</c:v>
                </c:pt>
                <c:pt idx="181">
                  <c:v>43546</c:v>
                </c:pt>
                <c:pt idx="182">
                  <c:v>43544</c:v>
                </c:pt>
                <c:pt idx="183">
                  <c:v>43543</c:v>
                </c:pt>
                <c:pt idx="184">
                  <c:v>43542</c:v>
                </c:pt>
                <c:pt idx="185">
                  <c:v>43539</c:v>
                </c:pt>
                <c:pt idx="186">
                  <c:v>43538</c:v>
                </c:pt>
                <c:pt idx="187">
                  <c:v>43537</c:v>
                </c:pt>
                <c:pt idx="188">
                  <c:v>43536</c:v>
                </c:pt>
                <c:pt idx="189">
                  <c:v>43535</c:v>
                </c:pt>
                <c:pt idx="190">
                  <c:v>43532</c:v>
                </c:pt>
                <c:pt idx="191">
                  <c:v>43531</c:v>
                </c:pt>
                <c:pt idx="192">
                  <c:v>43530</c:v>
                </c:pt>
                <c:pt idx="193">
                  <c:v>43529</c:v>
                </c:pt>
                <c:pt idx="194">
                  <c:v>43528</c:v>
                </c:pt>
                <c:pt idx="195">
                  <c:v>43525</c:v>
                </c:pt>
                <c:pt idx="196">
                  <c:v>43524</c:v>
                </c:pt>
                <c:pt idx="197">
                  <c:v>43523</c:v>
                </c:pt>
                <c:pt idx="198">
                  <c:v>43522</c:v>
                </c:pt>
                <c:pt idx="199">
                  <c:v>43521</c:v>
                </c:pt>
                <c:pt idx="200">
                  <c:v>43518</c:v>
                </c:pt>
                <c:pt idx="201">
                  <c:v>43517</c:v>
                </c:pt>
                <c:pt idx="202">
                  <c:v>43516</c:v>
                </c:pt>
                <c:pt idx="203">
                  <c:v>43515</c:v>
                </c:pt>
                <c:pt idx="204">
                  <c:v>43514</c:v>
                </c:pt>
                <c:pt idx="205">
                  <c:v>43511</c:v>
                </c:pt>
                <c:pt idx="206">
                  <c:v>43510</c:v>
                </c:pt>
                <c:pt idx="207">
                  <c:v>43509</c:v>
                </c:pt>
                <c:pt idx="208">
                  <c:v>43508</c:v>
                </c:pt>
                <c:pt idx="209">
                  <c:v>43504</c:v>
                </c:pt>
                <c:pt idx="210">
                  <c:v>43503</c:v>
                </c:pt>
                <c:pt idx="211">
                  <c:v>43502</c:v>
                </c:pt>
                <c:pt idx="212">
                  <c:v>43501</c:v>
                </c:pt>
                <c:pt idx="213">
                  <c:v>43500</c:v>
                </c:pt>
                <c:pt idx="214">
                  <c:v>43497</c:v>
                </c:pt>
                <c:pt idx="215">
                  <c:v>43496</c:v>
                </c:pt>
                <c:pt idx="216">
                  <c:v>43495</c:v>
                </c:pt>
                <c:pt idx="217">
                  <c:v>43494</c:v>
                </c:pt>
                <c:pt idx="218">
                  <c:v>43493</c:v>
                </c:pt>
                <c:pt idx="219">
                  <c:v>43490</c:v>
                </c:pt>
                <c:pt idx="220">
                  <c:v>43489</c:v>
                </c:pt>
                <c:pt idx="221">
                  <c:v>43488</c:v>
                </c:pt>
                <c:pt idx="222">
                  <c:v>43487</c:v>
                </c:pt>
                <c:pt idx="223">
                  <c:v>43486</c:v>
                </c:pt>
                <c:pt idx="224">
                  <c:v>43483</c:v>
                </c:pt>
                <c:pt idx="225">
                  <c:v>43482</c:v>
                </c:pt>
                <c:pt idx="226">
                  <c:v>43481</c:v>
                </c:pt>
                <c:pt idx="227">
                  <c:v>43480</c:v>
                </c:pt>
                <c:pt idx="228">
                  <c:v>43476</c:v>
                </c:pt>
                <c:pt idx="229">
                  <c:v>43475</c:v>
                </c:pt>
                <c:pt idx="230">
                  <c:v>43474</c:v>
                </c:pt>
                <c:pt idx="231">
                  <c:v>43473</c:v>
                </c:pt>
                <c:pt idx="232">
                  <c:v>43472</c:v>
                </c:pt>
                <c:pt idx="233">
                  <c:v>43469</c:v>
                </c:pt>
                <c:pt idx="234">
                  <c:v>43462</c:v>
                </c:pt>
                <c:pt idx="235">
                  <c:v>43461</c:v>
                </c:pt>
                <c:pt idx="236">
                  <c:v>43460</c:v>
                </c:pt>
                <c:pt idx="237">
                  <c:v>43459</c:v>
                </c:pt>
                <c:pt idx="238">
                  <c:v>43455</c:v>
                </c:pt>
                <c:pt idx="239">
                  <c:v>43454</c:v>
                </c:pt>
                <c:pt idx="240">
                  <c:v>43453</c:v>
                </c:pt>
                <c:pt idx="241">
                  <c:v>43452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0.75980578039543001</c:v>
                </c:pt>
                <c:pt idx="1">
                  <c:v>0.75907582533887497</c:v>
                </c:pt>
                <c:pt idx="2">
                  <c:v>0.758401873271353</c:v>
                </c:pt>
                <c:pt idx="3">
                  <c:v>0.75785583715453197</c:v>
                </c:pt>
                <c:pt idx="4">
                  <c:v>0.75721529142889499</c:v>
                </c:pt>
                <c:pt idx="5">
                  <c:v>0.756526776985877</c:v>
                </c:pt>
                <c:pt idx="6">
                  <c:v>0.75575540524255003</c:v>
                </c:pt>
                <c:pt idx="7">
                  <c:v>0.75506155064409997</c:v>
                </c:pt>
                <c:pt idx="8">
                  <c:v>0.75444403628953705</c:v>
                </c:pt>
                <c:pt idx="9">
                  <c:v>0.75366048477369296</c:v>
                </c:pt>
                <c:pt idx="10">
                  <c:v>0.75291937784859997</c:v>
                </c:pt>
                <c:pt idx="11">
                  <c:v>0.75208633991878804</c:v>
                </c:pt>
                <c:pt idx="12">
                  <c:v>0.75129600371535299</c:v>
                </c:pt>
                <c:pt idx="13">
                  <c:v>0.75051188273899105</c:v>
                </c:pt>
                <c:pt idx="14">
                  <c:v>0.74973802012007895</c:v>
                </c:pt>
                <c:pt idx="15">
                  <c:v>0.74896178021235105</c:v>
                </c:pt>
                <c:pt idx="16">
                  <c:v>0.74821206261960205</c:v>
                </c:pt>
                <c:pt idx="17">
                  <c:v>0.74750395088307997</c:v>
                </c:pt>
                <c:pt idx="18">
                  <c:v>0.74684254729369004</c:v>
                </c:pt>
                <c:pt idx="19">
                  <c:v>0.74639967816072605</c:v>
                </c:pt>
                <c:pt idx="20">
                  <c:v>0.74617262585796396</c:v>
                </c:pt>
                <c:pt idx="21">
                  <c:v>0.74571937007006805</c:v>
                </c:pt>
                <c:pt idx="22">
                  <c:v>0.74513685351202297</c:v>
                </c:pt>
                <c:pt idx="23">
                  <c:v>0.74467244464355697</c:v>
                </c:pt>
                <c:pt idx="24">
                  <c:v>0.744160150657171</c:v>
                </c:pt>
                <c:pt idx="25">
                  <c:v>0.74382449680902696</c:v>
                </c:pt>
                <c:pt idx="26">
                  <c:v>0.74365911696681197</c:v>
                </c:pt>
                <c:pt idx="27">
                  <c:v>0.74357811993574097</c:v>
                </c:pt>
                <c:pt idx="28">
                  <c:v>0.743567430586898</c:v>
                </c:pt>
                <c:pt idx="29">
                  <c:v>0.74342623654691598</c:v>
                </c:pt>
                <c:pt idx="30">
                  <c:v>0.74323456197800297</c:v>
                </c:pt>
                <c:pt idx="31">
                  <c:v>0.74285906080820296</c:v>
                </c:pt>
                <c:pt idx="32">
                  <c:v>0.74242646203693796</c:v>
                </c:pt>
                <c:pt idx="33">
                  <c:v>0.74190431987719596</c:v>
                </c:pt>
                <c:pt idx="34">
                  <c:v>0.74142662073897503</c:v>
                </c:pt>
                <c:pt idx="35">
                  <c:v>0.74123983434863205</c:v>
                </c:pt>
                <c:pt idx="36">
                  <c:v>0.74062753592229202</c:v>
                </c:pt>
                <c:pt idx="37">
                  <c:v>0.73995858349900101</c:v>
                </c:pt>
                <c:pt idx="38">
                  <c:v>0.73944940609245802</c:v>
                </c:pt>
                <c:pt idx="39">
                  <c:v>0.73892395509500497</c:v>
                </c:pt>
                <c:pt idx="40">
                  <c:v>0.73846214463353099</c:v>
                </c:pt>
                <c:pt idx="41">
                  <c:v>0.73812543705148403</c:v>
                </c:pt>
                <c:pt idx="42">
                  <c:v>0.73769602248581001</c:v>
                </c:pt>
                <c:pt idx="43">
                  <c:v>0.73732885236410195</c:v>
                </c:pt>
                <c:pt idx="44">
                  <c:v>0.73692888817940405</c:v>
                </c:pt>
                <c:pt idx="45">
                  <c:v>0.73655677671863395</c:v>
                </c:pt>
                <c:pt idx="46">
                  <c:v>0.73625642818644399</c:v>
                </c:pt>
                <c:pt idx="47">
                  <c:v>0.73616887917803198</c:v>
                </c:pt>
                <c:pt idx="48">
                  <c:v>0.73585920178098896</c:v>
                </c:pt>
                <c:pt idx="49">
                  <c:v>0.73558222471619295</c:v>
                </c:pt>
                <c:pt idx="50">
                  <c:v>0.73537197154312195</c:v>
                </c:pt>
                <c:pt idx="51">
                  <c:v>0.735128216249612</c:v>
                </c:pt>
                <c:pt idx="52">
                  <c:v>0.73493373096079395</c:v>
                </c:pt>
                <c:pt idx="53">
                  <c:v>0.73493671969727203</c:v>
                </c:pt>
                <c:pt idx="54">
                  <c:v>0.73486477861715505</c:v>
                </c:pt>
                <c:pt idx="55">
                  <c:v>0.73492500389251003</c:v>
                </c:pt>
                <c:pt idx="56">
                  <c:v>0.73503631355599397</c:v>
                </c:pt>
                <c:pt idx="57">
                  <c:v>0.73519566164234995</c:v>
                </c:pt>
                <c:pt idx="58">
                  <c:v>0.73530644195115002</c:v>
                </c:pt>
                <c:pt idx="59">
                  <c:v>0.73535388693566806</c:v>
                </c:pt>
                <c:pt idx="60">
                  <c:v>0.73544790445556596</c:v>
                </c:pt>
                <c:pt idx="61">
                  <c:v>0.735604512640752</c:v>
                </c:pt>
                <c:pt idx="62">
                  <c:v>0.736001470942658</c:v>
                </c:pt>
                <c:pt idx="63">
                  <c:v>0.73615214923723205</c:v>
                </c:pt>
                <c:pt idx="64">
                  <c:v>0.73623527545232204</c:v>
                </c:pt>
                <c:pt idx="65">
                  <c:v>0.73645214887796495</c:v>
                </c:pt>
                <c:pt idx="66">
                  <c:v>0.73637279472824202</c:v>
                </c:pt>
                <c:pt idx="67">
                  <c:v>0.73658997351404898</c:v>
                </c:pt>
                <c:pt idx="68">
                  <c:v>0.73674676311842702</c:v>
                </c:pt>
                <c:pt idx="69">
                  <c:v>0.73690194125948405</c:v>
                </c:pt>
                <c:pt idx="70">
                  <c:v>0.73687647483025698</c:v>
                </c:pt>
                <c:pt idx="71">
                  <c:v>0.73704296478101206</c:v>
                </c:pt>
                <c:pt idx="72">
                  <c:v>0.73733253019912903</c:v>
                </c:pt>
                <c:pt idx="73">
                  <c:v>0.73723672748218605</c:v>
                </c:pt>
                <c:pt idx="74">
                  <c:v>0.73728358279911199</c:v>
                </c:pt>
                <c:pt idx="75">
                  <c:v>0.73754075125789298</c:v>
                </c:pt>
                <c:pt idx="76">
                  <c:v>0.73807615109442104</c:v>
                </c:pt>
                <c:pt idx="77">
                  <c:v>0.73869311086592604</c:v>
                </c:pt>
                <c:pt idx="78">
                  <c:v>0.73933145766493602</c:v>
                </c:pt>
                <c:pt idx="79">
                  <c:v>0.74042128225609705</c:v>
                </c:pt>
                <c:pt idx="80">
                  <c:v>0.74148090737271799</c:v>
                </c:pt>
                <c:pt idx="81">
                  <c:v>0.74267592677166405</c:v>
                </c:pt>
                <c:pt idx="82">
                  <c:v>0.74358764622595097</c:v>
                </c:pt>
                <c:pt idx="83">
                  <c:v>0.744260907605375</c:v>
                </c:pt>
                <c:pt idx="84">
                  <c:v>0.74519066289770797</c:v>
                </c:pt>
                <c:pt idx="85">
                  <c:v>0.74604521778831601</c:v>
                </c:pt>
                <c:pt idx="86">
                  <c:v>0.74702126406353397</c:v>
                </c:pt>
                <c:pt idx="87">
                  <c:v>0.74785932188623805</c:v>
                </c:pt>
                <c:pt idx="88">
                  <c:v>0.748501335985859</c:v>
                </c:pt>
                <c:pt idx="89">
                  <c:v>0.74902425324501898</c:v>
                </c:pt>
                <c:pt idx="90">
                  <c:v>0.74960481488143804</c:v>
                </c:pt>
                <c:pt idx="91">
                  <c:v>0.75017332116411095</c:v>
                </c:pt>
                <c:pt idx="92">
                  <c:v>0.75083833634835695</c:v>
                </c:pt>
                <c:pt idx="93">
                  <c:v>0.751412541181811</c:v>
                </c:pt>
                <c:pt idx="94">
                  <c:v>0.75186457677835505</c:v>
                </c:pt>
                <c:pt idx="95">
                  <c:v>0.75237469996212603</c:v>
                </c:pt>
                <c:pt idx="96">
                  <c:v>0.75317256061567905</c:v>
                </c:pt>
                <c:pt idx="97">
                  <c:v>0.754196795389249</c:v>
                </c:pt>
                <c:pt idx="98">
                  <c:v>0.75486172403256102</c:v>
                </c:pt>
                <c:pt idx="99">
                  <c:v>0.75533323907459504</c:v>
                </c:pt>
                <c:pt idx="100">
                  <c:v>0.75565946795422501</c:v>
                </c:pt>
                <c:pt idx="101">
                  <c:v>0.75599029954425201</c:v>
                </c:pt>
                <c:pt idx="102">
                  <c:v>0.75617499029017299</c:v>
                </c:pt>
                <c:pt idx="103">
                  <c:v>0.75633482274167196</c:v>
                </c:pt>
                <c:pt idx="104">
                  <c:v>0.75643886153559203</c:v>
                </c:pt>
                <c:pt idx="105">
                  <c:v>0.75651533142097904</c:v>
                </c:pt>
                <c:pt idx="106">
                  <c:v>0.75675029896787005</c:v>
                </c:pt>
                <c:pt idx="107">
                  <c:v>0.75692757859019899</c:v>
                </c:pt>
                <c:pt idx="108">
                  <c:v>0.75709731630346599</c:v>
                </c:pt>
                <c:pt idx="109">
                  <c:v>0.75751690700113605</c:v>
                </c:pt>
                <c:pt idx="110">
                  <c:v>0.75786350797045698</c:v>
                </c:pt>
                <c:pt idx="111">
                  <c:v>0.75814065156984001</c:v>
                </c:pt>
                <c:pt idx="112">
                  <c:v>0.75843356544495999</c:v>
                </c:pt>
                <c:pt idx="113">
                  <c:v>0.75864299716469896</c:v>
                </c:pt>
                <c:pt idx="114">
                  <c:v>0.75881565652144201</c:v>
                </c:pt>
                <c:pt idx="115">
                  <c:v>0.75898728107121405</c:v>
                </c:pt>
                <c:pt idx="116">
                  <c:v>0.75912443933437301</c:v>
                </c:pt>
                <c:pt idx="117">
                  <c:v>0.75918439784440594</c:v>
                </c:pt>
                <c:pt idx="118">
                  <c:v>0.75932003342505305</c:v>
                </c:pt>
                <c:pt idx="119">
                  <c:v>0.75940358416840303</c:v>
                </c:pt>
                <c:pt idx="120">
                  <c:v>0.75950034220250195</c:v>
                </c:pt>
                <c:pt idx="121">
                  <c:v>0.75948278704216199</c:v>
                </c:pt>
                <c:pt idx="122">
                  <c:v>0.75940148396867901</c:v>
                </c:pt>
                <c:pt idx="123">
                  <c:v>0.75951391364308496</c:v>
                </c:pt>
                <c:pt idx="124">
                  <c:v>0.75965840737407597</c:v>
                </c:pt>
                <c:pt idx="125">
                  <c:v>0.759898526099826</c:v>
                </c:pt>
                <c:pt idx="126">
                  <c:v>0.76022205996516301</c:v>
                </c:pt>
                <c:pt idx="127">
                  <c:v>0.760394615429419</c:v>
                </c:pt>
                <c:pt idx="128">
                  <c:v>0.76023250738953896</c:v>
                </c:pt>
                <c:pt idx="129">
                  <c:v>0.76027339394612004</c:v>
                </c:pt>
                <c:pt idx="130">
                  <c:v>0.76029835197901596</c:v>
                </c:pt>
                <c:pt idx="131">
                  <c:v>0.760486119282342</c:v>
                </c:pt>
                <c:pt idx="132">
                  <c:v>0.760743574698997</c:v>
                </c:pt>
                <c:pt idx="133">
                  <c:v>0.76107671445757896</c:v>
                </c:pt>
                <c:pt idx="134">
                  <c:v>0.76132879268354603</c:v>
                </c:pt>
                <c:pt idx="135">
                  <c:v>0.76183722020784495</c:v>
                </c:pt>
                <c:pt idx="136">
                  <c:v>0.76220207950777696</c:v>
                </c:pt>
                <c:pt idx="137">
                  <c:v>0.76237441308989196</c:v>
                </c:pt>
                <c:pt idx="138">
                  <c:v>0.76257415380383298</c:v>
                </c:pt>
                <c:pt idx="139">
                  <c:v>0.76283490613870897</c:v>
                </c:pt>
                <c:pt idx="140">
                  <c:v>0.76307935201416799</c:v>
                </c:pt>
                <c:pt idx="141">
                  <c:v>0.76294887305273396</c:v>
                </c:pt>
                <c:pt idx="142">
                  <c:v>0.762646356796019</c:v>
                </c:pt>
                <c:pt idx="143">
                  <c:v>0.76212998960657297</c:v>
                </c:pt>
                <c:pt idx="144">
                  <c:v>0.76187820677500595</c:v>
                </c:pt>
                <c:pt idx="145">
                  <c:v>0.76177319424279899</c:v>
                </c:pt>
                <c:pt idx="146">
                  <c:v>0.76163571174477496</c:v>
                </c:pt>
                <c:pt idx="147">
                  <c:v>0.76154226106380896</c:v>
                </c:pt>
                <c:pt idx="148">
                  <c:v>0.76153227192649797</c:v>
                </c:pt>
                <c:pt idx="149">
                  <c:v>0.76148771809587801</c:v>
                </c:pt>
                <c:pt idx="150">
                  <c:v>0.76142519610174397</c:v>
                </c:pt>
                <c:pt idx="151">
                  <c:v>0.76126204955561805</c:v>
                </c:pt>
                <c:pt idx="152">
                  <c:v>0.76105099003683396</c:v>
                </c:pt>
                <c:pt idx="153">
                  <c:v>0.76081118474662401</c:v>
                </c:pt>
                <c:pt idx="154">
                  <c:v>0.76008058577873705</c:v>
                </c:pt>
                <c:pt idx="155">
                  <c:v>0.75940047494906404</c:v>
                </c:pt>
                <c:pt idx="156">
                  <c:v>0.75854172814321896</c:v>
                </c:pt>
                <c:pt idx="157">
                  <c:v>0.75805667313271297</c:v>
                </c:pt>
                <c:pt idx="158">
                  <c:v>0.757716090514713</c:v>
                </c:pt>
                <c:pt idx="159">
                  <c:v>0.75739948234389198</c:v>
                </c:pt>
                <c:pt idx="160">
                  <c:v>0.75720059561840403</c:v>
                </c:pt>
                <c:pt idx="161">
                  <c:v>0.75713718598820501</c:v>
                </c:pt>
                <c:pt idx="162">
                  <c:v>0.75721173009103304</c:v>
                </c:pt>
                <c:pt idx="163">
                  <c:v>0.75728006759988797</c:v>
                </c:pt>
                <c:pt idx="164">
                  <c:v>0.75738151009467303</c:v>
                </c:pt>
                <c:pt idx="165">
                  <c:v>0.75730018074764804</c:v>
                </c:pt>
                <c:pt idx="166">
                  <c:v>0.757174762797308</c:v>
                </c:pt>
                <c:pt idx="167">
                  <c:v>0.75681743213587105</c:v>
                </c:pt>
                <c:pt idx="168">
                  <c:v>0.75659830762854696</c:v>
                </c:pt>
                <c:pt idx="169">
                  <c:v>0.75640481178550401</c:v>
                </c:pt>
                <c:pt idx="170">
                  <c:v>0.75602166864115805</c:v>
                </c:pt>
                <c:pt idx="171">
                  <c:v>0.75563474983690104</c:v>
                </c:pt>
                <c:pt idx="172">
                  <c:v>0.75513493045883195</c:v>
                </c:pt>
                <c:pt idx="173">
                  <c:v>0.75482442372556902</c:v>
                </c:pt>
                <c:pt idx="174">
                  <c:v>0.754706026639959</c:v>
                </c:pt>
                <c:pt idx="175">
                  <c:v>0.75457666100207799</c:v>
                </c:pt>
                <c:pt idx="176">
                  <c:v>0.754443678472699</c:v>
                </c:pt>
                <c:pt idx="177">
                  <c:v>0.75424007850288399</c:v>
                </c:pt>
                <c:pt idx="178">
                  <c:v>0.75414101593099603</c:v>
                </c:pt>
                <c:pt idx="179">
                  <c:v>0.75400311100722095</c:v>
                </c:pt>
                <c:pt idx="180">
                  <c:v>0.75388866812843802</c:v>
                </c:pt>
                <c:pt idx="181">
                  <c:v>0.75391302853917297</c:v>
                </c:pt>
                <c:pt idx="182">
                  <c:v>0.75410664357383905</c:v>
                </c:pt>
                <c:pt idx="183">
                  <c:v>0.75435362380912296</c:v>
                </c:pt>
                <c:pt idx="184">
                  <c:v>0.75460705567669795</c:v>
                </c:pt>
                <c:pt idx="185">
                  <c:v>0.75485500660759997</c:v>
                </c:pt>
                <c:pt idx="186">
                  <c:v>0.75521767044510002</c:v>
                </c:pt>
                <c:pt idx="187">
                  <c:v>0.75560849840918698</c:v>
                </c:pt>
                <c:pt idx="188">
                  <c:v>0.75609926438261399</c:v>
                </c:pt>
                <c:pt idx="189">
                  <c:v>0.75674938278239501</c:v>
                </c:pt>
                <c:pt idx="190">
                  <c:v>0.75729613339142698</c:v>
                </c:pt>
                <c:pt idx="191">
                  <c:v>0.75806718633146497</c:v>
                </c:pt>
                <c:pt idx="192">
                  <c:v>0.75876447137640002</c:v>
                </c:pt>
                <c:pt idx="193">
                  <c:v>0.75936649046761695</c:v>
                </c:pt>
                <c:pt idx="194">
                  <c:v>0.76015410536843997</c:v>
                </c:pt>
                <c:pt idx="195">
                  <c:v>0.76097520509846694</c:v>
                </c:pt>
                <c:pt idx="196">
                  <c:v>0.76178756947968196</c:v>
                </c:pt>
                <c:pt idx="197">
                  <c:v>0.76273256506699505</c:v>
                </c:pt>
                <c:pt idx="198">
                  <c:v>0.76367620533508596</c:v>
                </c:pt>
                <c:pt idx="199">
                  <c:v>0.76469506302060997</c:v>
                </c:pt>
                <c:pt idx="200">
                  <c:v>0.76521501867264696</c:v>
                </c:pt>
                <c:pt idx="201">
                  <c:v>0.76525062169890401</c:v>
                </c:pt>
                <c:pt idx="202">
                  <c:v>0.76542387187215399</c:v>
                </c:pt>
                <c:pt idx="203">
                  <c:v>0.765918583568022</c:v>
                </c:pt>
                <c:pt idx="204">
                  <c:v>0.76635885631412204</c:v>
                </c:pt>
                <c:pt idx="205">
                  <c:v>0.76670670850910805</c:v>
                </c:pt>
                <c:pt idx="206">
                  <c:v>0.767011026937785</c:v>
                </c:pt>
                <c:pt idx="207">
                  <c:v>0.76716150761563595</c:v>
                </c:pt>
                <c:pt idx="208">
                  <c:v>0.76722803135281603</c:v>
                </c:pt>
                <c:pt idx="209">
                  <c:v>0.76757922894647901</c:v>
                </c:pt>
                <c:pt idx="210">
                  <c:v>0.76742978400558204</c:v>
                </c:pt>
                <c:pt idx="211">
                  <c:v>0.76722049666797498</c:v>
                </c:pt>
                <c:pt idx="212">
                  <c:v>0.76703818524451595</c:v>
                </c:pt>
                <c:pt idx="213">
                  <c:v>0.76681942843504003</c:v>
                </c:pt>
                <c:pt idx="214">
                  <c:v>0.76662122321972404</c:v>
                </c:pt>
                <c:pt idx="215">
                  <c:v>0.76649695662059303</c:v>
                </c:pt>
                <c:pt idx="216">
                  <c:v>0.76670637295935895</c:v>
                </c:pt>
                <c:pt idx="217">
                  <c:v>0.76693511196229103</c:v>
                </c:pt>
                <c:pt idx="218">
                  <c:v>0.767223230989727</c:v>
                </c:pt>
                <c:pt idx="219">
                  <c:v>0.76738529175723902</c:v>
                </c:pt>
                <c:pt idx="220">
                  <c:v>0.76744143160018896</c:v>
                </c:pt>
                <c:pt idx="221">
                  <c:v>0.76745322164211904</c:v>
                </c:pt>
                <c:pt idx="222">
                  <c:v>0.76777522830238498</c:v>
                </c:pt>
                <c:pt idx="223">
                  <c:v>0.76825226808972003</c:v>
                </c:pt>
                <c:pt idx="224">
                  <c:v>0.76871194122712205</c:v>
                </c:pt>
                <c:pt idx="225">
                  <c:v>0.76921700513635705</c:v>
                </c:pt>
                <c:pt idx="226">
                  <c:v>0.76954578984088495</c:v>
                </c:pt>
                <c:pt idx="227">
                  <c:v>0.76987646957144196</c:v>
                </c:pt>
                <c:pt idx="228">
                  <c:v>0.77002910542951897</c:v>
                </c:pt>
                <c:pt idx="229">
                  <c:v>0.77024291965463298</c:v>
                </c:pt>
                <c:pt idx="230">
                  <c:v>0.77078293831840805</c:v>
                </c:pt>
                <c:pt idx="231">
                  <c:v>0.77140010987812002</c:v>
                </c:pt>
                <c:pt idx="232">
                  <c:v>0.77178242277087294</c:v>
                </c:pt>
                <c:pt idx="233">
                  <c:v>0.77230390051823194</c:v>
                </c:pt>
                <c:pt idx="234">
                  <c:v>0.772872136912095</c:v>
                </c:pt>
                <c:pt idx="235">
                  <c:v>0.77349008588613799</c:v>
                </c:pt>
                <c:pt idx="236">
                  <c:v>0.77394658658553594</c:v>
                </c:pt>
                <c:pt idx="237">
                  <c:v>0.77435866048757396</c:v>
                </c:pt>
                <c:pt idx="238">
                  <c:v>0.77485181125631497</c:v>
                </c:pt>
                <c:pt idx="239">
                  <c:v>0.77543875922562899</c:v>
                </c:pt>
                <c:pt idx="240">
                  <c:v>0.77614176203330298</c:v>
                </c:pt>
                <c:pt idx="241">
                  <c:v>0.77687086968738694</c:v>
                </c:pt>
              </c:numCache>
            </c:numRef>
          </c:val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43798</c:v>
                </c:pt>
                <c:pt idx="15">
                  <c:v>43797</c:v>
                </c:pt>
                <c:pt idx="16">
                  <c:v>43796</c:v>
                </c:pt>
                <c:pt idx="17">
                  <c:v>43795</c:v>
                </c:pt>
                <c:pt idx="18">
                  <c:v>43794</c:v>
                </c:pt>
                <c:pt idx="19">
                  <c:v>43791</c:v>
                </c:pt>
                <c:pt idx="20">
                  <c:v>43790</c:v>
                </c:pt>
                <c:pt idx="21">
                  <c:v>43789</c:v>
                </c:pt>
                <c:pt idx="22">
                  <c:v>43788</c:v>
                </c:pt>
                <c:pt idx="23">
                  <c:v>43787</c:v>
                </c:pt>
                <c:pt idx="24">
                  <c:v>43784</c:v>
                </c:pt>
                <c:pt idx="25">
                  <c:v>43783</c:v>
                </c:pt>
                <c:pt idx="26">
                  <c:v>43782</c:v>
                </c:pt>
                <c:pt idx="27">
                  <c:v>43781</c:v>
                </c:pt>
                <c:pt idx="28">
                  <c:v>43780</c:v>
                </c:pt>
                <c:pt idx="29">
                  <c:v>43777</c:v>
                </c:pt>
                <c:pt idx="30">
                  <c:v>43776</c:v>
                </c:pt>
                <c:pt idx="31">
                  <c:v>43775</c:v>
                </c:pt>
                <c:pt idx="32">
                  <c:v>43774</c:v>
                </c:pt>
                <c:pt idx="33">
                  <c:v>43770</c:v>
                </c:pt>
                <c:pt idx="34">
                  <c:v>43769</c:v>
                </c:pt>
                <c:pt idx="35">
                  <c:v>43768</c:v>
                </c:pt>
                <c:pt idx="36">
                  <c:v>43767</c:v>
                </c:pt>
                <c:pt idx="37">
                  <c:v>43766</c:v>
                </c:pt>
                <c:pt idx="38">
                  <c:v>43763</c:v>
                </c:pt>
                <c:pt idx="39">
                  <c:v>43762</c:v>
                </c:pt>
                <c:pt idx="40">
                  <c:v>43761</c:v>
                </c:pt>
                <c:pt idx="41">
                  <c:v>43759</c:v>
                </c:pt>
                <c:pt idx="42">
                  <c:v>43756</c:v>
                </c:pt>
                <c:pt idx="43">
                  <c:v>43755</c:v>
                </c:pt>
                <c:pt idx="44">
                  <c:v>43754</c:v>
                </c:pt>
                <c:pt idx="45">
                  <c:v>43753</c:v>
                </c:pt>
                <c:pt idx="46">
                  <c:v>43749</c:v>
                </c:pt>
                <c:pt idx="47">
                  <c:v>43748</c:v>
                </c:pt>
                <c:pt idx="48">
                  <c:v>43747</c:v>
                </c:pt>
                <c:pt idx="49">
                  <c:v>43746</c:v>
                </c:pt>
                <c:pt idx="50">
                  <c:v>43745</c:v>
                </c:pt>
                <c:pt idx="51">
                  <c:v>43742</c:v>
                </c:pt>
                <c:pt idx="52">
                  <c:v>43741</c:v>
                </c:pt>
                <c:pt idx="53">
                  <c:v>43740</c:v>
                </c:pt>
                <c:pt idx="54">
                  <c:v>43739</c:v>
                </c:pt>
                <c:pt idx="55">
                  <c:v>43738</c:v>
                </c:pt>
                <c:pt idx="56">
                  <c:v>43735</c:v>
                </c:pt>
                <c:pt idx="57">
                  <c:v>43734</c:v>
                </c:pt>
                <c:pt idx="58">
                  <c:v>43733</c:v>
                </c:pt>
                <c:pt idx="59">
                  <c:v>43732</c:v>
                </c:pt>
                <c:pt idx="60">
                  <c:v>43728</c:v>
                </c:pt>
                <c:pt idx="61">
                  <c:v>43727</c:v>
                </c:pt>
                <c:pt idx="62">
                  <c:v>43726</c:v>
                </c:pt>
                <c:pt idx="63">
                  <c:v>43725</c:v>
                </c:pt>
                <c:pt idx="64">
                  <c:v>43721</c:v>
                </c:pt>
                <c:pt idx="65">
                  <c:v>43720</c:v>
                </c:pt>
                <c:pt idx="66">
                  <c:v>43719</c:v>
                </c:pt>
                <c:pt idx="67">
                  <c:v>43718</c:v>
                </c:pt>
                <c:pt idx="68">
                  <c:v>43717</c:v>
                </c:pt>
                <c:pt idx="69">
                  <c:v>43714</c:v>
                </c:pt>
                <c:pt idx="70">
                  <c:v>43713</c:v>
                </c:pt>
                <c:pt idx="71">
                  <c:v>43712</c:v>
                </c:pt>
                <c:pt idx="72">
                  <c:v>43711</c:v>
                </c:pt>
                <c:pt idx="73">
                  <c:v>43710</c:v>
                </c:pt>
                <c:pt idx="74">
                  <c:v>43707</c:v>
                </c:pt>
                <c:pt idx="75">
                  <c:v>43706</c:v>
                </c:pt>
                <c:pt idx="76">
                  <c:v>43705</c:v>
                </c:pt>
                <c:pt idx="77">
                  <c:v>43704</c:v>
                </c:pt>
                <c:pt idx="78">
                  <c:v>43703</c:v>
                </c:pt>
                <c:pt idx="79">
                  <c:v>43700</c:v>
                </c:pt>
                <c:pt idx="80">
                  <c:v>43699</c:v>
                </c:pt>
                <c:pt idx="81">
                  <c:v>43698</c:v>
                </c:pt>
                <c:pt idx="82">
                  <c:v>43697</c:v>
                </c:pt>
                <c:pt idx="83">
                  <c:v>43696</c:v>
                </c:pt>
                <c:pt idx="84">
                  <c:v>43693</c:v>
                </c:pt>
                <c:pt idx="85">
                  <c:v>43692</c:v>
                </c:pt>
                <c:pt idx="86">
                  <c:v>43691</c:v>
                </c:pt>
                <c:pt idx="87">
                  <c:v>43690</c:v>
                </c:pt>
                <c:pt idx="88">
                  <c:v>43686</c:v>
                </c:pt>
                <c:pt idx="89">
                  <c:v>43685</c:v>
                </c:pt>
                <c:pt idx="90">
                  <c:v>43684</c:v>
                </c:pt>
                <c:pt idx="91">
                  <c:v>43683</c:v>
                </c:pt>
                <c:pt idx="92">
                  <c:v>43682</c:v>
                </c:pt>
                <c:pt idx="93">
                  <c:v>43679</c:v>
                </c:pt>
                <c:pt idx="94">
                  <c:v>43678</c:v>
                </c:pt>
                <c:pt idx="95">
                  <c:v>43677</c:v>
                </c:pt>
                <c:pt idx="96">
                  <c:v>43676</c:v>
                </c:pt>
                <c:pt idx="97">
                  <c:v>43675</c:v>
                </c:pt>
                <c:pt idx="98">
                  <c:v>43672</c:v>
                </c:pt>
                <c:pt idx="99">
                  <c:v>43671</c:v>
                </c:pt>
                <c:pt idx="100">
                  <c:v>43670</c:v>
                </c:pt>
                <c:pt idx="101">
                  <c:v>43669</c:v>
                </c:pt>
                <c:pt idx="102">
                  <c:v>43668</c:v>
                </c:pt>
                <c:pt idx="103">
                  <c:v>43665</c:v>
                </c:pt>
                <c:pt idx="104">
                  <c:v>43664</c:v>
                </c:pt>
                <c:pt idx="105">
                  <c:v>43663</c:v>
                </c:pt>
                <c:pt idx="106">
                  <c:v>43662</c:v>
                </c:pt>
                <c:pt idx="107">
                  <c:v>43658</c:v>
                </c:pt>
                <c:pt idx="108">
                  <c:v>43657</c:v>
                </c:pt>
                <c:pt idx="109">
                  <c:v>43656</c:v>
                </c:pt>
                <c:pt idx="110">
                  <c:v>43655</c:v>
                </c:pt>
                <c:pt idx="111">
                  <c:v>43654</c:v>
                </c:pt>
                <c:pt idx="112">
                  <c:v>43651</c:v>
                </c:pt>
                <c:pt idx="113">
                  <c:v>43650</c:v>
                </c:pt>
                <c:pt idx="114">
                  <c:v>43649</c:v>
                </c:pt>
                <c:pt idx="115">
                  <c:v>43648</c:v>
                </c:pt>
                <c:pt idx="116">
                  <c:v>43647</c:v>
                </c:pt>
                <c:pt idx="117">
                  <c:v>43644</c:v>
                </c:pt>
                <c:pt idx="118">
                  <c:v>43643</c:v>
                </c:pt>
                <c:pt idx="119">
                  <c:v>43642</c:v>
                </c:pt>
                <c:pt idx="120">
                  <c:v>43641</c:v>
                </c:pt>
                <c:pt idx="121">
                  <c:v>43640</c:v>
                </c:pt>
                <c:pt idx="122">
                  <c:v>43637</c:v>
                </c:pt>
                <c:pt idx="123">
                  <c:v>43636</c:v>
                </c:pt>
                <c:pt idx="124">
                  <c:v>43635</c:v>
                </c:pt>
                <c:pt idx="125">
                  <c:v>43634</c:v>
                </c:pt>
                <c:pt idx="126">
                  <c:v>43633</c:v>
                </c:pt>
                <c:pt idx="127">
                  <c:v>43630</c:v>
                </c:pt>
                <c:pt idx="128">
                  <c:v>43629</c:v>
                </c:pt>
                <c:pt idx="129">
                  <c:v>43628</c:v>
                </c:pt>
                <c:pt idx="130">
                  <c:v>43627</c:v>
                </c:pt>
                <c:pt idx="131">
                  <c:v>43626</c:v>
                </c:pt>
                <c:pt idx="132">
                  <c:v>43623</c:v>
                </c:pt>
                <c:pt idx="133">
                  <c:v>43622</c:v>
                </c:pt>
                <c:pt idx="134">
                  <c:v>43621</c:v>
                </c:pt>
                <c:pt idx="135">
                  <c:v>43620</c:v>
                </c:pt>
                <c:pt idx="136">
                  <c:v>43619</c:v>
                </c:pt>
                <c:pt idx="137">
                  <c:v>43616</c:v>
                </c:pt>
                <c:pt idx="138">
                  <c:v>43615</c:v>
                </c:pt>
                <c:pt idx="139">
                  <c:v>43614</c:v>
                </c:pt>
                <c:pt idx="140">
                  <c:v>43613</c:v>
                </c:pt>
                <c:pt idx="141">
                  <c:v>43612</c:v>
                </c:pt>
                <c:pt idx="142">
                  <c:v>43609</c:v>
                </c:pt>
                <c:pt idx="143">
                  <c:v>43608</c:v>
                </c:pt>
                <c:pt idx="144">
                  <c:v>43607</c:v>
                </c:pt>
                <c:pt idx="145">
                  <c:v>43606</c:v>
                </c:pt>
                <c:pt idx="146">
                  <c:v>43605</c:v>
                </c:pt>
                <c:pt idx="147">
                  <c:v>43602</c:v>
                </c:pt>
                <c:pt idx="148">
                  <c:v>43601</c:v>
                </c:pt>
                <c:pt idx="149">
                  <c:v>43600</c:v>
                </c:pt>
                <c:pt idx="150">
                  <c:v>43599</c:v>
                </c:pt>
                <c:pt idx="151">
                  <c:v>43598</c:v>
                </c:pt>
                <c:pt idx="152">
                  <c:v>43595</c:v>
                </c:pt>
                <c:pt idx="153">
                  <c:v>43594</c:v>
                </c:pt>
                <c:pt idx="154">
                  <c:v>43593</c:v>
                </c:pt>
                <c:pt idx="155">
                  <c:v>43592</c:v>
                </c:pt>
                <c:pt idx="156">
                  <c:v>43581</c:v>
                </c:pt>
                <c:pt idx="157">
                  <c:v>43580</c:v>
                </c:pt>
                <c:pt idx="158">
                  <c:v>43579</c:v>
                </c:pt>
                <c:pt idx="159">
                  <c:v>43578</c:v>
                </c:pt>
                <c:pt idx="160">
                  <c:v>43577</c:v>
                </c:pt>
                <c:pt idx="161">
                  <c:v>43574</c:v>
                </c:pt>
                <c:pt idx="162">
                  <c:v>43573</c:v>
                </c:pt>
                <c:pt idx="163">
                  <c:v>43572</c:v>
                </c:pt>
                <c:pt idx="164">
                  <c:v>43571</c:v>
                </c:pt>
                <c:pt idx="165">
                  <c:v>43570</c:v>
                </c:pt>
                <c:pt idx="166">
                  <c:v>43567</c:v>
                </c:pt>
                <c:pt idx="167">
                  <c:v>43566</c:v>
                </c:pt>
                <c:pt idx="168">
                  <c:v>43565</c:v>
                </c:pt>
                <c:pt idx="169">
                  <c:v>43564</c:v>
                </c:pt>
                <c:pt idx="170">
                  <c:v>43563</c:v>
                </c:pt>
                <c:pt idx="171">
                  <c:v>43560</c:v>
                </c:pt>
                <c:pt idx="172">
                  <c:v>43559</c:v>
                </c:pt>
                <c:pt idx="173">
                  <c:v>43558</c:v>
                </c:pt>
                <c:pt idx="174">
                  <c:v>43557</c:v>
                </c:pt>
                <c:pt idx="175">
                  <c:v>43556</c:v>
                </c:pt>
                <c:pt idx="176">
                  <c:v>43553</c:v>
                </c:pt>
                <c:pt idx="177">
                  <c:v>43552</c:v>
                </c:pt>
                <c:pt idx="178">
                  <c:v>43551</c:v>
                </c:pt>
                <c:pt idx="179">
                  <c:v>43550</c:v>
                </c:pt>
                <c:pt idx="180">
                  <c:v>43549</c:v>
                </c:pt>
                <c:pt idx="181">
                  <c:v>43546</c:v>
                </c:pt>
                <c:pt idx="182">
                  <c:v>43544</c:v>
                </c:pt>
                <c:pt idx="183">
                  <c:v>43543</c:v>
                </c:pt>
                <c:pt idx="184">
                  <c:v>43542</c:v>
                </c:pt>
                <c:pt idx="185">
                  <c:v>43539</c:v>
                </c:pt>
                <c:pt idx="186">
                  <c:v>43538</c:v>
                </c:pt>
                <c:pt idx="187">
                  <c:v>43537</c:v>
                </c:pt>
                <c:pt idx="188">
                  <c:v>43536</c:v>
                </c:pt>
                <c:pt idx="189">
                  <c:v>43535</c:v>
                </c:pt>
                <c:pt idx="190">
                  <c:v>43532</c:v>
                </c:pt>
                <c:pt idx="191">
                  <c:v>43531</c:v>
                </c:pt>
                <c:pt idx="192">
                  <c:v>43530</c:v>
                </c:pt>
                <c:pt idx="193">
                  <c:v>43529</c:v>
                </c:pt>
                <c:pt idx="194">
                  <c:v>43528</c:v>
                </c:pt>
                <c:pt idx="195">
                  <c:v>43525</c:v>
                </c:pt>
                <c:pt idx="196">
                  <c:v>43524</c:v>
                </c:pt>
                <c:pt idx="197">
                  <c:v>43523</c:v>
                </c:pt>
                <c:pt idx="198">
                  <c:v>43522</c:v>
                </c:pt>
                <c:pt idx="199">
                  <c:v>43521</c:v>
                </c:pt>
                <c:pt idx="200">
                  <c:v>43518</c:v>
                </c:pt>
                <c:pt idx="201">
                  <c:v>43517</c:v>
                </c:pt>
                <c:pt idx="202">
                  <c:v>43516</c:v>
                </c:pt>
                <c:pt idx="203">
                  <c:v>43515</c:v>
                </c:pt>
                <c:pt idx="204">
                  <c:v>43514</c:v>
                </c:pt>
                <c:pt idx="205">
                  <c:v>43511</c:v>
                </c:pt>
                <c:pt idx="206">
                  <c:v>43510</c:v>
                </c:pt>
                <c:pt idx="207">
                  <c:v>43509</c:v>
                </c:pt>
                <c:pt idx="208">
                  <c:v>43508</c:v>
                </c:pt>
                <c:pt idx="209">
                  <c:v>43504</c:v>
                </c:pt>
                <c:pt idx="210">
                  <c:v>43503</c:v>
                </c:pt>
                <c:pt idx="211">
                  <c:v>43502</c:v>
                </c:pt>
                <c:pt idx="212">
                  <c:v>43501</c:v>
                </c:pt>
                <c:pt idx="213">
                  <c:v>43500</c:v>
                </c:pt>
                <c:pt idx="214">
                  <c:v>43497</c:v>
                </c:pt>
                <c:pt idx="215">
                  <c:v>43496</c:v>
                </c:pt>
                <c:pt idx="216">
                  <c:v>43495</c:v>
                </c:pt>
                <c:pt idx="217">
                  <c:v>43494</c:v>
                </c:pt>
                <c:pt idx="218">
                  <c:v>43493</c:v>
                </c:pt>
                <c:pt idx="219">
                  <c:v>43490</c:v>
                </c:pt>
                <c:pt idx="220">
                  <c:v>43489</c:v>
                </c:pt>
                <c:pt idx="221">
                  <c:v>43488</c:v>
                </c:pt>
                <c:pt idx="222">
                  <c:v>43487</c:v>
                </c:pt>
                <c:pt idx="223">
                  <c:v>43486</c:v>
                </c:pt>
                <c:pt idx="224">
                  <c:v>43483</c:v>
                </c:pt>
                <c:pt idx="225">
                  <c:v>43482</c:v>
                </c:pt>
                <c:pt idx="226">
                  <c:v>43481</c:v>
                </c:pt>
                <c:pt idx="227">
                  <c:v>43480</c:v>
                </c:pt>
                <c:pt idx="228">
                  <c:v>43476</c:v>
                </c:pt>
                <c:pt idx="229">
                  <c:v>43475</c:v>
                </c:pt>
                <c:pt idx="230">
                  <c:v>43474</c:v>
                </c:pt>
                <c:pt idx="231">
                  <c:v>43473</c:v>
                </c:pt>
                <c:pt idx="232">
                  <c:v>43472</c:v>
                </c:pt>
                <c:pt idx="233">
                  <c:v>43469</c:v>
                </c:pt>
                <c:pt idx="234">
                  <c:v>43462</c:v>
                </c:pt>
                <c:pt idx="235">
                  <c:v>43461</c:v>
                </c:pt>
                <c:pt idx="236">
                  <c:v>43460</c:v>
                </c:pt>
                <c:pt idx="237">
                  <c:v>43459</c:v>
                </c:pt>
                <c:pt idx="238">
                  <c:v>43455</c:v>
                </c:pt>
                <c:pt idx="239">
                  <c:v>43454</c:v>
                </c:pt>
                <c:pt idx="240">
                  <c:v>43453</c:v>
                </c:pt>
                <c:pt idx="241">
                  <c:v>43452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0.79124708940257904</c:v>
                </c:pt>
                <c:pt idx="1">
                  <c:v>0.79033848461197542</c:v>
                </c:pt>
                <c:pt idx="2">
                  <c:v>0.78992546497016125</c:v>
                </c:pt>
                <c:pt idx="3">
                  <c:v>0.78948689179957521</c:v>
                </c:pt>
                <c:pt idx="4">
                  <c:v>0.78853737932406454</c:v>
                </c:pt>
                <c:pt idx="5">
                  <c:v>0.78739320322447159</c:v>
                </c:pt>
                <c:pt idx="6">
                  <c:v>0.78602185239671518</c:v>
                </c:pt>
                <c:pt idx="7">
                  <c:v>0.78468001927048381</c:v>
                </c:pt>
                <c:pt idx="8">
                  <c:v>0.78315559198150808</c:v>
                </c:pt>
                <c:pt idx="9">
                  <c:v>0.78228226543182178</c:v>
                </c:pt>
                <c:pt idx="10">
                  <c:v>0.78160442766129457</c:v>
                </c:pt>
                <c:pt idx="11">
                  <c:v>0.78117764044564408</c:v>
                </c:pt>
                <c:pt idx="12">
                  <c:v>0.78044897992234075</c:v>
                </c:pt>
                <c:pt idx="13">
                  <c:v>0.7796030520905084</c:v>
                </c:pt>
                <c:pt idx="14">
                  <c:v>0.7789317544344414</c:v>
                </c:pt>
                <c:pt idx="15">
                  <c:v>0.77821052589622186</c:v>
                </c:pt>
                <c:pt idx="16">
                  <c:v>0.77732525241855821</c:v>
                </c:pt>
                <c:pt idx="17">
                  <c:v>0.77631144343838521</c:v>
                </c:pt>
                <c:pt idx="18">
                  <c:v>0.77466242526807749</c:v>
                </c:pt>
                <c:pt idx="19">
                  <c:v>0.77374470511065541</c:v>
                </c:pt>
                <c:pt idx="20">
                  <c:v>0.7734519469432628</c:v>
                </c:pt>
                <c:pt idx="21">
                  <c:v>0.77396348186849928</c:v>
                </c:pt>
                <c:pt idx="22">
                  <c:v>0.77471429949252113</c:v>
                </c:pt>
                <c:pt idx="23">
                  <c:v>0.77489285777414596</c:v>
                </c:pt>
                <c:pt idx="24">
                  <c:v>0.77449488285460155</c:v>
                </c:pt>
                <c:pt idx="25">
                  <c:v>0.77431192576330699</c:v>
                </c:pt>
                <c:pt idx="26">
                  <c:v>0.77420987824451182</c:v>
                </c:pt>
                <c:pt idx="27">
                  <c:v>0.77405511679351757</c:v>
                </c:pt>
                <c:pt idx="28">
                  <c:v>0.77403809495348597</c:v>
                </c:pt>
                <c:pt idx="29">
                  <c:v>0.77383646165123132</c:v>
                </c:pt>
                <c:pt idx="30">
                  <c:v>0.7735763632724374</c:v>
                </c:pt>
                <c:pt idx="31">
                  <c:v>0.77326023855758041</c:v>
                </c:pt>
                <c:pt idx="32">
                  <c:v>0.77298868282021793</c:v>
                </c:pt>
                <c:pt idx="33">
                  <c:v>0.77266759689591291</c:v>
                </c:pt>
                <c:pt idx="34">
                  <c:v>0.77304026327780462</c:v>
                </c:pt>
                <c:pt idx="35">
                  <c:v>0.77331101819375703</c:v>
                </c:pt>
                <c:pt idx="36">
                  <c:v>0.77265013808666061</c:v>
                </c:pt>
                <c:pt idx="37">
                  <c:v>0.7714356483071042</c:v>
                </c:pt>
                <c:pt idx="38">
                  <c:v>0.77055920287550561</c:v>
                </c:pt>
                <c:pt idx="39">
                  <c:v>0.76962919593687862</c:v>
                </c:pt>
                <c:pt idx="40">
                  <c:v>0.76885193175693201</c:v>
                </c:pt>
                <c:pt idx="41">
                  <c:v>0.76828573161715963</c:v>
                </c:pt>
                <c:pt idx="42">
                  <c:v>0.76709216915384226</c:v>
                </c:pt>
                <c:pt idx="43">
                  <c:v>0.76615361226909096</c:v>
                </c:pt>
                <c:pt idx="44">
                  <c:v>0.76504946448378142</c:v>
                </c:pt>
                <c:pt idx="45">
                  <c:v>0.76417552894566254</c:v>
                </c:pt>
                <c:pt idx="46">
                  <c:v>0.76337083248245874</c:v>
                </c:pt>
                <c:pt idx="47">
                  <c:v>0.76309571500030215</c:v>
                </c:pt>
                <c:pt idx="48">
                  <c:v>0.76231512030170778</c:v>
                </c:pt>
                <c:pt idx="49">
                  <c:v>0.76166518553245632</c:v>
                </c:pt>
                <c:pt idx="50">
                  <c:v>0.76116726769282816</c:v>
                </c:pt>
                <c:pt idx="51">
                  <c:v>0.76072631192961981</c:v>
                </c:pt>
                <c:pt idx="52">
                  <c:v>0.7602469844138956</c:v>
                </c:pt>
                <c:pt idx="53">
                  <c:v>0.76025481772310166</c:v>
                </c:pt>
                <c:pt idx="54">
                  <c:v>0.76014174943197188</c:v>
                </c:pt>
                <c:pt idx="55">
                  <c:v>0.760274427830543</c:v>
                </c:pt>
                <c:pt idx="56">
                  <c:v>0.76044988334685037</c:v>
                </c:pt>
                <c:pt idx="57">
                  <c:v>0.76065463592039673</c:v>
                </c:pt>
                <c:pt idx="58">
                  <c:v>0.76082051305108978</c:v>
                </c:pt>
                <c:pt idx="59">
                  <c:v>0.76091120528931566</c:v>
                </c:pt>
                <c:pt idx="60">
                  <c:v>0.76111374866430181</c:v>
                </c:pt>
                <c:pt idx="61">
                  <c:v>0.76159763633508237</c:v>
                </c:pt>
                <c:pt idx="62">
                  <c:v>0.76281268663221324</c:v>
                </c:pt>
                <c:pt idx="63">
                  <c:v>0.76332255364554724</c:v>
                </c:pt>
                <c:pt idx="64">
                  <c:v>0.76366554702327261</c:v>
                </c:pt>
                <c:pt idx="65">
                  <c:v>0.76445587240230939</c:v>
                </c:pt>
                <c:pt idx="66">
                  <c:v>0.76405794262442761</c:v>
                </c:pt>
                <c:pt idx="67">
                  <c:v>0.765142121369916</c:v>
                </c:pt>
                <c:pt idx="68">
                  <c:v>0.76605040476193564</c:v>
                </c:pt>
                <c:pt idx="69">
                  <c:v>0.7667013125271035</c:v>
                </c:pt>
                <c:pt idx="70">
                  <c:v>0.76659527317709142</c:v>
                </c:pt>
                <c:pt idx="71">
                  <c:v>0.76735484036480661</c:v>
                </c:pt>
                <c:pt idx="72">
                  <c:v>0.76831464884134248</c:v>
                </c:pt>
                <c:pt idx="73">
                  <c:v>0.76801390946160109</c:v>
                </c:pt>
                <c:pt idx="74">
                  <c:v>0.76816752376260422</c:v>
                </c:pt>
                <c:pt idx="75">
                  <c:v>0.768815746673289</c:v>
                </c:pt>
                <c:pt idx="76">
                  <c:v>0.77044508542693046</c:v>
                </c:pt>
                <c:pt idx="77">
                  <c:v>0.77219928403640181</c:v>
                </c:pt>
                <c:pt idx="78">
                  <c:v>0.77440326105553248</c:v>
                </c:pt>
                <c:pt idx="79">
                  <c:v>0.77996844769893681</c:v>
                </c:pt>
                <c:pt idx="80">
                  <c:v>0.78461457950988678</c:v>
                </c:pt>
                <c:pt idx="81">
                  <c:v>0.78961906157784467</c:v>
                </c:pt>
                <c:pt idx="82">
                  <c:v>0.79261599428633556</c:v>
                </c:pt>
                <c:pt idx="83">
                  <c:v>0.79457032906427383</c:v>
                </c:pt>
                <c:pt idx="84">
                  <c:v>0.79664254558373582</c:v>
                </c:pt>
                <c:pt idx="85">
                  <c:v>0.79824338637092185</c:v>
                </c:pt>
                <c:pt idx="86">
                  <c:v>0.79980038428455413</c:v>
                </c:pt>
                <c:pt idx="87">
                  <c:v>0.80098487385038064</c:v>
                </c:pt>
                <c:pt idx="88">
                  <c:v>0.80152859457168579</c:v>
                </c:pt>
                <c:pt idx="89">
                  <c:v>0.80169475684287816</c:v>
                </c:pt>
                <c:pt idx="90">
                  <c:v>0.80192938530103786</c:v>
                </c:pt>
                <c:pt idx="91">
                  <c:v>0.80220246304033171</c:v>
                </c:pt>
                <c:pt idx="92">
                  <c:v>0.80280924632126638</c:v>
                </c:pt>
                <c:pt idx="93">
                  <c:v>0.80353117851369138</c:v>
                </c:pt>
                <c:pt idx="94">
                  <c:v>0.80407748905846765</c:v>
                </c:pt>
                <c:pt idx="95">
                  <c:v>0.80485103689381698</c:v>
                </c:pt>
                <c:pt idx="96">
                  <c:v>0.80511843607525524</c:v>
                </c:pt>
                <c:pt idx="97">
                  <c:v>0.80548900943219781</c:v>
                </c:pt>
                <c:pt idx="98">
                  <c:v>0.80550404082461446</c:v>
                </c:pt>
                <c:pt idx="99">
                  <c:v>0.80545522636414979</c:v>
                </c:pt>
                <c:pt idx="100">
                  <c:v>0.80538110372225724</c:v>
                </c:pt>
                <c:pt idx="101">
                  <c:v>0.80547715934632946</c:v>
                </c:pt>
                <c:pt idx="102">
                  <c:v>0.80563753721808773</c:v>
                </c:pt>
                <c:pt idx="103">
                  <c:v>0.80576406222408958</c:v>
                </c:pt>
                <c:pt idx="104">
                  <c:v>0.80577518549268723</c:v>
                </c:pt>
                <c:pt idx="105">
                  <c:v>0.80576008506374419</c:v>
                </c:pt>
                <c:pt idx="106">
                  <c:v>0.80561075820847783</c:v>
                </c:pt>
                <c:pt idx="107">
                  <c:v>0.8054003415416866</c:v>
                </c:pt>
                <c:pt idx="108">
                  <c:v>0.80513370686453378</c:v>
                </c:pt>
                <c:pt idx="109">
                  <c:v>0.80443262619217204</c:v>
                </c:pt>
                <c:pt idx="110">
                  <c:v>0.8038882643918096</c:v>
                </c:pt>
                <c:pt idx="111">
                  <c:v>0.80346149241848019</c:v>
                </c:pt>
                <c:pt idx="112">
                  <c:v>0.80308709073756279</c:v>
                </c:pt>
                <c:pt idx="113">
                  <c:v>0.80283579060060861</c:v>
                </c:pt>
                <c:pt idx="114">
                  <c:v>0.80258725371000839</c:v>
                </c:pt>
                <c:pt idx="115">
                  <c:v>0.80235118429579999</c:v>
                </c:pt>
                <c:pt idx="116">
                  <c:v>0.80219526595222723</c:v>
                </c:pt>
                <c:pt idx="117">
                  <c:v>0.80213337988964151</c:v>
                </c:pt>
                <c:pt idx="118">
                  <c:v>0.80202709643892089</c:v>
                </c:pt>
                <c:pt idx="119">
                  <c:v>0.80194154763236569</c:v>
                </c:pt>
                <c:pt idx="120">
                  <c:v>0.8018226819330988</c:v>
                </c:pt>
                <c:pt idx="121">
                  <c:v>0.80184412921034098</c:v>
                </c:pt>
                <c:pt idx="122">
                  <c:v>0.8018785073629604</c:v>
                </c:pt>
                <c:pt idx="123">
                  <c:v>0.80177128262794073</c:v>
                </c:pt>
                <c:pt idx="124">
                  <c:v>0.80164146703548833</c:v>
                </c:pt>
                <c:pt idx="125">
                  <c:v>0.80155294169635283</c:v>
                </c:pt>
                <c:pt idx="126">
                  <c:v>0.80135683793393198</c:v>
                </c:pt>
                <c:pt idx="127">
                  <c:v>0.80124687683671425</c:v>
                </c:pt>
                <c:pt idx="128">
                  <c:v>0.80141810656177637</c:v>
                </c:pt>
                <c:pt idx="129">
                  <c:v>0.80136795271299244</c:v>
                </c:pt>
                <c:pt idx="130">
                  <c:v>0.80135746751044912</c:v>
                </c:pt>
                <c:pt idx="131">
                  <c:v>0.80135198817220876</c:v>
                </c:pt>
                <c:pt idx="132">
                  <c:v>0.80140590547269397</c:v>
                </c:pt>
                <c:pt idx="133">
                  <c:v>0.8015471044905258</c:v>
                </c:pt>
                <c:pt idx="134">
                  <c:v>0.80157879978942104</c:v>
                </c:pt>
                <c:pt idx="135">
                  <c:v>0.802278801000329</c:v>
                </c:pt>
                <c:pt idx="136">
                  <c:v>0.80287956904194957</c:v>
                </c:pt>
                <c:pt idx="137">
                  <c:v>0.80319512255743897</c:v>
                </c:pt>
                <c:pt idx="138">
                  <c:v>0.80345018643475574</c:v>
                </c:pt>
                <c:pt idx="139">
                  <c:v>0.80390747948838093</c:v>
                </c:pt>
                <c:pt idx="140">
                  <c:v>0.80436582039328219</c:v>
                </c:pt>
                <c:pt idx="141">
                  <c:v>0.80431773471773393</c:v>
                </c:pt>
                <c:pt idx="142">
                  <c:v>0.80405770526813825</c:v>
                </c:pt>
                <c:pt idx="143">
                  <c:v>0.80376721587103661</c:v>
                </c:pt>
                <c:pt idx="144">
                  <c:v>0.80364105212332071</c:v>
                </c:pt>
                <c:pt idx="145">
                  <c:v>0.80359926504909662</c:v>
                </c:pt>
                <c:pt idx="146">
                  <c:v>0.80342135246585034</c:v>
                </c:pt>
                <c:pt idx="147">
                  <c:v>0.80332175254449179</c:v>
                </c:pt>
                <c:pt idx="148">
                  <c:v>0.8033229569151612</c:v>
                </c:pt>
                <c:pt idx="149">
                  <c:v>0.80330654688698799</c:v>
                </c:pt>
                <c:pt idx="150">
                  <c:v>0.80327349763225542</c:v>
                </c:pt>
                <c:pt idx="151">
                  <c:v>0.80300606612227765</c:v>
                </c:pt>
                <c:pt idx="152">
                  <c:v>0.8026404550362698</c:v>
                </c:pt>
                <c:pt idx="153">
                  <c:v>0.80207530255650361</c:v>
                </c:pt>
                <c:pt idx="154">
                  <c:v>0.79907218672603808</c:v>
                </c:pt>
                <c:pt idx="155">
                  <c:v>0.7962082735955206</c:v>
                </c:pt>
                <c:pt idx="156">
                  <c:v>0.7922707855991008</c:v>
                </c:pt>
                <c:pt idx="157">
                  <c:v>0.79011833274746901</c:v>
                </c:pt>
                <c:pt idx="158">
                  <c:v>0.78882274836937261</c:v>
                </c:pt>
                <c:pt idx="159">
                  <c:v>0.78743776456133918</c:v>
                </c:pt>
                <c:pt idx="160">
                  <c:v>0.7865904200982744</c:v>
                </c:pt>
                <c:pt idx="161">
                  <c:v>0.78625477459973658</c:v>
                </c:pt>
                <c:pt idx="162">
                  <c:v>0.78663452925736688</c:v>
                </c:pt>
                <c:pt idx="163">
                  <c:v>0.78684689746846181</c:v>
                </c:pt>
                <c:pt idx="164">
                  <c:v>0.78702826370454482</c:v>
                </c:pt>
                <c:pt idx="165">
                  <c:v>0.78691537411605628</c:v>
                </c:pt>
                <c:pt idx="166">
                  <c:v>0.78674776520006495</c:v>
                </c:pt>
                <c:pt idx="167">
                  <c:v>0.7862008701704164</c:v>
                </c:pt>
                <c:pt idx="168">
                  <c:v>0.78564933759695077</c:v>
                </c:pt>
                <c:pt idx="169">
                  <c:v>0.78525393509113162</c:v>
                </c:pt>
                <c:pt idx="170">
                  <c:v>0.78447357312457044</c:v>
                </c:pt>
                <c:pt idx="171">
                  <c:v>0.78388590194321628</c:v>
                </c:pt>
                <c:pt idx="172">
                  <c:v>0.78268893207758816</c:v>
                </c:pt>
                <c:pt idx="173">
                  <c:v>0.78236099207083065</c:v>
                </c:pt>
                <c:pt idx="174">
                  <c:v>0.7822481896897322</c:v>
                </c:pt>
                <c:pt idx="175">
                  <c:v>0.78225150037099755</c:v>
                </c:pt>
                <c:pt idx="176">
                  <c:v>0.78211979425211242</c:v>
                </c:pt>
                <c:pt idx="177">
                  <c:v>0.78193374297939777</c:v>
                </c:pt>
                <c:pt idx="178">
                  <c:v>0.78180938279649581</c:v>
                </c:pt>
                <c:pt idx="179">
                  <c:v>0.78186975620525612</c:v>
                </c:pt>
                <c:pt idx="180">
                  <c:v>0.78197862959536024</c:v>
                </c:pt>
                <c:pt idx="181">
                  <c:v>0.7819766143009802</c:v>
                </c:pt>
                <c:pt idx="182">
                  <c:v>0.7818965203470396</c:v>
                </c:pt>
                <c:pt idx="183">
                  <c:v>0.78169173421962901</c:v>
                </c:pt>
                <c:pt idx="184">
                  <c:v>0.78181002551329071</c:v>
                </c:pt>
                <c:pt idx="185">
                  <c:v>0.78188941648085142</c:v>
                </c:pt>
                <c:pt idx="186">
                  <c:v>0.78214225725580999</c:v>
                </c:pt>
                <c:pt idx="187">
                  <c:v>0.78270047759304939</c:v>
                </c:pt>
                <c:pt idx="188">
                  <c:v>0.78351608907059023</c:v>
                </c:pt>
                <c:pt idx="189">
                  <c:v>0.78476072142538666</c:v>
                </c:pt>
                <c:pt idx="190">
                  <c:v>0.78553639055728963</c:v>
                </c:pt>
                <c:pt idx="191">
                  <c:v>0.78762501687171182</c:v>
                </c:pt>
                <c:pt idx="192">
                  <c:v>0.78900188003751437</c:v>
                </c:pt>
                <c:pt idx="193">
                  <c:v>0.79029303192150935</c:v>
                </c:pt>
                <c:pt idx="194">
                  <c:v>0.79215249452188641</c:v>
                </c:pt>
                <c:pt idx="195">
                  <c:v>0.7939510395465933</c:v>
                </c:pt>
                <c:pt idx="196">
                  <c:v>0.79519394739799854</c:v>
                </c:pt>
                <c:pt idx="197">
                  <c:v>0.79773922992357083</c:v>
                </c:pt>
                <c:pt idx="198">
                  <c:v>0.80028128088633421</c:v>
                </c:pt>
                <c:pt idx="199">
                  <c:v>0.80336145040792717</c:v>
                </c:pt>
                <c:pt idx="200">
                  <c:v>0.80436342523264914</c:v>
                </c:pt>
                <c:pt idx="201">
                  <c:v>0.804368727990594</c:v>
                </c:pt>
                <c:pt idx="202">
                  <c:v>0.80438505102917035</c:v>
                </c:pt>
                <c:pt idx="203">
                  <c:v>0.80416356347124962</c:v>
                </c:pt>
                <c:pt idx="204">
                  <c:v>0.80410588059779109</c:v>
                </c:pt>
                <c:pt idx="205">
                  <c:v>0.80420038309336161</c:v>
                </c:pt>
                <c:pt idx="206">
                  <c:v>0.80455165456541478</c:v>
                </c:pt>
                <c:pt idx="207">
                  <c:v>0.80471446972965177</c:v>
                </c:pt>
                <c:pt idx="208">
                  <c:v>0.80480125079270881</c:v>
                </c:pt>
                <c:pt idx="209">
                  <c:v>0.80543555359776242</c:v>
                </c:pt>
                <c:pt idx="210">
                  <c:v>0.80510660198678985</c:v>
                </c:pt>
                <c:pt idx="211">
                  <c:v>0.80473956907842215</c:v>
                </c:pt>
                <c:pt idx="212">
                  <c:v>0.80449401583413138</c:v>
                </c:pt>
                <c:pt idx="213">
                  <c:v>0.80432986506900728</c:v>
                </c:pt>
                <c:pt idx="214">
                  <c:v>0.80400355211904728</c:v>
                </c:pt>
                <c:pt idx="215">
                  <c:v>0.80374724101421446</c:v>
                </c:pt>
                <c:pt idx="216">
                  <c:v>0.80379548547057778</c:v>
                </c:pt>
                <c:pt idx="217">
                  <c:v>0.80382031560055267</c:v>
                </c:pt>
                <c:pt idx="218">
                  <c:v>0.80354829129605165</c:v>
                </c:pt>
                <c:pt idx="219">
                  <c:v>0.80346205670844018</c:v>
                </c:pt>
                <c:pt idx="220">
                  <c:v>0.80343274991870839</c:v>
                </c:pt>
                <c:pt idx="221">
                  <c:v>0.80343486478218762</c:v>
                </c:pt>
                <c:pt idx="222">
                  <c:v>0.8038724152620258</c:v>
                </c:pt>
                <c:pt idx="223">
                  <c:v>0.80431413455530443</c:v>
                </c:pt>
                <c:pt idx="224">
                  <c:v>0.80487528479823001</c:v>
                </c:pt>
                <c:pt idx="225">
                  <c:v>0.80561185092226983</c:v>
                </c:pt>
                <c:pt idx="226">
                  <c:v>0.80611557227104713</c:v>
                </c:pt>
                <c:pt idx="227">
                  <c:v>0.80657475158773018</c:v>
                </c:pt>
                <c:pt idx="228">
                  <c:v>0.80675666530470458</c:v>
                </c:pt>
                <c:pt idx="229">
                  <c:v>0.80702015606363242</c:v>
                </c:pt>
                <c:pt idx="230">
                  <c:v>0.80839630249979166</c:v>
                </c:pt>
                <c:pt idx="231">
                  <c:v>0.80969198799421782</c:v>
                </c:pt>
                <c:pt idx="232">
                  <c:v>0.81051604528997057</c:v>
                </c:pt>
                <c:pt idx="233">
                  <c:v>0.81182479083928116</c:v>
                </c:pt>
                <c:pt idx="234">
                  <c:v>0.81353802534394404</c:v>
                </c:pt>
                <c:pt idx="235">
                  <c:v>0.81559266855724777</c:v>
                </c:pt>
                <c:pt idx="236">
                  <c:v>0.81731351828985077</c:v>
                </c:pt>
                <c:pt idx="237">
                  <c:v>0.81889679726690057</c:v>
                </c:pt>
                <c:pt idx="238">
                  <c:v>0.82023398617734078</c:v>
                </c:pt>
                <c:pt idx="239">
                  <c:v>0.82153094827969342</c:v>
                </c:pt>
                <c:pt idx="240">
                  <c:v>0.82270363801587754</c:v>
                </c:pt>
                <c:pt idx="241">
                  <c:v>0.82379825571060916</c:v>
                </c:pt>
              </c:numCache>
            </c:numRef>
          </c:val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43798</c:v>
                </c:pt>
                <c:pt idx="15">
                  <c:v>43797</c:v>
                </c:pt>
                <c:pt idx="16">
                  <c:v>43796</c:v>
                </c:pt>
                <c:pt idx="17">
                  <c:v>43795</c:v>
                </c:pt>
                <c:pt idx="18">
                  <c:v>43794</c:v>
                </c:pt>
                <c:pt idx="19">
                  <c:v>43791</c:v>
                </c:pt>
                <c:pt idx="20">
                  <c:v>43790</c:v>
                </c:pt>
                <c:pt idx="21">
                  <c:v>43789</c:v>
                </c:pt>
                <c:pt idx="22">
                  <c:v>43788</c:v>
                </c:pt>
                <c:pt idx="23">
                  <c:v>43787</c:v>
                </c:pt>
                <c:pt idx="24">
                  <c:v>43784</c:v>
                </c:pt>
                <c:pt idx="25">
                  <c:v>43783</c:v>
                </c:pt>
                <c:pt idx="26">
                  <c:v>43782</c:v>
                </c:pt>
                <c:pt idx="27">
                  <c:v>43781</c:v>
                </c:pt>
                <c:pt idx="28">
                  <c:v>43780</c:v>
                </c:pt>
                <c:pt idx="29">
                  <c:v>43777</c:v>
                </c:pt>
                <c:pt idx="30">
                  <c:v>43776</c:v>
                </c:pt>
                <c:pt idx="31">
                  <c:v>43775</c:v>
                </c:pt>
                <c:pt idx="32">
                  <c:v>43774</c:v>
                </c:pt>
                <c:pt idx="33">
                  <c:v>43770</c:v>
                </c:pt>
                <c:pt idx="34">
                  <c:v>43769</c:v>
                </c:pt>
                <c:pt idx="35">
                  <c:v>43768</c:v>
                </c:pt>
                <c:pt idx="36">
                  <c:v>43767</c:v>
                </c:pt>
                <c:pt idx="37">
                  <c:v>43766</c:v>
                </c:pt>
                <c:pt idx="38">
                  <c:v>43763</c:v>
                </c:pt>
                <c:pt idx="39">
                  <c:v>43762</c:v>
                </c:pt>
                <c:pt idx="40">
                  <c:v>43761</c:v>
                </c:pt>
                <c:pt idx="41">
                  <c:v>43759</c:v>
                </c:pt>
                <c:pt idx="42">
                  <c:v>43756</c:v>
                </c:pt>
                <c:pt idx="43">
                  <c:v>43755</c:v>
                </c:pt>
                <c:pt idx="44">
                  <c:v>43754</c:v>
                </c:pt>
                <c:pt idx="45">
                  <c:v>43753</c:v>
                </c:pt>
                <c:pt idx="46">
                  <c:v>43749</c:v>
                </c:pt>
                <c:pt idx="47">
                  <c:v>43748</c:v>
                </c:pt>
                <c:pt idx="48">
                  <c:v>43747</c:v>
                </c:pt>
                <c:pt idx="49">
                  <c:v>43746</c:v>
                </c:pt>
                <c:pt idx="50">
                  <c:v>43745</c:v>
                </c:pt>
                <c:pt idx="51">
                  <c:v>43742</c:v>
                </c:pt>
                <c:pt idx="52">
                  <c:v>43741</c:v>
                </c:pt>
                <c:pt idx="53">
                  <c:v>43740</c:v>
                </c:pt>
                <c:pt idx="54">
                  <c:v>43739</c:v>
                </c:pt>
                <c:pt idx="55">
                  <c:v>43738</c:v>
                </c:pt>
                <c:pt idx="56">
                  <c:v>43735</c:v>
                </c:pt>
                <c:pt idx="57">
                  <c:v>43734</c:v>
                </c:pt>
                <c:pt idx="58">
                  <c:v>43733</c:v>
                </c:pt>
                <c:pt idx="59">
                  <c:v>43732</c:v>
                </c:pt>
                <c:pt idx="60">
                  <c:v>43728</c:v>
                </c:pt>
                <c:pt idx="61">
                  <c:v>43727</c:v>
                </c:pt>
                <c:pt idx="62">
                  <c:v>43726</c:v>
                </c:pt>
                <c:pt idx="63">
                  <c:v>43725</c:v>
                </c:pt>
                <c:pt idx="64">
                  <c:v>43721</c:v>
                </c:pt>
                <c:pt idx="65">
                  <c:v>43720</c:v>
                </c:pt>
                <c:pt idx="66">
                  <c:v>43719</c:v>
                </c:pt>
                <c:pt idx="67">
                  <c:v>43718</c:v>
                </c:pt>
                <c:pt idx="68">
                  <c:v>43717</c:v>
                </c:pt>
                <c:pt idx="69">
                  <c:v>43714</c:v>
                </c:pt>
                <c:pt idx="70">
                  <c:v>43713</c:v>
                </c:pt>
                <c:pt idx="71">
                  <c:v>43712</c:v>
                </c:pt>
                <c:pt idx="72">
                  <c:v>43711</c:v>
                </c:pt>
                <c:pt idx="73">
                  <c:v>43710</c:v>
                </c:pt>
                <c:pt idx="74">
                  <c:v>43707</c:v>
                </c:pt>
                <c:pt idx="75">
                  <c:v>43706</c:v>
                </c:pt>
                <c:pt idx="76">
                  <c:v>43705</c:v>
                </c:pt>
                <c:pt idx="77">
                  <c:v>43704</c:v>
                </c:pt>
                <c:pt idx="78">
                  <c:v>43703</c:v>
                </c:pt>
                <c:pt idx="79">
                  <c:v>43700</c:v>
                </c:pt>
                <c:pt idx="80">
                  <c:v>43699</c:v>
                </c:pt>
                <c:pt idx="81">
                  <c:v>43698</c:v>
                </c:pt>
                <c:pt idx="82">
                  <c:v>43697</c:v>
                </c:pt>
                <c:pt idx="83">
                  <c:v>43696</c:v>
                </c:pt>
                <c:pt idx="84">
                  <c:v>43693</c:v>
                </c:pt>
                <c:pt idx="85">
                  <c:v>43692</c:v>
                </c:pt>
                <c:pt idx="86">
                  <c:v>43691</c:v>
                </c:pt>
                <c:pt idx="87">
                  <c:v>43690</c:v>
                </c:pt>
                <c:pt idx="88">
                  <c:v>43686</c:v>
                </c:pt>
                <c:pt idx="89">
                  <c:v>43685</c:v>
                </c:pt>
                <c:pt idx="90">
                  <c:v>43684</c:v>
                </c:pt>
                <c:pt idx="91">
                  <c:v>43683</c:v>
                </c:pt>
                <c:pt idx="92">
                  <c:v>43682</c:v>
                </c:pt>
                <c:pt idx="93">
                  <c:v>43679</c:v>
                </c:pt>
                <c:pt idx="94">
                  <c:v>43678</c:v>
                </c:pt>
                <c:pt idx="95">
                  <c:v>43677</c:v>
                </c:pt>
                <c:pt idx="96">
                  <c:v>43676</c:v>
                </c:pt>
                <c:pt idx="97">
                  <c:v>43675</c:v>
                </c:pt>
                <c:pt idx="98">
                  <c:v>43672</c:v>
                </c:pt>
                <c:pt idx="99">
                  <c:v>43671</c:v>
                </c:pt>
                <c:pt idx="100">
                  <c:v>43670</c:v>
                </c:pt>
                <c:pt idx="101">
                  <c:v>43669</c:v>
                </c:pt>
                <c:pt idx="102">
                  <c:v>43668</c:v>
                </c:pt>
                <c:pt idx="103">
                  <c:v>43665</c:v>
                </c:pt>
                <c:pt idx="104">
                  <c:v>43664</c:v>
                </c:pt>
                <c:pt idx="105">
                  <c:v>43663</c:v>
                </c:pt>
                <c:pt idx="106">
                  <c:v>43662</c:v>
                </c:pt>
                <c:pt idx="107">
                  <c:v>43658</c:v>
                </c:pt>
                <c:pt idx="108">
                  <c:v>43657</c:v>
                </c:pt>
                <c:pt idx="109">
                  <c:v>43656</c:v>
                </c:pt>
                <c:pt idx="110">
                  <c:v>43655</c:v>
                </c:pt>
                <c:pt idx="111">
                  <c:v>43654</c:v>
                </c:pt>
                <c:pt idx="112">
                  <c:v>43651</c:v>
                </c:pt>
                <c:pt idx="113">
                  <c:v>43650</c:v>
                </c:pt>
                <c:pt idx="114">
                  <c:v>43649</c:v>
                </c:pt>
                <c:pt idx="115">
                  <c:v>43648</c:v>
                </c:pt>
                <c:pt idx="116">
                  <c:v>43647</c:v>
                </c:pt>
                <c:pt idx="117">
                  <c:v>43644</c:v>
                </c:pt>
                <c:pt idx="118">
                  <c:v>43643</c:v>
                </c:pt>
                <c:pt idx="119">
                  <c:v>43642</c:v>
                </c:pt>
                <c:pt idx="120">
                  <c:v>43641</c:v>
                </c:pt>
                <c:pt idx="121">
                  <c:v>43640</c:v>
                </c:pt>
                <c:pt idx="122">
                  <c:v>43637</c:v>
                </c:pt>
                <c:pt idx="123">
                  <c:v>43636</c:v>
                </c:pt>
                <c:pt idx="124">
                  <c:v>43635</c:v>
                </c:pt>
                <c:pt idx="125">
                  <c:v>43634</c:v>
                </c:pt>
                <c:pt idx="126">
                  <c:v>43633</c:v>
                </c:pt>
                <c:pt idx="127">
                  <c:v>43630</c:v>
                </c:pt>
                <c:pt idx="128">
                  <c:v>43629</c:v>
                </c:pt>
                <c:pt idx="129">
                  <c:v>43628</c:v>
                </c:pt>
                <c:pt idx="130">
                  <c:v>43627</c:v>
                </c:pt>
                <c:pt idx="131">
                  <c:v>43626</c:v>
                </c:pt>
                <c:pt idx="132">
                  <c:v>43623</c:v>
                </c:pt>
                <c:pt idx="133">
                  <c:v>43622</c:v>
                </c:pt>
                <c:pt idx="134">
                  <c:v>43621</c:v>
                </c:pt>
                <c:pt idx="135">
                  <c:v>43620</c:v>
                </c:pt>
                <c:pt idx="136">
                  <c:v>43619</c:v>
                </c:pt>
                <c:pt idx="137">
                  <c:v>43616</c:v>
                </c:pt>
                <c:pt idx="138">
                  <c:v>43615</c:v>
                </c:pt>
                <c:pt idx="139">
                  <c:v>43614</c:v>
                </c:pt>
                <c:pt idx="140">
                  <c:v>43613</c:v>
                </c:pt>
                <c:pt idx="141">
                  <c:v>43612</c:v>
                </c:pt>
                <c:pt idx="142">
                  <c:v>43609</c:v>
                </c:pt>
                <c:pt idx="143">
                  <c:v>43608</c:v>
                </c:pt>
                <c:pt idx="144">
                  <c:v>43607</c:v>
                </c:pt>
                <c:pt idx="145">
                  <c:v>43606</c:v>
                </c:pt>
                <c:pt idx="146">
                  <c:v>43605</c:v>
                </c:pt>
                <c:pt idx="147">
                  <c:v>43602</c:v>
                </c:pt>
                <c:pt idx="148">
                  <c:v>43601</c:v>
                </c:pt>
                <c:pt idx="149">
                  <c:v>43600</c:v>
                </c:pt>
                <c:pt idx="150">
                  <c:v>43599</c:v>
                </c:pt>
                <c:pt idx="151">
                  <c:v>43598</c:v>
                </c:pt>
                <c:pt idx="152">
                  <c:v>43595</c:v>
                </c:pt>
                <c:pt idx="153">
                  <c:v>43594</c:v>
                </c:pt>
                <c:pt idx="154">
                  <c:v>43593</c:v>
                </c:pt>
                <c:pt idx="155">
                  <c:v>43592</c:v>
                </c:pt>
                <c:pt idx="156">
                  <c:v>43581</c:v>
                </c:pt>
                <c:pt idx="157">
                  <c:v>43580</c:v>
                </c:pt>
                <c:pt idx="158">
                  <c:v>43579</c:v>
                </c:pt>
                <c:pt idx="159">
                  <c:v>43578</c:v>
                </c:pt>
                <c:pt idx="160">
                  <c:v>43577</c:v>
                </c:pt>
                <c:pt idx="161">
                  <c:v>43574</c:v>
                </c:pt>
                <c:pt idx="162">
                  <c:v>43573</c:v>
                </c:pt>
                <c:pt idx="163">
                  <c:v>43572</c:v>
                </c:pt>
                <c:pt idx="164">
                  <c:v>43571</c:v>
                </c:pt>
                <c:pt idx="165">
                  <c:v>43570</c:v>
                </c:pt>
                <c:pt idx="166">
                  <c:v>43567</c:v>
                </c:pt>
                <c:pt idx="167">
                  <c:v>43566</c:v>
                </c:pt>
                <c:pt idx="168">
                  <c:v>43565</c:v>
                </c:pt>
                <c:pt idx="169">
                  <c:v>43564</c:v>
                </c:pt>
                <c:pt idx="170">
                  <c:v>43563</c:v>
                </c:pt>
                <c:pt idx="171">
                  <c:v>43560</c:v>
                </c:pt>
                <c:pt idx="172">
                  <c:v>43559</c:v>
                </c:pt>
                <c:pt idx="173">
                  <c:v>43558</c:v>
                </c:pt>
                <c:pt idx="174">
                  <c:v>43557</c:v>
                </c:pt>
                <c:pt idx="175">
                  <c:v>43556</c:v>
                </c:pt>
                <c:pt idx="176">
                  <c:v>43553</c:v>
                </c:pt>
                <c:pt idx="177">
                  <c:v>43552</c:v>
                </c:pt>
                <c:pt idx="178">
                  <c:v>43551</c:v>
                </c:pt>
                <c:pt idx="179">
                  <c:v>43550</c:v>
                </c:pt>
                <c:pt idx="180">
                  <c:v>43549</c:v>
                </c:pt>
                <c:pt idx="181">
                  <c:v>43546</c:v>
                </c:pt>
                <c:pt idx="182">
                  <c:v>43544</c:v>
                </c:pt>
                <c:pt idx="183">
                  <c:v>43543</c:v>
                </c:pt>
                <c:pt idx="184">
                  <c:v>43542</c:v>
                </c:pt>
                <c:pt idx="185">
                  <c:v>43539</c:v>
                </c:pt>
                <c:pt idx="186">
                  <c:v>43538</c:v>
                </c:pt>
                <c:pt idx="187">
                  <c:v>43537</c:v>
                </c:pt>
                <c:pt idx="188">
                  <c:v>43536</c:v>
                </c:pt>
                <c:pt idx="189">
                  <c:v>43535</c:v>
                </c:pt>
                <c:pt idx="190">
                  <c:v>43532</c:v>
                </c:pt>
                <c:pt idx="191">
                  <c:v>43531</c:v>
                </c:pt>
                <c:pt idx="192">
                  <c:v>43530</c:v>
                </c:pt>
                <c:pt idx="193">
                  <c:v>43529</c:v>
                </c:pt>
                <c:pt idx="194">
                  <c:v>43528</c:v>
                </c:pt>
                <c:pt idx="195">
                  <c:v>43525</c:v>
                </c:pt>
                <c:pt idx="196">
                  <c:v>43524</c:v>
                </c:pt>
                <c:pt idx="197">
                  <c:v>43523</c:v>
                </c:pt>
                <c:pt idx="198">
                  <c:v>43522</c:v>
                </c:pt>
                <c:pt idx="199">
                  <c:v>43521</c:v>
                </c:pt>
                <c:pt idx="200">
                  <c:v>43518</c:v>
                </c:pt>
                <c:pt idx="201">
                  <c:v>43517</c:v>
                </c:pt>
                <c:pt idx="202">
                  <c:v>43516</c:v>
                </c:pt>
                <c:pt idx="203">
                  <c:v>43515</c:v>
                </c:pt>
                <c:pt idx="204">
                  <c:v>43514</c:v>
                </c:pt>
                <c:pt idx="205">
                  <c:v>43511</c:v>
                </c:pt>
                <c:pt idx="206">
                  <c:v>43510</c:v>
                </c:pt>
                <c:pt idx="207">
                  <c:v>43509</c:v>
                </c:pt>
                <c:pt idx="208">
                  <c:v>43508</c:v>
                </c:pt>
                <c:pt idx="209">
                  <c:v>43504</c:v>
                </c:pt>
                <c:pt idx="210">
                  <c:v>43503</c:v>
                </c:pt>
                <c:pt idx="211">
                  <c:v>43502</c:v>
                </c:pt>
                <c:pt idx="212">
                  <c:v>43501</c:v>
                </c:pt>
                <c:pt idx="213">
                  <c:v>43500</c:v>
                </c:pt>
                <c:pt idx="214">
                  <c:v>43497</c:v>
                </c:pt>
                <c:pt idx="215">
                  <c:v>43496</c:v>
                </c:pt>
                <c:pt idx="216">
                  <c:v>43495</c:v>
                </c:pt>
                <c:pt idx="217">
                  <c:v>43494</c:v>
                </c:pt>
                <c:pt idx="218">
                  <c:v>43493</c:v>
                </c:pt>
                <c:pt idx="219">
                  <c:v>43490</c:v>
                </c:pt>
                <c:pt idx="220">
                  <c:v>43489</c:v>
                </c:pt>
                <c:pt idx="221">
                  <c:v>43488</c:v>
                </c:pt>
                <c:pt idx="222">
                  <c:v>43487</c:v>
                </c:pt>
                <c:pt idx="223">
                  <c:v>43486</c:v>
                </c:pt>
                <c:pt idx="224">
                  <c:v>43483</c:v>
                </c:pt>
                <c:pt idx="225">
                  <c:v>43482</c:v>
                </c:pt>
                <c:pt idx="226">
                  <c:v>43481</c:v>
                </c:pt>
                <c:pt idx="227">
                  <c:v>43480</c:v>
                </c:pt>
                <c:pt idx="228">
                  <c:v>43476</c:v>
                </c:pt>
                <c:pt idx="229">
                  <c:v>43475</c:v>
                </c:pt>
                <c:pt idx="230">
                  <c:v>43474</c:v>
                </c:pt>
                <c:pt idx="231">
                  <c:v>43473</c:v>
                </c:pt>
                <c:pt idx="232">
                  <c:v>43472</c:v>
                </c:pt>
                <c:pt idx="233">
                  <c:v>43469</c:v>
                </c:pt>
                <c:pt idx="234">
                  <c:v>43462</c:v>
                </c:pt>
                <c:pt idx="235">
                  <c:v>43461</c:v>
                </c:pt>
                <c:pt idx="236">
                  <c:v>43460</c:v>
                </c:pt>
                <c:pt idx="237">
                  <c:v>43459</c:v>
                </c:pt>
                <c:pt idx="238">
                  <c:v>43455</c:v>
                </c:pt>
                <c:pt idx="239">
                  <c:v>43454</c:v>
                </c:pt>
                <c:pt idx="240">
                  <c:v>43453</c:v>
                </c:pt>
                <c:pt idx="241">
                  <c:v>43452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0.72836447138828098</c:v>
                </c:pt>
                <c:pt idx="1">
                  <c:v>0.72781316606577451</c:v>
                </c:pt>
                <c:pt idx="2">
                  <c:v>0.72687828157254475</c:v>
                </c:pt>
                <c:pt idx="3">
                  <c:v>0.72622478250948874</c:v>
                </c:pt>
                <c:pt idx="4">
                  <c:v>0.72589320353372544</c:v>
                </c:pt>
                <c:pt idx="5">
                  <c:v>0.72566035074728241</c:v>
                </c:pt>
                <c:pt idx="6">
                  <c:v>0.72548895808838487</c:v>
                </c:pt>
                <c:pt idx="7">
                  <c:v>0.72544308201771612</c:v>
                </c:pt>
                <c:pt idx="8">
                  <c:v>0.72573248059756601</c:v>
                </c:pt>
                <c:pt idx="9">
                  <c:v>0.72503870411556415</c:v>
                </c:pt>
                <c:pt idx="10">
                  <c:v>0.72423432803590537</c:v>
                </c:pt>
                <c:pt idx="11">
                  <c:v>0.72299503939193199</c:v>
                </c:pt>
                <c:pt idx="12">
                  <c:v>0.72214302750836523</c:v>
                </c:pt>
                <c:pt idx="13">
                  <c:v>0.72142071338747371</c:v>
                </c:pt>
                <c:pt idx="14">
                  <c:v>0.7205442858057165</c:v>
                </c:pt>
                <c:pt idx="15">
                  <c:v>0.71971303452848023</c:v>
                </c:pt>
                <c:pt idx="16">
                  <c:v>0.71909887282064588</c:v>
                </c:pt>
                <c:pt idx="17">
                  <c:v>0.71869645832777473</c:v>
                </c:pt>
                <c:pt idx="18">
                  <c:v>0.71902266931930259</c:v>
                </c:pt>
                <c:pt idx="19">
                  <c:v>0.7190546512107967</c:v>
                </c:pt>
                <c:pt idx="20">
                  <c:v>0.71889330477266511</c:v>
                </c:pt>
                <c:pt idx="21">
                  <c:v>0.71747525827163683</c:v>
                </c:pt>
                <c:pt idx="22">
                  <c:v>0.7155594075315248</c:v>
                </c:pt>
                <c:pt idx="23">
                  <c:v>0.71445203151296799</c:v>
                </c:pt>
                <c:pt idx="24">
                  <c:v>0.71382541845974046</c:v>
                </c:pt>
                <c:pt idx="25">
                  <c:v>0.71333706785474693</c:v>
                </c:pt>
                <c:pt idx="26">
                  <c:v>0.71310835568911213</c:v>
                </c:pt>
                <c:pt idx="27">
                  <c:v>0.71310112307796436</c:v>
                </c:pt>
                <c:pt idx="28">
                  <c:v>0.71309676622031004</c:v>
                </c:pt>
                <c:pt idx="29">
                  <c:v>0.71301601144260063</c:v>
                </c:pt>
                <c:pt idx="30">
                  <c:v>0.71289276068356855</c:v>
                </c:pt>
                <c:pt idx="31">
                  <c:v>0.71245788305882551</c:v>
                </c:pt>
                <c:pt idx="32">
                  <c:v>0.71186424125365799</c:v>
                </c:pt>
                <c:pt idx="33">
                  <c:v>0.71114104285847901</c:v>
                </c:pt>
                <c:pt idx="34">
                  <c:v>0.70981297820014544</c:v>
                </c:pt>
                <c:pt idx="35">
                  <c:v>0.70916865050350708</c:v>
                </c:pt>
                <c:pt idx="36">
                  <c:v>0.70860493375792344</c:v>
                </c:pt>
                <c:pt idx="37">
                  <c:v>0.70848151869089782</c:v>
                </c:pt>
                <c:pt idx="38">
                  <c:v>0.70833960930941042</c:v>
                </c:pt>
                <c:pt idx="39">
                  <c:v>0.70821871425313132</c:v>
                </c:pt>
                <c:pt idx="40">
                  <c:v>0.70807235751012998</c:v>
                </c:pt>
                <c:pt idx="41">
                  <c:v>0.70796514248580844</c:v>
                </c:pt>
                <c:pt idx="42">
                  <c:v>0.70829987581777776</c:v>
                </c:pt>
                <c:pt idx="43">
                  <c:v>0.70850409245911294</c:v>
                </c:pt>
                <c:pt idx="44">
                  <c:v>0.70880831187502669</c:v>
                </c:pt>
                <c:pt idx="45">
                  <c:v>0.70893802449160537</c:v>
                </c:pt>
                <c:pt idx="46">
                  <c:v>0.70914202389042924</c:v>
                </c:pt>
                <c:pt idx="47">
                  <c:v>0.7092420433557618</c:v>
                </c:pt>
                <c:pt idx="48">
                  <c:v>0.70940328326027013</c:v>
                </c:pt>
                <c:pt idx="49">
                  <c:v>0.70949926389992957</c:v>
                </c:pt>
                <c:pt idx="50">
                  <c:v>0.70957667539341573</c:v>
                </c:pt>
                <c:pt idx="51">
                  <c:v>0.70953012056960418</c:v>
                </c:pt>
                <c:pt idx="52">
                  <c:v>0.7096204775076923</c:v>
                </c:pt>
                <c:pt idx="53">
                  <c:v>0.70961862167144241</c:v>
                </c:pt>
                <c:pt idx="54">
                  <c:v>0.70958780780233821</c:v>
                </c:pt>
                <c:pt idx="55">
                  <c:v>0.70957557995447706</c:v>
                </c:pt>
                <c:pt idx="56">
                  <c:v>0.70962274376513756</c:v>
                </c:pt>
                <c:pt idx="57">
                  <c:v>0.70973668736430318</c:v>
                </c:pt>
                <c:pt idx="58">
                  <c:v>0.70979237085121027</c:v>
                </c:pt>
                <c:pt idx="59">
                  <c:v>0.70979656858202045</c:v>
                </c:pt>
                <c:pt idx="60">
                  <c:v>0.7097820602468301</c:v>
                </c:pt>
                <c:pt idx="61">
                  <c:v>0.70961138894642162</c:v>
                </c:pt>
                <c:pt idx="62">
                  <c:v>0.70919025525310275</c:v>
                </c:pt>
                <c:pt idx="63">
                  <c:v>0.70898174482891685</c:v>
                </c:pt>
                <c:pt idx="64">
                  <c:v>0.70880500388137146</c:v>
                </c:pt>
                <c:pt idx="65">
                  <c:v>0.70844842535362051</c:v>
                </c:pt>
                <c:pt idx="66">
                  <c:v>0.70868764683205643</c:v>
                </c:pt>
                <c:pt idx="67">
                  <c:v>0.70803782565818196</c:v>
                </c:pt>
                <c:pt idx="68">
                  <c:v>0.70744312147491839</c:v>
                </c:pt>
                <c:pt idx="69">
                  <c:v>0.7071025699918646</c:v>
                </c:pt>
                <c:pt idx="70">
                  <c:v>0.70715767648342254</c:v>
                </c:pt>
                <c:pt idx="71">
                  <c:v>0.7067310891972175</c:v>
                </c:pt>
                <c:pt idx="72">
                  <c:v>0.70635041155691558</c:v>
                </c:pt>
                <c:pt idx="73">
                  <c:v>0.70645954550277101</c:v>
                </c:pt>
                <c:pt idx="74">
                  <c:v>0.70639964183561976</c:v>
                </c:pt>
                <c:pt idx="75">
                  <c:v>0.70626575584249696</c:v>
                </c:pt>
                <c:pt idx="76">
                  <c:v>0.70570721676191162</c:v>
                </c:pt>
                <c:pt idx="77">
                  <c:v>0.70518693769545027</c:v>
                </c:pt>
                <c:pt idx="78">
                  <c:v>0.70425965427433956</c:v>
                </c:pt>
                <c:pt idx="79">
                  <c:v>0.70087411681325729</c:v>
                </c:pt>
                <c:pt idx="80">
                  <c:v>0.6983472352355492</c:v>
                </c:pt>
                <c:pt idx="81">
                  <c:v>0.69573279196548343</c:v>
                </c:pt>
                <c:pt idx="82">
                  <c:v>0.69455929816556639</c:v>
                </c:pt>
                <c:pt idx="83">
                  <c:v>0.69395148614647617</c:v>
                </c:pt>
                <c:pt idx="84">
                  <c:v>0.69373878021168012</c:v>
                </c:pt>
                <c:pt idx="85">
                  <c:v>0.69384704920571016</c:v>
                </c:pt>
                <c:pt idx="86">
                  <c:v>0.69424214384251381</c:v>
                </c:pt>
                <c:pt idx="87">
                  <c:v>0.69473376992209546</c:v>
                </c:pt>
                <c:pt idx="88">
                  <c:v>0.6954740774000322</c:v>
                </c:pt>
                <c:pt idx="89">
                  <c:v>0.69635374964715979</c:v>
                </c:pt>
                <c:pt idx="90">
                  <c:v>0.69728024446183823</c:v>
                </c:pt>
                <c:pt idx="91">
                  <c:v>0.69814417928789019</c:v>
                </c:pt>
                <c:pt idx="92">
                  <c:v>0.69886742637544752</c:v>
                </c:pt>
                <c:pt idx="93">
                  <c:v>0.69929390384993062</c:v>
                </c:pt>
                <c:pt idx="94">
                  <c:v>0.69965166449824245</c:v>
                </c:pt>
                <c:pt idx="95">
                  <c:v>0.69989836303043507</c:v>
                </c:pt>
                <c:pt idx="96">
                  <c:v>0.70122668515610287</c:v>
                </c:pt>
                <c:pt idx="97">
                  <c:v>0.70290458134630018</c:v>
                </c:pt>
                <c:pt idx="98">
                  <c:v>0.70421940724050758</c:v>
                </c:pt>
                <c:pt idx="99">
                  <c:v>0.70521125178504029</c:v>
                </c:pt>
                <c:pt idx="100">
                  <c:v>0.70593783218619277</c:v>
                </c:pt>
                <c:pt idx="101">
                  <c:v>0.70650343974217455</c:v>
                </c:pt>
                <c:pt idx="102">
                  <c:v>0.70671244336225825</c:v>
                </c:pt>
                <c:pt idx="103">
                  <c:v>0.70690558325925434</c:v>
                </c:pt>
                <c:pt idx="104">
                  <c:v>0.70710253757849684</c:v>
                </c:pt>
                <c:pt idx="105">
                  <c:v>0.70727057777821389</c:v>
                </c:pt>
                <c:pt idx="106">
                  <c:v>0.70788983972726227</c:v>
                </c:pt>
                <c:pt idx="107">
                  <c:v>0.70845481563871138</c:v>
                </c:pt>
                <c:pt idx="108">
                  <c:v>0.70906092574239821</c:v>
                </c:pt>
                <c:pt idx="109">
                  <c:v>0.71060118781010007</c:v>
                </c:pt>
                <c:pt idx="110">
                  <c:v>0.71183875154910436</c:v>
                </c:pt>
                <c:pt idx="111">
                  <c:v>0.71281981072119982</c:v>
                </c:pt>
                <c:pt idx="112">
                  <c:v>0.71378004015235719</c:v>
                </c:pt>
                <c:pt idx="113">
                  <c:v>0.71445020372878931</c:v>
                </c:pt>
                <c:pt idx="114">
                  <c:v>0.71504405933287563</c:v>
                </c:pt>
                <c:pt idx="115">
                  <c:v>0.71562337784662811</c:v>
                </c:pt>
                <c:pt idx="116">
                  <c:v>0.71605361271651879</c:v>
                </c:pt>
                <c:pt idx="117">
                  <c:v>0.71623541579917038</c:v>
                </c:pt>
                <c:pt idx="118">
                  <c:v>0.71661297041118521</c:v>
                </c:pt>
                <c:pt idx="119">
                  <c:v>0.71686562070444038</c:v>
                </c:pt>
                <c:pt idx="120">
                  <c:v>0.71717800247190511</c:v>
                </c:pt>
                <c:pt idx="121">
                  <c:v>0.71712144487398299</c:v>
                </c:pt>
                <c:pt idx="122">
                  <c:v>0.71692446057439763</c:v>
                </c:pt>
                <c:pt idx="123">
                  <c:v>0.71725654465822919</c:v>
                </c:pt>
                <c:pt idx="124">
                  <c:v>0.71767534771266361</c:v>
                </c:pt>
                <c:pt idx="125">
                  <c:v>0.71824411050329917</c:v>
                </c:pt>
                <c:pt idx="126">
                  <c:v>0.71908728199639405</c:v>
                </c:pt>
                <c:pt idx="127">
                  <c:v>0.71954235402212374</c:v>
                </c:pt>
                <c:pt idx="128">
                  <c:v>0.71904690821730155</c:v>
                </c:pt>
                <c:pt idx="129">
                  <c:v>0.71917883517924763</c:v>
                </c:pt>
                <c:pt idx="130">
                  <c:v>0.71923923644758281</c:v>
                </c:pt>
                <c:pt idx="131">
                  <c:v>0.71962025039247524</c:v>
                </c:pt>
                <c:pt idx="132">
                  <c:v>0.72008124392530004</c:v>
                </c:pt>
                <c:pt idx="133">
                  <c:v>0.72060632442463213</c:v>
                </c:pt>
                <c:pt idx="134">
                  <c:v>0.72107878557767102</c:v>
                </c:pt>
                <c:pt idx="135">
                  <c:v>0.72139563941536089</c:v>
                </c:pt>
                <c:pt idx="136">
                  <c:v>0.72152458997360436</c:v>
                </c:pt>
                <c:pt idx="137">
                  <c:v>0.72155370362234494</c:v>
                </c:pt>
                <c:pt idx="138">
                  <c:v>0.72169812117291021</c:v>
                </c:pt>
                <c:pt idx="139">
                  <c:v>0.72176233278903701</c:v>
                </c:pt>
                <c:pt idx="140">
                  <c:v>0.72179288363505378</c:v>
                </c:pt>
                <c:pt idx="141">
                  <c:v>0.72158001138773398</c:v>
                </c:pt>
                <c:pt idx="142">
                  <c:v>0.72123500832389975</c:v>
                </c:pt>
                <c:pt idx="143">
                  <c:v>0.72049276334210932</c:v>
                </c:pt>
                <c:pt idx="144">
                  <c:v>0.72011536142669119</c:v>
                </c:pt>
                <c:pt idx="145">
                  <c:v>0.71994712343650136</c:v>
                </c:pt>
                <c:pt idx="146">
                  <c:v>0.71985007102369958</c:v>
                </c:pt>
                <c:pt idx="147">
                  <c:v>0.71976276958312613</c:v>
                </c:pt>
                <c:pt idx="148">
                  <c:v>0.71974158693783474</c:v>
                </c:pt>
                <c:pt idx="149">
                  <c:v>0.71966888930476802</c:v>
                </c:pt>
                <c:pt idx="150">
                  <c:v>0.71957689457123253</c:v>
                </c:pt>
                <c:pt idx="151">
                  <c:v>0.71951803298895844</c:v>
                </c:pt>
                <c:pt idx="152">
                  <c:v>0.71946152503739813</c:v>
                </c:pt>
                <c:pt idx="153">
                  <c:v>0.71954706693674442</c:v>
                </c:pt>
                <c:pt idx="154">
                  <c:v>0.72108898483143602</c:v>
                </c:pt>
                <c:pt idx="155">
                  <c:v>0.72259267630260748</c:v>
                </c:pt>
                <c:pt idx="156">
                  <c:v>0.72481267068733712</c:v>
                </c:pt>
                <c:pt idx="157">
                  <c:v>0.72599501351795692</c:v>
                </c:pt>
                <c:pt idx="158">
                  <c:v>0.7266094326600534</c:v>
                </c:pt>
                <c:pt idx="159">
                  <c:v>0.72736120012644478</c:v>
                </c:pt>
                <c:pt idx="160">
                  <c:v>0.72781077113853365</c:v>
                </c:pt>
                <c:pt idx="161">
                  <c:v>0.72801959737667343</c:v>
                </c:pt>
                <c:pt idx="162">
                  <c:v>0.72778893092469921</c:v>
                </c:pt>
                <c:pt idx="163">
                  <c:v>0.72771323773131413</c:v>
                </c:pt>
                <c:pt idx="164">
                  <c:v>0.72773475648480124</c:v>
                </c:pt>
                <c:pt idx="165">
                  <c:v>0.72768498737923981</c:v>
                </c:pt>
                <c:pt idx="166">
                  <c:v>0.72760176039455104</c:v>
                </c:pt>
                <c:pt idx="167">
                  <c:v>0.7274339941013257</c:v>
                </c:pt>
                <c:pt idx="168">
                  <c:v>0.72754727766014315</c:v>
                </c:pt>
                <c:pt idx="169">
                  <c:v>0.72755568847987639</c:v>
                </c:pt>
                <c:pt idx="170">
                  <c:v>0.72756976415774566</c:v>
                </c:pt>
                <c:pt idx="171">
                  <c:v>0.72738359773058581</c:v>
                </c:pt>
                <c:pt idx="172">
                  <c:v>0.72758092884007575</c:v>
                </c:pt>
                <c:pt idx="173">
                  <c:v>0.72728785538030738</c:v>
                </c:pt>
                <c:pt idx="174">
                  <c:v>0.72716386359018581</c:v>
                </c:pt>
                <c:pt idx="175">
                  <c:v>0.72690182163315842</c:v>
                </c:pt>
                <c:pt idx="176">
                  <c:v>0.72676756269328557</c:v>
                </c:pt>
                <c:pt idx="177">
                  <c:v>0.72654641402637021</c:v>
                </c:pt>
                <c:pt idx="178">
                  <c:v>0.72647264906549625</c:v>
                </c:pt>
                <c:pt idx="179">
                  <c:v>0.72613646580918578</c:v>
                </c:pt>
                <c:pt idx="180">
                  <c:v>0.7257987066615158</c:v>
                </c:pt>
                <c:pt idx="181">
                  <c:v>0.72584944277736574</c:v>
                </c:pt>
                <c:pt idx="182">
                  <c:v>0.7263167668006385</c:v>
                </c:pt>
                <c:pt idx="183">
                  <c:v>0.72701551339861692</c:v>
                </c:pt>
                <c:pt idx="184">
                  <c:v>0.72740408584010519</c:v>
                </c:pt>
                <c:pt idx="185">
                  <c:v>0.72782059673434851</c:v>
                </c:pt>
                <c:pt idx="186">
                  <c:v>0.72829308363439005</c:v>
                </c:pt>
                <c:pt idx="187">
                  <c:v>0.72851651922532457</c:v>
                </c:pt>
                <c:pt idx="188">
                  <c:v>0.72868243969463775</c:v>
                </c:pt>
                <c:pt idx="189">
                  <c:v>0.72873804413940335</c:v>
                </c:pt>
                <c:pt idx="190">
                  <c:v>0.72905587622556434</c:v>
                </c:pt>
                <c:pt idx="191">
                  <c:v>0.72850935579121812</c:v>
                </c:pt>
                <c:pt idx="192">
                  <c:v>0.72852706271528567</c:v>
                </c:pt>
                <c:pt idx="193">
                  <c:v>0.72843994901372455</c:v>
                </c:pt>
                <c:pt idx="194">
                  <c:v>0.72815571621499353</c:v>
                </c:pt>
                <c:pt idx="195">
                  <c:v>0.72799937065034059</c:v>
                </c:pt>
                <c:pt idx="196">
                  <c:v>0.72838119156136538</c:v>
                </c:pt>
                <c:pt idx="197">
                  <c:v>0.72772590021041927</c:v>
                </c:pt>
                <c:pt idx="198">
                  <c:v>0.7270711297838377</c:v>
                </c:pt>
                <c:pt idx="199">
                  <c:v>0.72602867563329276</c:v>
                </c:pt>
                <c:pt idx="200">
                  <c:v>0.72606661211264478</c:v>
                </c:pt>
                <c:pt idx="201">
                  <c:v>0.72613251540721402</c:v>
                </c:pt>
                <c:pt idx="202">
                  <c:v>0.72646269271513764</c:v>
                </c:pt>
                <c:pt idx="203">
                  <c:v>0.72767360366479439</c:v>
                </c:pt>
                <c:pt idx="204">
                  <c:v>0.72861183203045299</c:v>
                </c:pt>
                <c:pt idx="205">
                  <c:v>0.72921303392485448</c:v>
                </c:pt>
                <c:pt idx="206">
                  <c:v>0.72947039931015523</c:v>
                </c:pt>
                <c:pt idx="207">
                  <c:v>0.72960854550162013</c:v>
                </c:pt>
                <c:pt idx="208">
                  <c:v>0.72965481191292325</c:v>
                </c:pt>
                <c:pt idx="209">
                  <c:v>0.7297229042951956</c:v>
                </c:pt>
                <c:pt idx="210">
                  <c:v>0.72975296602437423</c:v>
                </c:pt>
                <c:pt idx="211">
                  <c:v>0.72970142425752782</c:v>
                </c:pt>
                <c:pt idx="212">
                  <c:v>0.72958235465490051</c:v>
                </c:pt>
                <c:pt idx="213">
                  <c:v>0.72930899180107278</c:v>
                </c:pt>
                <c:pt idx="214">
                  <c:v>0.72923889432040079</c:v>
                </c:pt>
                <c:pt idx="215">
                  <c:v>0.72924667222697159</c:v>
                </c:pt>
                <c:pt idx="216">
                  <c:v>0.72961726044814013</c:v>
                </c:pt>
                <c:pt idx="217">
                  <c:v>0.73004990832402938</c:v>
                </c:pt>
                <c:pt idx="218">
                  <c:v>0.73089817068340235</c:v>
                </c:pt>
                <c:pt idx="219">
                  <c:v>0.73130852680603786</c:v>
                </c:pt>
                <c:pt idx="220">
                  <c:v>0.73145011328166953</c:v>
                </c:pt>
                <c:pt idx="221">
                  <c:v>0.73147157850205047</c:v>
                </c:pt>
                <c:pt idx="222">
                  <c:v>0.73167804134274417</c:v>
                </c:pt>
                <c:pt idx="223">
                  <c:v>0.73219040162413562</c:v>
                </c:pt>
                <c:pt idx="224">
                  <c:v>0.7325485976560141</c:v>
                </c:pt>
                <c:pt idx="225">
                  <c:v>0.73282215935044426</c:v>
                </c:pt>
                <c:pt idx="226">
                  <c:v>0.73297600741072277</c:v>
                </c:pt>
                <c:pt idx="227">
                  <c:v>0.73317818755515374</c:v>
                </c:pt>
                <c:pt idx="228">
                  <c:v>0.73330154555433336</c:v>
                </c:pt>
                <c:pt idx="229">
                  <c:v>0.73346568324563355</c:v>
                </c:pt>
                <c:pt idx="230">
                  <c:v>0.73316957413702444</c:v>
                </c:pt>
                <c:pt idx="231">
                  <c:v>0.73310823176202222</c:v>
                </c:pt>
                <c:pt idx="232">
                  <c:v>0.73304880025177532</c:v>
                </c:pt>
                <c:pt idx="233">
                  <c:v>0.73278301019718273</c:v>
                </c:pt>
                <c:pt idx="234">
                  <c:v>0.73220624848024596</c:v>
                </c:pt>
                <c:pt idx="235">
                  <c:v>0.73138750321502821</c:v>
                </c:pt>
                <c:pt idx="236">
                  <c:v>0.73057965488122112</c:v>
                </c:pt>
                <c:pt idx="237">
                  <c:v>0.72982052370824735</c:v>
                </c:pt>
                <c:pt idx="238">
                  <c:v>0.72946963633528916</c:v>
                </c:pt>
                <c:pt idx="239">
                  <c:v>0.72934657017156457</c:v>
                </c:pt>
                <c:pt idx="240">
                  <c:v>0.72957988605072843</c:v>
                </c:pt>
                <c:pt idx="241">
                  <c:v>0.72994348366416473</c:v>
                </c:pt>
              </c:numCache>
            </c:numRef>
          </c:val>
        </c:ser>
        <c:ser>
          <c:idx val="4"/>
          <c:order val="4"/>
          <c:tx>
            <c:v>open_line</c:v>
          </c:tx>
          <c:marker>
            <c:symbol val="none"/>
          </c:marker>
          <c:val>
            <c:numRef>
              <c:f>BACK_TEST!$A$35:$A$36</c:f>
              <c:numCache>
                <c:formatCode>yyyy/mm/dd</c:formatCode>
                <c:ptCount val="2"/>
                <c:pt idx="0">
                  <c:v>43809</c:v>
                </c:pt>
                <c:pt idx="1">
                  <c:v>43809</c:v>
                </c:pt>
              </c:numCache>
            </c:numRef>
          </c:val>
        </c:ser>
        <c:marker val="1"/>
        <c:axId val="146656256"/>
        <c:axId val="146666240"/>
      </c:lineChart>
      <c:dateAx>
        <c:axId val="146656256"/>
        <c:scaling>
          <c:orientation val="minMax"/>
        </c:scaling>
        <c:axPos val="b"/>
        <c:numFmt formatCode="yyyy/mm/dd" sourceLinked="1"/>
        <c:tickLblPos val="nextTo"/>
        <c:crossAx val="146666240"/>
        <c:crosses val="autoZero"/>
        <c:auto val="1"/>
        <c:lblOffset val="100"/>
      </c:dateAx>
      <c:valAx>
        <c:axId val="146666240"/>
        <c:scaling>
          <c:orientation val="minMax"/>
          <c:max val="0.82379825571060916"/>
          <c:min val="0.69373878021168012"/>
        </c:scaling>
        <c:axPos val="l"/>
        <c:majorGridlines/>
        <c:numFmt formatCode="General" sourceLinked="1"/>
        <c:majorTickMark val="none"/>
        <c:tickLblPos val="nextTo"/>
        <c:crossAx val="146656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4E-2"/>
          <c:w val="0.11146822390027165"/>
          <c:h val="0.19721174657337801"/>
        </c:manualLayout>
      </c:layout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sell(6471)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43798</c:v>
                </c:pt>
                <c:pt idx="15">
                  <c:v>43797</c:v>
                </c:pt>
                <c:pt idx="16">
                  <c:v>43796</c:v>
                </c:pt>
                <c:pt idx="17">
                  <c:v>43795</c:v>
                </c:pt>
                <c:pt idx="18">
                  <c:v>43794</c:v>
                </c:pt>
                <c:pt idx="19">
                  <c:v>43791</c:v>
                </c:pt>
                <c:pt idx="20">
                  <c:v>43790</c:v>
                </c:pt>
                <c:pt idx="21">
                  <c:v>43789</c:v>
                </c:pt>
                <c:pt idx="22">
                  <c:v>43788</c:v>
                </c:pt>
                <c:pt idx="23">
                  <c:v>43787</c:v>
                </c:pt>
                <c:pt idx="24">
                  <c:v>43784</c:v>
                </c:pt>
                <c:pt idx="25">
                  <c:v>43783</c:v>
                </c:pt>
                <c:pt idx="26">
                  <c:v>43782</c:v>
                </c:pt>
                <c:pt idx="27">
                  <c:v>43781</c:v>
                </c:pt>
                <c:pt idx="28">
                  <c:v>43780</c:v>
                </c:pt>
                <c:pt idx="29">
                  <c:v>43777</c:v>
                </c:pt>
                <c:pt idx="30">
                  <c:v>43776</c:v>
                </c:pt>
                <c:pt idx="31">
                  <c:v>43775</c:v>
                </c:pt>
                <c:pt idx="32">
                  <c:v>43774</c:v>
                </c:pt>
                <c:pt idx="33">
                  <c:v>43770</c:v>
                </c:pt>
                <c:pt idx="34">
                  <c:v>43769</c:v>
                </c:pt>
                <c:pt idx="35">
                  <c:v>43768</c:v>
                </c:pt>
                <c:pt idx="36">
                  <c:v>43767</c:v>
                </c:pt>
                <c:pt idx="37">
                  <c:v>43766</c:v>
                </c:pt>
                <c:pt idx="38">
                  <c:v>43763</c:v>
                </c:pt>
                <c:pt idx="39">
                  <c:v>43762</c:v>
                </c:pt>
                <c:pt idx="40">
                  <c:v>43761</c:v>
                </c:pt>
                <c:pt idx="41">
                  <c:v>43759</c:v>
                </c:pt>
                <c:pt idx="42">
                  <c:v>43756</c:v>
                </c:pt>
                <c:pt idx="43">
                  <c:v>43755</c:v>
                </c:pt>
                <c:pt idx="44">
                  <c:v>43754</c:v>
                </c:pt>
                <c:pt idx="45">
                  <c:v>43753</c:v>
                </c:pt>
                <c:pt idx="46">
                  <c:v>43749</c:v>
                </c:pt>
                <c:pt idx="47">
                  <c:v>43748</c:v>
                </c:pt>
                <c:pt idx="48">
                  <c:v>43747</c:v>
                </c:pt>
                <c:pt idx="49">
                  <c:v>43746</c:v>
                </c:pt>
                <c:pt idx="50">
                  <c:v>43745</c:v>
                </c:pt>
                <c:pt idx="51">
                  <c:v>43742</c:v>
                </c:pt>
                <c:pt idx="52">
                  <c:v>43741</c:v>
                </c:pt>
                <c:pt idx="53">
                  <c:v>43740</c:v>
                </c:pt>
                <c:pt idx="54">
                  <c:v>43739</c:v>
                </c:pt>
                <c:pt idx="55">
                  <c:v>43738</c:v>
                </c:pt>
                <c:pt idx="56">
                  <c:v>43735</c:v>
                </c:pt>
                <c:pt idx="57">
                  <c:v>43734</c:v>
                </c:pt>
                <c:pt idx="58">
                  <c:v>43733</c:v>
                </c:pt>
                <c:pt idx="59">
                  <c:v>43732</c:v>
                </c:pt>
                <c:pt idx="60">
                  <c:v>43728</c:v>
                </c:pt>
                <c:pt idx="61">
                  <c:v>43727</c:v>
                </c:pt>
                <c:pt idx="62">
                  <c:v>43726</c:v>
                </c:pt>
                <c:pt idx="63">
                  <c:v>43725</c:v>
                </c:pt>
                <c:pt idx="64">
                  <c:v>43721</c:v>
                </c:pt>
                <c:pt idx="65">
                  <c:v>43720</c:v>
                </c:pt>
                <c:pt idx="66">
                  <c:v>43719</c:v>
                </c:pt>
                <c:pt idx="67">
                  <c:v>43718</c:v>
                </c:pt>
                <c:pt idx="68">
                  <c:v>43717</c:v>
                </c:pt>
                <c:pt idx="69">
                  <c:v>43714</c:v>
                </c:pt>
                <c:pt idx="70">
                  <c:v>43713</c:v>
                </c:pt>
                <c:pt idx="71">
                  <c:v>43712</c:v>
                </c:pt>
                <c:pt idx="72">
                  <c:v>43711</c:v>
                </c:pt>
                <c:pt idx="73">
                  <c:v>43710</c:v>
                </c:pt>
                <c:pt idx="74">
                  <c:v>43707</c:v>
                </c:pt>
                <c:pt idx="75">
                  <c:v>43706</c:v>
                </c:pt>
                <c:pt idx="76">
                  <c:v>43705</c:v>
                </c:pt>
                <c:pt idx="77">
                  <c:v>43704</c:v>
                </c:pt>
                <c:pt idx="78">
                  <c:v>43703</c:v>
                </c:pt>
                <c:pt idx="79">
                  <c:v>43700</c:v>
                </c:pt>
                <c:pt idx="80">
                  <c:v>43699</c:v>
                </c:pt>
                <c:pt idx="81">
                  <c:v>43698</c:v>
                </c:pt>
                <c:pt idx="82">
                  <c:v>43697</c:v>
                </c:pt>
                <c:pt idx="83">
                  <c:v>43696</c:v>
                </c:pt>
                <c:pt idx="84">
                  <c:v>43693</c:v>
                </c:pt>
                <c:pt idx="85">
                  <c:v>43692</c:v>
                </c:pt>
                <c:pt idx="86">
                  <c:v>43691</c:v>
                </c:pt>
                <c:pt idx="87">
                  <c:v>43690</c:v>
                </c:pt>
                <c:pt idx="88">
                  <c:v>43686</c:v>
                </c:pt>
                <c:pt idx="89">
                  <c:v>43685</c:v>
                </c:pt>
                <c:pt idx="90">
                  <c:v>43684</c:v>
                </c:pt>
                <c:pt idx="91">
                  <c:v>43683</c:v>
                </c:pt>
                <c:pt idx="92">
                  <c:v>43682</c:v>
                </c:pt>
                <c:pt idx="93">
                  <c:v>43679</c:v>
                </c:pt>
                <c:pt idx="94">
                  <c:v>43678</c:v>
                </c:pt>
                <c:pt idx="95">
                  <c:v>43677</c:v>
                </c:pt>
                <c:pt idx="96">
                  <c:v>43676</c:v>
                </c:pt>
                <c:pt idx="97">
                  <c:v>43675</c:v>
                </c:pt>
                <c:pt idx="98">
                  <c:v>43672</c:v>
                </c:pt>
                <c:pt idx="99">
                  <c:v>43671</c:v>
                </c:pt>
                <c:pt idx="100">
                  <c:v>43670</c:v>
                </c:pt>
                <c:pt idx="101">
                  <c:v>43669</c:v>
                </c:pt>
                <c:pt idx="102">
                  <c:v>43668</c:v>
                </c:pt>
                <c:pt idx="103">
                  <c:v>43665</c:v>
                </c:pt>
                <c:pt idx="104">
                  <c:v>43664</c:v>
                </c:pt>
                <c:pt idx="105">
                  <c:v>43663</c:v>
                </c:pt>
                <c:pt idx="106">
                  <c:v>43662</c:v>
                </c:pt>
                <c:pt idx="107">
                  <c:v>43658</c:v>
                </c:pt>
                <c:pt idx="108">
                  <c:v>43657</c:v>
                </c:pt>
                <c:pt idx="109">
                  <c:v>43656</c:v>
                </c:pt>
                <c:pt idx="110">
                  <c:v>43655</c:v>
                </c:pt>
                <c:pt idx="111">
                  <c:v>43654</c:v>
                </c:pt>
                <c:pt idx="112">
                  <c:v>43651</c:v>
                </c:pt>
                <c:pt idx="113">
                  <c:v>43650</c:v>
                </c:pt>
                <c:pt idx="114">
                  <c:v>43649</c:v>
                </c:pt>
                <c:pt idx="115">
                  <c:v>43648</c:v>
                </c:pt>
                <c:pt idx="116">
                  <c:v>43647</c:v>
                </c:pt>
                <c:pt idx="117">
                  <c:v>43644</c:v>
                </c:pt>
                <c:pt idx="118">
                  <c:v>43643</c:v>
                </c:pt>
                <c:pt idx="119">
                  <c:v>43642</c:v>
                </c:pt>
                <c:pt idx="120">
                  <c:v>43641</c:v>
                </c:pt>
                <c:pt idx="121">
                  <c:v>43640</c:v>
                </c:pt>
                <c:pt idx="122">
                  <c:v>43637</c:v>
                </c:pt>
                <c:pt idx="123">
                  <c:v>43636</c:v>
                </c:pt>
                <c:pt idx="124">
                  <c:v>43635</c:v>
                </c:pt>
                <c:pt idx="125">
                  <c:v>43634</c:v>
                </c:pt>
                <c:pt idx="126">
                  <c:v>43633</c:v>
                </c:pt>
                <c:pt idx="127">
                  <c:v>43630</c:v>
                </c:pt>
                <c:pt idx="128">
                  <c:v>43629</c:v>
                </c:pt>
                <c:pt idx="129">
                  <c:v>43628</c:v>
                </c:pt>
                <c:pt idx="130">
                  <c:v>43627</c:v>
                </c:pt>
                <c:pt idx="131">
                  <c:v>43626</c:v>
                </c:pt>
                <c:pt idx="132">
                  <c:v>43623</c:v>
                </c:pt>
                <c:pt idx="133">
                  <c:v>43622</c:v>
                </c:pt>
                <c:pt idx="134">
                  <c:v>43621</c:v>
                </c:pt>
                <c:pt idx="135">
                  <c:v>43620</c:v>
                </c:pt>
                <c:pt idx="136">
                  <c:v>43619</c:v>
                </c:pt>
                <c:pt idx="137">
                  <c:v>43616</c:v>
                </c:pt>
                <c:pt idx="138">
                  <c:v>43615</c:v>
                </c:pt>
                <c:pt idx="139">
                  <c:v>43614</c:v>
                </c:pt>
                <c:pt idx="140">
                  <c:v>43613</c:v>
                </c:pt>
                <c:pt idx="141">
                  <c:v>43612</c:v>
                </c:pt>
                <c:pt idx="142">
                  <c:v>43609</c:v>
                </c:pt>
                <c:pt idx="143">
                  <c:v>43608</c:v>
                </c:pt>
                <c:pt idx="144">
                  <c:v>43607</c:v>
                </c:pt>
                <c:pt idx="145">
                  <c:v>43606</c:v>
                </c:pt>
                <c:pt idx="146">
                  <c:v>43605</c:v>
                </c:pt>
                <c:pt idx="147">
                  <c:v>43602</c:v>
                </c:pt>
                <c:pt idx="148">
                  <c:v>43601</c:v>
                </c:pt>
                <c:pt idx="149">
                  <c:v>43600</c:v>
                </c:pt>
                <c:pt idx="150">
                  <c:v>43599</c:v>
                </c:pt>
                <c:pt idx="151">
                  <c:v>43598</c:v>
                </c:pt>
                <c:pt idx="152">
                  <c:v>43595</c:v>
                </c:pt>
                <c:pt idx="153">
                  <c:v>43594</c:v>
                </c:pt>
                <c:pt idx="154">
                  <c:v>43593</c:v>
                </c:pt>
                <c:pt idx="155">
                  <c:v>43592</c:v>
                </c:pt>
                <c:pt idx="156">
                  <c:v>43581</c:v>
                </c:pt>
                <c:pt idx="157">
                  <c:v>43580</c:v>
                </c:pt>
                <c:pt idx="158">
                  <c:v>43579</c:v>
                </c:pt>
                <c:pt idx="159">
                  <c:v>43578</c:v>
                </c:pt>
                <c:pt idx="160">
                  <c:v>43577</c:v>
                </c:pt>
                <c:pt idx="161">
                  <c:v>43574</c:v>
                </c:pt>
                <c:pt idx="162">
                  <c:v>43573</c:v>
                </c:pt>
                <c:pt idx="163">
                  <c:v>43572</c:v>
                </c:pt>
                <c:pt idx="164">
                  <c:v>43571</c:v>
                </c:pt>
                <c:pt idx="165">
                  <c:v>43570</c:v>
                </c:pt>
                <c:pt idx="166">
                  <c:v>43567</c:v>
                </c:pt>
                <c:pt idx="167">
                  <c:v>43566</c:v>
                </c:pt>
                <c:pt idx="168">
                  <c:v>43565</c:v>
                </c:pt>
                <c:pt idx="169">
                  <c:v>43564</c:v>
                </c:pt>
                <c:pt idx="170">
                  <c:v>43563</c:v>
                </c:pt>
                <c:pt idx="171">
                  <c:v>43560</c:v>
                </c:pt>
                <c:pt idx="172">
                  <c:v>43559</c:v>
                </c:pt>
                <c:pt idx="173">
                  <c:v>43558</c:v>
                </c:pt>
                <c:pt idx="174">
                  <c:v>43557</c:v>
                </c:pt>
                <c:pt idx="175">
                  <c:v>43556</c:v>
                </c:pt>
                <c:pt idx="176">
                  <c:v>43553</c:v>
                </c:pt>
                <c:pt idx="177">
                  <c:v>43552</c:v>
                </c:pt>
                <c:pt idx="178">
                  <c:v>43551</c:v>
                </c:pt>
                <c:pt idx="179">
                  <c:v>43550</c:v>
                </c:pt>
                <c:pt idx="180">
                  <c:v>43549</c:v>
                </c:pt>
                <c:pt idx="181">
                  <c:v>43546</c:v>
                </c:pt>
                <c:pt idx="182">
                  <c:v>43544</c:v>
                </c:pt>
                <c:pt idx="183">
                  <c:v>43543</c:v>
                </c:pt>
                <c:pt idx="184">
                  <c:v>43542</c:v>
                </c:pt>
                <c:pt idx="185">
                  <c:v>43539</c:v>
                </c:pt>
                <c:pt idx="186">
                  <c:v>43538</c:v>
                </c:pt>
                <c:pt idx="187">
                  <c:v>43537</c:v>
                </c:pt>
                <c:pt idx="188">
                  <c:v>43536</c:v>
                </c:pt>
                <c:pt idx="189">
                  <c:v>43535</c:v>
                </c:pt>
                <c:pt idx="190">
                  <c:v>43532</c:v>
                </c:pt>
                <c:pt idx="191">
                  <c:v>43531</c:v>
                </c:pt>
                <c:pt idx="192">
                  <c:v>43530</c:v>
                </c:pt>
                <c:pt idx="193">
                  <c:v>43529</c:v>
                </c:pt>
                <c:pt idx="194">
                  <c:v>43528</c:v>
                </c:pt>
                <c:pt idx="195">
                  <c:v>43525</c:v>
                </c:pt>
                <c:pt idx="196">
                  <c:v>43524</c:v>
                </c:pt>
                <c:pt idx="197">
                  <c:v>43523</c:v>
                </c:pt>
                <c:pt idx="198">
                  <c:v>43522</c:v>
                </c:pt>
                <c:pt idx="199">
                  <c:v>43521</c:v>
                </c:pt>
                <c:pt idx="200">
                  <c:v>43518</c:v>
                </c:pt>
                <c:pt idx="201">
                  <c:v>43517</c:v>
                </c:pt>
                <c:pt idx="202">
                  <c:v>43516</c:v>
                </c:pt>
                <c:pt idx="203">
                  <c:v>43515</c:v>
                </c:pt>
                <c:pt idx="204">
                  <c:v>43514</c:v>
                </c:pt>
                <c:pt idx="205">
                  <c:v>43511</c:v>
                </c:pt>
                <c:pt idx="206">
                  <c:v>43510</c:v>
                </c:pt>
                <c:pt idx="207">
                  <c:v>43509</c:v>
                </c:pt>
                <c:pt idx="208">
                  <c:v>43508</c:v>
                </c:pt>
                <c:pt idx="209">
                  <c:v>43504</c:v>
                </c:pt>
                <c:pt idx="210">
                  <c:v>43503</c:v>
                </c:pt>
                <c:pt idx="211">
                  <c:v>43502</c:v>
                </c:pt>
                <c:pt idx="212">
                  <c:v>43501</c:v>
                </c:pt>
                <c:pt idx="213">
                  <c:v>43500</c:v>
                </c:pt>
                <c:pt idx="214">
                  <c:v>43497</c:v>
                </c:pt>
                <c:pt idx="215">
                  <c:v>43496</c:v>
                </c:pt>
                <c:pt idx="216">
                  <c:v>43495</c:v>
                </c:pt>
                <c:pt idx="217">
                  <c:v>43494</c:v>
                </c:pt>
                <c:pt idx="218">
                  <c:v>43493</c:v>
                </c:pt>
                <c:pt idx="219">
                  <c:v>43490</c:v>
                </c:pt>
                <c:pt idx="220">
                  <c:v>43489</c:v>
                </c:pt>
                <c:pt idx="221">
                  <c:v>43488</c:v>
                </c:pt>
                <c:pt idx="222">
                  <c:v>43487</c:v>
                </c:pt>
                <c:pt idx="223">
                  <c:v>43486</c:v>
                </c:pt>
                <c:pt idx="224">
                  <c:v>43483</c:v>
                </c:pt>
                <c:pt idx="225">
                  <c:v>43482</c:v>
                </c:pt>
                <c:pt idx="226">
                  <c:v>43481</c:v>
                </c:pt>
                <c:pt idx="227">
                  <c:v>43480</c:v>
                </c:pt>
                <c:pt idx="228">
                  <c:v>43476</c:v>
                </c:pt>
                <c:pt idx="229">
                  <c:v>43475</c:v>
                </c:pt>
                <c:pt idx="230">
                  <c:v>43474</c:v>
                </c:pt>
                <c:pt idx="231">
                  <c:v>43473</c:v>
                </c:pt>
                <c:pt idx="232">
                  <c:v>43472</c:v>
                </c:pt>
                <c:pt idx="233">
                  <c:v>43469</c:v>
                </c:pt>
                <c:pt idx="234">
                  <c:v>43462</c:v>
                </c:pt>
                <c:pt idx="235">
                  <c:v>43461</c:v>
                </c:pt>
                <c:pt idx="236">
                  <c:v>43460</c:v>
                </c:pt>
                <c:pt idx="237">
                  <c:v>43459</c:v>
                </c:pt>
                <c:pt idx="238">
                  <c:v>43455</c:v>
                </c:pt>
                <c:pt idx="239">
                  <c:v>43454</c:v>
                </c:pt>
                <c:pt idx="240">
                  <c:v>43453</c:v>
                </c:pt>
                <c:pt idx="241">
                  <c:v>43452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1064</c:v>
                </c:pt>
                <c:pt idx="1">
                  <c:v>1059</c:v>
                </c:pt>
                <c:pt idx="2">
                  <c:v>1070</c:v>
                </c:pt>
                <c:pt idx="3">
                  <c:v>1083</c:v>
                </c:pt>
                <c:pt idx="4">
                  <c:v>1088</c:v>
                </c:pt>
                <c:pt idx="5">
                  <c:v>1056</c:v>
                </c:pt>
                <c:pt idx="6">
                  <c:v>1062</c:v>
                </c:pt>
                <c:pt idx="7">
                  <c:v>1067</c:v>
                </c:pt>
                <c:pt idx="8">
                  <c:v>1076</c:v>
                </c:pt>
                <c:pt idx="9">
                  <c:v>1063</c:v>
                </c:pt>
                <c:pt idx="10">
                  <c:v>1065</c:v>
                </c:pt>
                <c:pt idx="11">
                  <c:v>1047</c:v>
                </c:pt>
                <c:pt idx="12">
                  <c:v>1062</c:v>
                </c:pt>
                <c:pt idx="13">
                  <c:v>1077</c:v>
                </c:pt>
                <c:pt idx="14">
                  <c:v>1058</c:v>
                </c:pt>
                <c:pt idx="15">
                  <c:v>1069</c:v>
                </c:pt>
                <c:pt idx="16">
                  <c:v>1080</c:v>
                </c:pt>
                <c:pt idx="17">
                  <c:v>1076</c:v>
                </c:pt>
                <c:pt idx="18">
                  <c:v>1065</c:v>
                </c:pt>
                <c:pt idx="19">
                  <c:v>1033</c:v>
                </c:pt>
                <c:pt idx="20">
                  <c:v>1022</c:v>
                </c:pt>
                <c:pt idx="21">
                  <c:v>1030</c:v>
                </c:pt>
                <c:pt idx="22">
                  <c:v>1049</c:v>
                </c:pt>
                <c:pt idx="23">
                  <c:v>1085</c:v>
                </c:pt>
                <c:pt idx="24">
                  <c:v>1086</c:v>
                </c:pt>
                <c:pt idx="25">
                  <c:v>1066</c:v>
                </c:pt>
                <c:pt idx="26">
                  <c:v>1098</c:v>
                </c:pt>
                <c:pt idx="27">
                  <c:v>1113</c:v>
                </c:pt>
                <c:pt idx="28">
                  <c:v>1101</c:v>
                </c:pt>
                <c:pt idx="29">
                  <c:v>1108</c:v>
                </c:pt>
                <c:pt idx="30">
                  <c:v>1084</c:v>
                </c:pt>
                <c:pt idx="31">
                  <c:v>1066</c:v>
                </c:pt>
                <c:pt idx="32">
                  <c:v>1057</c:v>
                </c:pt>
                <c:pt idx="33">
                  <c:v>997</c:v>
                </c:pt>
                <c:pt idx="34">
                  <c:v>1016</c:v>
                </c:pt>
                <c:pt idx="35">
                  <c:v>1026</c:v>
                </c:pt>
                <c:pt idx="36">
                  <c:v>1042</c:v>
                </c:pt>
                <c:pt idx="37">
                  <c:v>1019</c:v>
                </c:pt>
                <c:pt idx="38">
                  <c:v>1005</c:v>
                </c:pt>
                <c:pt idx="39">
                  <c:v>1017</c:v>
                </c:pt>
                <c:pt idx="40">
                  <c:v>995</c:v>
                </c:pt>
                <c:pt idx="41">
                  <c:v>989</c:v>
                </c:pt>
                <c:pt idx="42">
                  <c:v>983</c:v>
                </c:pt>
                <c:pt idx="43">
                  <c:v>978</c:v>
                </c:pt>
                <c:pt idx="44">
                  <c:v>979</c:v>
                </c:pt>
                <c:pt idx="45">
                  <c:v>974</c:v>
                </c:pt>
                <c:pt idx="46">
                  <c:v>950</c:v>
                </c:pt>
                <c:pt idx="47">
                  <c:v>926</c:v>
                </c:pt>
                <c:pt idx="48">
                  <c:v>915</c:v>
                </c:pt>
                <c:pt idx="49">
                  <c:v>926</c:v>
                </c:pt>
                <c:pt idx="50">
                  <c:v>910</c:v>
                </c:pt>
                <c:pt idx="51">
                  <c:v>914</c:v>
                </c:pt>
                <c:pt idx="52">
                  <c:v>909</c:v>
                </c:pt>
                <c:pt idx="53">
                  <c:v>928</c:v>
                </c:pt>
                <c:pt idx="54">
                  <c:v>949</c:v>
                </c:pt>
                <c:pt idx="55">
                  <c:v>910</c:v>
                </c:pt>
                <c:pt idx="56">
                  <c:v>921</c:v>
                </c:pt>
                <c:pt idx="57">
                  <c:v>945</c:v>
                </c:pt>
                <c:pt idx="58">
                  <c:v>939</c:v>
                </c:pt>
                <c:pt idx="59">
                  <c:v>947</c:v>
                </c:pt>
                <c:pt idx="60">
                  <c:v>949</c:v>
                </c:pt>
                <c:pt idx="61">
                  <c:v>949</c:v>
                </c:pt>
                <c:pt idx="62">
                  <c:v>963</c:v>
                </c:pt>
                <c:pt idx="63">
                  <c:v>983</c:v>
                </c:pt>
                <c:pt idx="64">
                  <c:v>969</c:v>
                </c:pt>
                <c:pt idx="65">
                  <c:v>996</c:v>
                </c:pt>
                <c:pt idx="66">
                  <c:v>975</c:v>
                </c:pt>
                <c:pt idx="67">
                  <c:v>966</c:v>
                </c:pt>
                <c:pt idx="68">
                  <c:v>901</c:v>
                </c:pt>
                <c:pt idx="69">
                  <c:v>903</c:v>
                </c:pt>
                <c:pt idx="70">
                  <c:v>890</c:v>
                </c:pt>
                <c:pt idx="71">
                  <c:v>846</c:v>
                </c:pt>
                <c:pt idx="72">
                  <c:v>871</c:v>
                </c:pt>
                <c:pt idx="73">
                  <c:v>860</c:v>
                </c:pt>
                <c:pt idx="74">
                  <c:v>852</c:v>
                </c:pt>
                <c:pt idx="75">
                  <c:v>825</c:v>
                </c:pt>
                <c:pt idx="76">
                  <c:v>821</c:v>
                </c:pt>
                <c:pt idx="77">
                  <c:v>834</c:v>
                </c:pt>
                <c:pt idx="78">
                  <c:v>828</c:v>
                </c:pt>
                <c:pt idx="79">
                  <c:v>840</c:v>
                </c:pt>
                <c:pt idx="80">
                  <c:v>838</c:v>
                </c:pt>
                <c:pt idx="81">
                  <c:v>838</c:v>
                </c:pt>
                <c:pt idx="82">
                  <c:v>844</c:v>
                </c:pt>
                <c:pt idx="83">
                  <c:v>814</c:v>
                </c:pt>
                <c:pt idx="84">
                  <c:v>801</c:v>
                </c:pt>
                <c:pt idx="85">
                  <c:v>801</c:v>
                </c:pt>
                <c:pt idx="86">
                  <c:v>816</c:v>
                </c:pt>
                <c:pt idx="87">
                  <c:v>808</c:v>
                </c:pt>
                <c:pt idx="88">
                  <c:v>826</c:v>
                </c:pt>
                <c:pt idx="89">
                  <c:v>832</c:v>
                </c:pt>
                <c:pt idx="90">
                  <c:v>838</c:v>
                </c:pt>
                <c:pt idx="91">
                  <c:v>857</c:v>
                </c:pt>
                <c:pt idx="92">
                  <c:v>870</c:v>
                </c:pt>
                <c:pt idx="93">
                  <c:v>893</c:v>
                </c:pt>
                <c:pt idx="94">
                  <c:v>938</c:v>
                </c:pt>
                <c:pt idx="95">
                  <c:v>927</c:v>
                </c:pt>
                <c:pt idx="96">
                  <c:v>934</c:v>
                </c:pt>
                <c:pt idx="97">
                  <c:v>933</c:v>
                </c:pt>
                <c:pt idx="98">
                  <c:v>963</c:v>
                </c:pt>
                <c:pt idx="99">
                  <c:v>982</c:v>
                </c:pt>
                <c:pt idx="100">
                  <c:v>991</c:v>
                </c:pt>
                <c:pt idx="101">
                  <c:v>983</c:v>
                </c:pt>
                <c:pt idx="102">
                  <c:v>969</c:v>
                </c:pt>
                <c:pt idx="103">
                  <c:v>955</c:v>
                </c:pt>
                <c:pt idx="104">
                  <c:v>928</c:v>
                </c:pt>
                <c:pt idx="105">
                  <c:v>941</c:v>
                </c:pt>
                <c:pt idx="106">
                  <c:v>945</c:v>
                </c:pt>
                <c:pt idx="107">
                  <c:v>942</c:v>
                </c:pt>
                <c:pt idx="108">
                  <c:v>942</c:v>
                </c:pt>
                <c:pt idx="109">
                  <c:v>940</c:v>
                </c:pt>
                <c:pt idx="110">
                  <c:v>950</c:v>
                </c:pt>
                <c:pt idx="111">
                  <c:v>962</c:v>
                </c:pt>
                <c:pt idx="112">
                  <c:v>971</c:v>
                </c:pt>
                <c:pt idx="113">
                  <c:v>967</c:v>
                </c:pt>
                <c:pt idx="114">
                  <c:v>970</c:v>
                </c:pt>
                <c:pt idx="115">
                  <c:v>991</c:v>
                </c:pt>
                <c:pt idx="116">
                  <c:v>996</c:v>
                </c:pt>
                <c:pt idx="117">
                  <c:v>960</c:v>
                </c:pt>
                <c:pt idx="118">
                  <c:v>958</c:v>
                </c:pt>
                <c:pt idx="119">
                  <c:v>935</c:v>
                </c:pt>
                <c:pt idx="120">
                  <c:v>923</c:v>
                </c:pt>
                <c:pt idx="121">
                  <c:v>935</c:v>
                </c:pt>
                <c:pt idx="122">
                  <c:v>927</c:v>
                </c:pt>
                <c:pt idx="123">
                  <c:v>928</c:v>
                </c:pt>
                <c:pt idx="124">
                  <c:v>925</c:v>
                </c:pt>
                <c:pt idx="125">
                  <c:v>890</c:v>
                </c:pt>
                <c:pt idx="126">
                  <c:v>897</c:v>
                </c:pt>
                <c:pt idx="127">
                  <c:v>913</c:v>
                </c:pt>
                <c:pt idx="128">
                  <c:v>908</c:v>
                </c:pt>
                <c:pt idx="129">
                  <c:v>925</c:v>
                </c:pt>
                <c:pt idx="130">
                  <c:v>930</c:v>
                </c:pt>
                <c:pt idx="131">
                  <c:v>916</c:v>
                </c:pt>
                <c:pt idx="132">
                  <c:v>900</c:v>
                </c:pt>
                <c:pt idx="133">
                  <c:v>893</c:v>
                </c:pt>
                <c:pt idx="134">
                  <c:v>912</c:v>
                </c:pt>
                <c:pt idx="135">
                  <c:v>887</c:v>
                </c:pt>
                <c:pt idx="136">
                  <c:v>869</c:v>
                </c:pt>
                <c:pt idx="137">
                  <c:v>873</c:v>
                </c:pt>
                <c:pt idx="138">
                  <c:v>893</c:v>
                </c:pt>
                <c:pt idx="139">
                  <c:v>894</c:v>
                </c:pt>
                <c:pt idx="140">
                  <c:v>903</c:v>
                </c:pt>
                <c:pt idx="141">
                  <c:v>911</c:v>
                </c:pt>
                <c:pt idx="142">
                  <c:v>914</c:v>
                </c:pt>
                <c:pt idx="143">
                  <c:v>908</c:v>
                </c:pt>
                <c:pt idx="144">
                  <c:v>922</c:v>
                </c:pt>
                <c:pt idx="145">
                  <c:v>927</c:v>
                </c:pt>
                <c:pt idx="146">
                  <c:v>922</c:v>
                </c:pt>
                <c:pt idx="147">
                  <c:v>910</c:v>
                </c:pt>
                <c:pt idx="148">
                  <c:v>920</c:v>
                </c:pt>
                <c:pt idx="149">
                  <c:v>941</c:v>
                </c:pt>
                <c:pt idx="150">
                  <c:v>946</c:v>
                </c:pt>
                <c:pt idx="151">
                  <c:v>960</c:v>
                </c:pt>
                <c:pt idx="152">
                  <c:v>998</c:v>
                </c:pt>
                <c:pt idx="153">
                  <c:v>1032</c:v>
                </c:pt>
                <c:pt idx="154">
                  <c:v>1062</c:v>
                </c:pt>
                <c:pt idx="155">
                  <c:v>1105</c:v>
                </c:pt>
                <c:pt idx="156">
                  <c:v>1150</c:v>
                </c:pt>
                <c:pt idx="157">
                  <c:v>1167</c:v>
                </c:pt>
                <c:pt idx="158">
                  <c:v>1165</c:v>
                </c:pt>
                <c:pt idx="159">
                  <c:v>1174</c:v>
                </c:pt>
                <c:pt idx="160">
                  <c:v>1188</c:v>
                </c:pt>
                <c:pt idx="161">
                  <c:v>1182</c:v>
                </c:pt>
                <c:pt idx="162">
                  <c:v>1133</c:v>
                </c:pt>
                <c:pt idx="163">
                  <c:v>1136</c:v>
                </c:pt>
                <c:pt idx="164">
                  <c:v>1122</c:v>
                </c:pt>
                <c:pt idx="165">
                  <c:v>1139</c:v>
                </c:pt>
                <c:pt idx="166">
                  <c:v>1115</c:v>
                </c:pt>
                <c:pt idx="167">
                  <c:v>1119</c:v>
                </c:pt>
                <c:pt idx="168">
                  <c:v>1113</c:v>
                </c:pt>
                <c:pt idx="169">
                  <c:v>1132</c:v>
                </c:pt>
                <c:pt idx="170">
                  <c:v>1120</c:v>
                </c:pt>
                <c:pt idx="171">
                  <c:v>1146</c:v>
                </c:pt>
                <c:pt idx="172">
                  <c:v>1116</c:v>
                </c:pt>
                <c:pt idx="173">
                  <c:v>1111</c:v>
                </c:pt>
                <c:pt idx="174">
                  <c:v>1091</c:v>
                </c:pt>
                <c:pt idx="175">
                  <c:v>1067</c:v>
                </c:pt>
                <c:pt idx="176">
                  <c:v>1037</c:v>
                </c:pt>
                <c:pt idx="177">
                  <c:v>1021</c:v>
                </c:pt>
                <c:pt idx="178">
                  <c:v>1016</c:v>
                </c:pt>
                <c:pt idx="179">
                  <c:v>1032</c:v>
                </c:pt>
                <c:pt idx="180">
                  <c:v>1010</c:v>
                </c:pt>
                <c:pt idx="181">
                  <c:v>1039</c:v>
                </c:pt>
                <c:pt idx="182">
                  <c:v>1007</c:v>
                </c:pt>
                <c:pt idx="183">
                  <c:v>1006</c:v>
                </c:pt>
                <c:pt idx="184">
                  <c:v>989</c:v>
                </c:pt>
                <c:pt idx="185">
                  <c:v>976</c:v>
                </c:pt>
                <c:pt idx="186">
                  <c:v>966</c:v>
                </c:pt>
                <c:pt idx="187">
                  <c:v>969</c:v>
                </c:pt>
                <c:pt idx="188">
                  <c:v>985</c:v>
                </c:pt>
                <c:pt idx="189">
                  <c:v>965</c:v>
                </c:pt>
                <c:pt idx="190">
                  <c:v>959</c:v>
                </c:pt>
                <c:pt idx="191">
                  <c:v>991</c:v>
                </c:pt>
                <c:pt idx="192">
                  <c:v>1018</c:v>
                </c:pt>
                <c:pt idx="193">
                  <c:v>1021</c:v>
                </c:pt>
                <c:pt idx="194">
                  <c:v>1033</c:v>
                </c:pt>
                <c:pt idx="195">
                  <c:v>1014</c:v>
                </c:pt>
                <c:pt idx="196">
                  <c:v>1023</c:v>
                </c:pt>
                <c:pt idx="197">
                  <c:v>1032</c:v>
                </c:pt>
                <c:pt idx="198">
                  <c:v>1046</c:v>
                </c:pt>
                <c:pt idx="199">
                  <c:v>1054</c:v>
                </c:pt>
                <c:pt idx="200">
                  <c:v>1051</c:v>
                </c:pt>
                <c:pt idx="201">
                  <c:v>1059</c:v>
                </c:pt>
                <c:pt idx="202">
                  <c:v>1055</c:v>
                </c:pt>
                <c:pt idx="203">
                  <c:v>1047</c:v>
                </c:pt>
                <c:pt idx="204">
                  <c:v>1055</c:v>
                </c:pt>
                <c:pt idx="205">
                  <c:v>1043</c:v>
                </c:pt>
                <c:pt idx="206">
                  <c:v>1061</c:v>
                </c:pt>
                <c:pt idx="207">
                  <c:v>1060</c:v>
                </c:pt>
                <c:pt idx="208">
                  <c:v>1030</c:v>
                </c:pt>
                <c:pt idx="209">
                  <c:v>1019</c:v>
                </c:pt>
                <c:pt idx="210">
                  <c:v>1067</c:v>
                </c:pt>
                <c:pt idx="211">
                  <c:v>1078</c:v>
                </c:pt>
                <c:pt idx="212">
                  <c:v>1068</c:v>
                </c:pt>
                <c:pt idx="213">
                  <c:v>1072</c:v>
                </c:pt>
                <c:pt idx="214">
                  <c:v>1035</c:v>
                </c:pt>
                <c:pt idx="215">
                  <c:v>1059</c:v>
                </c:pt>
                <c:pt idx="216">
                  <c:v>1047</c:v>
                </c:pt>
                <c:pt idx="217">
                  <c:v>1042</c:v>
                </c:pt>
                <c:pt idx="218">
                  <c:v>1062</c:v>
                </c:pt>
                <c:pt idx="219">
                  <c:v>1059</c:v>
                </c:pt>
                <c:pt idx="220">
                  <c:v>1046</c:v>
                </c:pt>
                <c:pt idx="221">
                  <c:v>1038</c:v>
                </c:pt>
                <c:pt idx="222">
                  <c:v>1035</c:v>
                </c:pt>
                <c:pt idx="223">
                  <c:v>1047</c:v>
                </c:pt>
                <c:pt idx="224">
                  <c:v>1037</c:v>
                </c:pt>
                <c:pt idx="225">
                  <c:v>1024</c:v>
                </c:pt>
                <c:pt idx="226">
                  <c:v>1015</c:v>
                </c:pt>
                <c:pt idx="227">
                  <c:v>1018</c:v>
                </c:pt>
                <c:pt idx="228">
                  <c:v>992</c:v>
                </c:pt>
                <c:pt idx="229">
                  <c:v>978</c:v>
                </c:pt>
                <c:pt idx="230">
                  <c:v>973</c:v>
                </c:pt>
                <c:pt idx="231">
                  <c:v>972</c:v>
                </c:pt>
                <c:pt idx="232">
                  <c:v>956</c:v>
                </c:pt>
                <c:pt idx="233">
                  <c:v>925</c:v>
                </c:pt>
                <c:pt idx="234">
                  <c:v>949</c:v>
                </c:pt>
                <c:pt idx="235">
                  <c:v>945</c:v>
                </c:pt>
                <c:pt idx="236">
                  <c:v>910</c:v>
                </c:pt>
                <c:pt idx="237">
                  <c:v>887</c:v>
                </c:pt>
                <c:pt idx="238">
                  <c:v>938</c:v>
                </c:pt>
                <c:pt idx="239">
                  <c:v>951</c:v>
                </c:pt>
                <c:pt idx="240">
                  <c:v>977</c:v>
                </c:pt>
                <c:pt idx="241">
                  <c:v>974</c:v>
                </c:pt>
              </c:numCache>
            </c:numRef>
          </c:val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buy(6473)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43798</c:v>
                </c:pt>
                <c:pt idx="15">
                  <c:v>43797</c:v>
                </c:pt>
                <c:pt idx="16">
                  <c:v>43796</c:v>
                </c:pt>
                <c:pt idx="17">
                  <c:v>43795</c:v>
                </c:pt>
                <c:pt idx="18">
                  <c:v>43794</c:v>
                </c:pt>
                <c:pt idx="19">
                  <c:v>43791</c:v>
                </c:pt>
                <c:pt idx="20">
                  <c:v>43790</c:v>
                </c:pt>
                <c:pt idx="21">
                  <c:v>43789</c:v>
                </c:pt>
                <c:pt idx="22">
                  <c:v>43788</c:v>
                </c:pt>
                <c:pt idx="23">
                  <c:v>43787</c:v>
                </c:pt>
                <c:pt idx="24">
                  <c:v>43784</c:v>
                </c:pt>
                <c:pt idx="25">
                  <c:v>43783</c:v>
                </c:pt>
                <c:pt idx="26">
                  <c:v>43782</c:v>
                </c:pt>
                <c:pt idx="27">
                  <c:v>43781</c:v>
                </c:pt>
                <c:pt idx="28">
                  <c:v>43780</c:v>
                </c:pt>
                <c:pt idx="29">
                  <c:v>43777</c:v>
                </c:pt>
                <c:pt idx="30">
                  <c:v>43776</c:v>
                </c:pt>
                <c:pt idx="31">
                  <c:v>43775</c:v>
                </c:pt>
                <c:pt idx="32">
                  <c:v>43774</c:v>
                </c:pt>
                <c:pt idx="33">
                  <c:v>43770</c:v>
                </c:pt>
                <c:pt idx="34">
                  <c:v>43769</c:v>
                </c:pt>
                <c:pt idx="35">
                  <c:v>43768</c:v>
                </c:pt>
                <c:pt idx="36">
                  <c:v>43767</c:v>
                </c:pt>
                <c:pt idx="37">
                  <c:v>43766</c:v>
                </c:pt>
                <c:pt idx="38">
                  <c:v>43763</c:v>
                </c:pt>
                <c:pt idx="39">
                  <c:v>43762</c:v>
                </c:pt>
                <c:pt idx="40">
                  <c:v>43761</c:v>
                </c:pt>
                <c:pt idx="41">
                  <c:v>43759</c:v>
                </c:pt>
                <c:pt idx="42">
                  <c:v>43756</c:v>
                </c:pt>
                <c:pt idx="43">
                  <c:v>43755</c:v>
                </c:pt>
                <c:pt idx="44">
                  <c:v>43754</c:v>
                </c:pt>
                <c:pt idx="45">
                  <c:v>43753</c:v>
                </c:pt>
                <c:pt idx="46">
                  <c:v>43749</c:v>
                </c:pt>
                <c:pt idx="47">
                  <c:v>43748</c:v>
                </c:pt>
                <c:pt idx="48">
                  <c:v>43747</c:v>
                </c:pt>
                <c:pt idx="49">
                  <c:v>43746</c:v>
                </c:pt>
                <c:pt idx="50">
                  <c:v>43745</c:v>
                </c:pt>
                <c:pt idx="51">
                  <c:v>43742</c:v>
                </c:pt>
                <c:pt idx="52">
                  <c:v>43741</c:v>
                </c:pt>
                <c:pt idx="53">
                  <c:v>43740</c:v>
                </c:pt>
                <c:pt idx="54">
                  <c:v>43739</c:v>
                </c:pt>
                <c:pt idx="55">
                  <c:v>43738</c:v>
                </c:pt>
                <c:pt idx="56">
                  <c:v>43735</c:v>
                </c:pt>
                <c:pt idx="57">
                  <c:v>43734</c:v>
                </c:pt>
                <c:pt idx="58">
                  <c:v>43733</c:v>
                </c:pt>
                <c:pt idx="59">
                  <c:v>43732</c:v>
                </c:pt>
                <c:pt idx="60">
                  <c:v>43728</c:v>
                </c:pt>
                <c:pt idx="61">
                  <c:v>43727</c:v>
                </c:pt>
                <c:pt idx="62">
                  <c:v>43726</c:v>
                </c:pt>
                <c:pt idx="63">
                  <c:v>43725</c:v>
                </c:pt>
                <c:pt idx="64">
                  <c:v>43721</c:v>
                </c:pt>
                <c:pt idx="65">
                  <c:v>43720</c:v>
                </c:pt>
                <c:pt idx="66">
                  <c:v>43719</c:v>
                </c:pt>
                <c:pt idx="67">
                  <c:v>43718</c:v>
                </c:pt>
                <c:pt idx="68">
                  <c:v>43717</c:v>
                </c:pt>
                <c:pt idx="69">
                  <c:v>43714</c:v>
                </c:pt>
                <c:pt idx="70">
                  <c:v>43713</c:v>
                </c:pt>
                <c:pt idx="71">
                  <c:v>43712</c:v>
                </c:pt>
                <c:pt idx="72">
                  <c:v>43711</c:v>
                </c:pt>
                <c:pt idx="73">
                  <c:v>43710</c:v>
                </c:pt>
                <c:pt idx="74">
                  <c:v>43707</c:v>
                </c:pt>
                <c:pt idx="75">
                  <c:v>43706</c:v>
                </c:pt>
                <c:pt idx="76">
                  <c:v>43705</c:v>
                </c:pt>
                <c:pt idx="77">
                  <c:v>43704</c:v>
                </c:pt>
                <c:pt idx="78">
                  <c:v>43703</c:v>
                </c:pt>
                <c:pt idx="79">
                  <c:v>43700</c:v>
                </c:pt>
                <c:pt idx="80">
                  <c:v>43699</c:v>
                </c:pt>
                <c:pt idx="81">
                  <c:v>43698</c:v>
                </c:pt>
                <c:pt idx="82">
                  <c:v>43697</c:v>
                </c:pt>
                <c:pt idx="83">
                  <c:v>43696</c:v>
                </c:pt>
                <c:pt idx="84">
                  <c:v>43693</c:v>
                </c:pt>
                <c:pt idx="85">
                  <c:v>43692</c:v>
                </c:pt>
                <c:pt idx="86">
                  <c:v>43691</c:v>
                </c:pt>
                <c:pt idx="87">
                  <c:v>43690</c:v>
                </c:pt>
                <c:pt idx="88">
                  <c:v>43686</c:v>
                </c:pt>
                <c:pt idx="89">
                  <c:v>43685</c:v>
                </c:pt>
                <c:pt idx="90">
                  <c:v>43684</c:v>
                </c:pt>
                <c:pt idx="91">
                  <c:v>43683</c:v>
                </c:pt>
                <c:pt idx="92">
                  <c:v>43682</c:v>
                </c:pt>
                <c:pt idx="93">
                  <c:v>43679</c:v>
                </c:pt>
                <c:pt idx="94">
                  <c:v>43678</c:v>
                </c:pt>
                <c:pt idx="95">
                  <c:v>43677</c:v>
                </c:pt>
                <c:pt idx="96">
                  <c:v>43676</c:v>
                </c:pt>
                <c:pt idx="97">
                  <c:v>43675</c:v>
                </c:pt>
                <c:pt idx="98">
                  <c:v>43672</c:v>
                </c:pt>
                <c:pt idx="99">
                  <c:v>43671</c:v>
                </c:pt>
                <c:pt idx="100">
                  <c:v>43670</c:v>
                </c:pt>
                <c:pt idx="101">
                  <c:v>43669</c:v>
                </c:pt>
                <c:pt idx="102">
                  <c:v>43668</c:v>
                </c:pt>
                <c:pt idx="103">
                  <c:v>43665</c:v>
                </c:pt>
                <c:pt idx="104">
                  <c:v>43664</c:v>
                </c:pt>
                <c:pt idx="105">
                  <c:v>43663</c:v>
                </c:pt>
                <c:pt idx="106">
                  <c:v>43662</c:v>
                </c:pt>
                <c:pt idx="107">
                  <c:v>43658</c:v>
                </c:pt>
                <c:pt idx="108">
                  <c:v>43657</c:v>
                </c:pt>
                <c:pt idx="109">
                  <c:v>43656</c:v>
                </c:pt>
                <c:pt idx="110">
                  <c:v>43655</c:v>
                </c:pt>
                <c:pt idx="111">
                  <c:v>43654</c:v>
                </c:pt>
                <c:pt idx="112">
                  <c:v>43651</c:v>
                </c:pt>
                <c:pt idx="113">
                  <c:v>43650</c:v>
                </c:pt>
                <c:pt idx="114">
                  <c:v>43649</c:v>
                </c:pt>
                <c:pt idx="115">
                  <c:v>43648</c:v>
                </c:pt>
                <c:pt idx="116">
                  <c:v>43647</c:v>
                </c:pt>
                <c:pt idx="117">
                  <c:v>43644</c:v>
                </c:pt>
                <c:pt idx="118">
                  <c:v>43643</c:v>
                </c:pt>
                <c:pt idx="119">
                  <c:v>43642</c:v>
                </c:pt>
                <c:pt idx="120">
                  <c:v>43641</c:v>
                </c:pt>
                <c:pt idx="121">
                  <c:v>43640</c:v>
                </c:pt>
                <c:pt idx="122">
                  <c:v>43637</c:v>
                </c:pt>
                <c:pt idx="123">
                  <c:v>43636</c:v>
                </c:pt>
                <c:pt idx="124">
                  <c:v>43635</c:v>
                </c:pt>
                <c:pt idx="125">
                  <c:v>43634</c:v>
                </c:pt>
                <c:pt idx="126">
                  <c:v>43633</c:v>
                </c:pt>
                <c:pt idx="127">
                  <c:v>43630</c:v>
                </c:pt>
                <c:pt idx="128">
                  <c:v>43629</c:v>
                </c:pt>
                <c:pt idx="129">
                  <c:v>43628</c:v>
                </c:pt>
                <c:pt idx="130">
                  <c:v>43627</c:v>
                </c:pt>
                <c:pt idx="131">
                  <c:v>43626</c:v>
                </c:pt>
                <c:pt idx="132">
                  <c:v>43623</c:v>
                </c:pt>
                <c:pt idx="133">
                  <c:v>43622</c:v>
                </c:pt>
                <c:pt idx="134">
                  <c:v>43621</c:v>
                </c:pt>
                <c:pt idx="135">
                  <c:v>43620</c:v>
                </c:pt>
                <c:pt idx="136">
                  <c:v>43619</c:v>
                </c:pt>
                <c:pt idx="137">
                  <c:v>43616</c:v>
                </c:pt>
                <c:pt idx="138">
                  <c:v>43615</c:v>
                </c:pt>
                <c:pt idx="139">
                  <c:v>43614</c:v>
                </c:pt>
                <c:pt idx="140">
                  <c:v>43613</c:v>
                </c:pt>
                <c:pt idx="141">
                  <c:v>43612</c:v>
                </c:pt>
                <c:pt idx="142">
                  <c:v>43609</c:v>
                </c:pt>
                <c:pt idx="143">
                  <c:v>43608</c:v>
                </c:pt>
                <c:pt idx="144">
                  <c:v>43607</c:v>
                </c:pt>
                <c:pt idx="145">
                  <c:v>43606</c:v>
                </c:pt>
                <c:pt idx="146">
                  <c:v>43605</c:v>
                </c:pt>
                <c:pt idx="147">
                  <c:v>43602</c:v>
                </c:pt>
                <c:pt idx="148">
                  <c:v>43601</c:v>
                </c:pt>
                <c:pt idx="149">
                  <c:v>43600</c:v>
                </c:pt>
                <c:pt idx="150">
                  <c:v>43599</c:v>
                </c:pt>
                <c:pt idx="151">
                  <c:v>43598</c:v>
                </c:pt>
                <c:pt idx="152">
                  <c:v>43595</c:v>
                </c:pt>
                <c:pt idx="153">
                  <c:v>43594</c:v>
                </c:pt>
                <c:pt idx="154">
                  <c:v>43593</c:v>
                </c:pt>
                <c:pt idx="155">
                  <c:v>43592</c:v>
                </c:pt>
                <c:pt idx="156">
                  <c:v>43581</c:v>
                </c:pt>
                <c:pt idx="157">
                  <c:v>43580</c:v>
                </c:pt>
                <c:pt idx="158">
                  <c:v>43579</c:v>
                </c:pt>
                <c:pt idx="159">
                  <c:v>43578</c:v>
                </c:pt>
                <c:pt idx="160">
                  <c:v>43577</c:v>
                </c:pt>
                <c:pt idx="161">
                  <c:v>43574</c:v>
                </c:pt>
                <c:pt idx="162">
                  <c:v>43573</c:v>
                </c:pt>
                <c:pt idx="163">
                  <c:v>43572</c:v>
                </c:pt>
                <c:pt idx="164">
                  <c:v>43571</c:v>
                </c:pt>
                <c:pt idx="165">
                  <c:v>43570</c:v>
                </c:pt>
                <c:pt idx="166">
                  <c:v>43567</c:v>
                </c:pt>
                <c:pt idx="167">
                  <c:v>43566</c:v>
                </c:pt>
                <c:pt idx="168">
                  <c:v>43565</c:v>
                </c:pt>
                <c:pt idx="169">
                  <c:v>43564</c:v>
                </c:pt>
                <c:pt idx="170">
                  <c:v>43563</c:v>
                </c:pt>
                <c:pt idx="171">
                  <c:v>43560</c:v>
                </c:pt>
                <c:pt idx="172">
                  <c:v>43559</c:v>
                </c:pt>
                <c:pt idx="173">
                  <c:v>43558</c:v>
                </c:pt>
                <c:pt idx="174">
                  <c:v>43557</c:v>
                </c:pt>
                <c:pt idx="175">
                  <c:v>43556</c:v>
                </c:pt>
                <c:pt idx="176">
                  <c:v>43553</c:v>
                </c:pt>
                <c:pt idx="177">
                  <c:v>43552</c:v>
                </c:pt>
                <c:pt idx="178">
                  <c:v>43551</c:v>
                </c:pt>
                <c:pt idx="179">
                  <c:v>43550</c:v>
                </c:pt>
                <c:pt idx="180">
                  <c:v>43549</c:v>
                </c:pt>
                <c:pt idx="181">
                  <c:v>43546</c:v>
                </c:pt>
                <c:pt idx="182">
                  <c:v>43544</c:v>
                </c:pt>
                <c:pt idx="183">
                  <c:v>43543</c:v>
                </c:pt>
                <c:pt idx="184">
                  <c:v>43542</c:v>
                </c:pt>
                <c:pt idx="185">
                  <c:v>43539</c:v>
                </c:pt>
                <c:pt idx="186">
                  <c:v>43538</c:v>
                </c:pt>
                <c:pt idx="187">
                  <c:v>43537</c:v>
                </c:pt>
                <c:pt idx="188">
                  <c:v>43536</c:v>
                </c:pt>
                <c:pt idx="189">
                  <c:v>43535</c:v>
                </c:pt>
                <c:pt idx="190">
                  <c:v>43532</c:v>
                </c:pt>
                <c:pt idx="191">
                  <c:v>43531</c:v>
                </c:pt>
                <c:pt idx="192">
                  <c:v>43530</c:v>
                </c:pt>
                <c:pt idx="193">
                  <c:v>43529</c:v>
                </c:pt>
                <c:pt idx="194">
                  <c:v>43528</c:v>
                </c:pt>
                <c:pt idx="195">
                  <c:v>43525</c:v>
                </c:pt>
                <c:pt idx="196">
                  <c:v>43524</c:v>
                </c:pt>
                <c:pt idx="197">
                  <c:v>43523</c:v>
                </c:pt>
                <c:pt idx="198">
                  <c:v>43522</c:v>
                </c:pt>
                <c:pt idx="199">
                  <c:v>43521</c:v>
                </c:pt>
                <c:pt idx="200">
                  <c:v>43518</c:v>
                </c:pt>
                <c:pt idx="201">
                  <c:v>43517</c:v>
                </c:pt>
                <c:pt idx="202">
                  <c:v>43516</c:v>
                </c:pt>
                <c:pt idx="203">
                  <c:v>43515</c:v>
                </c:pt>
                <c:pt idx="204">
                  <c:v>43514</c:v>
                </c:pt>
                <c:pt idx="205">
                  <c:v>43511</c:v>
                </c:pt>
                <c:pt idx="206">
                  <c:v>43510</c:v>
                </c:pt>
                <c:pt idx="207">
                  <c:v>43509</c:v>
                </c:pt>
                <c:pt idx="208">
                  <c:v>43508</c:v>
                </c:pt>
                <c:pt idx="209">
                  <c:v>43504</c:v>
                </c:pt>
                <c:pt idx="210">
                  <c:v>43503</c:v>
                </c:pt>
                <c:pt idx="211">
                  <c:v>43502</c:v>
                </c:pt>
                <c:pt idx="212">
                  <c:v>43501</c:v>
                </c:pt>
                <c:pt idx="213">
                  <c:v>43500</c:v>
                </c:pt>
                <c:pt idx="214">
                  <c:v>43497</c:v>
                </c:pt>
                <c:pt idx="215">
                  <c:v>43496</c:v>
                </c:pt>
                <c:pt idx="216">
                  <c:v>43495</c:v>
                </c:pt>
                <c:pt idx="217">
                  <c:v>43494</c:v>
                </c:pt>
                <c:pt idx="218">
                  <c:v>43493</c:v>
                </c:pt>
                <c:pt idx="219">
                  <c:v>43490</c:v>
                </c:pt>
                <c:pt idx="220">
                  <c:v>43489</c:v>
                </c:pt>
                <c:pt idx="221">
                  <c:v>43488</c:v>
                </c:pt>
                <c:pt idx="222">
                  <c:v>43487</c:v>
                </c:pt>
                <c:pt idx="223">
                  <c:v>43486</c:v>
                </c:pt>
                <c:pt idx="224">
                  <c:v>43483</c:v>
                </c:pt>
                <c:pt idx="225">
                  <c:v>43482</c:v>
                </c:pt>
                <c:pt idx="226">
                  <c:v>43481</c:v>
                </c:pt>
                <c:pt idx="227">
                  <c:v>43480</c:v>
                </c:pt>
                <c:pt idx="228">
                  <c:v>43476</c:v>
                </c:pt>
                <c:pt idx="229">
                  <c:v>43475</c:v>
                </c:pt>
                <c:pt idx="230">
                  <c:v>43474</c:v>
                </c:pt>
                <c:pt idx="231">
                  <c:v>43473</c:v>
                </c:pt>
                <c:pt idx="232">
                  <c:v>43472</c:v>
                </c:pt>
                <c:pt idx="233">
                  <c:v>43469</c:v>
                </c:pt>
                <c:pt idx="234">
                  <c:v>43462</c:v>
                </c:pt>
                <c:pt idx="235">
                  <c:v>43461</c:v>
                </c:pt>
                <c:pt idx="236">
                  <c:v>43460</c:v>
                </c:pt>
                <c:pt idx="237">
                  <c:v>43459</c:v>
                </c:pt>
                <c:pt idx="238">
                  <c:v>43455</c:v>
                </c:pt>
                <c:pt idx="239">
                  <c:v>43454</c:v>
                </c:pt>
                <c:pt idx="240">
                  <c:v>43453</c:v>
                </c:pt>
                <c:pt idx="241">
                  <c:v>43452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1008.3852647735994</c:v>
                </c:pt>
                <c:pt idx="1">
                  <c:v>1013.6178050652342</c:v>
                </c:pt>
                <c:pt idx="2">
                  <c:v>1029.3154259401381</c:v>
                </c:pt>
                <c:pt idx="3">
                  <c:v>1030.8104374520337</c:v>
                </c:pt>
                <c:pt idx="4">
                  <c:v>1032.3054489639294</c:v>
                </c:pt>
                <c:pt idx="5">
                  <c:v>997.92018419033002</c:v>
                </c:pt>
                <c:pt idx="6">
                  <c:v>1006.8902532617038</c:v>
                </c:pt>
                <c:pt idx="7">
                  <c:v>1011.3752877973907</c:v>
                </c:pt>
                <c:pt idx="8">
                  <c:v>1025.5778971603991</c:v>
                </c:pt>
                <c:pt idx="9">
                  <c:v>1018.102839600921</c:v>
                </c:pt>
                <c:pt idx="10">
                  <c:v>1020.3453568687644</c:v>
                </c:pt>
                <c:pt idx="11">
                  <c:v>1002.4052187260169</c:v>
                </c:pt>
                <c:pt idx="12">
                  <c:v>1016.6078280890254</c:v>
                </c:pt>
                <c:pt idx="13">
                  <c:v>1034.5479662317728</c:v>
                </c:pt>
                <c:pt idx="14">
                  <c:v>1016.6078280890254</c:v>
                </c:pt>
                <c:pt idx="15">
                  <c:v>1027.0729086722947</c:v>
                </c:pt>
                <c:pt idx="16">
                  <c:v>1038.285495011512</c:v>
                </c:pt>
                <c:pt idx="17">
                  <c:v>1027.8204144282427</c:v>
                </c:pt>
                <c:pt idx="18">
                  <c:v>1033.0529547198773</c:v>
                </c:pt>
                <c:pt idx="19">
                  <c:v>1020.3453568687644</c:v>
                </c:pt>
                <c:pt idx="20">
                  <c:v>1021.0928626247122</c:v>
                </c:pt>
                <c:pt idx="21">
                  <c:v>1025.5778971603991</c:v>
                </c:pt>
                <c:pt idx="22">
                  <c:v>1042.7705295471987</c:v>
                </c:pt>
                <c:pt idx="23">
                  <c:v>1064.4481964696854</c:v>
                </c:pt>
                <c:pt idx="24">
                  <c:v>1077.9033000767461</c:v>
                </c:pt>
                <c:pt idx="25">
                  <c:v>1066.6907137375288</c:v>
                </c:pt>
                <c:pt idx="26">
                  <c:v>1089.1158864159631</c:v>
                </c:pt>
                <c:pt idx="27">
                  <c:v>1111.5410590943975</c:v>
                </c:pt>
                <c:pt idx="28">
                  <c:v>1094.3484267075978</c:v>
                </c:pt>
                <c:pt idx="29">
                  <c:v>1099.5809669992325</c:v>
                </c:pt>
                <c:pt idx="30">
                  <c:v>1071.9232540291634</c:v>
                </c:pt>
                <c:pt idx="31">
                  <c:v>1053.983115886416</c:v>
                </c:pt>
                <c:pt idx="32">
                  <c:v>1041.2755180353031</c:v>
                </c:pt>
                <c:pt idx="33">
                  <c:v>999.41519570222567</c:v>
                </c:pt>
                <c:pt idx="34">
                  <c:v>1042.023023791251</c:v>
                </c:pt>
                <c:pt idx="35">
                  <c:v>1003.1527244819647</c:v>
                </c:pt>
                <c:pt idx="36">
                  <c:v>1009.1327705295472</c:v>
                </c:pt>
                <c:pt idx="37">
                  <c:v>996.42517267843436</c:v>
                </c:pt>
                <c:pt idx="38">
                  <c:v>982.22256331542599</c:v>
                </c:pt>
                <c:pt idx="39">
                  <c:v>998.66768994627785</c:v>
                </c:pt>
                <c:pt idx="40">
                  <c:v>983.71757482732164</c:v>
                </c:pt>
                <c:pt idx="41">
                  <c:v>963.53491941673065</c:v>
                </c:pt>
                <c:pt idx="42">
                  <c:v>963.53491941673065</c:v>
                </c:pt>
                <c:pt idx="43">
                  <c:v>956.05986185725249</c:v>
                </c:pt>
                <c:pt idx="44">
                  <c:v>962.78741366078282</c:v>
                </c:pt>
                <c:pt idx="45">
                  <c:v>959.04988488104379</c:v>
                </c:pt>
                <c:pt idx="46">
                  <c:v>941.85725249424411</c:v>
                </c:pt>
                <c:pt idx="47">
                  <c:v>913.45203376822724</c:v>
                </c:pt>
                <c:pt idx="48">
                  <c:v>905.97697620874908</c:v>
                </c:pt>
                <c:pt idx="49">
                  <c:v>920.17958557175757</c:v>
                </c:pt>
                <c:pt idx="50">
                  <c:v>907.47198772064473</c:v>
                </c:pt>
                <c:pt idx="51">
                  <c:v>908.96699923254027</c:v>
                </c:pt>
                <c:pt idx="52">
                  <c:v>911.95702225633158</c:v>
                </c:pt>
                <c:pt idx="53">
                  <c:v>935.8772064466616</c:v>
                </c:pt>
                <c:pt idx="54">
                  <c:v>958.30237912509597</c:v>
                </c:pt>
                <c:pt idx="55">
                  <c:v>926.15963161933996</c:v>
                </c:pt>
                <c:pt idx="56">
                  <c:v>941.85725249424411</c:v>
                </c:pt>
                <c:pt idx="57">
                  <c:v>962.03990790483499</c:v>
                </c:pt>
                <c:pt idx="58">
                  <c:v>949.33231005372227</c:v>
                </c:pt>
                <c:pt idx="59">
                  <c:v>957.55487336914814</c:v>
                </c:pt>
                <c:pt idx="60">
                  <c:v>954.56485034535694</c:v>
                </c:pt>
                <c:pt idx="61">
                  <c:v>965.77743668457413</c:v>
                </c:pt>
                <c:pt idx="62">
                  <c:v>964.28242517267847</c:v>
                </c:pt>
                <c:pt idx="63">
                  <c:v>974</c:v>
                </c:pt>
                <c:pt idx="64">
                  <c:v>970.26247122026098</c:v>
                </c:pt>
                <c:pt idx="65">
                  <c:v>970.26247122026098</c:v>
                </c:pt>
                <c:pt idx="66">
                  <c:v>963.53491941673065</c:v>
                </c:pt>
                <c:pt idx="67">
                  <c:v>943.35226400613976</c:v>
                </c:pt>
                <c:pt idx="68">
                  <c:v>892.52187260168841</c:v>
                </c:pt>
                <c:pt idx="69">
                  <c:v>886.54182655410591</c:v>
                </c:pt>
                <c:pt idx="70">
                  <c:v>878.31926323868004</c:v>
                </c:pt>
                <c:pt idx="71">
                  <c:v>849.91404451266317</c:v>
                </c:pt>
                <c:pt idx="72">
                  <c:v>859.6316193399847</c:v>
                </c:pt>
                <c:pt idx="73">
                  <c:v>853.65157329240219</c:v>
                </c:pt>
                <c:pt idx="74">
                  <c:v>861.12663085188035</c:v>
                </c:pt>
                <c:pt idx="75">
                  <c:v>840.19646968534153</c:v>
                </c:pt>
                <c:pt idx="76">
                  <c:v>840.19646968534153</c:v>
                </c:pt>
                <c:pt idx="77">
                  <c:v>846.92402148887186</c:v>
                </c:pt>
                <c:pt idx="78">
                  <c:v>839.4489639293937</c:v>
                </c:pt>
                <c:pt idx="79">
                  <c:v>852.90406753645436</c:v>
                </c:pt>
                <c:pt idx="80">
                  <c:v>854.39907904835002</c:v>
                </c:pt>
                <c:pt idx="81">
                  <c:v>850.66155026861088</c:v>
                </c:pt>
                <c:pt idx="82">
                  <c:v>849.91404451266317</c:v>
                </c:pt>
                <c:pt idx="83">
                  <c:v>838.70145817344587</c:v>
                </c:pt>
                <c:pt idx="84">
                  <c:v>825.99386032233315</c:v>
                </c:pt>
                <c:pt idx="85">
                  <c:v>834.21642363775902</c:v>
                </c:pt>
                <c:pt idx="86">
                  <c:v>845.4290099769762</c:v>
                </c:pt>
                <c:pt idx="87">
                  <c:v>836.4589409056025</c:v>
                </c:pt>
                <c:pt idx="88">
                  <c:v>857.38910207214121</c:v>
                </c:pt>
                <c:pt idx="89">
                  <c:v>864.11665387567155</c:v>
                </c:pt>
                <c:pt idx="90">
                  <c:v>867.85418265541057</c:v>
                </c:pt>
                <c:pt idx="91">
                  <c:v>884.29930928626254</c:v>
                </c:pt>
                <c:pt idx="92">
                  <c:v>887.28933231005374</c:v>
                </c:pt>
                <c:pt idx="93">
                  <c:v>905.22947045280125</c:v>
                </c:pt>
                <c:pt idx="94">
                  <c:v>947.83729854182661</c:v>
                </c:pt>
                <c:pt idx="95">
                  <c:v>970.26247122026098</c:v>
                </c:pt>
                <c:pt idx="96">
                  <c:v>987.45510360706066</c:v>
                </c:pt>
                <c:pt idx="97">
                  <c:v>972.50498848810446</c:v>
                </c:pt>
                <c:pt idx="98">
                  <c:v>994.93016116653882</c:v>
                </c:pt>
                <c:pt idx="99">
                  <c:v>1008.3852647735994</c:v>
                </c:pt>
                <c:pt idx="100">
                  <c:v>1008.3852647735994</c:v>
                </c:pt>
                <c:pt idx="101">
                  <c:v>982.97006907137381</c:v>
                </c:pt>
                <c:pt idx="102">
                  <c:v>968.76745970836532</c:v>
                </c:pt>
                <c:pt idx="103">
                  <c:v>962.78741366078282</c:v>
                </c:pt>
                <c:pt idx="104">
                  <c:v>938.8672294704528</c:v>
                </c:pt>
                <c:pt idx="105">
                  <c:v>966.52494244052195</c:v>
                </c:pt>
                <c:pt idx="106">
                  <c:v>976.24251726784348</c:v>
                </c:pt>
                <c:pt idx="107">
                  <c:v>978.48503453568696</c:v>
                </c:pt>
                <c:pt idx="108">
                  <c:v>991.94013814274751</c:v>
                </c:pt>
                <c:pt idx="109">
                  <c:v>982.97006907137381</c:v>
                </c:pt>
                <c:pt idx="110">
                  <c:v>988.20260936300849</c:v>
                </c:pt>
                <c:pt idx="111">
                  <c:v>996.42517267843436</c:v>
                </c:pt>
                <c:pt idx="112">
                  <c:v>999.41519570222567</c:v>
                </c:pt>
                <c:pt idx="113">
                  <c:v>996.42517267843436</c:v>
                </c:pt>
                <c:pt idx="114">
                  <c:v>997.92018419033002</c:v>
                </c:pt>
                <c:pt idx="115">
                  <c:v>1013.6178050652342</c:v>
                </c:pt>
                <c:pt idx="116">
                  <c:v>1012.8702993092863</c:v>
                </c:pt>
                <c:pt idx="117">
                  <c:v>976.24251726784348</c:v>
                </c:pt>
                <c:pt idx="118">
                  <c:v>974.74750575594783</c:v>
                </c:pt>
                <c:pt idx="119">
                  <c:v>954.56485034535694</c:v>
                </c:pt>
                <c:pt idx="120">
                  <c:v>936.62471220260943</c:v>
                </c:pt>
                <c:pt idx="121">
                  <c:v>935.12970069071378</c:v>
                </c:pt>
                <c:pt idx="122">
                  <c:v>943.35226400613976</c:v>
                </c:pt>
                <c:pt idx="123">
                  <c:v>944.8472755180353</c:v>
                </c:pt>
                <c:pt idx="124">
                  <c:v>938.8672294704528</c:v>
                </c:pt>
                <c:pt idx="125">
                  <c:v>909.7145049884881</c:v>
                </c:pt>
                <c:pt idx="126">
                  <c:v>909.7145049884881</c:v>
                </c:pt>
                <c:pt idx="127">
                  <c:v>915.69455103607061</c:v>
                </c:pt>
                <c:pt idx="128">
                  <c:v>922.42210283960094</c:v>
                </c:pt>
                <c:pt idx="129">
                  <c:v>928.40214888718344</c:v>
                </c:pt>
                <c:pt idx="130">
                  <c:v>935.8772064466616</c:v>
                </c:pt>
                <c:pt idx="131">
                  <c:v>921.67459708365311</c:v>
                </c:pt>
                <c:pt idx="132">
                  <c:v>905.97697620874908</c:v>
                </c:pt>
                <c:pt idx="133">
                  <c:v>898.50191864927092</c:v>
                </c:pt>
                <c:pt idx="134">
                  <c:v>913.45203376822724</c:v>
                </c:pt>
                <c:pt idx="135">
                  <c:v>878.31926323868004</c:v>
                </c:pt>
                <c:pt idx="136">
                  <c:v>849.91404451266317</c:v>
                </c:pt>
                <c:pt idx="137">
                  <c:v>861.12663085188035</c:v>
                </c:pt>
                <c:pt idx="138">
                  <c:v>877.57175748273221</c:v>
                </c:pt>
                <c:pt idx="139">
                  <c:v>876.07674597083655</c:v>
                </c:pt>
                <c:pt idx="140">
                  <c:v>886.54182655410591</c:v>
                </c:pt>
                <c:pt idx="141">
                  <c:v>881.30928626247123</c:v>
                </c:pt>
                <c:pt idx="142">
                  <c:v>879.06676899462786</c:v>
                </c:pt>
                <c:pt idx="143">
                  <c:v>885.79432079815808</c:v>
                </c:pt>
                <c:pt idx="144">
                  <c:v>907.47198772064473</c:v>
                </c:pt>
                <c:pt idx="145">
                  <c:v>899.99693016116657</c:v>
                </c:pt>
                <c:pt idx="146">
                  <c:v>899.99693016116657</c:v>
                </c:pt>
                <c:pt idx="147">
                  <c:v>906.72448196469691</c:v>
                </c:pt>
                <c:pt idx="148">
                  <c:v>908.96699923254027</c:v>
                </c:pt>
                <c:pt idx="149">
                  <c:v>926.90713737528779</c:v>
                </c:pt>
                <c:pt idx="150">
                  <c:v>913.45203376822724</c:v>
                </c:pt>
                <c:pt idx="151">
                  <c:v>923.91711435149659</c:v>
                </c:pt>
                <c:pt idx="152">
                  <c:v>951.57482732156564</c:v>
                </c:pt>
                <c:pt idx="153">
                  <c:v>941.85725249424411</c:v>
                </c:pt>
                <c:pt idx="154">
                  <c:v>973.25249424405217</c:v>
                </c:pt>
                <c:pt idx="155">
                  <c:v>1003.9002302379125</c:v>
                </c:pt>
                <c:pt idx="156">
                  <c:v>1068.1857252494244</c:v>
                </c:pt>
                <c:pt idx="157">
                  <c:v>1100.3284727551804</c:v>
                </c:pt>
                <c:pt idx="158">
                  <c:v>1095.0959324635458</c:v>
                </c:pt>
                <c:pt idx="159">
                  <c:v>1112.2885648503454</c:v>
                </c:pt>
                <c:pt idx="160">
                  <c:v>1122.7536454336148</c:v>
                </c:pt>
                <c:pt idx="161">
                  <c:v>1126.4911742133538</c:v>
                </c:pt>
                <c:pt idx="162">
                  <c:v>1099.5809669992325</c:v>
                </c:pt>
                <c:pt idx="163">
                  <c:v>1118.2686108979278</c:v>
                </c:pt>
                <c:pt idx="164">
                  <c:v>1098.8334612432848</c:v>
                </c:pt>
                <c:pt idx="165">
                  <c:v>1113.7835763622411</c:v>
                </c:pt>
                <c:pt idx="166">
                  <c:v>1076.4082885648504</c:v>
                </c:pt>
                <c:pt idx="167">
                  <c:v>1077.9033000767461</c:v>
                </c:pt>
                <c:pt idx="168">
                  <c:v>1078.6508058326938</c:v>
                </c:pt>
                <c:pt idx="169">
                  <c:v>1087.6208749040675</c:v>
                </c:pt>
                <c:pt idx="170">
                  <c:v>1081.6408288564851</c:v>
                </c:pt>
                <c:pt idx="171">
                  <c:v>1092.8534151957022</c:v>
                </c:pt>
                <c:pt idx="172">
                  <c:v>1087.6208749040675</c:v>
                </c:pt>
                <c:pt idx="173">
                  <c:v>1094.3484267075978</c:v>
                </c:pt>
                <c:pt idx="174">
                  <c:v>1083.8833461243285</c:v>
                </c:pt>
                <c:pt idx="175">
                  <c:v>1050.245587106677</c:v>
                </c:pt>
                <c:pt idx="176">
                  <c:v>1018.102839600921</c:v>
                </c:pt>
                <c:pt idx="177">
                  <c:v>1004.6477359938604</c:v>
                </c:pt>
                <c:pt idx="178">
                  <c:v>1013.6178050652342</c:v>
                </c:pt>
                <c:pt idx="179">
                  <c:v>1036.0429777436684</c:v>
                </c:pt>
                <c:pt idx="180">
                  <c:v>1012.8702993092863</c:v>
                </c:pt>
                <c:pt idx="181">
                  <c:v>1053.983115886416</c:v>
                </c:pt>
                <c:pt idx="182">
                  <c:v>1027.8204144282427</c:v>
                </c:pt>
                <c:pt idx="183">
                  <c:v>1014.3653108211819</c:v>
                </c:pt>
                <c:pt idx="184">
                  <c:v>997.92018419033002</c:v>
                </c:pt>
                <c:pt idx="185">
                  <c:v>986.70759785111284</c:v>
                </c:pt>
                <c:pt idx="186">
                  <c:v>971.0099769762088</c:v>
                </c:pt>
                <c:pt idx="187">
                  <c:v>976.24251726784348</c:v>
                </c:pt>
                <c:pt idx="188">
                  <c:v>997.17267843438219</c:v>
                </c:pt>
                <c:pt idx="189">
                  <c:v>975.49501151189565</c:v>
                </c:pt>
                <c:pt idx="190">
                  <c:v>967.27244819646967</c:v>
                </c:pt>
                <c:pt idx="191">
                  <c:v>1001.6577129700692</c:v>
                </c:pt>
                <c:pt idx="192">
                  <c:v>1021.0928626247122</c:v>
                </c:pt>
                <c:pt idx="193">
                  <c:v>1030.062931696086</c:v>
                </c:pt>
                <c:pt idx="194">
                  <c:v>1044.2655410590944</c:v>
                </c:pt>
                <c:pt idx="195">
                  <c:v>1030.8104374520337</c:v>
                </c:pt>
                <c:pt idx="196">
                  <c:v>1031.5579432079817</c:v>
                </c:pt>
                <c:pt idx="197">
                  <c:v>1038.285495011512</c:v>
                </c:pt>
                <c:pt idx="198">
                  <c:v>1049.4980813507291</c:v>
                </c:pt>
                <c:pt idx="199">
                  <c:v>1044.2655410590944</c:v>
                </c:pt>
                <c:pt idx="200">
                  <c:v>1039.7805065234077</c:v>
                </c:pt>
                <c:pt idx="201">
                  <c:v>1055.4781273983117</c:v>
                </c:pt>
                <c:pt idx="202">
                  <c:v>1075.6607828089025</c:v>
                </c:pt>
                <c:pt idx="203">
                  <c:v>1059.2156561780507</c:v>
                </c:pt>
                <c:pt idx="204">
                  <c:v>1056.2256331542594</c:v>
                </c:pt>
                <c:pt idx="205">
                  <c:v>1030.062931696086</c:v>
                </c:pt>
                <c:pt idx="206">
                  <c:v>1040.5280122793554</c:v>
                </c:pt>
                <c:pt idx="207">
                  <c:v>1032.3054489639294</c:v>
                </c:pt>
                <c:pt idx="208">
                  <c:v>1010.6277820414429</c:v>
                </c:pt>
                <c:pt idx="209">
                  <c:v>971.0099769762088</c:v>
                </c:pt>
                <c:pt idx="210">
                  <c:v>1019.5978511128167</c:v>
                </c:pt>
                <c:pt idx="211">
                  <c:v>1036.7904834996164</c:v>
                </c:pt>
                <c:pt idx="212">
                  <c:v>1033.0529547198773</c:v>
                </c:pt>
                <c:pt idx="213">
                  <c:v>1027.0729086722947</c:v>
                </c:pt>
                <c:pt idx="214">
                  <c:v>990.44512663085186</c:v>
                </c:pt>
                <c:pt idx="215">
                  <c:v>1053.2356101304681</c:v>
                </c:pt>
                <c:pt idx="216">
                  <c:v>1043.5180353031467</c:v>
                </c:pt>
                <c:pt idx="217">
                  <c:v>1054.7306216423638</c:v>
                </c:pt>
                <c:pt idx="218">
                  <c:v>1062.205679201842</c:v>
                </c:pt>
                <c:pt idx="219">
                  <c:v>1053.2356101304681</c:v>
                </c:pt>
                <c:pt idx="220">
                  <c:v>1029.3154259401381</c:v>
                </c:pt>
                <c:pt idx="221">
                  <c:v>1022.5878741366079</c:v>
                </c:pt>
                <c:pt idx="222">
                  <c:v>1032.3054489639294</c:v>
                </c:pt>
                <c:pt idx="223">
                  <c:v>1039.0330007674597</c:v>
                </c:pt>
                <c:pt idx="224">
                  <c:v>1027.8204144282427</c:v>
                </c:pt>
                <c:pt idx="225">
                  <c:v>1004.6477359938604</c:v>
                </c:pt>
                <c:pt idx="226">
                  <c:v>997.17267843438219</c:v>
                </c:pt>
                <c:pt idx="227">
                  <c:v>993.43514965464317</c:v>
                </c:pt>
                <c:pt idx="228">
                  <c:v>970.26247122026098</c:v>
                </c:pt>
                <c:pt idx="229">
                  <c:v>956.05986185725249</c:v>
                </c:pt>
                <c:pt idx="230">
                  <c:v>959.04988488104379</c:v>
                </c:pt>
                <c:pt idx="231">
                  <c:v>945.59478127398313</c:v>
                </c:pt>
                <c:pt idx="232">
                  <c:v>931.39217191097475</c:v>
                </c:pt>
                <c:pt idx="233">
                  <c:v>896.25940138142755</c:v>
                </c:pt>
                <c:pt idx="234">
                  <c:v>916.44205679201843</c:v>
                </c:pt>
                <c:pt idx="235">
                  <c:v>898.50191864927092</c:v>
                </c:pt>
                <c:pt idx="236">
                  <c:v>861.12663085188035</c:v>
                </c:pt>
                <c:pt idx="237">
                  <c:v>855.14658480429785</c:v>
                </c:pt>
                <c:pt idx="238">
                  <c:v>914.19953952417507</c:v>
                </c:pt>
                <c:pt idx="239">
                  <c:v>938.8672294704528</c:v>
                </c:pt>
                <c:pt idx="240">
                  <c:v>967.27244819646967</c:v>
                </c:pt>
                <c:pt idx="241">
                  <c:v>974</c:v>
                </c:pt>
              </c:numCache>
            </c:numRef>
          </c:val>
        </c:ser>
        <c:marker val="1"/>
        <c:axId val="118453376"/>
        <c:axId val="118454912"/>
      </c:lineChart>
      <c:dateAx>
        <c:axId val="118453376"/>
        <c:scaling>
          <c:orientation val="minMax"/>
        </c:scaling>
        <c:axPos val="b"/>
        <c:numFmt formatCode="yyyy/mm/dd" sourceLinked="1"/>
        <c:tickLblPos val="nextTo"/>
        <c:crossAx val="118454912"/>
        <c:crosses val="autoZero"/>
        <c:auto val="1"/>
        <c:lblOffset val="100"/>
      </c:dateAx>
      <c:valAx>
        <c:axId val="118454912"/>
        <c:scaling>
          <c:orientation val="minMax"/>
          <c:max val="1188"/>
          <c:min val="825.99386032233315"/>
        </c:scaling>
        <c:axPos val="l"/>
        <c:majorGridlines/>
        <c:numFmt formatCode="General" sourceLinked="1"/>
        <c:tickLblPos val="nextTo"/>
        <c:crossAx val="1184533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2230</c:v>
                </c:pt>
                <c:pt idx="1">
                  <c:v>7230</c:v>
                </c:pt>
                <c:pt idx="2">
                  <c:v>-3770</c:v>
                </c:pt>
                <c:pt idx="3">
                  <c:v>-16770</c:v>
                </c:pt>
                <c:pt idx="4">
                  <c:v>-21770</c:v>
                </c:pt>
                <c:pt idx="5">
                  <c:v>10230</c:v>
                </c:pt>
                <c:pt idx="6">
                  <c:v>4230</c:v>
                </c:pt>
                <c:pt idx="7">
                  <c:v>-770</c:v>
                </c:pt>
                <c:pt idx="8">
                  <c:v>-9770</c:v>
                </c:pt>
              </c:numCache>
            </c:numRef>
          </c:val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-9570</c:v>
                </c:pt>
                <c:pt idx="1">
                  <c:v>-3970</c:v>
                </c:pt>
                <c:pt idx="2">
                  <c:v>12830</c:v>
                </c:pt>
                <c:pt idx="3">
                  <c:v>14430</c:v>
                </c:pt>
                <c:pt idx="4">
                  <c:v>16030</c:v>
                </c:pt>
                <c:pt idx="5">
                  <c:v>-20770</c:v>
                </c:pt>
                <c:pt idx="6">
                  <c:v>-11170</c:v>
                </c:pt>
                <c:pt idx="7">
                  <c:v>-6370</c:v>
                </c:pt>
                <c:pt idx="8">
                  <c:v>8830</c:v>
                </c:pt>
              </c:numCache>
            </c:numRef>
          </c:val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marker>
            <c:symbol val="none"/>
          </c:marker>
          <c:cat>
            <c:numRef>
              <c:f>BACK_TEST!$Y$82:$Y$300</c:f>
              <c:numCache>
                <c:formatCode>yyyy/mm/dd</c:formatCode>
                <c:ptCount val="2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-7340</c:v>
                </c:pt>
                <c:pt idx="1">
                  <c:v>3260</c:v>
                </c:pt>
                <c:pt idx="2">
                  <c:v>9060</c:v>
                </c:pt>
                <c:pt idx="3">
                  <c:v>-2340</c:v>
                </c:pt>
                <c:pt idx="4">
                  <c:v>-5740</c:v>
                </c:pt>
                <c:pt idx="5">
                  <c:v>-10540</c:v>
                </c:pt>
                <c:pt idx="6">
                  <c:v>-6940</c:v>
                </c:pt>
                <c:pt idx="7">
                  <c:v>-7140</c:v>
                </c:pt>
                <c:pt idx="8">
                  <c:v>-940</c:v>
                </c:pt>
              </c:numCache>
            </c:numRef>
          </c:val>
        </c:ser>
        <c:marker val="1"/>
        <c:axId val="118476160"/>
        <c:axId val="118477952"/>
      </c:lineChart>
      <c:dateAx>
        <c:axId val="118476160"/>
        <c:scaling>
          <c:orientation val="minMax"/>
        </c:scaling>
        <c:axPos val="b"/>
        <c:numFmt formatCode="yyyy/mm/dd" sourceLinked="1"/>
        <c:tickLblPos val="nextTo"/>
        <c:crossAx val="118477952"/>
        <c:crosses val="autoZero"/>
        <c:auto val="1"/>
        <c:lblOffset val="100"/>
      </c:dateAx>
      <c:valAx>
        <c:axId val="118477952"/>
        <c:scaling>
          <c:orientation val="minMax"/>
        </c:scaling>
        <c:axPos val="l"/>
        <c:majorGridlines/>
        <c:numFmt formatCode="General" sourceLinked="1"/>
        <c:tickLblPos val="nextTo"/>
        <c:crossAx val="1184761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43798</c:v>
                </c:pt>
                <c:pt idx="15">
                  <c:v>43797</c:v>
                </c:pt>
                <c:pt idx="16">
                  <c:v>43796</c:v>
                </c:pt>
                <c:pt idx="17">
                  <c:v>43795</c:v>
                </c:pt>
                <c:pt idx="18">
                  <c:v>43794</c:v>
                </c:pt>
                <c:pt idx="19">
                  <c:v>43791</c:v>
                </c:pt>
                <c:pt idx="20">
                  <c:v>43790</c:v>
                </c:pt>
                <c:pt idx="21">
                  <c:v>43789</c:v>
                </c:pt>
                <c:pt idx="22">
                  <c:v>43788</c:v>
                </c:pt>
                <c:pt idx="23">
                  <c:v>43787</c:v>
                </c:pt>
                <c:pt idx="24">
                  <c:v>43784</c:v>
                </c:pt>
                <c:pt idx="25">
                  <c:v>43783</c:v>
                </c:pt>
                <c:pt idx="26">
                  <c:v>43782</c:v>
                </c:pt>
                <c:pt idx="27">
                  <c:v>43781</c:v>
                </c:pt>
                <c:pt idx="28">
                  <c:v>43780</c:v>
                </c:pt>
                <c:pt idx="29">
                  <c:v>43777</c:v>
                </c:pt>
                <c:pt idx="30">
                  <c:v>43776</c:v>
                </c:pt>
                <c:pt idx="31">
                  <c:v>43775</c:v>
                </c:pt>
                <c:pt idx="32">
                  <c:v>43774</c:v>
                </c:pt>
                <c:pt idx="33">
                  <c:v>43770</c:v>
                </c:pt>
                <c:pt idx="34">
                  <c:v>43769</c:v>
                </c:pt>
                <c:pt idx="35">
                  <c:v>43768</c:v>
                </c:pt>
                <c:pt idx="36">
                  <c:v>43767</c:v>
                </c:pt>
                <c:pt idx="37">
                  <c:v>43766</c:v>
                </c:pt>
                <c:pt idx="38">
                  <c:v>43763</c:v>
                </c:pt>
                <c:pt idx="39">
                  <c:v>43762</c:v>
                </c:pt>
                <c:pt idx="40">
                  <c:v>43761</c:v>
                </c:pt>
                <c:pt idx="41">
                  <c:v>43759</c:v>
                </c:pt>
                <c:pt idx="42">
                  <c:v>43756</c:v>
                </c:pt>
                <c:pt idx="43">
                  <c:v>43755</c:v>
                </c:pt>
                <c:pt idx="44">
                  <c:v>43754</c:v>
                </c:pt>
                <c:pt idx="45">
                  <c:v>43753</c:v>
                </c:pt>
                <c:pt idx="46">
                  <c:v>43749</c:v>
                </c:pt>
                <c:pt idx="47">
                  <c:v>43748</c:v>
                </c:pt>
                <c:pt idx="48">
                  <c:v>43747</c:v>
                </c:pt>
                <c:pt idx="49">
                  <c:v>43746</c:v>
                </c:pt>
                <c:pt idx="50">
                  <c:v>43745</c:v>
                </c:pt>
                <c:pt idx="51">
                  <c:v>43742</c:v>
                </c:pt>
                <c:pt idx="52">
                  <c:v>43741</c:v>
                </c:pt>
                <c:pt idx="53">
                  <c:v>43740</c:v>
                </c:pt>
                <c:pt idx="54">
                  <c:v>43739</c:v>
                </c:pt>
                <c:pt idx="55">
                  <c:v>43738</c:v>
                </c:pt>
                <c:pt idx="56">
                  <c:v>43735</c:v>
                </c:pt>
                <c:pt idx="57">
                  <c:v>43734</c:v>
                </c:pt>
                <c:pt idx="58">
                  <c:v>43733</c:v>
                </c:pt>
                <c:pt idx="59">
                  <c:v>43732</c:v>
                </c:pt>
                <c:pt idx="60">
                  <c:v>43728</c:v>
                </c:pt>
                <c:pt idx="61">
                  <c:v>43727</c:v>
                </c:pt>
                <c:pt idx="62">
                  <c:v>43726</c:v>
                </c:pt>
                <c:pt idx="63">
                  <c:v>43725</c:v>
                </c:pt>
                <c:pt idx="64">
                  <c:v>43721</c:v>
                </c:pt>
                <c:pt idx="65">
                  <c:v>43720</c:v>
                </c:pt>
                <c:pt idx="66">
                  <c:v>43719</c:v>
                </c:pt>
                <c:pt idx="67">
                  <c:v>43718</c:v>
                </c:pt>
                <c:pt idx="68">
                  <c:v>43717</c:v>
                </c:pt>
                <c:pt idx="69">
                  <c:v>43714</c:v>
                </c:pt>
                <c:pt idx="70">
                  <c:v>43713</c:v>
                </c:pt>
                <c:pt idx="71">
                  <c:v>43712</c:v>
                </c:pt>
                <c:pt idx="72">
                  <c:v>43711</c:v>
                </c:pt>
                <c:pt idx="73">
                  <c:v>43710</c:v>
                </c:pt>
                <c:pt idx="74">
                  <c:v>43707</c:v>
                </c:pt>
                <c:pt idx="75">
                  <c:v>43706</c:v>
                </c:pt>
                <c:pt idx="76">
                  <c:v>43705</c:v>
                </c:pt>
                <c:pt idx="77">
                  <c:v>43704</c:v>
                </c:pt>
                <c:pt idx="78">
                  <c:v>43703</c:v>
                </c:pt>
                <c:pt idx="79">
                  <c:v>43700</c:v>
                </c:pt>
                <c:pt idx="80">
                  <c:v>43699</c:v>
                </c:pt>
                <c:pt idx="81">
                  <c:v>43698</c:v>
                </c:pt>
                <c:pt idx="82">
                  <c:v>43697</c:v>
                </c:pt>
                <c:pt idx="83">
                  <c:v>43696</c:v>
                </c:pt>
                <c:pt idx="84">
                  <c:v>43693</c:v>
                </c:pt>
                <c:pt idx="85">
                  <c:v>43692</c:v>
                </c:pt>
                <c:pt idx="86">
                  <c:v>43691</c:v>
                </c:pt>
                <c:pt idx="87">
                  <c:v>43690</c:v>
                </c:pt>
                <c:pt idx="88">
                  <c:v>43686</c:v>
                </c:pt>
                <c:pt idx="89">
                  <c:v>43685</c:v>
                </c:pt>
                <c:pt idx="90">
                  <c:v>43684</c:v>
                </c:pt>
                <c:pt idx="91">
                  <c:v>43683</c:v>
                </c:pt>
                <c:pt idx="92">
                  <c:v>43682</c:v>
                </c:pt>
                <c:pt idx="93">
                  <c:v>43679</c:v>
                </c:pt>
                <c:pt idx="94">
                  <c:v>43678</c:v>
                </c:pt>
                <c:pt idx="95">
                  <c:v>43677</c:v>
                </c:pt>
                <c:pt idx="96">
                  <c:v>43676</c:v>
                </c:pt>
                <c:pt idx="97">
                  <c:v>43675</c:v>
                </c:pt>
                <c:pt idx="98">
                  <c:v>43672</c:v>
                </c:pt>
                <c:pt idx="99">
                  <c:v>43671</c:v>
                </c:pt>
                <c:pt idx="100">
                  <c:v>43670</c:v>
                </c:pt>
                <c:pt idx="101">
                  <c:v>43669</c:v>
                </c:pt>
                <c:pt idx="102">
                  <c:v>43668</c:v>
                </c:pt>
                <c:pt idx="103">
                  <c:v>43665</c:v>
                </c:pt>
                <c:pt idx="104">
                  <c:v>43664</c:v>
                </c:pt>
                <c:pt idx="105">
                  <c:v>43663</c:v>
                </c:pt>
                <c:pt idx="106">
                  <c:v>43662</c:v>
                </c:pt>
                <c:pt idx="107">
                  <c:v>43658</c:v>
                </c:pt>
                <c:pt idx="108">
                  <c:v>43657</c:v>
                </c:pt>
                <c:pt idx="109">
                  <c:v>43656</c:v>
                </c:pt>
                <c:pt idx="110">
                  <c:v>43655</c:v>
                </c:pt>
                <c:pt idx="111">
                  <c:v>43654</c:v>
                </c:pt>
                <c:pt idx="112">
                  <c:v>43651</c:v>
                </c:pt>
                <c:pt idx="113">
                  <c:v>43650</c:v>
                </c:pt>
                <c:pt idx="114">
                  <c:v>43649</c:v>
                </c:pt>
                <c:pt idx="115">
                  <c:v>43648</c:v>
                </c:pt>
                <c:pt idx="116">
                  <c:v>43647</c:v>
                </c:pt>
                <c:pt idx="117">
                  <c:v>43644</c:v>
                </c:pt>
                <c:pt idx="118">
                  <c:v>43643</c:v>
                </c:pt>
                <c:pt idx="119">
                  <c:v>43642</c:v>
                </c:pt>
                <c:pt idx="120">
                  <c:v>43641</c:v>
                </c:pt>
                <c:pt idx="121">
                  <c:v>43640</c:v>
                </c:pt>
                <c:pt idx="122">
                  <c:v>43637</c:v>
                </c:pt>
                <c:pt idx="123">
                  <c:v>43636</c:v>
                </c:pt>
                <c:pt idx="124">
                  <c:v>43635</c:v>
                </c:pt>
                <c:pt idx="125">
                  <c:v>43634</c:v>
                </c:pt>
                <c:pt idx="126">
                  <c:v>43633</c:v>
                </c:pt>
                <c:pt idx="127">
                  <c:v>43630</c:v>
                </c:pt>
                <c:pt idx="128">
                  <c:v>43629</c:v>
                </c:pt>
                <c:pt idx="129">
                  <c:v>43628</c:v>
                </c:pt>
                <c:pt idx="130">
                  <c:v>43627</c:v>
                </c:pt>
                <c:pt idx="131">
                  <c:v>43626</c:v>
                </c:pt>
                <c:pt idx="132">
                  <c:v>43623</c:v>
                </c:pt>
                <c:pt idx="133">
                  <c:v>43622</c:v>
                </c:pt>
                <c:pt idx="134">
                  <c:v>43621</c:v>
                </c:pt>
                <c:pt idx="135">
                  <c:v>43620</c:v>
                </c:pt>
                <c:pt idx="136">
                  <c:v>43619</c:v>
                </c:pt>
                <c:pt idx="137">
                  <c:v>43616</c:v>
                </c:pt>
                <c:pt idx="138">
                  <c:v>43615</c:v>
                </c:pt>
                <c:pt idx="139">
                  <c:v>43614</c:v>
                </c:pt>
                <c:pt idx="140">
                  <c:v>43613</c:v>
                </c:pt>
                <c:pt idx="141">
                  <c:v>43612</c:v>
                </c:pt>
                <c:pt idx="142">
                  <c:v>43609</c:v>
                </c:pt>
                <c:pt idx="143">
                  <c:v>43608</c:v>
                </c:pt>
                <c:pt idx="144">
                  <c:v>43607</c:v>
                </c:pt>
                <c:pt idx="145">
                  <c:v>43606</c:v>
                </c:pt>
                <c:pt idx="146">
                  <c:v>43605</c:v>
                </c:pt>
                <c:pt idx="147">
                  <c:v>43602</c:v>
                </c:pt>
                <c:pt idx="148">
                  <c:v>43601</c:v>
                </c:pt>
                <c:pt idx="149">
                  <c:v>43600</c:v>
                </c:pt>
                <c:pt idx="150">
                  <c:v>43599</c:v>
                </c:pt>
                <c:pt idx="151">
                  <c:v>43598</c:v>
                </c:pt>
                <c:pt idx="152">
                  <c:v>43595</c:v>
                </c:pt>
                <c:pt idx="153">
                  <c:v>43594</c:v>
                </c:pt>
                <c:pt idx="154">
                  <c:v>43593</c:v>
                </c:pt>
                <c:pt idx="155">
                  <c:v>43592</c:v>
                </c:pt>
                <c:pt idx="156">
                  <c:v>43581</c:v>
                </c:pt>
                <c:pt idx="157">
                  <c:v>43580</c:v>
                </c:pt>
                <c:pt idx="158">
                  <c:v>43579</c:v>
                </c:pt>
                <c:pt idx="159">
                  <c:v>43578</c:v>
                </c:pt>
                <c:pt idx="160">
                  <c:v>43577</c:v>
                </c:pt>
                <c:pt idx="161">
                  <c:v>43574</c:v>
                </c:pt>
                <c:pt idx="162">
                  <c:v>43573</c:v>
                </c:pt>
                <c:pt idx="163">
                  <c:v>43572</c:v>
                </c:pt>
                <c:pt idx="164">
                  <c:v>43571</c:v>
                </c:pt>
                <c:pt idx="165">
                  <c:v>43570</c:v>
                </c:pt>
                <c:pt idx="166">
                  <c:v>43567</c:v>
                </c:pt>
                <c:pt idx="167">
                  <c:v>43566</c:v>
                </c:pt>
                <c:pt idx="168">
                  <c:v>43565</c:v>
                </c:pt>
                <c:pt idx="169">
                  <c:v>43564</c:v>
                </c:pt>
                <c:pt idx="170">
                  <c:v>43563</c:v>
                </c:pt>
                <c:pt idx="171">
                  <c:v>43560</c:v>
                </c:pt>
                <c:pt idx="172">
                  <c:v>43559</c:v>
                </c:pt>
                <c:pt idx="173">
                  <c:v>43558</c:v>
                </c:pt>
                <c:pt idx="174">
                  <c:v>43557</c:v>
                </c:pt>
                <c:pt idx="175">
                  <c:v>43556</c:v>
                </c:pt>
                <c:pt idx="176">
                  <c:v>43553</c:v>
                </c:pt>
                <c:pt idx="177">
                  <c:v>43552</c:v>
                </c:pt>
                <c:pt idx="178">
                  <c:v>43551</c:v>
                </c:pt>
                <c:pt idx="179">
                  <c:v>43550</c:v>
                </c:pt>
                <c:pt idx="180">
                  <c:v>43549</c:v>
                </c:pt>
                <c:pt idx="181">
                  <c:v>43546</c:v>
                </c:pt>
                <c:pt idx="182">
                  <c:v>43544</c:v>
                </c:pt>
                <c:pt idx="183">
                  <c:v>43543</c:v>
                </c:pt>
                <c:pt idx="184">
                  <c:v>43542</c:v>
                </c:pt>
                <c:pt idx="185">
                  <c:v>43539</c:v>
                </c:pt>
                <c:pt idx="186">
                  <c:v>43538</c:v>
                </c:pt>
                <c:pt idx="187">
                  <c:v>43537</c:v>
                </c:pt>
                <c:pt idx="188">
                  <c:v>43536</c:v>
                </c:pt>
                <c:pt idx="189">
                  <c:v>43535</c:v>
                </c:pt>
                <c:pt idx="190">
                  <c:v>43532</c:v>
                </c:pt>
                <c:pt idx="191">
                  <c:v>43531</c:v>
                </c:pt>
                <c:pt idx="192">
                  <c:v>43530</c:v>
                </c:pt>
                <c:pt idx="193">
                  <c:v>43529</c:v>
                </c:pt>
                <c:pt idx="194">
                  <c:v>43528</c:v>
                </c:pt>
                <c:pt idx="195">
                  <c:v>43525</c:v>
                </c:pt>
                <c:pt idx="196">
                  <c:v>43524</c:v>
                </c:pt>
                <c:pt idx="197">
                  <c:v>43523</c:v>
                </c:pt>
                <c:pt idx="198">
                  <c:v>43522</c:v>
                </c:pt>
                <c:pt idx="199">
                  <c:v>43521</c:v>
                </c:pt>
                <c:pt idx="200">
                  <c:v>43518</c:v>
                </c:pt>
                <c:pt idx="201">
                  <c:v>43517</c:v>
                </c:pt>
                <c:pt idx="202">
                  <c:v>43516</c:v>
                </c:pt>
                <c:pt idx="203">
                  <c:v>43515</c:v>
                </c:pt>
                <c:pt idx="204">
                  <c:v>43514</c:v>
                </c:pt>
                <c:pt idx="205">
                  <c:v>43511</c:v>
                </c:pt>
                <c:pt idx="206">
                  <c:v>43510</c:v>
                </c:pt>
                <c:pt idx="207">
                  <c:v>43509</c:v>
                </c:pt>
                <c:pt idx="208">
                  <c:v>43508</c:v>
                </c:pt>
                <c:pt idx="209">
                  <c:v>43504</c:v>
                </c:pt>
                <c:pt idx="210">
                  <c:v>43503</c:v>
                </c:pt>
                <c:pt idx="211">
                  <c:v>43502</c:v>
                </c:pt>
                <c:pt idx="212">
                  <c:v>43501</c:v>
                </c:pt>
                <c:pt idx="213">
                  <c:v>43500</c:v>
                </c:pt>
                <c:pt idx="214">
                  <c:v>43497</c:v>
                </c:pt>
                <c:pt idx="215">
                  <c:v>43496</c:v>
                </c:pt>
                <c:pt idx="216">
                  <c:v>43495</c:v>
                </c:pt>
                <c:pt idx="217">
                  <c:v>43494</c:v>
                </c:pt>
                <c:pt idx="218">
                  <c:v>43493</c:v>
                </c:pt>
                <c:pt idx="219">
                  <c:v>43490</c:v>
                </c:pt>
                <c:pt idx="220">
                  <c:v>43489</c:v>
                </c:pt>
                <c:pt idx="221">
                  <c:v>43488</c:v>
                </c:pt>
                <c:pt idx="222">
                  <c:v>43487</c:v>
                </c:pt>
                <c:pt idx="223">
                  <c:v>43486</c:v>
                </c:pt>
                <c:pt idx="224">
                  <c:v>43483</c:v>
                </c:pt>
                <c:pt idx="225">
                  <c:v>43482</c:v>
                </c:pt>
                <c:pt idx="226">
                  <c:v>43481</c:v>
                </c:pt>
                <c:pt idx="227">
                  <c:v>43480</c:v>
                </c:pt>
                <c:pt idx="228">
                  <c:v>43476</c:v>
                </c:pt>
                <c:pt idx="229">
                  <c:v>43475</c:v>
                </c:pt>
                <c:pt idx="230">
                  <c:v>43474</c:v>
                </c:pt>
                <c:pt idx="231">
                  <c:v>43473</c:v>
                </c:pt>
                <c:pt idx="232">
                  <c:v>43472</c:v>
                </c:pt>
                <c:pt idx="233">
                  <c:v>43469</c:v>
                </c:pt>
                <c:pt idx="234">
                  <c:v>43462</c:v>
                </c:pt>
                <c:pt idx="235">
                  <c:v>43461</c:v>
                </c:pt>
                <c:pt idx="236">
                  <c:v>43460</c:v>
                </c:pt>
                <c:pt idx="237">
                  <c:v>43459</c:v>
                </c:pt>
                <c:pt idx="238">
                  <c:v>43455</c:v>
                </c:pt>
                <c:pt idx="239">
                  <c:v>43454</c:v>
                </c:pt>
                <c:pt idx="240">
                  <c:v>43453</c:v>
                </c:pt>
                <c:pt idx="241">
                  <c:v>43452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0.940507910021121</c:v>
                </c:pt>
                <c:pt idx="1">
                  <c:v>0.94081750370363604</c:v>
                </c:pt>
                <c:pt idx="2">
                  <c:v>0.94132776006971197</c:v>
                </c:pt>
                <c:pt idx="3">
                  <c:v>0.94272725897062004</c:v>
                </c:pt>
                <c:pt idx="4">
                  <c:v>0.94437868185403395</c:v>
                </c:pt>
                <c:pt idx="5">
                  <c:v>0.94843398751961305</c:v>
                </c:pt>
                <c:pt idx="6">
                  <c:v>0.95117363762021201</c:v>
                </c:pt>
                <c:pt idx="7">
                  <c:v>0.95466661244137196</c:v>
                </c:pt>
                <c:pt idx="8">
                  <c:v>0.95641362595729396</c:v>
                </c:pt>
                <c:pt idx="9">
                  <c:v>0.960047561155148</c:v>
                </c:pt>
                <c:pt idx="10">
                  <c:v>0.96287467619415801</c:v>
                </c:pt>
                <c:pt idx="11">
                  <c:v>0.96658870953604703</c:v>
                </c:pt>
                <c:pt idx="12">
                  <c:v>0.97115697838773596</c:v>
                </c:pt>
                <c:pt idx="13">
                  <c:v>0.97358589952230201</c:v>
                </c:pt>
                <c:pt idx="14">
                  <c:v>0.97767102357580804</c:v>
                </c:pt>
                <c:pt idx="15">
                  <c:v>0.98012139249109298</c:v>
                </c:pt>
                <c:pt idx="16">
                  <c:v>0.98197415095493901</c:v>
                </c:pt>
                <c:pt idx="17">
                  <c:v>0.98454393154286302</c:v>
                </c:pt>
                <c:pt idx="18">
                  <c:v>0.985705490089967</c:v>
                </c:pt>
                <c:pt idx="19">
                  <c:v>0.98603817052809595</c:v>
                </c:pt>
                <c:pt idx="20">
                  <c:v>0.98630682813620096</c:v>
                </c:pt>
                <c:pt idx="21">
                  <c:v>0.98658389482817799</c:v>
                </c:pt>
                <c:pt idx="22">
                  <c:v>0.98676120000780698</c:v>
                </c:pt>
                <c:pt idx="23">
                  <c:v>0.98644934274719198</c:v>
                </c:pt>
                <c:pt idx="24">
                  <c:v>0.98617185430957</c:v>
                </c:pt>
                <c:pt idx="25">
                  <c:v>0.98578475548233302</c:v>
                </c:pt>
                <c:pt idx="26">
                  <c:v>0.98492575280664396</c:v>
                </c:pt>
                <c:pt idx="27">
                  <c:v>0.98437411513607898</c:v>
                </c:pt>
                <c:pt idx="28">
                  <c:v>0.98339429037555703</c:v>
                </c:pt>
                <c:pt idx="29">
                  <c:v>0.98190647397347197</c:v>
                </c:pt>
                <c:pt idx="30">
                  <c:v>0.98022803739940401</c:v>
                </c:pt>
                <c:pt idx="31">
                  <c:v>0.97867416641300498</c:v>
                </c:pt>
                <c:pt idx="32">
                  <c:v>0.97674216900150501</c:v>
                </c:pt>
                <c:pt idx="33">
                  <c:v>0.976443693549362</c:v>
                </c:pt>
                <c:pt idx="34">
                  <c:v>0.97967516034194202</c:v>
                </c:pt>
                <c:pt idx="35">
                  <c:v>0.973299020450894</c:v>
                </c:pt>
                <c:pt idx="36">
                  <c:v>0.96384007827399798</c:v>
                </c:pt>
                <c:pt idx="37">
                  <c:v>0.95831716405985401</c:v>
                </c:pt>
                <c:pt idx="38">
                  <c:v>0.95518170392517399</c:v>
                </c:pt>
                <c:pt idx="39">
                  <c:v>0.95266608372750405</c:v>
                </c:pt>
                <c:pt idx="40">
                  <c:v>0.952381670804615</c:v>
                </c:pt>
                <c:pt idx="41">
                  <c:v>0.95531037301996502</c:v>
                </c:pt>
                <c:pt idx="42">
                  <c:v>0.95615110126206504</c:v>
                </c:pt>
                <c:pt idx="43">
                  <c:v>0.95724271468843503</c:v>
                </c:pt>
                <c:pt idx="44">
                  <c:v>0.95705036763578399</c:v>
                </c:pt>
                <c:pt idx="45">
                  <c:v>0.95663136185813402</c:v>
                </c:pt>
                <c:pt idx="46">
                  <c:v>0.95570060888457398</c:v>
                </c:pt>
                <c:pt idx="47">
                  <c:v>0.95386077222133203</c:v>
                </c:pt>
                <c:pt idx="48">
                  <c:v>0.95324731670124097</c:v>
                </c:pt>
                <c:pt idx="49">
                  <c:v>0.953344842442718</c:v>
                </c:pt>
                <c:pt idx="50">
                  <c:v>0.954063064151211</c:v>
                </c:pt>
                <c:pt idx="51">
                  <c:v>0.95572415252194198</c:v>
                </c:pt>
                <c:pt idx="52">
                  <c:v>0.95659531395221498</c:v>
                </c:pt>
                <c:pt idx="53">
                  <c:v>0.95732514349604203</c:v>
                </c:pt>
                <c:pt idx="54">
                  <c:v>0.95852014182723699</c:v>
                </c:pt>
                <c:pt idx="55">
                  <c:v>0.95989742002359801</c:v>
                </c:pt>
                <c:pt idx="56">
                  <c:v>0.96034155059384796</c:v>
                </c:pt>
                <c:pt idx="57">
                  <c:v>0.96052338703539697</c:v>
                </c:pt>
                <c:pt idx="58">
                  <c:v>0.96059013730256804</c:v>
                </c:pt>
                <c:pt idx="59">
                  <c:v>0.96047911524538898</c:v>
                </c:pt>
                <c:pt idx="60">
                  <c:v>0.960079475219208</c:v>
                </c:pt>
                <c:pt idx="61">
                  <c:v>0.95986915109292903</c:v>
                </c:pt>
                <c:pt idx="62">
                  <c:v>0.96004246993386499</c:v>
                </c:pt>
                <c:pt idx="63">
                  <c:v>0.96094769063926999</c:v>
                </c:pt>
                <c:pt idx="64">
                  <c:v>0.960604214364422</c:v>
                </c:pt>
                <c:pt idx="65">
                  <c:v>0.96431883757140302</c:v>
                </c:pt>
                <c:pt idx="66">
                  <c:v>0.96559721669064802</c:v>
                </c:pt>
                <c:pt idx="67">
                  <c:v>0.96920063645516197</c:v>
                </c:pt>
                <c:pt idx="68">
                  <c:v>0.97034625139813402</c:v>
                </c:pt>
                <c:pt idx="69">
                  <c:v>0.97269036998820901</c:v>
                </c:pt>
                <c:pt idx="70">
                  <c:v>0.97425102206700098</c:v>
                </c:pt>
                <c:pt idx="71">
                  <c:v>0.97333474456991997</c:v>
                </c:pt>
                <c:pt idx="72">
                  <c:v>0.97341480974553796</c:v>
                </c:pt>
                <c:pt idx="73">
                  <c:v>0.97156074472153198</c:v>
                </c:pt>
                <c:pt idx="74">
                  <c:v>0.96956625733253499</c:v>
                </c:pt>
                <c:pt idx="75">
                  <c:v>0.96607621949285605</c:v>
                </c:pt>
                <c:pt idx="76">
                  <c:v>0.96210501526648895</c:v>
                </c:pt>
                <c:pt idx="77">
                  <c:v>0.95828137600500296</c:v>
                </c:pt>
                <c:pt idx="78">
                  <c:v>0.95130324235237296</c:v>
                </c:pt>
                <c:pt idx="79">
                  <c:v>0.94330874735509396</c:v>
                </c:pt>
                <c:pt idx="80">
                  <c:v>0.93823869964379403</c:v>
                </c:pt>
                <c:pt idx="81">
                  <c:v>0.93374274777347599</c:v>
                </c:pt>
                <c:pt idx="82">
                  <c:v>0.92657630842740901</c:v>
                </c:pt>
                <c:pt idx="83">
                  <c:v>0.91964285355152098</c:v>
                </c:pt>
                <c:pt idx="84">
                  <c:v>0.91400314877018096</c:v>
                </c:pt>
                <c:pt idx="85">
                  <c:v>0.90901430303873398</c:v>
                </c:pt>
                <c:pt idx="86">
                  <c:v>0.90335114960709995</c:v>
                </c:pt>
                <c:pt idx="87">
                  <c:v>0.890851697082234</c:v>
                </c:pt>
                <c:pt idx="88">
                  <c:v>0.86193464579602197</c:v>
                </c:pt>
                <c:pt idx="89">
                  <c:v>0.809961156435547</c:v>
                </c:pt>
                <c:pt idx="90">
                  <c:v>0.76649017559364196</c:v>
                </c:pt>
                <c:pt idx="91">
                  <c:v>0.73950518043691105</c:v>
                </c:pt>
                <c:pt idx="92">
                  <c:v>0.73174042430465402</c:v>
                </c:pt>
                <c:pt idx="93">
                  <c:v>0.72795577542922996</c:v>
                </c:pt>
                <c:pt idx="94">
                  <c:v>0.72816318671342695</c:v>
                </c:pt>
                <c:pt idx="95">
                  <c:v>0.73461198323310495</c:v>
                </c:pt>
                <c:pt idx="96">
                  <c:v>0.74427948972795699</c:v>
                </c:pt>
                <c:pt idx="97">
                  <c:v>0.74997509529980499</c:v>
                </c:pt>
                <c:pt idx="98">
                  <c:v>0.75059540646453404</c:v>
                </c:pt>
                <c:pt idx="99">
                  <c:v>0.78339093102216995</c:v>
                </c:pt>
                <c:pt idx="100">
                  <c:v>0.82390998646724001</c:v>
                </c:pt>
                <c:pt idx="101">
                  <c:v>0.85008091289460397</c:v>
                </c:pt>
                <c:pt idx="102">
                  <c:v>0.873211897865527</c:v>
                </c:pt>
                <c:pt idx="103">
                  <c:v>0.89202398541281802</c:v>
                </c:pt>
                <c:pt idx="104">
                  <c:v>0.90556462607856003</c:v>
                </c:pt>
                <c:pt idx="105">
                  <c:v>0.91389098559702797</c:v>
                </c:pt>
                <c:pt idx="106">
                  <c:v>0.92160212595916002</c:v>
                </c:pt>
                <c:pt idx="107">
                  <c:v>0.93232505777087804</c:v>
                </c:pt>
                <c:pt idx="108">
                  <c:v>0.93920185606452999</c:v>
                </c:pt>
                <c:pt idx="109">
                  <c:v>0.94471160122244702</c:v>
                </c:pt>
                <c:pt idx="110">
                  <c:v>0.94945135042844697</c:v>
                </c:pt>
                <c:pt idx="111">
                  <c:v>0.95410166527612095</c:v>
                </c:pt>
                <c:pt idx="112">
                  <c:v>0.95778171738906104</c:v>
                </c:pt>
                <c:pt idx="113">
                  <c:v>0.96164990580676701</c:v>
                </c:pt>
                <c:pt idx="114">
                  <c:v>0.96472710951093399</c:v>
                </c:pt>
                <c:pt idx="115">
                  <c:v>0.96702873780320298</c:v>
                </c:pt>
                <c:pt idx="116">
                  <c:v>0.96823168464961296</c:v>
                </c:pt>
                <c:pt idx="117">
                  <c:v>0.96929344467526402</c:v>
                </c:pt>
                <c:pt idx="118">
                  <c:v>0.97033018063829601</c:v>
                </c:pt>
                <c:pt idx="119">
                  <c:v>0.97078438018919999</c:v>
                </c:pt>
                <c:pt idx="120">
                  <c:v>0.97022882544102595</c:v>
                </c:pt>
                <c:pt idx="121">
                  <c:v>0.96945194085025399</c:v>
                </c:pt>
                <c:pt idx="122">
                  <c:v>0.96824766077625402</c:v>
                </c:pt>
                <c:pt idx="123">
                  <c:v>0.96894860579336595</c:v>
                </c:pt>
                <c:pt idx="124">
                  <c:v>0.96733009898840505</c:v>
                </c:pt>
                <c:pt idx="125">
                  <c:v>0.96645306268002396</c:v>
                </c:pt>
                <c:pt idx="126">
                  <c:v>0.96537269257287095</c:v>
                </c:pt>
                <c:pt idx="127">
                  <c:v>0.96409071444936201</c:v>
                </c:pt>
                <c:pt idx="128">
                  <c:v>0.96373754464495698</c:v>
                </c:pt>
                <c:pt idx="129">
                  <c:v>0.96293003825904999</c:v>
                </c:pt>
                <c:pt idx="130">
                  <c:v>0.96178310577714499</c:v>
                </c:pt>
                <c:pt idx="131">
                  <c:v>0.96072113113534297</c:v>
                </c:pt>
                <c:pt idx="132">
                  <c:v>0.95954027925541197</c:v>
                </c:pt>
                <c:pt idx="133">
                  <c:v>0.95753343859486395</c:v>
                </c:pt>
                <c:pt idx="134">
                  <c:v>0.95599137838876402</c:v>
                </c:pt>
                <c:pt idx="135">
                  <c:v>0.95299171799257598</c:v>
                </c:pt>
                <c:pt idx="136">
                  <c:v>0.94889538353888003</c:v>
                </c:pt>
                <c:pt idx="137">
                  <c:v>0.94398820739190303</c:v>
                </c:pt>
                <c:pt idx="138">
                  <c:v>0.94137016163477805</c:v>
                </c:pt>
                <c:pt idx="139">
                  <c:v>0.93845918204511902</c:v>
                </c:pt>
                <c:pt idx="140">
                  <c:v>0.93552688059503997</c:v>
                </c:pt>
                <c:pt idx="141">
                  <c:v>0.93157322374644003</c:v>
                </c:pt>
                <c:pt idx="142">
                  <c:v>0.92660956020434404</c:v>
                </c:pt>
                <c:pt idx="143">
                  <c:v>0.92275590989917999</c:v>
                </c:pt>
                <c:pt idx="144">
                  <c:v>0.91894034399381397</c:v>
                </c:pt>
                <c:pt idx="145">
                  <c:v>0.91535482635478005</c:v>
                </c:pt>
                <c:pt idx="146">
                  <c:v>0.91008024037086799</c:v>
                </c:pt>
                <c:pt idx="147">
                  <c:v>0.89513982289502902</c:v>
                </c:pt>
                <c:pt idx="148">
                  <c:v>0.88703697020152705</c:v>
                </c:pt>
                <c:pt idx="149">
                  <c:v>0.88021143091312004</c:v>
                </c:pt>
                <c:pt idx="150">
                  <c:v>0.87509411689668903</c:v>
                </c:pt>
                <c:pt idx="151">
                  <c:v>0.87201474624369901</c:v>
                </c:pt>
                <c:pt idx="152">
                  <c:v>0.87506546981021105</c:v>
                </c:pt>
                <c:pt idx="153">
                  <c:v>0.90043043230725495</c:v>
                </c:pt>
                <c:pt idx="154">
                  <c:v>0.92510655623948201</c:v>
                </c:pt>
                <c:pt idx="155">
                  <c:v>0.94211706335002099</c:v>
                </c:pt>
                <c:pt idx="156">
                  <c:v>0.92742227774319297</c:v>
                </c:pt>
                <c:pt idx="157">
                  <c:v>0.92655899204404202</c:v>
                </c:pt>
                <c:pt idx="158">
                  <c:v>0.92683003355542604</c:v>
                </c:pt>
                <c:pt idx="159">
                  <c:v>0.92367184260465796</c:v>
                </c:pt>
                <c:pt idx="160">
                  <c:v>0.91861199703608598</c:v>
                </c:pt>
                <c:pt idx="161">
                  <c:v>0.91094720202947499</c:v>
                </c:pt>
                <c:pt idx="162">
                  <c:v>0.90651036209656199</c:v>
                </c:pt>
                <c:pt idx="163">
                  <c:v>0.90037831795971501</c:v>
                </c:pt>
                <c:pt idx="164">
                  <c:v>0.89452972418101495</c:v>
                </c:pt>
                <c:pt idx="165">
                  <c:v>0.88503915517491705</c:v>
                </c:pt>
                <c:pt idx="166">
                  <c:v>0.88007397877485305</c:v>
                </c:pt>
                <c:pt idx="167">
                  <c:v>0.87615936931336402</c:v>
                </c:pt>
                <c:pt idx="168">
                  <c:v>0.87244853864181304</c:v>
                </c:pt>
                <c:pt idx="169">
                  <c:v>0.86930006259876602</c:v>
                </c:pt>
                <c:pt idx="170">
                  <c:v>0.86943040458901399</c:v>
                </c:pt>
                <c:pt idx="171">
                  <c:v>0.87738177019778896</c:v>
                </c:pt>
                <c:pt idx="172">
                  <c:v>0.86956312702097305</c:v>
                </c:pt>
                <c:pt idx="173">
                  <c:v>0.877925736332547</c:v>
                </c:pt>
                <c:pt idx="174">
                  <c:v>0.87042686307093997</c:v>
                </c:pt>
                <c:pt idx="175">
                  <c:v>0.86834214650055097</c:v>
                </c:pt>
                <c:pt idx="176">
                  <c:v>0.869106570268107</c:v>
                </c:pt>
                <c:pt idx="177">
                  <c:v>0.86954738300130796</c:v>
                </c:pt>
                <c:pt idx="178">
                  <c:v>0.87916804248493696</c:v>
                </c:pt>
                <c:pt idx="179">
                  <c:v>0.88649187902126503</c:v>
                </c:pt>
                <c:pt idx="180">
                  <c:v>0.90211575616303596</c:v>
                </c:pt>
                <c:pt idx="181">
                  <c:v>0.91855052205978205</c:v>
                </c:pt>
                <c:pt idx="182">
                  <c:v>0.92636494497668198</c:v>
                </c:pt>
                <c:pt idx="183">
                  <c:v>0.92978184978036504</c:v>
                </c:pt>
                <c:pt idx="184">
                  <c:v>0.93198972919276701</c:v>
                </c:pt>
                <c:pt idx="185">
                  <c:v>0.93393910886536502</c:v>
                </c:pt>
                <c:pt idx="186">
                  <c:v>0.934981734385399</c:v>
                </c:pt>
                <c:pt idx="187">
                  <c:v>0.93663179913657102</c:v>
                </c:pt>
                <c:pt idx="188">
                  <c:v>0.93920159141786796</c:v>
                </c:pt>
                <c:pt idx="189">
                  <c:v>0.94062484412633096</c:v>
                </c:pt>
                <c:pt idx="190">
                  <c:v>0.940464226768847</c:v>
                </c:pt>
                <c:pt idx="191">
                  <c:v>0.94292832613731803</c:v>
                </c:pt>
                <c:pt idx="192">
                  <c:v>0.94354572152528904</c:v>
                </c:pt>
                <c:pt idx="193">
                  <c:v>0.94379564915749903</c:v>
                </c:pt>
                <c:pt idx="194">
                  <c:v>0.94508856942723596</c:v>
                </c:pt>
                <c:pt idx="195">
                  <c:v>0.95086450965717395</c:v>
                </c:pt>
                <c:pt idx="196">
                  <c:v>0.95225206645982796</c:v>
                </c:pt>
                <c:pt idx="197">
                  <c:v>0.95408908722833696</c:v>
                </c:pt>
                <c:pt idx="198">
                  <c:v>0.95516384290723599</c:v>
                </c:pt>
                <c:pt idx="199">
                  <c:v>0.95530465728795799</c:v>
                </c:pt>
                <c:pt idx="200">
                  <c:v>0.955031994953492</c:v>
                </c:pt>
                <c:pt idx="201">
                  <c:v>0.95446166105835095</c:v>
                </c:pt>
                <c:pt idx="202">
                  <c:v>0.956162285826758</c:v>
                </c:pt>
                <c:pt idx="203">
                  <c:v>0.95665106216608398</c:v>
                </c:pt>
                <c:pt idx="204">
                  <c:v>0.95493997815933696</c:v>
                </c:pt>
                <c:pt idx="205">
                  <c:v>0.95209361721049901</c:v>
                </c:pt>
                <c:pt idx="206">
                  <c:v>0.94644301955196997</c:v>
                </c:pt>
                <c:pt idx="207">
                  <c:v>0.94366916880146001</c:v>
                </c:pt>
                <c:pt idx="208">
                  <c:v>0.93451339347870099</c:v>
                </c:pt>
                <c:pt idx="209">
                  <c:v>0.92473494411718204</c:v>
                </c:pt>
                <c:pt idx="210">
                  <c:v>0.91808812821513397</c:v>
                </c:pt>
                <c:pt idx="211">
                  <c:v>0.90979661052449201</c:v>
                </c:pt>
                <c:pt idx="212">
                  <c:v>0.90367036010278401</c:v>
                </c:pt>
                <c:pt idx="213">
                  <c:v>0.89151897123605395</c:v>
                </c:pt>
                <c:pt idx="214">
                  <c:v>0.88149635229946899</c:v>
                </c:pt>
                <c:pt idx="215">
                  <c:v>0.86544327402628296</c:v>
                </c:pt>
                <c:pt idx="216">
                  <c:v>0.86581017871959498</c:v>
                </c:pt>
                <c:pt idx="217">
                  <c:v>0.87368476293451003</c:v>
                </c:pt>
                <c:pt idx="218">
                  <c:v>0.87797496886519999</c:v>
                </c:pt>
                <c:pt idx="219">
                  <c:v>0.88146342042746295</c:v>
                </c:pt>
                <c:pt idx="220">
                  <c:v>0.88497813362280298</c:v>
                </c:pt>
                <c:pt idx="221">
                  <c:v>0.89322602063661904</c:v>
                </c:pt>
                <c:pt idx="222">
                  <c:v>0.90093301199699405</c:v>
                </c:pt>
                <c:pt idx="223">
                  <c:v>0.91034449460417599</c:v>
                </c:pt>
                <c:pt idx="224">
                  <c:v>0.91786661905092903</c:v>
                </c:pt>
                <c:pt idx="225">
                  <c:v>0.92419066809975403</c:v>
                </c:pt>
                <c:pt idx="226">
                  <c:v>0.93218460513548196</c:v>
                </c:pt>
                <c:pt idx="227">
                  <c:v>0.93740392876855805</c:v>
                </c:pt>
                <c:pt idx="228">
                  <c:v>0.94390402573960996</c:v>
                </c:pt>
                <c:pt idx="229">
                  <c:v>0.94618957574815499</c:v>
                </c:pt>
                <c:pt idx="230">
                  <c:v>0.95034514567253003</c:v>
                </c:pt>
                <c:pt idx="231">
                  <c:v>0.95430053238882495</c:v>
                </c:pt>
                <c:pt idx="232">
                  <c:v>0.95294787225914002</c:v>
                </c:pt>
                <c:pt idx="233">
                  <c:v>0.95582571367402402</c:v>
                </c:pt>
                <c:pt idx="234">
                  <c:v>0.96836366012202202</c:v>
                </c:pt>
                <c:pt idx="235">
                  <c:v>0.96853737101449699</c:v>
                </c:pt>
                <c:pt idx="236">
                  <c:v>0.96776055357822099</c:v>
                </c:pt>
                <c:pt idx="237">
                  <c:v>0.96599400588607998</c:v>
                </c:pt>
                <c:pt idx="238">
                  <c:v>0.96546782158064204</c:v>
                </c:pt>
                <c:pt idx="239">
                  <c:v>0.96538742133317301</c:v>
                </c:pt>
                <c:pt idx="240">
                  <c:v>0.96507732549147596</c:v>
                </c:pt>
                <c:pt idx="241">
                  <c:v>0.96512342637611304</c:v>
                </c:pt>
              </c:numCache>
            </c:numRef>
          </c:val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43798</c:v>
                </c:pt>
                <c:pt idx="15">
                  <c:v>43797</c:v>
                </c:pt>
                <c:pt idx="16">
                  <c:v>43796</c:v>
                </c:pt>
                <c:pt idx="17">
                  <c:v>43795</c:v>
                </c:pt>
                <c:pt idx="18">
                  <c:v>43794</c:v>
                </c:pt>
                <c:pt idx="19">
                  <c:v>43791</c:v>
                </c:pt>
                <c:pt idx="20">
                  <c:v>43790</c:v>
                </c:pt>
                <c:pt idx="21">
                  <c:v>43789</c:v>
                </c:pt>
                <c:pt idx="22">
                  <c:v>43788</c:v>
                </c:pt>
                <c:pt idx="23">
                  <c:v>43787</c:v>
                </c:pt>
                <c:pt idx="24">
                  <c:v>43784</c:v>
                </c:pt>
                <c:pt idx="25">
                  <c:v>43783</c:v>
                </c:pt>
                <c:pt idx="26">
                  <c:v>43782</c:v>
                </c:pt>
                <c:pt idx="27">
                  <c:v>43781</c:v>
                </c:pt>
                <c:pt idx="28">
                  <c:v>43780</c:v>
                </c:pt>
                <c:pt idx="29">
                  <c:v>43777</c:v>
                </c:pt>
                <c:pt idx="30">
                  <c:v>43776</c:v>
                </c:pt>
                <c:pt idx="31">
                  <c:v>43775</c:v>
                </c:pt>
                <c:pt idx="32">
                  <c:v>43774</c:v>
                </c:pt>
                <c:pt idx="33">
                  <c:v>43770</c:v>
                </c:pt>
                <c:pt idx="34">
                  <c:v>43769</c:v>
                </c:pt>
                <c:pt idx="35">
                  <c:v>43768</c:v>
                </c:pt>
                <c:pt idx="36">
                  <c:v>43767</c:v>
                </c:pt>
                <c:pt idx="37">
                  <c:v>43766</c:v>
                </c:pt>
                <c:pt idx="38">
                  <c:v>43763</c:v>
                </c:pt>
                <c:pt idx="39">
                  <c:v>43762</c:v>
                </c:pt>
                <c:pt idx="40">
                  <c:v>43761</c:v>
                </c:pt>
                <c:pt idx="41">
                  <c:v>43759</c:v>
                </c:pt>
                <c:pt idx="42">
                  <c:v>43756</c:v>
                </c:pt>
                <c:pt idx="43">
                  <c:v>43755</c:v>
                </c:pt>
                <c:pt idx="44">
                  <c:v>43754</c:v>
                </c:pt>
                <c:pt idx="45">
                  <c:v>43753</c:v>
                </c:pt>
                <c:pt idx="46">
                  <c:v>43749</c:v>
                </c:pt>
                <c:pt idx="47">
                  <c:v>43748</c:v>
                </c:pt>
                <c:pt idx="48">
                  <c:v>43747</c:v>
                </c:pt>
                <c:pt idx="49">
                  <c:v>43746</c:v>
                </c:pt>
                <c:pt idx="50">
                  <c:v>43745</c:v>
                </c:pt>
                <c:pt idx="51">
                  <c:v>43742</c:v>
                </c:pt>
                <c:pt idx="52">
                  <c:v>43741</c:v>
                </c:pt>
                <c:pt idx="53">
                  <c:v>43740</c:v>
                </c:pt>
                <c:pt idx="54">
                  <c:v>43739</c:v>
                </c:pt>
                <c:pt idx="55">
                  <c:v>43738</c:v>
                </c:pt>
                <c:pt idx="56">
                  <c:v>43735</c:v>
                </c:pt>
                <c:pt idx="57">
                  <c:v>43734</c:v>
                </c:pt>
                <c:pt idx="58">
                  <c:v>43733</c:v>
                </c:pt>
                <c:pt idx="59">
                  <c:v>43732</c:v>
                </c:pt>
                <c:pt idx="60">
                  <c:v>43728</c:v>
                </c:pt>
                <c:pt idx="61">
                  <c:v>43727</c:v>
                </c:pt>
                <c:pt idx="62">
                  <c:v>43726</c:v>
                </c:pt>
                <c:pt idx="63">
                  <c:v>43725</c:v>
                </c:pt>
                <c:pt idx="64">
                  <c:v>43721</c:v>
                </c:pt>
                <c:pt idx="65">
                  <c:v>43720</c:v>
                </c:pt>
                <c:pt idx="66">
                  <c:v>43719</c:v>
                </c:pt>
                <c:pt idx="67">
                  <c:v>43718</c:v>
                </c:pt>
                <c:pt idx="68">
                  <c:v>43717</c:v>
                </c:pt>
                <c:pt idx="69">
                  <c:v>43714</c:v>
                </c:pt>
                <c:pt idx="70">
                  <c:v>43713</c:v>
                </c:pt>
                <c:pt idx="71">
                  <c:v>43712</c:v>
                </c:pt>
                <c:pt idx="72">
                  <c:v>43711</c:v>
                </c:pt>
                <c:pt idx="73">
                  <c:v>43710</c:v>
                </c:pt>
                <c:pt idx="74">
                  <c:v>43707</c:v>
                </c:pt>
                <c:pt idx="75">
                  <c:v>43706</c:v>
                </c:pt>
                <c:pt idx="76">
                  <c:v>43705</c:v>
                </c:pt>
                <c:pt idx="77">
                  <c:v>43704</c:v>
                </c:pt>
                <c:pt idx="78">
                  <c:v>43703</c:v>
                </c:pt>
                <c:pt idx="79">
                  <c:v>43700</c:v>
                </c:pt>
                <c:pt idx="80">
                  <c:v>43699</c:v>
                </c:pt>
                <c:pt idx="81">
                  <c:v>43698</c:v>
                </c:pt>
                <c:pt idx="82">
                  <c:v>43697</c:v>
                </c:pt>
                <c:pt idx="83">
                  <c:v>43696</c:v>
                </c:pt>
                <c:pt idx="84">
                  <c:v>43693</c:v>
                </c:pt>
                <c:pt idx="85">
                  <c:v>43692</c:v>
                </c:pt>
                <c:pt idx="86">
                  <c:v>43691</c:v>
                </c:pt>
                <c:pt idx="87">
                  <c:v>43690</c:v>
                </c:pt>
                <c:pt idx="88">
                  <c:v>43686</c:v>
                </c:pt>
                <c:pt idx="89">
                  <c:v>43685</c:v>
                </c:pt>
                <c:pt idx="90">
                  <c:v>43684</c:v>
                </c:pt>
                <c:pt idx="91">
                  <c:v>43683</c:v>
                </c:pt>
                <c:pt idx="92">
                  <c:v>43682</c:v>
                </c:pt>
                <c:pt idx="93">
                  <c:v>43679</c:v>
                </c:pt>
                <c:pt idx="94">
                  <c:v>43678</c:v>
                </c:pt>
                <c:pt idx="95">
                  <c:v>43677</c:v>
                </c:pt>
                <c:pt idx="96">
                  <c:v>43676</c:v>
                </c:pt>
                <c:pt idx="97">
                  <c:v>43675</c:v>
                </c:pt>
                <c:pt idx="98">
                  <c:v>43672</c:v>
                </c:pt>
                <c:pt idx="99">
                  <c:v>43671</c:v>
                </c:pt>
                <c:pt idx="100">
                  <c:v>43670</c:v>
                </c:pt>
                <c:pt idx="101">
                  <c:v>43669</c:v>
                </c:pt>
                <c:pt idx="102">
                  <c:v>43668</c:v>
                </c:pt>
                <c:pt idx="103">
                  <c:v>43665</c:v>
                </c:pt>
                <c:pt idx="104">
                  <c:v>43664</c:v>
                </c:pt>
                <c:pt idx="105">
                  <c:v>43663</c:v>
                </c:pt>
                <c:pt idx="106">
                  <c:v>43662</c:v>
                </c:pt>
                <c:pt idx="107">
                  <c:v>43658</c:v>
                </c:pt>
                <c:pt idx="108">
                  <c:v>43657</c:v>
                </c:pt>
                <c:pt idx="109">
                  <c:v>43656</c:v>
                </c:pt>
                <c:pt idx="110">
                  <c:v>43655</c:v>
                </c:pt>
                <c:pt idx="111">
                  <c:v>43654</c:v>
                </c:pt>
                <c:pt idx="112">
                  <c:v>43651</c:v>
                </c:pt>
                <c:pt idx="113">
                  <c:v>43650</c:v>
                </c:pt>
                <c:pt idx="114">
                  <c:v>43649</c:v>
                </c:pt>
                <c:pt idx="115">
                  <c:v>43648</c:v>
                </c:pt>
                <c:pt idx="116">
                  <c:v>43647</c:v>
                </c:pt>
                <c:pt idx="117">
                  <c:v>43644</c:v>
                </c:pt>
                <c:pt idx="118">
                  <c:v>43643</c:v>
                </c:pt>
                <c:pt idx="119">
                  <c:v>43642</c:v>
                </c:pt>
                <c:pt idx="120">
                  <c:v>43641</c:v>
                </c:pt>
                <c:pt idx="121">
                  <c:v>43640</c:v>
                </c:pt>
                <c:pt idx="122">
                  <c:v>43637</c:v>
                </c:pt>
                <c:pt idx="123">
                  <c:v>43636</c:v>
                </c:pt>
                <c:pt idx="124">
                  <c:v>43635</c:v>
                </c:pt>
                <c:pt idx="125">
                  <c:v>43634</c:v>
                </c:pt>
                <c:pt idx="126">
                  <c:v>43633</c:v>
                </c:pt>
                <c:pt idx="127">
                  <c:v>43630</c:v>
                </c:pt>
                <c:pt idx="128">
                  <c:v>43629</c:v>
                </c:pt>
                <c:pt idx="129">
                  <c:v>43628</c:v>
                </c:pt>
                <c:pt idx="130">
                  <c:v>43627</c:v>
                </c:pt>
                <c:pt idx="131">
                  <c:v>43626</c:v>
                </c:pt>
                <c:pt idx="132">
                  <c:v>43623</c:v>
                </c:pt>
                <c:pt idx="133">
                  <c:v>43622</c:v>
                </c:pt>
                <c:pt idx="134">
                  <c:v>43621</c:v>
                </c:pt>
                <c:pt idx="135">
                  <c:v>43620</c:v>
                </c:pt>
                <c:pt idx="136">
                  <c:v>43619</c:v>
                </c:pt>
                <c:pt idx="137">
                  <c:v>43616</c:v>
                </c:pt>
                <c:pt idx="138">
                  <c:v>43615</c:v>
                </c:pt>
                <c:pt idx="139">
                  <c:v>43614</c:v>
                </c:pt>
                <c:pt idx="140">
                  <c:v>43613</c:v>
                </c:pt>
                <c:pt idx="141">
                  <c:v>43612</c:v>
                </c:pt>
                <c:pt idx="142">
                  <c:v>43609</c:v>
                </c:pt>
                <c:pt idx="143">
                  <c:v>43608</c:v>
                </c:pt>
                <c:pt idx="144">
                  <c:v>43607</c:v>
                </c:pt>
                <c:pt idx="145">
                  <c:v>43606</c:v>
                </c:pt>
                <c:pt idx="146">
                  <c:v>43605</c:v>
                </c:pt>
                <c:pt idx="147">
                  <c:v>43602</c:v>
                </c:pt>
                <c:pt idx="148">
                  <c:v>43601</c:v>
                </c:pt>
                <c:pt idx="149">
                  <c:v>43600</c:v>
                </c:pt>
                <c:pt idx="150">
                  <c:v>43599</c:v>
                </c:pt>
                <c:pt idx="151">
                  <c:v>43598</c:v>
                </c:pt>
                <c:pt idx="152">
                  <c:v>43595</c:v>
                </c:pt>
                <c:pt idx="153">
                  <c:v>43594</c:v>
                </c:pt>
                <c:pt idx="154">
                  <c:v>43593</c:v>
                </c:pt>
                <c:pt idx="155">
                  <c:v>43592</c:v>
                </c:pt>
                <c:pt idx="156">
                  <c:v>43581</c:v>
                </c:pt>
                <c:pt idx="157">
                  <c:v>43580</c:v>
                </c:pt>
                <c:pt idx="158">
                  <c:v>43579</c:v>
                </c:pt>
                <c:pt idx="159">
                  <c:v>43578</c:v>
                </c:pt>
                <c:pt idx="160">
                  <c:v>43577</c:v>
                </c:pt>
                <c:pt idx="161">
                  <c:v>43574</c:v>
                </c:pt>
                <c:pt idx="162">
                  <c:v>43573</c:v>
                </c:pt>
                <c:pt idx="163">
                  <c:v>43572</c:v>
                </c:pt>
                <c:pt idx="164">
                  <c:v>43571</c:v>
                </c:pt>
                <c:pt idx="165">
                  <c:v>43570</c:v>
                </c:pt>
                <c:pt idx="166">
                  <c:v>43567</c:v>
                </c:pt>
                <c:pt idx="167">
                  <c:v>43566</c:v>
                </c:pt>
                <c:pt idx="168">
                  <c:v>43565</c:v>
                </c:pt>
                <c:pt idx="169">
                  <c:v>43564</c:v>
                </c:pt>
                <c:pt idx="170">
                  <c:v>43563</c:v>
                </c:pt>
                <c:pt idx="171">
                  <c:v>43560</c:v>
                </c:pt>
                <c:pt idx="172">
                  <c:v>43559</c:v>
                </c:pt>
                <c:pt idx="173">
                  <c:v>43558</c:v>
                </c:pt>
                <c:pt idx="174">
                  <c:v>43557</c:v>
                </c:pt>
                <c:pt idx="175">
                  <c:v>43556</c:v>
                </c:pt>
                <c:pt idx="176">
                  <c:v>43553</c:v>
                </c:pt>
                <c:pt idx="177">
                  <c:v>43552</c:v>
                </c:pt>
                <c:pt idx="178">
                  <c:v>43551</c:v>
                </c:pt>
                <c:pt idx="179">
                  <c:v>43550</c:v>
                </c:pt>
                <c:pt idx="180">
                  <c:v>43549</c:v>
                </c:pt>
                <c:pt idx="181">
                  <c:v>43546</c:v>
                </c:pt>
                <c:pt idx="182">
                  <c:v>43544</c:v>
                </c:pt>
                <c:pt idx="183">
                  <c:v>43543</c:v>
                </c:pt>
                <c:pt idx="184">
                  <c:v>43542</c:v>
                </c:pt>
                <c:pt idx="185">
                  <c:v>43539</c:v>
                </c:pt>
                <c:pt idx="186">
                  <c:v>43538</c:v>
                </c:pt>
                <c:pt idx="187">
                  <c:v>43537</c:v>
                </c:pt>
                <c:pt idx="188">
                  <c:v>43536</c:v>
                </c:pt>
                <c:pt idx="189">
                  <c:v>43535</c:v>
                </c:pt>
                <c:pt idx="190">
                  <c:v>43532</c:v>
                </c:pt>
                <c:pt idx="191">
                  <c:v>43531</c:v>
                </c:pt>
                <c:pt idx="192">
                  <c:v>43530</c:v>
                </c:pt>
                <c:pt idx="193">
                  <c:v>43529</c:v>
                </c:pt>
                <c:pt idx="194">
                  <c:v>43528</c:v>
                </c:pt>
                <c:pt idx="195">
                  <c:v>43525</c:v>
                </c:pt>
                <c:pt idx="196">
                  <c:v>43524</c:v>
                </c:pt>
                <c:pt idx="197">
                  <c:v>43523</c:v>
                </c:pt>
                <c:pt idx="198">
                  <c:v>43522</c:v>
                </c:pt>
                <c:pt idx="199">
                  <c:v>43521</c:v>
                </c:pt>
                <c:pt idx="200">
                  <c:v>43518</c:v>
                </c:pt>
                <c:pt idx="201">
                  <c:v>43517</c:v>
                </c:pt>
                <c:pt idx="202">
                  <c:v>43516</c:v>
                </c:pt>
                <c:pt idx="203">
                  <c:v>43515</c:v>
                </c:pt>
                <c:pt idx="204">
                  <c:v>43514</c:v>
                </c:pt>
                <c:pt idx="205">
                  <c:v>43511</c:v>
                </c:pt>
                <c:pt idx="206">
                  <c:v>43510</c:v>
                </c:pt>
                <c:pt idx="207">
                  <c:v>43509</c:v>
                </c:pt>
                <c:pt idx="208">
                  <c:v>43508</c:v>
                </c:pt>
                <c:pt idx="209">
                  <c:v>43504</c:v>
                </c:pt>
                <c:pt idx="210">
                  <c:v>43503</c:v>
                </c:pt>
                <c:pt idx="211">
                  <c:v>43502</c:v>
                </c:pt>
                <c:pt idx="212">
                  <c:v>43501</c:v>
                </c:pt>
                <c:pt idx="213">
                  <c:v>43500</c:v>
                </c:pt>
                <c:pt idx="214">
                  <c:v>43497</c:v>
                </c:pt>
                <c:pt idx="215">
                  <c:v>43496</c:v>
                </c:pt>
                <c:pt idx="216">
                  <c:v>43495</c:v>
                </c:pt>
                <c:pt idx="217">
                  <c:v>43494</c:v>
                </c:pt>
                <c:pt idx="218">
                  <c:v>43493</c:v>
                </c:pt>
                <c:pt idx="219">
                  <c:v>43490</c:v>
                </c:pt>
                <c:pt idx="220">
                  <c:v>43489</c:v>
                </c:pt>
                <c:pt idx="221">
                  <c:v>43488</c:v>
                </c:pt>
                <c:pt idx="222">
                  <c:v>43487</c:v>
                </c:pt>
                <c:pt idx="223">
                  <c:v>43486</c:v>
                </c:pt>
                <c:pt idx="224">
                  <c:v>43483</c:v>
                </c:pt>
                <c:pt idx="225">
                  <c:v>43482</c:v>
                </c:pt>
                <c:pt idx="226">
                  <c:v>43481</c:v>
                </c:pt>
                <c:pt idx="227">
                  <c:v>43480</c:v>
                </c:pt>
                <c:pt idx="228">
                  <c:v>43476</c:v>
                </c:pt>
                <c:pt idx="229">
                  <c:v>43475</c:v>
                </c:pt>
                <c:pt idx="230">
                  <c:v>43474</c:v>
                </c:pt>
                <c:pt idx="231">
                  <c:v>43473</c:v>
                </c:pt>
                <c:pt idx="232">
                  <c:v>43472</c:v>
                </c:pt>
                <c:pt idx="233">
                  <c:v>43469</c:v>
                </c:pt>
                <c:pt idx="234">
                  <c:v>43462</c:v>
                </c:pt>
                <c:pt idx="235">
                  <c:v>43461</c:v>
                </c:pt>
                <c:pt idx="236">
                  <c:v>43460</c:v>
                </c:pt>
                <c:pt idx="237">
                  <c:v>43459</c:v>
                </c:pt>
                <c:pt idx="238">
                  <c:v>43455</c:v>
                </c:pt>
                <c:pt idx="239">
                  <c:v>43454</c:v>
                </c:pt>
                <c:pt idx="240">
                  <c:v>43453</c:v>
                </c:pt>
                <c:pt idx="241">
                  <c:v>43452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0.95258436422025405</c:v>
                </c:pt>
                <c:pt idx="1">
                  <c:v>0.95276190195043098</c:v>
                </c:pt>
                <c:pt idx="2">
                  <c:v>0.95275794314441198</c:v>
                </c:pt>
                <c:pt idx="3">
                  <c:v>0.95291384550703595</c:v>
                </c:pt>
                <c:pt idx="4">
                  <c:v>0.95315127362883201</c:v>
                </c:pt>
                <c:pt idx="5">
                  <c:v>0.953738043669627</c:v>
                </c:pt>
                <c:pt idx="6">
                  <c:v>0.954126044500758</c:v>
                </c:pt>
                <c:pt idx="7">
                  <c:v>0.95453192704729195</c:v>
                </c:pt>
                <c:pt idx="8">
                  <c:v>0.95468523033998498</c:v>
                </c:pt>
                <c:pt idx="9">
                  <c:v>0.95488906990385303</c:v>
                </c:pt>
                <c:pt idx="10">
                  <c:v>0.95498476587494197</c:v>
                </c:pt>
                <c:pt idx="11">
                  <c:v>0.95531524561992798</c:v>
                </c:pt>
                <c:pt idx="12">
                  <c:v>0.95559066268659998</c:v>
                </c:pt>
                <c:pt idx="13">
                  <c:v>0.955929798758686</c:v>
                </c:pt>
                <c:pt idx="14">
                  <c:v>0.95603424643843005</c:v>
                </c:pt>
                <c:pt idx="15">
                  <c:v>0.956008378777365</c:v>
                </c:pt>
                <c:pt idx="16">
                  <c:v>0.95620727737203504</c:v>
                </c:pt>
                <c:pt idx="17">
                  <c:v>0.95664412463969695</c:v>
                </c:pt>
                <c:pt idx="18">
                  <c:v>0.95675389043868198</c:v>
                </c:pt>
                <c:pt idx="19">
                  <c:v>0.95669301904526305</c:v>
                </c:pt>
                <c:pt idx="20">
                  <c:v>0.95676079963119398</c:v>
                </c:pt>
                <c:pt idx="21">
                  <c:v>0.95680807628321196</c:v>
                </c:pt>
                <c:pt idx="22">
                  <c:v>0.95673238450009501</c:v>
                </c:pt>
                <c:pt idx="23">
                  <c:v>0.956388099774093</c:v>
                </c:pt>
                <c:pt idx="24">
                  <c:v>0.95585994070750402</c:v>
                </c:pt>
                <c:pt idx="25">
                  <c:v>0.95527555449780599</c:v>
                </c:pt>
                <c:pt idx="26">
                  <c:v>0.95470000871675698</c:v>
                </c:pt>
                <c:pt idx="27">
                  <c:v>0.95326943664749197</c:v>
                </c:pt>
                <c:pt idx="28">
                  <c:v>0.95241780343163696</c:v>
                </c:pt>
                <c:pt idx="29">
                  <c:v>0.95156855629506698</c:v>
                </c:pt>
                <c:pt idx="30">
                  <c:v>0.95047121940575297</c:v>
                </c:pt>
                <c:pt idx="31">
                  <c:v>0.94942973584129797</c:v>
                </c:pt>
                <c:pt idx="32">
                  <c:v>0.948766904254429</c:v>
                </c:pt>
                <c:pt idx="33">
                  <c:v>0.94632893618261205</c:v>
                </c:pt>
                <c:pt idx="34">
                  <c:v>0.94491185431649105</c:v>
                </c:pt>
                <c:pt idx="35">
                  <c:v>0.94480368019883298</c:v>
                </c:pt>
                <c:pt idx="36">
                  <c:v>0.94527665571804198</c:v>
                </c:pt>
                <c:pt idx="37">
                  <c:v>0.94571655291987999</c:v>
                </c:pt>
                <c:pt idx="38">
                  <c:v>0.94615391045790598</c:v>
                </c:pt>
                <c:pt idx="39">
                  <c:v>0.94656188251130402</c:v>
                </c:pt>
                <c:pt idx="40">
                  <c:v>0.94740822286605997</c:v>
                </c:pt>
                <c:pt idx="41">
                  <c:v>0.94935446211005203</c:v>
                </c:pt>
                <c:pt idx="42">
                  <c:v>0.95040629507093799</c:v>
                </c:pt>
                <c:pt idx="43">
                  <c:v>0.95151861995361198</c:v>
                </c:pt>
                <c:pt idx="44">
                  <c:v>0.95297448802393303</c:v>
                </c:pt>
                <c:pt idx="45">
                  <c:v>0.95415115619649704</c:v>
                </c:pt>
                <c:pt idx="46">
                  <c:v>0.95595334912738705</c:v>
                </c:pt>
                <c:pt idx="47">
                  <c:v>0.95683809370829298</c:v>
                </c:pt>
                <c:pt idx="48">
                  <c:v>0.95815432864598105</c:v>
                </c:pt>
                <c:pt idx="49">
                  <c:v>0.95957514796798005</c:v>
                </c:pt>
                <c:pt idx="50">
                  <c:v>0.95943492822600096</c:v>
                </c:pt>
                <c:pt idx="51">
                  <c:v>0.96092572216935102</c:v>
                </c:pt>
                <c:pt idx="52">
                  <c:v>0.96226219043167005</c:v>
                </c:pt>
                <c:pt idx="53">
                  <c:v>0.96354879141650396</c:v>
                </c:pt>
                <c:pt idx="54">
                  <c:v>0.964852810212256</c:v>
                </c:pt>
                <c:pt idx="55">
                  <c:v>0.96600144328929805</c:v>
                </c:pt>
                <c:pt idx="56">
                  <c:v>0.96699564610771305</c:v>
                </c:pt>
                <c:pt idx="57">
                  <c:v>0.96781923217257004</c:v>
                </c:pt>
                <c:pt idx="58">
                  <c:v>0.96854487123071498</c:v>
                </c:pt>
                <c:pt idx="59">
                  <c:v>0.969452408646992</c:v>
                </c:pt>
                <c:pt idx="60">
                  <c:v>0.970274661369803</c:v>
                </c:pt>
                <c:pt idx="61">
                  <c:v>0.97090486192529202</c:v>
                </c:pt>
                <c:pt idx="62">
                  <c:v>0.97143813442609295</c:v>
                </c:pt>
                <c:pt idx="63">
                  <c:v>0.97182079669463495</c:v>
                </c:pt>
                <c:pt idx="64">
                  <c:v>0.97176058016373501</c:v>
                </c:pt>
                <c:pt idx="65">
                  <c:v>0.97159196768036604</c:v>
                </c:pt>
                <c:pt idx="66">
                  <c:v>0.97149800154787802</c:v>
                </c:pt>
                <c:pt idx="67">
                  <c:v>0.97131512652541696</c:v>
                </c:pt>
                <c:pt idx="68">
                  <c:v>0.97077506643075295</c:v>
                </c:pt>
                <c:pt idx="69">
                  <c:v>0.97004761305052201</c:v>
                </c:pt>
                <c:pt idx="70">
                  <c:v>0.96938560215884995</c:v>
                </c:pt>
                <c:pt idx="71">
                  <c:v>0.96860518344747504</c:v>
                </c:pt>
                <c:pt idx="72">
                  <c:v>0.96823643170052498</c:v>
                </c:pt>
                <c:pt idx="73">
                  <c:v>0.96787229479125403</c:v>
                </c:pt>
                <c:pt idx="74">
                  <c:v>0.96759255824369705</c:v>
                </c:pt>
                <c:pt idx="75">
                  <c:v>0.967261801058517</c:v>
                </c:pt>
                <c:pt idx="76">
                  <c:v>0.96680745168424198</c:v>
                </c:pt>
                <c:pt idx="77">
                  <c:v>0.96616807787110703</c:v>
                </c:pt>
                <c:pt idx="78">
                  <c:v>0.96520741755884099</c:v>
                </c:pt>
                <c:pt idx="79">
                  <c:v>0.96393544885939297</c:v>
                </c:pt>
                <c:pt idx="80">
                  <c:v>0.96280332191548501</c:v>
                </c:pt>
                <c:pt idx="81">
                  <c:v>0.96146111690205605</c:v>
                </c:pt>
                <c:pt idx="82">
                  <c:v>0.96000043327352602</c:v>
                </c:pt>
                <c:pt idx="83">
                  <c:v>0.95846416009886704</c:v>
                </c:pt>
                <c:pt idx="84">
                  <c:v>0.95707971782869905</c:v>
                </c:pt>
                <c:pt idx="85">
                  <c:v>0.95541468973601695</c:v>
                </c:pt>
                <c:pt idx="86">
                  <c:v>0.95402883072570799</c:v>
                </c:pt>
                <c:pt idx="87">
                  <c:v>0.952599057008642</c:v>
                </c:pt>
                <c:pt idx="88">
                  <c:v>0.95093672350734604</c:v>
                </c:pt>
                <c:pt idx="89">
                  <c:v>0.95008009836437501</c:v>
                </c:pt>
                <c:pt idx="90">
                  <c:v>0.949297567105305</c:v>
                </c:pt>
                <c:pt idx="91">
                  <c:v>0.94876349494220702</c:v>
                </c:pt>
                <c:pt idx="92">
                  <c:v>0.94824099975629506</c:v>
                </c:pt>
                <c:pt idx="93">
                  <c:v>0.94790563425470398</c:v>
                </c:pt>
                <c:pt idx="94">
                  <c:v>0.94785120094616904</c:v>
                </c:pt>
                <c:pt idx="95">
                  <c:v>0.94847423495581396</c:v>
                </c:pt>
                <c:pt idx="96">
                  <c:v>0.94895004585170994</c:v>
                </c:pt>
                <c:pt idx="97">
                  <c:v>0.94909242900459201</c:v>
                </c:pt>
                <c:pt idx="98">
                  <c:v>0.94927930710478603</c:v>
                </c:pt>
                <c:pt idx="99">
                  <c:v>0.94976851390545503</c:v>
                </c:pt>
                <c:pt idx="100">
                  <c:v>0.95018960148206899</c:v>
                </c:pt>
                <c:pt idx="101">
                  <c:v>0.95028349175790805</c:v>
                </c:pt>
                <c:pt idx="102">
                  <c:v>0.95027441297030601</c:v>
                </c:pt>
                <c:pt idx="103">
                  <c:v>0.950292595601815</c:v>
                </c:pt>
                <c:pt idx="104">
                  <c:v>0.95014638492501202</c:v>
                </c:pt>
                <c:pt idx="105">
                  <c:v>0.950273832945144</c:v>
                </c:pt>
                <c:pt idx="106">
                  <c:v>0.950458041334034</c:v>
                </c:pt>
                <c:pt idx="107">
                  <c:v>0.95076044291386297</c:v>
                </c:pt>
                <c:pt idx="108">
                  <c:v>0.95135495170705697</c:v>
                </c:pt>
                <c:pt idx="109">
                  <c:v>0.951739739792413</c:v>
                </c:pt>
                <c:pt idx="110">
                  <c:v>0.95192278634837302</c:v>
                </c:pt>
                <c:pt idx="111">
                  <c:v>0.95213804842113003</c:v>
                </c:pt>
                <c:pt idx="112">
                  <c:v>0.95237851328284095</c:v>
                </c:pt>
                <c:pt idx="113">
                  <c:v>0.95264433952071703</c:v>
                </c:pt>
                <c:pt idx="114">
                  <c:v>0.95289248480791999</c:v>
                </c:pt>
                <c:pt idx="115">
                  <c:v>0.953181352816867</c:v>
                </c:pt>
                <c:pt idx="116">
                  <c:v>0.95337850790148804</c:v>
                </c:pt>
                <c:pt idx="117">
                  <c:v>0.95330302475239004</c:v>
                </c:pt>
                <c:pt idx="118">
                  <c:v>0.95320218223447695</c:v>
                </c:pt>
                <c:pt idx="119">
                  <c:v>0.95295675461592899</c:v>
                </c:pt>
                <c:pt idx="120">
                  <c:v>0.95265190494709295</c:v>
                </c:pt>
                <c:pt idx="121">
                  <c:v>0.952269778318794</c:v>
                </c:pt>
                <c:pt idx="122">
                  <c:v>0.95207171117994605</c:v>
                </c:pt>
                <c:pt idx="123">
                  <c:v>0.95176524931824102</c:v>
                </c:pt>
                <c:pt idx="124">
                  <c:v>0.95144755158182903</c:v>
                </c:pt>
                <c:pt idx="125">
                  <c:v>0.95092353526358397</c:v>
                </c:pt>
                <c:pt idx="126">
                  <c:v>0.95028248482586597</c:v>
                </c:pt>
                <c:pt idx="127">
                  <c:v>0.949698744832571</c:v>
                </c:pt>
                <c:pt idx="128">
                  <c:v>0.94929348763779897</c:v>
                </c:pt>
                <c:pt idx="129">
                  <c:v>0.94905908451588805</c:v>
                </c:pt>
                <c:pt idx="130">
                  <c:v>0.94888865437904102</c:v>
                </c:pt>
                <c:pt idx="131">
                  <c:v>0.94861384636716795</c:v>
                </c:pt>
                <c:pt idx="132">
                  <c:v>0.94814579862799697</c:v>
                </c:pt>
                <c:pt idx="133">
                  <c:v>0.94790640568235396</c:v>
                </c:pt>
                <c:pt idx="134">
                  <c:v>0.94786452234994201</c:v>
                </c:pt>
                <c:pt idx="135">
                  <c:v>0.94750836103869696</c:v>
                </c:pt>
                <c:pt idx="136">
                  <c:v>0.94697589355516398</c:v>
                </c:pt>
                <c:pt idx="137">
                  <c:v>0.94621570691765799</c:v>
                </c:pt>
                <c:pt idx="138">
                  <c:v>0.94559844525209902</c:v>
                </c:pt>
                <c:pt idx="139">
                  <c:v>0.94496195723528997</c:v>
                </c:pt>
                <c:pt idx="140">
                  <c:v>0.94445078710438601</c:v>
                </c:pt>
                <c:pt idx="141">
                  <c:v>0.94415863958770896</c:v>
                </c:pt>
                <c:pt idx="142">
                  <c:v>0.94395697792004896</c:v>
                </c:pt>
                <c:pt idx="143">
                  <c:v>0.94390276278840601</c:v>
                </c:pt>
                <c:pt idx="144">
                  <c:v>0.94450017624350002</c:v>
                </c:pt>
                <c:pt idx="145">
                  <c:v>0.94557669876247596</c:v>
                </c:pt>
                <c:pt idx="146">
                  <c:v>0.94652957303283802</c:v>
                </c:pt>
                <c:pt idx="147">
                  <c:v>0.94729774879755702</c:v>
                </c:pt>
                <c:pt idx="148">
                  <c:v>0.94792902376518395</c:v>
                </c:pt>
                <c:pt idx="149">
                  <c:v>0.948616193842864</c:v>
                </c:pt>
                <c:pt idx="150">
                  <c:v>0.94889063408077301</c:v>
                </c:pt>
                <c:pt idx="151">
                  <c:v>0.94892367967159497</c:v>
                </c:pt>
                <c:pt idx="152">
                  <c:v>0.94897418735837002</c:v>
                </c:pt>
                <c:pt idx="153">
                  <c:v>0.95030366631782104</c:v>
                </c:pt>
                <c:pt idx="154">
                  <c:v>0.95076910558306404</c:v>
                </c:pt>
                <c:pt idx="155">
                  <c:v>0.94998751187527697</c:v>
                </c:pt>
                <c:pt idx="156">
                  <c:v>0.95055916682893105</c:v>
                </c:pt>
                <c:pt idx="157">
                  <c:v>0.94921616449545498</c:v>
                </c:pt>
                <c:pt idx="158">
                  <c:v>0.94743907847546105</c:v>
                </c:pt>
                <c:pt idx="159">
                  <c:v>0.94628160529687999</c:v>
                </c:pt>
                <c:pt idx="160">
                  <c:v>0.94524358457180602</c:v>
                </c:pt>
                <c:pt idx="161">
                  <c:v>0.94445494045838896</c:v>
                </c:pt>
                <c:pt idx="162">
                  <c:v>0.94392507223877598</c:v>
                </c:pt>
                <c:pt idx="163">
                  <c:v>0.94349925834336501</c:v>
                </c:pt>
                <c:pt idx="164">
                  <c:v>0.94286543902539</c:v>
                </c:pt>
                <c:pt idx="165">
                  <c:v>0.94277099378957496</c:v>
                </c:pt>
                <c:pt idx="166">
                  <c:v>0.94246345874943704</c:v>
                </c:pt>
                <c:pt idx="167">
                  <c:v>0.94181718651897195</c:v>
                </c:pt>
                <c:pt idx="168">
                  <c:v>0.94168978085567001</c:v>
                </c:pt>
                <c:pt idx="169">
                  <c:v>0.94125546121714998</c:v>
                </c:pt>
                <c:pt idx="170">
                  <c:v>0.94045713901253203</c:v>
                </c:pt>
                <c:pt idx="171">
                  <c:v>0.93915614099886002</c:v>
                </c:pt>
                <c:pt idx="172">
                  <c:v>0.93718943074746797</c:v>
                </c:pt>
                <c:pt idx="173">
                  <c:v>0.93491096801192497</c:v>
                </c:pt>
                <c:pt idx="174">
                  <c:v>0.93225135496979805</c:v>
                </c:pt>
                <c:pt idx="175">
                  <c:v>0.92974684838236199</c:v>
                </c:pt>
                <c:pt idx="176">
                  <c:v>0.92726054899686605</c:v>
                </c:pt>
                <c:pt idx="177">
                  <c:v>0.92389449823909797</c:v>
                </c:pt>
                <c:pt idx="178">
                  <c:v>0.919798424235579</c:v>
                </c:pt>
                <c:pt idx="179">
                  <c:v>0.91688067520547401</c:v>
                </c:pt>
                <c:pt idx="180">
                  <c:v>0.91376585589876502</c:v>
                </c:pt>
                <c:pt idx="181">
                  <c:v>0.91099883858881603</c:v>
                </c:pt>
                <c:pt idx="182">
                  <c:v>0.90790329309347395</c:v>
                </c:pt>
                <c:pt idx="183">
                  <c:v>0.90488243196360096</c:v>
                </c:pt>
                <c:pt idx="184">
                  <c:v>0.90119549437338398</c:v>
                </c:pt>
                <c:pt idx="185">
                  <c:v>0.89648924287318998</c:v>
                </c:pt>
                <c:pt idx="186">
                  <c:v>0.89168070409716504</c:v>
                </c:pt>
                <c:pt idx="187">
                  <c:v>0.88780416556198904</c:v>
                </c:pt>
                <c:pt idx="188">
                  <c:v>0.88493432136712202</c:v>
                </c:pt>
                <c:pt idx="189">
                  <c:v>0.88142997026096104</c:v>
                </c:pt>
                <c:pt idx="190">
                  <c:v>0.87681848863727596</c:v>
                </c:pt>
                <c:pt idx="191">
                  <c:v>0.87321160859574598</c:v>
                </c:pt>
                <c:pt idx="192">
                  <c:v>0.86839255036934504</c:v>
                </c:pt>
                <c:pt idx="193">
                  <c:v>0.86388878683473302</c:v>
                </c:pt>
                <c:pt idx="194">
                  <c:v>0.85928347821698803</c:v>
                </c:pt>
                <c:pt idx="195">
                  <c:v>0.85503614948148798</c:v>
                </c:pt>
                <c:pt idx="196">
                  <c:v>0.85306241393256499</c:v>
                </c:pt>
                <c:pt idx="197">
                  <c:v>0.85122273352189504</c:v>
                </c:pt>
                <c:pt idx="198">
                  <c:v>0.85136121128757603</c:v>
                </c:pt>
                <c:pt idx="199">
                  <c:v>0.85035197240827498</c:v>
                </c:pt>
                <c:pt idx="200">
                  <c:v>0.84896798304799204</c:v>
                </c:pt>
                <c:pt idx="201">
                  <c:v>0.84661437679777496</c:v>
                </c:pt>
                <c:pt idx="202">
                  <c:v>0.84703900794799403</c:v>
                </c:pt>
                <c:pt idx="203">
                  <c:v>0.84712205199022494</c:v>
                </c:pt>
                <c:pt idx="204">
                  <c:v>0.847670246438608</c:v>
                </c:pt>
                <c:pt idx="205">
                  <c:v>0.84696564860252699</c:v>
                </c:pt>
                <c:pt idx="206">
                  <c:v>0.84630417148298998</c:v>
                </c:pt>
                <c:pt idx="207">
                  <c:v>0.84552850239335797</c:v>
                </c:pt>
                <c:pt idx="208">
                  <c:v>0.84461850041044595</c:v>
                </c:pt>
                <c:pt idx="209">
                  <c:v>0.84443743800266202</c:v>
                </c:pt>
                <c:pt idx="210">
                  <c:v>0.84614715117151196</c:v>
                </c:pt>
                <c:pt idx="211">
                  <c:v>0.84704847244368997</c:v>
                </c:pt>
                <c:pt idx="212">
                  <c:v>0.84871252060523805</c:v>
                </c:pt>
                <c:pt idx="213">
                  <c:v>0.85270895215626197</c:v>
                </c:pt>
                <c:pt idx="214">
                  <c:v>0.85747136253327005</c:v>
                </c:pt>
                <c:pt idx="215">
                  <c:v>0.86265804049140105</c:v>
                </c:pt>
                <c:pt idx="216">
                  <c:v>0.86656098037493101</c:v>
                </c:pt>
                <c:pt idx="217">
                  <c:v>0.87051259457214702</c:v>
                </c:pt>
                <c:pt idx="218">
                  <c:v>0.874695032659074</c:v>
                </c:pt>
                <c:pt idx="219">
                  <c:v>0.87839498688136997</c:v>
                </c:pt>
                <c:pt idx="220">
                  <c:v>0.88160574134858605</c:v>
                </c:pt>
                <c:pt idx="221">
                  <c:v>0.88515887679154504</c:v>
                </c:pt>
                <c:pt idx="222">
                  <c:v>0.88920320687977705</c:v>
                </c:pt>
                <c:pt idx="223">
                  <c:v>0.89249735562062504</c:v>
                </c:pt>
                <c:pt idx="224">
                  <c:v>0.89529363736010203</c:v>
                </c:pt>
                <c:pt idx="225">
                  <c:v>0.897517385129734</c:v>
                </c:pt>
                <c:pt idx="226">
                  <c:v>0.89979279968926595</c:v>
                </c:pt>
                <c:pt idx="227">
                  <c:v>0.90189153069671701</c:v>
                </c:pt>
                <c:pt idx="228">
                  <c:v>0.90631906257134298</c:v>
                </c:pt>
                <c:pt idx="229">
                  <c:v>0.90794934576552</c:v>
                </c:pt>
                <c:pt idx="230">
                  <c:v>0.90935032952171202</c:v>
                </c:pt>
                <c:pt idx="231">
                  <c:v>0.91056885699072798</c:v>
                </c:pt>
                <c:pt idx="232">
                  <c:v>0.90971395166689795</c:v>
                </c:pt>
                <c:pt idx="233">
                  <c:v>0.910787763007053</c:v>
                </c:pt>
                <c:pt idx="234">
                  <c:v>0.91299931130058698</c:v>
                </c:pt>
                <c:pt idx="235">
                  <c:v>0.91351696749468303</c:v>
                </c:pt>
                <c:pt idx="236">
                  <c:v>0.91416790643146595</c:v>
                </c:pt>
                <c:pt idx="237">
                  <c:v>0.91455986312670201</c:v>
                </c:pt>
                <c:pt idx="238">
                  <c:v>0.91611062474946703</c:v>
                </c:pt>
                <c:pt idx="239">
                  <c:v>0.91622768147187506</c:v>
                </c:pt>
                <c:pt idx="240">
                  <c:v>0.91633067207098096</c:v>
                </c:pt>
                <c:pt idx="241">
                  <c:v>0.916251258694879</c:v>
                </c:pt>
              </c:numCache>
            </c:numRef>
          </c:val>
        </c:ser>
        <c:marker val="1"/>
        <c:axId val="150426752"/>
        <c:axId val="150428288"/>
      </c:lineChart>
      <c:dateAx>
        <c:axId val="150426752"/>
        <c:scaling>
          <c:orientation val="minMax"/>
        </c:scaling>
        <c:axPos val="b"/>
        <c:numFmt formatCode="yyyy/mm/dd" sourceLinked="1"/>
        <c:tickLblPos val="nextTo"/>
        <c:crossAx val="150428288"/>
        <c:crosses val="autoZero"/>
        <c:auto val="1"/>
        <c:lblOffset val="100"/>
      </c:dateAx>
      <c:valAx>
        <c:axId val="150428288"/>
        <c:scaling>
          <c:orientation val="minMax"/>
        </c:scaling>
        <c:axPos val="l"/>
        <c:majorGridlines/>
        <c:numFmt formatCode="General" sourceLinked="1"/>
        <c:tickLblPos val="nextTo"/>
        <c:crossAx val="15042675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/>
      <c:lineChart>
        <c:grouping val="standard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43798</c:v>
                </c:pt>
                <c:pt idx="15">
                  <c:v>43797</c:v>
                </c:pt>
                <c:pt idx="16">
                  <c:v>43796</c:v>
                </c:pt>
                <c:pt idx="17">
                  <c:v>43795</c:v>
                </c:pt>
                <c:pt idx="18">
                  <c:v>43794</c:v>
                </c:pt>
                <c:pt idx="19">
                  <c:v>43791</c:v>
                </c:pt>
                <c:pt idx="20">
                  <c:v>43790</c:v>
                </c:pt>
                <c:pt idx="21">
                  <c:v>43789</c:v>
                </c:pt>
                <c:pt idx="22">
                  <c:v>43788</c:v>
                </c:pt>
                <c:pt idx="23">
                  <c:v>43787</c:v>
                </c:pt>
                <c:pt idx="24">
                  <c:v>43784</c:v>
                </c:pt>
                <c:pt idx="25">
                  <c:v>43783</c:v>
                </c:pt>
                <c:pt idx="26">
                  <c:v>43782</c:v>
                </c:pt>
                <c:pt idx="27">
                  <c:v>43781</c:v>
                </c:pt>
                <c:pt idx="28">
                  <c:v>43780</c:v>
                </c:pt>
                <c:pt idx="29">
                  <c:v>43777</c:v>
                </c:pt>
                <c:pt idx="30">
                  <c:v>43776</c:v>
                </c:pt>
                <c:pt idx="31">
                  <c:v>43775</c:v>
                </c:pt>
                <c:pt idx="32">
                  <c:v>43774</c:v>
                </c:pt>
                <c:pt idx="33">
                  <c:v>43770</c:v>
                </c:pt>
                <c:pt idx="34">
                  <c:v>43769</c:v>
                </c:pt>
                <c:pt idx="35">
                  <c:v>43768</c:v>
                </c:pt>
                <c:pt idx="36">
                  <c:v>43767</c:v>
                </c:pt>
                <c:pt idx="37">
                  <c:v>43766</c:v>
                </c:pt>
                <c:pt idx="38">
                  <c:v>43763</c:v>
                </c:pt>
                <c:pt idx="39">
                  <c:v>43762</c:v>
                </c:pt>
                <c:pt idx="40">
                  <c:v>43761</c:v>
                </c:pt>
                <c:pt idx="41">
                  <c:v>43759</c:v>
                </c:pt>
                <c:pt idx="42">
                  <c:v>43756</c:v>
                </c:pt>
                <c:pt idx="43">
                  <c:v>43755</c:v>
                </c:pt>
                <c:pt idx="44">
                  <c:v>43754</c:v>
                </c:pt>
                <c:pt idx="45">
                  <c:v>43753</c:v>
                </c:pt>
                <c:pt idx="46">
                  <c:v>43749</c:v>
                </c:pt>
                <c:pt idx="47">
                  <c:v>43748</c:v>
                </c:pt>
                <c:pt idx="48">
                  <c:v>43747</c:v>
                </c:pt>
                <c:pt idx="49">
                  <c:v>43746</c:v>
                </c:pt>
                <c:pt idx="50">
                  <c:v>43745</c:v>
                </c:pt>
                <c:pt idx="51">
                  <c:v>43742</c:v>
                </c:pt>
                <c:pt idx="52">
                  <c:v>43741</c:v>
                </c:pt>
                <c:pt idx="53">
                  <c:v>43740</c:v>
                </c:pt>
                <c:pt idx="54">
                  <c:v>43739</c:v>
                </c:pt>
                <c:pt idx="55">
                  <c:v>43738</c:v>
                </c:pt>
                <c:pt idx="56">
                  <c:v>43735</c:v>
                </c:pt>
                <c:pt idx="57">
                  <c:v>43734</c:v>
                </c:pt>
                <c:pt idx="58">
                  <c:v>43733</c:v>
                </c:pt>
                <c:pt idx="59">
                  <c:v>43732</c:v>
                </c:pt>
                <c:pt idx="60">
                  <c:v>43728</c:v>
                </c:pt>
                <c:pt idx="61">
                  <c:v>43727</c:v>
                </c:pt>
                <c:pt idx="62">
                  <c:v>43726</c:v>
                </c:pt>
                <c:pt idx="63">
                  <c:v>43725</c:v>
                </c:pt>
                <c:pt idx="64">
                  <c:v>43721</c:v>
                </c:pt>
                <c:pt idx="65">
                  <c:v>43720</c:v>
                </c:pt>
                <c:pt idx="66">
                  <c:v>43719</c:v>
                </c:pt>
                <c:pt idx="67">
                  <c:v>43718</c:v>
                </c:pt>
                <c:pt idx="68">
                  <c:v>43717</c:v>
                </c:pt>
                <c:pt idx="69">
                  <c:v>43714</c:v>
                </c:pt>
                <c:pt idx="70">
                  <c:v>43713</c:v>
                </c:pt>
                <c:pt idx="71">
                  <c:v>43712</c:v>
                </c:pt>
                <c:pt idx="72">
                  <c:v>43711</c:v>
                </c:pt>
                <c:pt idx="73">
                  <c:v>43710</c:v>
                </c:pt>
                <c:pt idx="74">
                  <c:v>43707</c:v>
                </c:pt>
                <c:pt idx="75">
                  <c:v>43706</c:v>
                </c:pt>
                <c:pt idx="76">
                  <c:v>43705</c:v>
                </c:pt>
                <c:pt idx="77">
                  <c:v>43704</c:v>
                </c:pt>
                <c:pt idx="78">
                  <c:v>43703</c:v>
                </c:pt>
                <c:pt idx="79">
                  <c:v>43700</c:v>
                </c:pt>
                <c:pt idx="80">
                  <c:v>43699</c:v>
                </c:pt>
                <c:pt idx="81">
                  <c:v>43698</c:v>
                </c:pt>
                <c:pt idx="82">
                  <c:v>43697</c:v>
                </c:pt>
                <c:pt idx="83">
                  <c:v>43696</c:v>
                </c:pt>
                <c:pt idx="84">
                  <c:v>43693</c:v>
                </c:pt>
                <c:pt idx="85">
                  <c:v>43692</c:v>
                </c:pt>
                <c:pt idx="86">
                  <c:v>43691</c:v>
                </c:pt>
                <c:pt idx="87">
                  <c:v>43690</c:v>
                </c:pt>
                <c:pt idx="88">
                  <c:v>43686</c:v>
                </c:pt>
                <c:pt idx="89">
                  <c:v>43685</c:v>
                </c:pt>
                <c:pt idx="90">
                  <c:v>43684</c:v>
                </c:pt>
                <c:pt idx="91">
                  <c:v>43683</c:v>
                </c:pt>
                <c:pt idx="92">
                  <c:v>43682</c:v>
                </c:pt>
                <c:pt idx="93">
                  <c:v>43679</c:v>
                </c:pt>
                <c:pt idx="94">
                  <c:v>43678</c:v>
                </c:pt>
                <c:pt idx="95">
                  <c:v>43677</c:v>
                </c:pt>
                <c:pt idx="96">
                  <c:v>43676</c:v>
                </c:pt>
                <c:pt idx="97">
                  <c:v>43675</c:v>
                </c:pt>
                <c:pt idx="98">
                  <c:v>43672</c:v>
                </c:pt>
                <c:pt idx="99">
                  <c:v>43671</c:v>
                </c:pt>
                <c:pt idx="100">
                  <c:v>43670</c:v>
                </c:pt>
                <c:pt idx="101">
                  <c:v>43669</c:v>
                </c:pt>
                <c:pt idx="102">
                  <c:v>43668</c:v>
                </c:pt>
                <c:pt idx="103">
                  <c:v>43665</c:v>
                </c:pt>
                <c:pt idx="104">
                  <c:v>43664</c:v>
                </c:pt>
                <c:pt idx="105">
                  <c:v>43663</c:v>
                </c:pt>
                <c:pt idx="106">
                  <c:v>43662</c:v>
                </c:pt>
                <c:pt idx="107">
                  <c:v>43658</c:v>
                </c:pt>
                <c:pt idx="108">
                  <c:v>43657</c:v>
                </c:pt>
                <c:pt idx="109">
                  <c:v>43656</c:v>
                </c:pt>
                <c:pt idx="110">
                  <c:v>43655</c:v>
                </c:pt>
                <c:pt idx="111">
                  <c:v>43654</c:v>
                </c:pt>
                <c:pt idx="112">
                  <c:v>43651</c:v>
                </c:pt>
                <c:pt idx="113">
                  <c:v>43650</c:v>
                </c:pt>
                <c:pt idx="114">
                  <c:v>43649</c:v>
                </c:pt>
                <c:pt idx="115">
                  <c:v>43648</c:v>
                </c:pt>
                <c:pt idx="116">
                  <c:v>43647</c:v>
                </c:pt>
                <c:pt idx="117">
                  <c:v>43644</c:v>
                </c:pt>
                <c:pt idx="118">
                  <c:v>43643</c:v>
                </c:pt>
                <c:pt idx="119">
                  <c:v>43642</c:v>
                </c:pt>
                <c:pt idx="120">
                  <c:v>43641</c:v>
                </c:pt>
                <c:pt idx="121">
                  <c:v>43640</c:v>
                </c:pt>
                <c:pt idx="122">
                  <c:v>43637</c:v>
                </c:pt>
                <c:pt idx="123">
                  <c:v>43636</c:v>
                </c:pt>
                <c:pt idx="124">
                  <c:v>43635</c:v>
                </c:pt>
                <c:pt idx="125">
                  <c:v>43634</c:v>
                </c:pt>
                <c:pt idx="126">
                  <c:v>43633</c:v>
                </c:pt>
                <c:pt idx="127">
                  <c:v>43630</c:v>
                </c:pt>
                <c:pt idx="128">
                  <c:v>43629</c:v>
                </c:pt>
                <c:pt idx="129">
                  <c:v>43628</c:v>
                </c:pt>
                <c:pt idx="130">
                  <c:v>43627</c:v>
                </c:pt>
                <c:pt idx="131">
                  <c:v>43626</c:v>
                </c:pt>
                <c:pt idx="132">
                  <c:v>43623</c:v>
                </c:pt>
                <c:pt idx="133">
                  <c:v>43622</c:v>
                </c:pt>
                <c:pt idx="134">
                  <c:v>43621</c:v>
                </c:pt>
                <c:pt idx="135">
                  <c:v>43620</c:v>
                </c:pt>
                <c:pt idx="136">
                  <c:v>43619</c:v>
                </c:pt>
                <c:pt idx="137">
                  <c:v>43616</c:v>
                </c:pt>
                <c:pt idx="138">
                  <c:v>43615</c:v>
                </c:pt>
                <c:pt idx="139">
                  <c:v>43614</c:v>
                </c:pt>
                <c:pt idx="140">
                  <c:v>43613</c:v>
                </c:pt>
                <c:pt idx="141">
                  <c:v>43612</c:v>
                </c:pt>
                <c:pt idx="142">
                  <c:v>43609</c:v>
                </c:pt>
                <c:pt idx="143">
                  <c:v>43608</c:v>
                </c:pt>
                <c:pt idx="144">
                  <c:v>43607</c:v>
                </c:pt>
                <c:pt idx="145">
                  <c:v>43606</c:v>
                </c:pt>
                <c:pt idx="146">
                  <c:v>43605</c:v>
                </c:pt>
                <c:pt idx="147">
                  <c:v>43602</c:v>
                </c:pt>
                <c:pt idx="148">
                  <c:v>43601</c:v>
                </c:pt>
                <c:pt idx="149">
                  <c:v>43600</c:v>
                </c:pt>
                <c:pt idx="150">
                  <c:v>43599</c:v>
                </c:pt>
                <c:pt idx="151">
                  <c:v>43598</c:v>
                </c:pt>
                <c:pt idx="152">
                  <c:v>43595</c:v>
                </c:pt>
                <c:pt idx="153">
                  <c:v>43594</c:v>
                </c:pt>
                <c:pt idx="154">
                  <c:v>43593</c:v>
                </c:pt>
                <c:pt idx="155">
                  <c:v>43592</c:v>
                </c:pt>
                <c:pt idx="156">
                  <c:v>43581</c:v>
                </c:pt>
                <c:pt idx="157">
                  <c:v>43580</c:v>
                </c:pt>
                <c:pt idx="158">
                  <c:v>43579</c:v>
                </c:pt>
                <c:pt idx="159">
                  <c:v>43578</c:v>
                </c:pt>
                <c:pt idx="160">
                  <c:v>43577</c:v>
                </c:pt>
                <c:pt idx="161">
                  <c:v>43574</c:v>
                </c:pt>
                <c:pt idx="162">
                  <c:v>43573</c:v>
                </c:pt>
                <c:pt idx="163">
                  <c:v>43572</c:v>
                </c:pt>
                <c:pt idx="164">
                  <c:v>43571</c:v>
                </c:pt>
                <c:pt idx="165">
                  <c:v>43570</c:v>
                </c:pt>
                <c:pt idx="166">
                  <c:v>43567</c:v>
                </c:pt>
                <c:pt idx="167">
                  <c:v>43566</c:v>
                </c:pt>
                <c:pt idx="168">
                  <c:v>43565</c:v>
                </c:pt>
                <c:pt idx="169">
                  <c:v>43564</c:v>
                </c:pt>
                <c:pt idx="170">
                  <c:v>43563</c:v>
                </c:pt>
                <c:pt idx="171">
                  <c:v>43560</c:v>
                </c:pt>
                <c:pt idx="172">
                  <c:v>43559</c:v>
                </c:pt>
                <c:pt idx="173">
                  <c:v>43558</c:v>
                </c:pt>
                <c:pt idx="174">
                  <c:v>43557</c:v>
                </c:pt>
                <c:pt idx="175">
                  <c:v>43556</c:v>
                </c:pt>
                <c:pt idx="176">
                  <c:v>43553</c:v>
                </c:pt>
                <c:pt idx="177">
                  <c:v>43552</c:v>
                </c:pt>
                <c:pt idx="178">
                  <c:v>43551</c:v>
                </c:pt>
                <c:pt idx="179">
                  <c:v>43550</c:v>
                </c:pt>
                <c:pt idx="180">
                  <c:v>43549</c:v>
                </c:pt>
                <c:pt idx="181">
                  <c:v>43546</c:v>
                </c:pt>
                <c:pt idx="182">
                  <c:v>43544</c:v>
                </c:pt>
                <c:pt idx="183">
                  <c:v>43543</c:v>
                </c:pt>
                <c:pt idx="184">
                  <c:v>43542</c:v>
                </c:pt>
                <c:pt idx="185">
                  <c:v>43539</c:v>
                </c:pt>
                <c:pt idx="186">
                  <c:v>43538</c:v>
                </c:pt>
                <c:pt idx="187">
                  <c:v>43537</c:v>
                </c:pt>
                <c:pt idx="188">
                  <c:v>43536</c:v>
                </c:pt>
                <c:pt idx="189">
                  <c:v>43535</c:v>
                </c:pt>
                <c:pt idx="190">
                  <c:v>43532</c:v>
                </c:pt>
                <c:pt idx="191">
                  <c:v>43531</c:v>
                </c:pt>
                <c:pt idx="192">
                  <c:v>43530</c:v>
                </c:pt>
                <c:pt idx="193">
                  <c:v>43529</c:v>
                </c:pt>
                <c:pt idx="194">
                  <c:v>43528</c:v>
                </c:pt>
                <c:pt idx="195">
                  <c:v>43525</c:v>
                </c:pt>
                <c:pt idx="196">
                  <c:v>43524</c:v>
                </c:pt>
                <c:pt idx="197">
                  <c:v>43523</c:v>
                </c:pt>
                <c:pt idx="198">
                  <c:v>43522</c:v>
                </c:pt>
                <c:pt idx="199">
                  <c:v>43521</c:v>
                </c:pt>
                <c:pt idx="200">
                  <c:v>43518</c:v>
                </c:pt>
                <c:pt idx="201">
                  <c:v>43517</c:v>
                </c:pt>
                <c:pt idx="202">
                  <c:v>43516</c:v>
                </c:pt>
                <c:pt idx="203">
                  <c:v>43515</c:v>
                </c:pt>
                <c:pt idx="204">
                  <c:v>43514</c:v>
                </c:pt>
                <c:pt idx="205">
                  <c:v>43511</c:v>
                </c:pt>
                <c:pt idx="206">
                  <c:v>43510</c:v>
                </c:pt>
                <c:pt idx="207">
                  <c:v>43509</c:v>
                </c:pt>
                <c:pt idx="208">
                  <c:v>43508</c:v>
                </c:pt>
                <c:pt idx="209">
                  <c:v>43504</c:v>
                </c:pt>
                <c:pt idx="210">
                  <c:v>43503</c:v>
                </c:pt>
                <c:pt idx="211">
                  <c:v>43502</c:v>
                </c:pt>
                <c:pt idx="212">
                  <c:v>43501</c:v>
                </c:pt>
                <c:pt idx="213">
                  <c:v>43500</c:v>
                </c:pt>
                <c:pt idx="214">
                  <c:v>43497</c:v>
                </c:pt>
                <c:pt idx="215">
                  <c:v>43496</c:v>
                </c:pt>
                <c:pt idx="216">
                  <c:v>43495</c:v>
                </c:pt>
                <c:pt idx="217">
                  <c:v>43494</c:v>
                </c:pt>
                <c:pt idx="218">
                  <c:v>43493</c:v>
                </c:pt>
                <c:pt idx="219">
                  <c:v>43490</c:v>
                </c:pt>
                <c:pt idx="220">
                  <c:v>43489</c:v>
                </c:pt>
                <c:pt idx="221">
                  <c:v>43488</c:v>
                </c:pt>
                <c:pt idx="222">
                  <c:v>43487</c:v>
                </c:pt>
                <c:pt idx="223">
                  <c:v>43486</c:v>
                </c:pt>
                <c:pt idx="224">
                  <c:v>43483</c:v>
                </c:pt>
                <c:pt idx="225">
                  <c:v>43482</c:v>
                </c:pt>
                <c:pt idx="226">
                  <c:v>43481</c:v>
                </c:pt>
                <c:pt idx="227">
                  <c:v>43480</c:v>
                </c:pt>
                <c:pt idx="228">
                  <c:v>43476</c:v>
                </c:pt>
                <c:pt idx="229">
                  <c:v>43475</c:v>
                </c:pt>
                <c:pt idx="230">
                  <c:v>43474</c:v>
                </c:pt>
                <c:pt idx="231">
                  <c:v>43473</c:v>
                </c:pt>
                <c:pt idx="232">
                  <c:v>43472</c:v>
                </c:pt>
                <c:pt idx="233">
                  <c:v>43469</c:v>
                </c:pt>
                <c:pt idx="234">
                  <c:v>43462</c:v>
                </c:pt>
                <c:pt idx="235">
                  <c:v>43461</c:v>
                </c:pt>
                <c:pt idx="236">
                  <c:v>43460</c:v>
                </c:pt>
                <c:pt idx="237">
                  <c:v>43459</c:v>
                </c:pt>
                <c:pt idx="238">
                  <c:v>43455</c:v>
                </c:pt>
                <c:pt idx="239">
                  <c:v>43454</c:v>
                </c:pt>
                <c:pt idx="240">
                  <c:v>43453</c:v>
                </c:pt>
                <c:pt idx="241">
                  <c:v>43452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0.47442998666439901</c:v>
                </c:pt>
                <c:pt idx="1">
                  <c:v>0.58796993648782003</c:v>
                </c:pt>
                <c:pt idx="2">
                  <c:v>0.376161803626615</c:v>
                </c:pt>
                <c:pt idx="3">
                  <c:v>0.28598676493220199</c:v>
                </c:pt>
                <c:pt idx="4">
                  <c:v>0.19372192743521699</c:v>
                </c:pt>
                <c:pt idx="5">
                  <c:v>0.195049126974217</c:v>
                </c:pt>
                <c:pt idx="6">
                  <c:v>0.13285971785505399</c:v>
                </c:pt>
                <c:pt idx="7">
                  <c:v>0.119120453695296</c:v>
                </c:pt>
                <c:pt idx="8">
                  <c:v>0.13755907760876199</c:v>
                </c:pt>
                <c:pt idx="9">
                  <c:v>9.8702192179849699E-2</c:v>
                </c:pt>
                <c:pt idx="10">
                  <c:v>8.0787798708938596E-2</c:v>
                </c:pt>
                <c:pt idx="11">
                  <c:v>5.6106746051920897E-2</c:v>
                </c:pt>
                <c:pt idx="12">
                  <c:v>4.4588630193645902E-2</c:v>
                </c:pt>
                <c:pt idx="13">
                  <c:v>2.8916309340581901E-2</c:v>
                </c:pt>
                <c:pt idx="14">
                  <c:v>1.5230820633318799E-2</c:v>
                </c:pt>
                <c:pt idx="15">
                  <c:v>1.10713211575052E-2</c:v>
                </c:pt>
                <c:pt idx="16">
                  <c:v>3.0117426764576698E-3</c:v>
                </c:pt>
                <c:pt idx="17">
                  <c:v>6.4816631440062803E-3</c:v>
                </c:pt>
                <c:pt idx="18">
                  <c:v>1.5502707489919399E-2</c:v>
                </c:pt>
                <c:pt idx="19">
                  <c:v>1.8497577278871202E-2</c:v>
                </c:pt>
                <c:pt idx="20">
                  <c:v>2.2794375818497501E-2</c:v>
                </c:pt>
                <c:pt idx="21">
                  <c:v>2.0984119695450498E-2</c:v>
                </c:pt>
                <c:pt idx="22">
                  <c:v>9.0232195687692696E-2</c:v>
                </c:pt>
                <c:pt idx="23">
                  <c:v>3.2462348375624402E-2</c:v>
                </c:pt>
                <c:pt idx="24">
                  <c:v>0.231321079031717</c:v>
                </c:pt>
                <c:pt idx="25">
                  <c:v>0.25409542369518401</c:v>
                </c:pt>
                <c:pt idx="26">
                  <c:v>0.26572450940787201</c:v>
                </c:pt>
                <c:pt idx="27">
                  <c:v>0.23456267096156999</c:v>
                </c:pt>
                <c:pt idx="28">
                  <c:v>0.25491425628043102</c:v>
                </c:pt>
                <c:pt idx="29">
                  <c:v>0.50526172957039295</c:v>
                </c:pt>
                <c:pt idx="30">
                  <c:v>0.58146511319258398</c:v>
                </c:pt>
                <c:pt idx="31">
                  <c:v>0.56889051964925996</c:v>
                </c:pt>
                <c:pt idx="32">
                  <c:v>0.56910014693048805</c:v>
                </c:pt>
                <c:pt idx="33">
                  <c:v>0.39139377114104301</c:v>
                </c:pt>
                <c:pt idx="34">
                  <c:v>0.235131682032898</c:v>
                </c:pt>
                <c:pt idx="35">
                  <c:v>0.90911065270498403</c:v>
                </c:pt>
                <c:pt idx="36">
                  <c:v>0.90484539004331299</c:v>
                </c:pt>
                <c:pt idx="37">
                  <c:v>0.64327991064898304</c:v>
                </c:pt>
                <c:pt idx="38">
                  <c:v>0.59598357049054995</c:v>
                </c:pt>
                <c:pt idx="39">
                  <c:v>0.55506007346253505</c:v>
                </c:pt>
                <c:pt idx="40">
                  <c:v>0.33364676971205798</c:v>
                </c:pt>
                <c:pt idx="41">
                  <c:v>0.29418938574410403</c:v>
                </c:pt>
                <c:pt idx="42">
                  <c:v>0.229131915054479</c:v>
                </c:pt>
                <c:pt idx="43">
                  <c:v>0.25311327576041498</c:v>
                </c:pt>
                <c:pt idx="44">
                  <c:v>0.26484909563821202</c:v>
                </c:pt>
                <c:pt idx="45">
                  <c:v>0.33500578141954601</c:v>
                </c:pt>
                <c:pt idx="46">
                  <c:v>0.32644542009644201</c:v>
                </c:pt>
                <c:pt idx="47">
                  <c:v>0.48900729336667398</c:v>
                </c:pt>
                <c:pt idx="48">
                  <c:v>0.41836171435419001</c:v>
                </c:pt>
                <c:pt idx="49">
                  <c:v>0.389155472590135</c:v>
                </c:pt>
                <c:pt idx="50">
                  <c:v>0.33314986981839301</c:v>
                </c:pt>
                <c:pt idx="51">
                  <c:v>0.34218934892872999</c:v>
                </c:pt>
                <c:pt idx="52">
                  <c:v>0.35859916921566198</c:v>
                </c:pt>
                <c:pt idx="53">
                  <c:v>0.35129848646529399</c:v>
                </c:pt>
                <c:pt idx="54">
                  <c:v>0.355758888420527</c:v>
                </c:pt>
                <c:pt idx="55">
                  <c:v>0.35346412846104702</c:v>
                </c:pt>
                <c:pt idx="56">
                  <c:v>0.356842657081621</c:v>
                </c:pt>
                <c:pt idx="57">
                  <c:v>0.45648706100228498</c:v>
                </c:pt>
                <c:pt idx="58">
                  <c:v>0.43378732621143701</c:v>
                </c:pt>
                <c:pt idx="59">
                  <c:v>0.46643325181538797</c:v>
                </c:pt>
                <c:pt idx="60">
                  <c:v>0.37608205464862998</c:v>
                </c:pt>
                <c:pt idx="61">
                  <c:v>0.30127963173377498</c:v>
                </c:pt>
                <c:pt idx="62">
                  <c:v>0.35983115152790601</c:v>
                </c:pt>
                <c:pt idx="63">
                  <c:v>7.2829391538308294E-2</c:v>
                </c:pt>
                <c:pt idx="64">
                  <c:v>0.14889525588129901</c:v>
                </c:pt>
                <c:pt idx="65">
                  <c:v>2.29388874202942E-2</c:v>
                </c:pt>
                <c:pt idx="66">
                  <c:v>0.11955539088938499</c:v>
                </c:pt>
                <c:pt idx="67">
                  <c:v>3.2466701394239898E-2</c:v>
                </c:pt>
                <c:pt idx="68">
                  <c:v>3.8166793921628403E-2</c:v>
                </c:pt>
                <c:pt idx="69">
                  <c:v>0.112456651637033</c:v>
                </c:pt>
                <c:pt idx="70">
                  <c:v>2.1608883444904199E-2</c:v>
                </c:pt>
                <c:pt idx="71">
                  <c:v>4.2584749335844899E-2</c:v>
                </c:pt>
                <c:pt idx="72">
                  <c:v>0.157238708708653</c:v>
                </c:pt>
                <c:pt idx="73">
                  <c:v>0.31797922078198598</c:v>
                </c:pt>
                <c:pt idx="74">
                  <c:v>0.24880936656091299</c:v>
                </c:pt>
                <c:pt idx="75">
                  <c:v>0.40936412463448302</c:v>
                </c:pt>
                <c:pt idx="76">
                  <c:v>0.47251032341695898</c:v>
                </c:pt>
                <c:pt idx="77">
                  <c:v>0.49393974554410802</c:v>
                </c:pt>
                <c:pt idx="78">
                  <c:v>0.81126188588909598</c:v>
                </c:pt>
                <c:pt idx="79">
                  <c:v>0.86466219998441696</c:v>
                </c:pt>
                <c:pt idx="80">
                  <c:v>0.72826063898862503</c:v>
                </c:pt>
                <c:pt idx="81">
                  <c:v>0.70042977257341699</c:v>
                </c:pt>
                <c:pt idx="82">
                  <c:v>0.75967888954398799</c:v>
                </c:pt>
                <c:pt idx="83">
                  <c:v>0.63289698189566801</c:v>
                </c:pt>
                <c:pt idx="84">
                  <c:v>0.24209139800370499</c:v>
                </c:pt>
                <c:pt idx="85">
                  <c:v>0.306563857913347</c:v>
                </c:pt>
                <c:pt idx="86">
                  <c:v>0.15870331722438699</c:v>
                </c:pt>
                <c:pt idx="87">
                  <c:v>0.316485422944355</c:v>
                </c:pt>
                <c:pt idx="88">
                  <c:v>0.72761732971956194</c:v>
                </c:pt>
                <c:pt idx="89">
                  <c:v>0.98737658107195703</c:v>
                </c:pt>
                <c:pt idx="90">
                  <c:v>0.98246653055140598</c:v>
                </c:pt>
                <c:pt idx="91">
                  <c:v>1</c:v>
                </c:pt>
                <c:pt idx="92">
                  <c:v>0.98156270216080499</c:v>
                </c:pt>
                <c:pt idx="93">
                  <c:v>0.98408165123297697</c:v>
                </c:pt>
                <c:pt idx="94">
                  <c:v>0.988791991084078</c:v>
                </c:pt>
                <c:pt idx="95">
                  <c:v>0.99154986650299004</c:v>
                </c:pt>
                <c:pt idx="96">
                  <c:v>0.99211466087493905</c:v>
                </c:pt>
                <c:pt idx="97">
                  <c:v>0.99254606948565205</c:v>
                </c:pt>
                <c:pt idx="98">
                  <c:v>0.99101494935109102</c:v>
                </c:pt>
                <c:pt idx="99">
                  <c:v>0.99381513919072895</c:v>
                </c:pt>
                <c:pt idx="100">
                  <c:v>0.97679730347693505</c:v>
                </c:pt>
                <c:pt idx="101">
                  <c:v>0.96142648552155796</c:v>
                </c:pt>
                <c:pt idx="102">
                  <c:v>0.91656864253583403</c:v>
                </c:pt>
                <c:pt idx="103">
                  <c:v>0.89821290892655004</c:v>
                </c:pt>
                <c:pt idx="104">
                  <c:v>0.82037323725038003</c:v>
                </c:pt>
                <c:pt idx="105">
                  <c:v>0.736517582570405</c:v>
                </c:pt>
                <c:pt idx="106">
                  <c:v>0.69272267919684205</c:v>
                </c:pt>
                <c:pt idx="107">
                  <c:v>0.49503510800182099</c:v>
                </c:pt>
                <c:pt idx="108">
                  <c:v>0.53264335267132001</c:v>
                </c:pt>
                <c:pt idx="109">
                  <c:v>0.52959009847159799</c:v>
                </c:pt>
                <c:pt idx="110">
                  <c:v>0.50162323417099097</c:v>
                </c:pt>
                <c:pt idx="111">
                  <c:v>0.51752057577727195</c:v>
                </c:pt>
                <c:pt idx="112">
                  <c:v>0.46040554029004699</c:v>
                </c:pt>
                <c:pt idx="113">
                  <c:v>0.43161871841531702</c:v>
                </c:pt>
                <c:pt idx="114">
                  <c:v>0.39279830246388397</c:v>
                </c:pt>
                <c:pt idx="115">
                  <c:v>0.46472657375286602</c:v>
                </c:pt>
                <c:pt idx="116">
                  <c:v>0.55696142957281702</c:v>
                </c:pt>
                <c:pt idx="117">
                  <c:v>0.42110405112682803</c:v>
                </c:pt>
                <c:pt idx="118">
                  <c:v>0.40019297929160702</c:v>
                </c:pt>
                <c:pt idx="119">
                  <c:v>0.50701419064888198</c:v>
                </c:pt>
                <c:pt idx="120">
                  <c:v>0.65166376991293595</c:v>
                </c:pt>
                <c:pt idx="121">
                  <c:v>0.54879133869699004</c:v>
                </c:pt>
                <c:pt idx="122">
                  <c:v>0.67614495284762899</c:v>
                </c:pt>
                <c:pt idx="123">
                  <c:v>0.695895050953237</c:v>
                </c:pt>
                <c:pt idx="124">
                  <c:v>0.71684850241716802</c:v>
                </c:pt>
                <c:pt idx="125">
                  <c:v>0.64690266364119997</c:v>
                </c:pt>
                <c:pt idx="126">
                  <c:v>0.69254104247588999</c:v>
                </c:pt>
                <c:pt idx="127">
                  <c:v>0.65123410283274397</c:v>
                </c:pt>
                <c:pt idx="128">
                  <c:v>0.66730489350310496</c:v>
                </c:pt>
                <c:pt idx="129">
                  <c:v>0.67231283695396404</c:v>
                </c:pt>
                <c:pt idx="130">
                  <c:v>0.72512066553093901</c:v>
                </c:pt>
                <c:pt idx="131">
                  <c:v>0.71345106733364205</c:v>
                </c:pt>
                <c:pt idx="132">
                  <c:v>0.70664293978283199</c:v>
                </c:pt>
                <c:pt idx="133">
                  <c:v>0.75066355452389399</c:v>
                </c:pt>
                <c:pt idx="134">
                  <c:v>0.758496961265542</c:v>
                </c:pt>
                <c:pt idx="135">
                  <c:v>0.79836513311443003</c:v>
                </c:pt>
                <c:pt idx="136">
                  <c:v>0.82233513674802505</c:v>
                </c:pt>
                <c:pt idx="137">
                  <c:v>0.84616912413899503</c:v>
                </c:pt>
                <c:pt idx="138">
                  <c:v>0.84795200580555996</c:v>
                </c:pt>
                <c:pt idx="139">
                  <c:v>0.85096575087565496</c:v>
                </c:pt>
                <c:pt idx="140">
                  <c:v>0.84427457588855304</c:v>
                </c:pt>
                <c:pt idx="141">
                  <c:v>0.78690367636221004</c:v>
                </c:pt>
                <c:pt idx="142">
                  <c:v>0.75224498427448605</c:v>
                </c:pt>
                <c:pt idx="143">
                  <c:v>0.76842641582767202</c:v>
                </c:pt>
                <c:pt idx="144">
                  <c:v>0.75439376855487295</c:v>
                </c:pt>
                <c:pt idx="145">
                  <c:v>0.752891765028185</c:v>
                </c:pt>
                <c:pt idx="146">
                  <c:v>0.79632787381808501</c:v>
                </c:pt>
                <c:pt idx="147">
                  <c:v>0.78889814385669799</c:v>
                </c:pt>
                <c:pt idx="148">
                  <c:v>0.790342479319737</c:v>
                </c:pt>
                <c:pt idx="149">
                  <c:v>0.75869642100944901</c:v>
                </c:pt>
                <c:pt idx="150">
                  <c:v>0.66566648871362899</c:v>
                </c:pt>
                <c:pt idx="151">
                  <c:v>0.56273629740159004</c:v>
                </c:pt>
                <c:pt idx="152">
                  <c:v>4.6853480059243502E-2</c:v>
                </c:pt>
                <c:pt idx="153">
                  <c:v>4.0593698661183598E-4</c:v>
                </c:pt>
                <c:pt idx="154">
                  <c:v>1.3448658832064499E-2</c:v>
                </c:pt>
                <c:pt idx="155">
                  <c:v>0.15267848609137499</c:v>
                </c:pt>
                <c:pt idx="156">
                  <c:v>9.2413185581701099E-2</c:v>
                </c:pt>
                <c:pt idx="157">
                  <c:v>6.9095223188665705E-2</c:v>
                </c:pt>
                <c:pt idx="158">
                  <c:v>9.0070941363756193E-2</c:v>
                </c:pt>
                <c:pt idx="159">
                  <c:v>7.2994240636082494E-2</c:v>
                </c:pt>
                <c:pt idx="160">
                  <c:v>0.104989535291695</c:v>
                </c:pt>
                <c:pt idx="161">
                  <c:v>0.15131673923907199</c:v>
                </c:pt>
                <c:pt idx="162">
                  <c:v>0.19526311312644201</c:v>
                </c:pt>
                <c:pt idx="163">
                  <c:v>0.19296959119587401</c:v>
                </c:pt>
                <c:pt idx="164">
                  <c:v>0.21639130997025099</c:v>
                </c:pt>
                <c:pt idx="165">
                  <c:v>0.19769767450987999</c:v>
                </c:pt>
                <c:pt idx="166">
                  <c:v>0.22259660028567901</c:v>
                </c:pt>
                <c:pt idx="167">
                  <c:v>0.27077712818148603</c:v>
                </c:pt>
                <c:pt idx="168">
                  <c:v>0.22275201108857701</c:v>
                </c:pt>
                <c:pt idx="169">
                  <c:v>0.265978900176571</c:v>
                </c:pt>
                <c:pt idx="170">
                  <c:v>9.58875193497086E-2</c:v>
                </c:pt>
                <c:pt idx="171">
                  <c:v>0.32239403499996799</c:v>
                </c:pt>
                <c:pt idx="172">
                  <c:v>0.42408458169543101</c:v>
                </c:pt>
                <c:pt idx="173">
                  <c:v>0.50086887691653303</c:v>
                </c:pt>
                <c:pt idx="174">
                  <c:v>0.48450573210972803</c:v>
                </c:pt>
                <c:pt idx="175">
                  <c:v>0.50859062038138103</c:v>
                </c:pt>
                <c:pt idx="176">
                  <c:v>0.53785277855176405</c:v>
                </c:pt>
                <c:pt idx="177">
                  <c:v>0.570492929447032</c:v>
                </c:pt>
                <c:pt idx="178">
                  <c:v>0.57726927815012596</c:v>
                </c:pt>
                <c:pt idx="179">
                  <c:v>0.60921868304756099</c:v>
                </c:pt>
                <c:pt idx="180">
                  <c:v>0.54844631391659104</c:v>
                </c:pt>
                <c:pt idx="181">
                  <c:v>0.38226137413659</c:v>
                </c:pt>
                <c:pt idx="182">
                  <c:v>0.459616966520629</c:v>
                </c:pt>
                <c:pt idx="183">
                  <c:v>0.42966521021575799</c:v>
                </c:pt>
                <c:pt idx="184">
                  <c:v>0.35752482359903498</c:v>
                </c:pt>
                <c:pt idx="185">
                  <c:v>0.31637467809550102</c:v>
                </c:pt>
                <c:pt idx="186">
                  <c:v>0.28781266719887</c:v>
                </c:pt>
                <c:pt idx="187">
                  <c:v>0.247554561528123</c:v>
                </c:pt>
                <c:pt idx="188">
                  <c:v>0.19685594251028399</c:v>
                </c:pt>
                <c:pt idx="189">
                  <c:v>0.201965932632825</c:v>
                </c:pt>
                <c:pt idx="190">
                  <c:v>0.23923961389252299</c:v>
                </c:pt>
                <c:pt idx="191">
                  <c:v>0.34176083486305697</c:v>
                </c:pt>
                <c:pt idx="192">
                  <c:v>0.24263829722047101</c:v>
                </c:pt>
                <c:pt idx="193">
                  <c:v>0.27330592756148903</c:v>
                </c:pt>
                <c:pt idx="194">
                  <c:v>0.14381043577525199</c:v>
                </c:pt>
                <c:pt idx="195">
                  <c:v>0.163473287884704</c:v>
                </c:pt>
                <c:pt idx="196">
                  <c:v>0.176536887853258</c:v>
                </c:pt>
                <c:pt idx="197">
                  <c:v>0.13734971336726101</c:v>
                </c:pt>
                <c:pt idx="198">
                  <c:v>0.15717932035795401</c:v>
                </c:pt>
                <c:pt idx="199">
                  <c:v>0.15367263709215501</c:v>
                </c:pt>
                <c:pt idx="200">
                  <c:v>0.1655320014694</c:v>
                </c:pt>
                <c:pt idx="201">
                  <c:v>0.12536549600741601</c:v>
                </c:pt>
                <c:pt idx="202">
                  <c:v>0.13145026938525201</c:v>
                </c:pt>
                <c:pt idx="203">
                  <c:v>0.19777845526971699</c:v>
                </c:pt>
                <c:pt idx="204">
                  <c:v>0.28004148361473702</c:v>
                </c:pt>
                <c:pt idx="205">
                  <c:v>0.35459945405408699</c:v>
                </c:pt>
                <c:pt idx="206">
                  <c:v>0.54417715548268997</c:v>
                </c:pt>
                <c:pt idx="207">
                  <c:v>0.53070107323339899</c:v>
                </c:pt>
                <c:pt idx="208">
                  <c:v>0.77975617829337296</c:v>
                </c:pt>
                <c:pt idx="209">
                  <c:v>0.70138401394009098</c:v>
                </c:pt>
                <c:pt idx="210">
                  <c:v>0.95322515370274297</c:v>
                </c:pt>
                <c:pt idx="211">
                  <c:v>0.94790414490074104</c:v>
                </c:pt>
                <c:pt idx="212">
                  <c:v>0.94070475988935598</c:v>
                </c:pt>
                <c:pt idx="213">
                  <c:v>0.99269184658472298</c:v>
                </c:pt>
                <c:pt idx="214">
                  <c:v>0.99389460604442004</c:v>
                </c:pt>
                <c:pt idx="215">
                  <c:v>0.99359282282612504</c:v>
                </c:pt>
                <c:pt idx="216">
                  <c:v>0.87817816869741006</c:v>
                </c:pt>
                <c:pt idx="217">
                  <c:v>0.68169755480213001</c:v>
                </c:pt>
                <c:pt idx="218">
                  <c:v>0.68897058274791501</c:v>
                </c:pt>
                <c:pt idx="219">
                  <c:v>0.71213681439278598</c:v>
                </c:pt>
                <c:pt idx="220">
                  <c:v>0.70951318069565805</c:v>
                </c:pt>
                <c:pt idx="221">
                  <c:v>0.677655952034249</c:v>
                </c:pt>
                <c:pt idx="222">
                  <c:v>0.70889047442434105</c:v>
                </c:pt>
                <c:pt idx="223">
                  <c:v>0.66381624020906904</c:v>
                </c:pt>
                <c:pt idx="224">
                  <c:v>0.67864583014741497</c:v>
                </c:pt>
                <c:pt idx="225">
                  <c:v>0.71894367913925505</c:v>
                </c:pt>
                <c:pt idx="226">
                  <c:v>0.62211232681708895</c:v>
                </c:pt>
                <c:pt idx="227">
                  <c:v>0.60710693118341896</c:v>
                </c:pt>
                <c:pt idx="228">
                  <c:v>0.62442531379847399</c:v>
                </c:pt>
                <c:pt idx="229">
                  <c:v>0.578616484722004</c:v>
                </c:pt>
                <c:pt idx="230">
                  <c:v>0.60956472096113701</c:v>
                </c:pt>
                <c:pt idx="231">
                  <c:v>0.59699315535261199</c:v>
                </c:pt>
                <c:pt idx="232">
                  <c:v>0.60994314385230697</c:v>
                </c:pt>
                <c:pt idx="233">
                  <c:v>0.60998630435244405</c:v>
                </c:pt>
                <c:pt idx="234">
                  <c:v>0.57844706431510096</c:v>
                </c:pt>
                <c:pt idx="235">
                  <c:v>0.57397477746782599</c:v>
                </c:pt>
                <c:pt idx="236">
                  <c:v>0.61434637594236097</c:v>
                </c:pt>
                <c:pt idx="237">
                  <c:v>0.63139839433756595</c:v>
                </c:pt>
                <c:pt idx="238">
                  <c:v>0.65548422564183595</c:v>
                </c:pt>
                <c:pt idx="239">
                  <c:v>0.58785828097666404</c:v>
                </c:pt>
                <c:pt idx="240">
                  <c:v>0.53528634775716799</c:v>
                </c:pt>
                <c:pt idx="241">
                  <c:v>0.44509719874013398</c:v>
                </c:pt>
              </c:numCache>
            </c:numRef>
          </c:val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yyyy/mm/dd</c:formatCode>
                <c:ptCount val="619"/>
                <c:pt idx="0">
                  <c:v>43818</c:v>
                </c:pt>
                <c:pt idx="1">
                  <c:v>43817</c:v>
                </c:pt>
                <c:pt idx="2">
                  <c:v>43816</c:v>
                </c:pt>
                <c:pt idx="3">
                  <c:v>43815</c:v>
                </c:pt>
                <c:pt idx="4">
                  <c:v>43812</c:v>
                </c:pt>
                <c:pt idx="5">
                  <c:v>43811</c:v>
                </c:pt>
                <c:pt idx="6">
                  <c:v>43810</c:v>
                </c:pt>
                <c:pt idx="7">
                  <c:v>43809</c:v>
                </c:pt>
                <c:pt idx="8">
                  <c:v>43808</c:v>
                </c:pt>
                <c:pt idx="9">
                  <c:v>43805</c:v>
                </c:pt>
                <c:pt idx="10">
                  <c:v>43804</c:v>
                </c:pt>
                <c:pt idx="11">
                  <c:v>43803</c:v>
                </c:pt>
                <c:pt idx="12">
                  <c:v>43802</c:v>
                </c:pt>
                <c:pt idx="13">
                  <c:v>43801</c:v>
                </c:pt>
                <c:pt idx="14">
                  <c:v>43798</c:v>
                </c:pt>
                <c:pt idx="15">
                  <c:v>43797</c:v>
                </c:pt>
                <c:pt idx="16">
                  <c:v>43796</c:v>
                </c:pt>
                <c:pt idx="17">
                  <c:v>43795</c:v>
                </c:pt>
                <c:pt idx="18">
                  <c:v>43794</c:v>
                </c:pt>
                <c:pt idx="19">
                  <c:v>43791</c:v>
                </c:pt>
                <c:pt idx="20">
                  <c:v>43790</c:v>
                </c:pt>
                <c:pt idx="21">
                  <c:v>43789</c:v>
                </c:pt>
                <c:pt idx="22">
                  <c:v>43788</c:v>
                </c:pt>
                <c:pt idx="23">
                  <c:v>43787</c:v>
                </c:pt>
                <c:pt idx="24">
                  <c:v>43784</c:v>
                </c:pt>
                <c:pt idx="25">
                  <c:v>43783</c:v>
                </c:pt>
                <c:pt idx="26">
                  <c:v>43782</c:v>
                </c:pt>
                <c:pt idx="27">
                  <c:v>43781</c:v>
                </c:pt>
                <c:pt idx="28">
                  <c:v>43780</c:v>
                </c:pt>
                <c:pt idx="29">
                  <c:v>43777</c:v>
                </c:pt>
                <c:pt idx="30">
                  <c:v>43776</c:v>
                </c:pt>
                <c:pt idx="31">
                  <c:v>43775</c:v>
                </c:pt>
                <c:pt idx="32">
                  <c:v>43774</c:v>
                </c:pt>
                <c:pt idx="33">
                  <c:v>43770</c:v>
                </c:pt>
                <c:pt idx="34">
                  <c:v>43769</c:v>
                </c:pt>
                <c:pt idx="35">
                  <c:v>43768</c:v>
                </c:pt>
                <c:pt idx="36">
                  <c:v>43767</c:v>
                </c:pt>
                <c:pt idx="37">
                  <c:v>43766</c:v>
                </c:pt>
                <c:pt idx="38">
                  <c:v>43763</c:v>
                </c:pt>
                <c:pt idx="39">
                  <c:v>43762</c:v>
                </c:pt>
                <c:pt idx="40">
                  <c:v>43761</c:v>
                </c:pt>
                <c:pt idx="41">
                  <c:v>43759</c:v>
                </c:pt>
                <c:pt idx="42">
                  <c:v>43756</c:v>
                </c:pt>
                <c:pt idx="43">
                  <c:v>43755</c:v>
                </c:pt>
                <c:pt idx="44">
                  <c:v>43754</c:v>
                </c:pt>
                <c:pt idx="45">
                  <c:v>43753</c:v>
                </c:pt>
                <c:pt idx="46">
                  <c:v>43749</c:v>
                </c:pt>
                <c:pt idx="47">
                  <c:v>43748</c:v>
                </c:pt>
                <c:pt idx="48">
                  <c:v>43747</c:v>
                </c:pt>
                <c:pt idx="49">
                  <c:v>43746</c:v>
                </c:pt>
                <c:pt idx="50">
                  <c:v>43745</c:v>
                </c:pt>
                <c:pt idx="51">
                  <c:v>43742</c:v>
                </c:pt>
                <c:pt idx="52">
                  <c:v>43741</c:v>
                </c:pt>
                <c:pt idx="53">
                  <c:v>43740</c:v>
                </c:pt>
                <c:pt idx="54">
                  <c:v>43739</c:v>
                </c:pt>
                <c:pt idx="55">
                  <c:v>43738</c:v>
                </c:pt>
                <c:pt idx="56">
                  <c:v>43735</c:v>
                </c:pt>
                <c:pt idx="57">
                  <c:v>43734</c:v>
                </c:pt>
                <c:pt idx="58">
                  <c:v>43733</c:v>
                </c:pt>
                <c:pt idx="59">
                  <c:v>43732</c:v>
                </c:pt>
                <c:pt idx="60">
                  <c:v>43728</c:v>
                </c:pt>
                <c:pt idx="61">
                  <c:v>43727</c:v>
                </c:pt>
                <c:pt idx="62">
                  <c:v>43726</c:v>
                </c:pt>
                <c:pt idx="63">
                  <c:v>43725</c:v>
                </c:pt>
                <c:pt idx="64">
                  <c:v>43721</c:v>
                </c:pt>
                <c:pt idx="65">
                  <c:v>43720</c:v>
                </c:pt>
                <c:pt idx="66">
                  <c:v>43719</c:v>
                </c:pt>
                <c:pt idx="67">
                  <c:v>43718</c:v>
                </c:pt>
                <c:pt idx="68">
                  <c:v>43717</c:v>
                </c:pt>
                <c:pt idx="69">
                  <c:v>43714</c:v>
                </c:pt>
                <c:pt idx="70">
                  <c:v>43713</c:v>
                </c:pt>
                <c:pt idx="71">
                  <c:v>43712</c:v>
                </c:pt>
                <c:pt idx="72">
                  <c:v>43711</c:v>
                </c:pt>
                <c:pt idx="73">
                  <c:v>43710</c:v>
                </c:pt>
                <c:pt idx="74">
                  <c:v>43707</c:v>
                </c:pt>
                <c:pt idx="75">
                  <c:v>43706</c:v>
                </c:pt>
                <c:pt idx="76">
                  <c:v>43705</c:v>
                </c:pt>
                <c:pt idx="77">
                  <c:v>43704</c:v>
                </c:pt>
                <c:pt idx="78">
                  <c:v>43703</c:v>
                </c:pt>
                <c:pt idx="79">
                  <c:v>43700</c:v>
                </c:pt>
                <c:pt idx="80">
                  <c:v>43699</c:v>
                </c:pt>
                <c:pt idx="81">
                  <c:v>43698</c:v>
                </c:pt>
                <c:pt idx="82">
                  <c:v>43697</c:v>
                </c:pt>
                <c:pt idx="83">
                  <c:v>43696</c:v>
                </c:pt>
                <c:pt idx="84">
                  <c:v>43693</c:v>
                </c:pt>
                <c:pt idx="85">
                  <c:v>43692</c:v>
                </c:pt>
                <c:pt idx="86">
                  <c:v>43691</c:v>
                </c:pt>
                <c:pt idx="87">
                  <c:v>43690</c:v>
                </c:pt>
                <c:pt idx="88">
                  <c:v>43686</c:v>
                </c:pt>
                <c:pt idx="89">
                  <c:v>43685</c:v>
                </c:pt>
                <c:pt idx="90">
                  <c:v>43684</c:v>
                </c:pt>
                <c:pt idx="91">
                  <c:v>43683</c:v>
                </c:pt>
                <c:pt idx="92">
                  <c:v>43682</c:v>
                </c:pt>
                <c:pt idx="93">
                  <c:v>43679</c:v>
                </c:pt>
                <c:pt idx="94">
                  <c:v>43678</c:v>
                </c:pt>
                <c:pt idx="95">
                  <c:v>43677</c:v>
                </c:pt>
                <c:pt idx="96">
                  <c:v>43676</c:v>
                </c:pt>
                <c:pt idx="97">
                  <c:v>43675</c:v>
                </c:pt>
                <c:pt idx="98">
                  <c:v>43672</c:v>
                </c:pt>
                <c:pt idx="99">
                  <c:v>43671</c:v>
                </c:pt>
                <c:pt idx="100">
                  <c:v>43670</c:v>
                </c:pt>
                <c:pt idx="101">
                  <c:v>43669</c:v>
                </c:pt>
                <c:pt idx="102">
                  <c:v>43668</c:v>
                </c:pt>
                <c:pt idx="103">
                  <c:v>43665</c:v>
                </c:pt>
                <c:pt idx="104">
                  <c:v>43664</c:v>
                </c:pt>
                <c:pt idx="105">
                  <c:v>43663</c:v>
                </c:pt>
                <c:pt idx="106">
                  <c:v>43662</c:v>
                </c:pt>
                <c:pt idx="107">
                  <c:v>43658</c:v>
                </c:pt>
                <c:pt idx="108">
                  <c:v>43657</c:v>
                </c:pt>
                <c:pt idx="109">
                  <c:v>43656</c:v>
                </c:pt>
                <c:pt idx="110">
                  <c:v>43655</c:v>
                </c:pt>
                <c:pt idx="111">
                  <c:v>43654</c:v>
                </c:pt>
                <c:pt idx="112">
                  <c:v>43651</c:v>
                </c:pt>
                <c:pt idx="113">
                  <c:v>43650</c:v>
                </c:pt>
                <c:pt idx="114">
                  <c:v>43649</c:v>
                </c:pt>
                <c:pt idx="115">
                  <c:v>43648</c:v>
                </c:pt>
                <c:pt idx="116">
                  <c:v>43647</c:v>
                </c:pt>
                <c:pt idx="117">
                  <c:v>43644</c:v>
                </c:pt>
                <c:pt idx="118">
                  <c:v>43643</c:v>
                </c:pt>
                <c:pt idx="119">
                  <c:v>43642</c:v>
                </c:pt>
                <c:pt idx="120">
                  <c:v>43641</c:v>
                </c:pt>
                <c:pt idx="121">
                  <c:v>43640</c:v>
                </c:pt>
                <c:pt idx="122">
                  <c:v>43637</c:v>
                </c:pt>
                <c:pt idx="123">
                  <c:v>43636</c:v>
                </c:pt>
                <c:pt idx="124">
                  <c:v>43635</c:v>
                </c:pt>
                <c:pt idx="125">
                  <c:v>43634</c:v>
                </c:pt>
                <c:pt idx="126">
                  <c:v>43633</c:v>
                </c:pt>
                <c:pt idx="127">
                  <c:v>43630</c:v>
                </c:pt>
                <c:pt idx="128">
                  <c:v>43629</c:v>
                </c:pt>
                <c:pt idx="129">
                  <c:v>43628</c:v>
                </c:pt>
                <c:pt idx="130">
                  <c:v>43627</c:v>
                </c:pt>
                <c:pt idx="131">
                  <c:v>43626</c:v>
                </c:pt>
                <c:pt idx="132">
                  <c:v>43623</c:v>
                </c:pt>
                <c:pt idx="133">
                  <c:v>43622</c:v>
                </c:pt>
                <c:pt idx="134">
                  <c:v>43621</c:v>
                </c:pt>
                <c:pt idx="135">
                  <c:v>43620</c:v>
                </c:pt>
                <c:pt idx="136">
                  <c:v>43619</c:v>
                </c:pt>
                <c:pt idx="137">
                  <c:v>43616</c:v>
                </c:pt>
                <c:pt idx="138">
                  <c:v>43615</c:v>
                </c:pt>
                <c:pt idx="139">
                  <c:v>43614</c:v>
                </c:pt>
                <c:pt idx="140">
                  <c:v>43613</c:v>
                </c:pt>
                <c:pt idx="141">
                  <c:v>43612</c:v>
                </c:pt>
                <c:pt idx="142">
                  <c:v>43609</c:v>
                </c:pt>
                <c:pt idx="143">
                  <c:v>43608</c:v>
                </c:pt>
                <c:pt idx="144">
                  <c:v>43607</c:v>
                </c:pt>
                <c:pt idx="145">
                  <c:v>43606</c:v>
                </c:pt>
                <c:pt idx="146">
                  <c:v>43605</c:v>
                </c:pt>
                <c:pt idx="147">
                  <c:v>43602</c:v>
                </c:pt>
                <c:pt idx="148">
                  <c:v>43601</c:v>
                </c:pt>
                <c:pt idx="149">
                  <c:v>43600</c:v>
                </c:pt>
                <c:pt idx="150">
                  <c:v>43599</c:v>
                </c:pt>
                <c:pt idx="151">
                  <c:v>43598</c:v>
                </c:pt>
                <c:pt idx="152">
                  <c:v>43595</c:v>
                </c:pt>
                <c:pt idx="153">
                  <c:v>43594</c:v>
                </c:pt>
                <c:pt idx="154">
                  <c:v>43593</c:v>
                </c:pt>
                <c:pt idx="155">
                  <c:v>43592</c:v>
                </c:pt>
                <c:pt idx="156">
                  <c:v>43581</c:v>
                </c:pt>
                <c:pt idx="157">
                  <c:v>43580</c:v>
                </c:pt>
                <c:pt idx="158">
                  <c:v>43579</c:v>
                </c:pt>
                <c:pt idx="159">
                  <c:v>43578</c:v>
                </c:pt>
                <c:pt idx="160">
                  <c:v>43577</c:v>
                </c:pt>
                <c:pt idx="161">
                  <c:v>43574</c:v>
                </c:pt>
                <c:pt idx="162">
                  <c:v>43573</c:v>
                </c:pt>
                <c:pt idx="163">
                  <c:v>43572</c:v>
                </c:pt>
                <c:pt idx="164">
                  <c:v>43571</c:v>
                </c:pt>
                <c:pt idx="165">
                  <c:v>43570</c:v>
                </c:pt>
                <c:pt idx="166">
                  <c:v>43567</c:v>
                </c:pt>
                <c:pt idx="167">
                  <c:v>43566</c:v>
                </c:pt>
                <c:pt idx="168">
                  <c:v>43565</c:v>
                </c:pt>
                <c:pt idx="169">
                  <c:v>43564</c:v>
                </c:pt>
                <c:pt idx="170">
                  <c:v>43563</c:v>
                </c:pt>
                <c:pt idx="171">
                  <c:v>43560</c:v>
                </c:pt>
                <c:pt idx="172">
                  <c:v>43559</c:v>
                </c:pt>
                <c:pt idx="173">
                  <c:v>43558</c:v>
                </c:pt>
                <c:pt idx="174">
                  <c:v>43557</c:v>
                </c:pt>
                <c:pt idx="175">
                  <c:v>43556</c:v>
                </c:pt>
                <c:pt idx="176">
                  <c:v>43553</c:v>
                </c:pt>
                <c:pt idx="177">
                  <c:v>43552</c:v>
                </c:pt>
                <c:pt idx="178">
                  <c:v>43551</c:v>
                </c:pt>
                <c:pt idx="179">
                  <c:v>43550</c:v>
                </c:pt>
                <c:pt idx="180">
                  <c:v>43549</c:v>
                </c:pt>
                <c:pt idx="181">
                  <c:v>43546</c:v>
                </c:pt>
                <c:pt idx="182">
                  <c:v>43544</c:v>
                </c:pt>
                <c:pt idx="183">
                  <c:v>43543</c:v>
                </c:pt>
                <c:pt idx="184">
                  <c:v>43542</c:v>
                </c:pt>
                <c:pt idx="185">
                  <c:v>43539</c:v>
                </c:pt>
                <c:pt idx="186">
                  <c:v>43538</c:v>
                </c:pt>
                <c:pt idx="187">
                  <c:v>43537</c:v>
                </c:pt>
                <c:pt idx="188">
                  <c:v>43536</c:v>
                </c:pt>
                <c:pt idx="189">
                  <c:v>43535</c:v>
                </c:pt>
                <c:pt idx="190">
                  <c:v>43532</c:v>
                </c:pt>
                <c:pt idx="191">
                  <c:v>43531</c:v>
                </c:pt>
                <c:pt idx="192">
                  <c:v>43530</c:v>
                </c:pt>
                <c:pt idx="193">
                  <c:v>43529</c:v>
                </c:pt>
                <c:pt idx="194">
                  <c:v>43528</c:v>
                </c:pt>
                <c:pt idx="195">
                  <c:v>43525</c:v>
                </c:pt>
                <c:pt idx="196">
                  <c:v>43524</c:v>
                </c:pt>
                <c:pt idx="197">
                  <c:v>43523</c:v>
                </c:pt>
                <c:pt idx="198">
                  <c:v>43522</c:v>
                </c:pt>
                <c:pt idx="199">
                  <c:v>43521</c:v>
                </c:pt>
                <c:pt idx="200">
                  <c:v>43518</c:v>
                </c:pt>
                <c:pt idx="201">
                  <c:v>43517</c:v>
                </c:pt>
                <c:pt idx="202">
                  <c:v>43516</c:v>
                </c:pt>
                <c:pt idx="203">
                  <c:v>43515</c:v>
                </c:pt>
                <c:pt idx="204">
                  <c:v>43514</c:v>
                </c:pt>
                <c:pt idx="205">
                  <c:v>43511</c:v>
                </c:pt>
                <c:pt idx="206">
                  <c:v>43510</c:v>
                </c:pt>
                <c:pt idx="207">
                  <c:v>43509</c:v>
                </c:pt>
                <c:pt idx="208">
                  <c:v>43508</c:v>
                </c:pt>
                <c:pt idx="209">
                  <c:v>43504</c:v>
                </c:pt>
                <c:pt idx="210">
                  <c:v>43503</c:v>
                </c:pt>
                <c:pt idx="211">
                  <c:v>43502</c:v>
                </c:pt>
                <c:pt idx="212">
                  <c:v>43501</c:v>
                </c:pt>
                <c:pt idx="213">
                  <c:v>43500</c:v>
                </c:pt>
                <c:pt idx="214">
                  <c:v>43497</c:v>
                </c:pt>
                <c:pt idx="215">
                  <c:v>43496</c:v>
                </c:pt>
                <c:pt idx="216">
                  <c:v>43495</c:v>
                </c:pt>
                <c:pt idx="217">
                  <c:v>43494</c:v>
                </c:pt>
                <c:pt idx="218">
                  <c:v>43493</c:v>
                </c:pt>
                <c:pt idx="219">
                  <c:v>43490</c:v>
                </c:pt>
                <c:pt idx="220">
                  <c:v>43489</c:v>
                </c:pt>
                <c:pt idx="221">
                  <c:v>43488</c:v>
                </c:pt>
                <c:pt idx="222">
                  <c:v>43487</c:v>
                </c:pt>
                <c:pt idx="223">
                  <c:v>43486</c:v>
                </c:pt>
                <c:pt idx="224">
                  <c:v>43483</c:v>
                </c:pt>
                <c:pt idx="225">
                  <c:v>43482</c:v>
                </c:pt>
                <c:pt idx="226">
                  <c:v>43481</c:v>
                </c:pt>
                <c:pt idx="227">
                  <c:v>43480</c:v>
                </c:pt>
                <c:pt idx="228">
                  <c:v>43476</c:v>
                </c:pt>
                <c:pt idx="229">
                  <c:v>43475</c:v>
                </c:pt>
                <c:pt idx="230">
                  <c:v>43474</c:v>
                </c:pt>
                <c:pt idx="231">
                  <c:v>43473</c:v>
                </c:pt>
                <c:pt idx="232">
                  <c:v>43472</c:v>
                </c:pt>
                <c:pt idx="233">
                  <c:v>43469</c:v>
                </c:pt>
                <c:pt idx="234">
                  <c:v>43462</c:v>
                </c:pt>
                <c:pt idx="235">
                  <c:v>43461</c:v>
                </c:pt>
                <c:pt idx="236">
                  <c:v>43460</c:v>
                </c:pt>
                <c:pt idx="237">
                  <c:v>43459</c:v>
                </c:pt>
                <c:pt idx="238">
                  <c:v>43455</c:v>
                </c:pt>
                <c:pt idx="239">
                  <c:v>43454</c:v>
                </c:pt>
                <c:pt idx="240">
                  <c:v>43453</c:v>
                </c:pt>
                <c:pt idx="241">
                  <c:v>43452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2.5158703485199999E-2</c:v>
                </c:pt>
                <c:pt idx="1">
                  <c:v>2.7299589066942999E-2</c:v>
                </c:pt>
                <c:pt idx="2">
                  <c:v>2.13713256038175E-2</c:v>
                </c:pt>
                <c:pt idx="3">
                  <c:v>1.7881709578201E-2</c:v>
                </c:pt>
                <c:pt idx="4">
                  <c:v>1.3555774744881101E-2</c:v>
                </c:pt>
                <c:pt idx="5">
                  <c:v>1.43170574651407E-2</c:v>
                </c:pt>
                <c:pt idx="6">
                  <c:v>1.3729168981960299E-2</c:v>
                </c:pt>
                <c:pt idx="7">
                  <c:v>1.5091566622096E-2</c:v>
                </c:pt>
                <c:pt idx="8">
                  <c:v>1.7349569165271899E-2</c:v>
                </c:pt>
                <c:pt idx="9">
                  <c:v>1.5688943964152501E-2</c:v>
                </c:pt>
                <c:pt idx="10">
                  <c:v>1.5716833742103101E-2</c:v>
                </c:pt>
                <c:pt idx="11">
                  <c:v>1.3856549914536199E-2</c:v>
                </c:pt>
                <c:pt idx="12">
                  <c:v>1.5975997900293099E-2</c:v>
                </c:pt>
                <c:pt idx="13">
                  <c:v>1.43603452633735E-2</c:v>
                </c:pt>
                <c:pt idx="14">
                  <c:v>1.7297843380179301E-2</c:v>
                </c:pt>
                <c:pt idx="15">
                  <c:v>1.9535587947675001E-2</c:v>
                </c:pt>
                <c:pt idx="16">
                  <c:v>1.14164629154979E-2</c:v>
                </c:pt>
                <c:pt idx="17">
                  <c:v>1.5982896642243401E-2</c:v>
                </c:pt>
                <c:pt idx="18">
                  <c:v>2.0141774456120101E-2</c:v>
                </c:pt>
                <c:pt idx="19">
                  <c:v>2.0779544258998799E-2</c:v>
                </c:pt>
                <c:pt idx="20">
                  <c:v>2.0303710682716501E-2</c:v>
                </c:pt>
                <c:pt idx="21">
                  <c:v>2.0110298531043801E-2</c:v>
                </c:pt>
                <c:pt idx="22">
                  <c:v>2.17368439481768E-2</c:v>
                </c:pt>
                <c:pt idx="23">
                  <c:v>2.5927565453494901E-2</c:v>
                </c:pt>
                <c:pt idx="24">
                  <c:v>2.9490243506352602E-2</c:v>
                </c:pt>
                <c:pt idx="25">
                  <c:v>4.1772794419665901E-2</c:v>
                </c:pt>
                <c:pt idx="26">
                  <c:v>3.1418818930420901E-2</c:v>
                </c:pt>
                <c:pt idx="27">
                  <c:v>6.5926149166746995E-2</c:v>
                </c:pt>
                <c:pt idx="28">
                  <c:v>4.86382595589911E-2</c:v>
                </c:pt>
                <c:pt idx="29">
                  <c:v>4.8986302344365899E-2</c:v>
                </c:pt>
                <c:pt idx="30">
                  <c:v>7.4507546184151605E-2</c:v>
                </c:pt>
                <c:pt idx="31">
                  <c:v>8.3334271702496604E-2</c:v>
                </c:pt>
                <c:pt idx="32">
                  <c:v>6.9741366986573405E-2</c:v>
                </c:pt>
                <c:pt idx="33">
                  <c:v>0.11722513195052101</c:v>
                </c:pt>
                <c:pt idx="34">
                  <c:v>0.32764095932250598</c:v>
                </c:pt>
                <c:pt idx="35">
                  <c:v>9.3304637069525007E-2</c:v>
                </c:pt>
                <c:pt idx="36">
                  <c:v>4.1525187630120801E-2</c:v>
                </c:pt>
                <c:pt idx="37">
                  <c:v>4.0097559835641103E-2</c:v>
                </c:pt>
                <c:pt idx="38">
                  <c:v>4.2373622930390299E-2</c:v>
                </c:pt>
                <c:pt idx="39">
                  <c:v>4.3404120859019402E-2</c:v>
                </c:pt>
                <c:pt idx="40">
                  <c:v>4.0134307639103001E-2</c:v>
                </c:pt>
                <c:pt idx="41">
                  <c:v>3.8802875548367699E-2</c:v>
                </c:pt>
                <c:pt idx="42">
                  <c:v>3.7141321810859801E-2</c:v>
                </c:pt>
                <c:pt idx="43">
                  <c:v>4.43955508096033E-2</c:v>
                </c:pt>
                <c:pt idx="44">
                  <c:v>3.1711873002755998E-2</c:v>
                </c:pt>
                <c:pt idx="45">
                  <c:v>3.2219893789107099E-2</c:v>
                </c:pt>
                <c:pt idx="46">
                  <c:v>3.5687448828649798E-2</c:v>
                </c:pt>
                <c:pt idx="47">
                  <c:v>3.08912507906649E-2</c:v>
                </c:pt>
                <c:pt idx="48">
                  <c:v>3.0904875268465099E-2</c:v>
                </c:pt>
                <c:pt idx="49">
                  <c:v>3.1889418667579203E-2</c:v>
                </c:pt>
                <c:pt idx="50">
                  <c:v>3.2363582165005997E-2</c:v>
                </c:pt>
                <c:pt idx="51">
                  <c:v>3.3743296450458697E-2</c:v>
                </c:pt>
                <c:pt idx="52">
                  <c:v>3.8087775524745397E-2</c:v>
                </c:pt>
                <c:pt idx="53">
                  <c:v>3.8658199646975602E-2</c:v>
                </c:pt>
                <c:pt idx="54">
                  <c:v>4.3551909528023798E-2</c:v>
                </c:pt>
                <c:pt idx="55">
                  <c:v>3.5460382249917502E-2</c:v>
                </c:pt>
                <c:pt idx="56">
                  <c:v>2.3183588329296199E-2</c:v>
                </c:pt>
                <c:pt idx="57">
                  <c:v>2.1873106761591599E-2</c:v>
                </c:pt>
                <c:pt idx="58">
                  <c:v>2.35130391750056E-2</c:v>
                </c:pt>
                <c:pt idx="59">
                  <c:v>2.1558986248302901E-2</c:v>
                </c:pt>
                <c:pt idx="60">
                  <c:v>2.0935175714211302E-2</c:v>
                </c:pt>
                <c:pt idx="61">
                  <c:v>2.2825500176649301E-2</c:v>
                </c:pt>
                <c:pt idx="62">
                  <c:v>1.88132467242225E-2</c:v>
                </c:pt>
                <c:pt idx="63">
                  <c:v>1.96271055734125E-2</c:v>
                </c:pt>
                <c:pt idx="64">
                  <c:v>3.2104371695903099E-2</c:v>
                </c:pt>
                <c:pt idx="65">
                  <c:v>2.8078323914055799E-2</c:v>
                </c:pt>
                <c:pt idx="66">
                  <c:v>2.1995388996558202E-2</c:v>
                </c:pt>
                <c:pt idx="67">
                  <c:v>3.1679528822498401E-2</c:v>
                </c:pt>
                <c:pt idx="68">
                  <c:v>4.5563276103370798E-2</c:v>
                </c:pt>
                <c:pt idx="69">
                  <c:v>6.7992070286492401E-2</c:v>
                </c:pt>
                <c:pt idx="70">
                  <c:v>6.2258289092704297E-2</c:v>
                </c:pt>
                <c:pt idx="71">
                  <c:v>6.8560306068798704E-2</c:v>
                </c:pt>
                <c:pt idx="72">
                  <c:v>5.0661930003946601E-2</c:v>
                </c:pt>
                <c:pt idx="73">
                  <c:v>5.0923302269729097E-2</c:v>
                </c:pt>
                <c:pt idx="74">
                  <c:v>4.7984468196358501E-2</c:v>
                </c:pt>
                <c:pt idx="75">
                  <c:v>4.88918606477447E-2</c:v>
                </c:pt>
                <c:pt idx="76">
                  <c:v>5.9399350722047002E-2</c:v>
                </c:pt>
                <c:pt idx="77">
                  <c:v>7.5799299899751094E-2</c:v>
                </c:pt>
                <c:pt idx="78">
                  <c:v>0.101977995776281</c:v>
                </c:pt>
                <c:pt idx="79">
                  <c:v>0.14360757215047801</c:v>
                </c:pt>
                <c:pt idx="80">
                  <c:v>0.121473348814401</c:v>
                </c:pt>
                <c:pt idx="81">
                  <c:v>0.29488108863350498</c:v>
                </c:pt>
                <c:pt idx="82">
                  <c:v>0.31594844805801198</c:v>
                </c:pt>
                <c:pt idx="83">
                  <c:v>0.31146269154695599</c:v>
                </c:pt>
                <c:pt idx="84">
                  <c:v>0.24961545419162701</c:v>
                </c:pt>
                <c:pt idx="85">
                  <c:v>0.305682876486504</c:v>
                </c:pt>
                <c:pt idx="86">
                  <c:v>0.26001426795349603</c:v>
                </c:pt>
                <c:pt idx="87">
                  <c:v>0.261386929171053</c:v>
                </c:pt>
                <c:pt idx="88">
                  <c:v>0.20842532918179499</c:v>
                </c:pt>
                <c:pt idx="89">
                  <c:v>0.22988726849125601</c:v>
                </c:pt>
                <c:pt idx="90">
                  <c:v>0.224860998392481</c:v>
                </c:pt>
                <c:pt idx="91">
                  <c:v>0.20856103841198301</c:v>
                </c:pt>
                <c:pt idx="92">
                  <c:v>0.198594343938198</c:v>
                </c:pt>
                <c:pt idx="93">
                  <c:v>0.17229727465460501</c:v>
                </c:pt>
                <c:pt idx="94">
                  <c:v>0.13385391641393499</c:v>
                </c:pt>
                <c:pt idx="95">
                  <c:v>7.5877515448984398E-2</c:v>
                </c:pt>
                <c:pt idx="96">
                  <c:v>6.4638793622323595E-2</c:v>
                </c:pt>
                <c:pt idx="97">
                  <c:v>6.5035506065868803E-2</c:v>
                </c:pt>
                <c:pt idx="98">
                  <c:v>7.6064983398845806E-2</c:v>
                </c:pt>
                <c:pt idx="99">
                  <c:v>6.7753429915710497E-2</c:v>
                </c:pt>
                <c:pt idx="100">
                  <c:v>6.4593864318936003E-2</c:v>
                </c:pt>
                <c:pt idx="101">
                  <c:v>6.4691208388223398E-2</c:v>
                </c:pt>
                <c:pt idx="102">
                  <c:v>6.5142472661525994E-2</c:v>
                </c:pt>
                <c:pt idx="103">
                  <c:v>5.3627848697244698E-2</c:v>
                </c:pt>
                <c:pt idx="104">
                  <c:v>5.2933285271562699E-2</c:v>
                </c:pt>
                <c:pt idx="105">
                  <c:v>4.4888851535970498E-2</c:v>
                </c:pt>
                <c:pt idx="106">
                  <c:v>3.30252261188414E-2</c:v>
                </c:pt>
                <c:pt idx="107">
                  <c:v>3.6823486961755698E-2</c:v>
                </c:pt>
                <c:pt idx="108">
                  <c:v>5.93530137170446E-2</c:v>
                </c:pt>
                <c:pt idx="109">
                  <c:v>3.7766334510866403E-2</c:v>
                </c:pt>
                <c:pt idx="110">
                  <c:v>4.8575256898938303E-2</c:v>
                </c:pt>
                <c:pt idx="111">
                  <c:v>7.4673119710512395E-2</c:v>
                </c:pt>
                <c:pt idx="112">
                  <c:v>3.7226526814112197E-2</c:v>
                </c:pt>
                <c:pt idx="113">
                  <c:v>3.5462971861243503E-2</c:v>
                </c:pt>
                <c:pt idx="114">
                  <c:v>3.8987721557490598E-2</c:v>
                </c:pt>
                <c:pt idx="115">
                  <c:v>4.1473829659372401E-2</c:v>
                </c:pt>
                <c:pt idx="116">
                  <c:v>4.14280859215371E-2</c:v>
                </c:pt>
                <c:pt idx="117">
                  <c:v>4.4787127953800597E-2</c:v>
                </c:pt>
                <c:pt idx="118">
                  <c:v>5.02883683820112E-2</c:v>
                </c:pt>
                <c:pt idx="119">
                  <c:v>6.2600196011658102E-2</c:v>
                </c:pt>
                <c:pt idx="120">
                  <c:v>5.0006523156445597E-2</c:v>
                </c:pt>
                <c:pt idx="121">
                  <c:v>5.0121009570372001E-2</c:v>
                </c:pt>
                <c:pt idx="122">
                  <c:v>4.8394260126276803E-2</c:v>
                </c:pt>
                <c:pt idx="123">
                  <c:v>5.5886477097936801E-2</c:v>
                </c:pt>
                <c:pt idx="124">
                  <c:v>5.9279151375691001E-2</c:v>
                </c:pt>
                <c:pt idx="125">
                  <c:v>6.5773762692666202E-2</c:v>
                </c:pt>
                <c:pt idx="126">
                  <c:v>0.11763152742774299</c:v>
                </c:pt>
                <c:pt idx="127">
                  <c:v>7.3926223025729501E-2</c:v>
                </c:pt>
                <c:pt idx="128">
                  <c:v>0.120117026617805</c:v>
                </c:pt>
                <c:pt idx="129">
                  <c:v>6.4607686451906399E-2</c:v>
                </c:pt>
                <c:pt idx="130">
                  <c:v>6.5779921070428293E-2</c:v>
                </c:pt>
                <c:pt idx="131">
                  <c:v>6.9503814517121495E-2</c:v>
                </c:pt>
                <c:pt idx="132">
                  <c:v>8.1548634146666105E-2</c:v>
                </c:pt>
                <c:pt idx="133">
                  <c:v>0.11564440135468999</c:v>
                </c:pt>
                <c:pt idx="134">
                  <c:v>7.6533899333824901E-2</c:v>
                </c:pt>
                <c:pt idx="135">
                  <c:v>7.17646552922412E-2</c:v>
                </c:pt>
                <c:pt idx="136">
                  <c:v>0.114762525542636</c:v>
                </c:pt>
                <c:pt idx="137">
                  <c:v>0.115458419305504</c:v>
                </c:pt>
                <c:pt idx="138">
                  <c:v>0.115176922898512</c:v>
                </c:pt>
                <c:pt idx="139">
                  <c:v>0.11515297731542901</c:v>
                </c:pt>
                <c:pt idx="140">
                  <c:v>7.4442280534224498E-2</c:v>
                </c:pt>
                <c:pt idx="141">
                  <c:v>0.120963085052054</c:v>
                </c:pt>
                <c:pt idx="142">
                  <c:v>0.107211041991016</c:v>
                </c:pt>
                <c:pt idx="143">
                  <c:v>0.111526359102466</c:v>
                </c:pt>
                <c:pt idx="144">
                  <c:v>0.106829417182254</c:v>
                </c:pt>
                <c:pt idx="145">
                  <c:v>0.11404974167366499</c:v>
                </c:pt>
                <c:pt idx="146">
                  <c:v>0.103972304930824</c:v>
                </c:pt>
                <c:pt idx="147">
                  <c:v>0.103837888455659</c:v>
                </c:pt>
                <c:pt idx="148">
                  <c:v>9.9921198635293806E-2</c:v>
                </c:pt>
                <c:pt idx="149">
                  <c:v>0.102552055166238</c:v>
                </c:pt>
                <c:pt idx="150">
                  <c:v>0.145287678234791</c:v>
                </c:pt>
                <c:pt idx="151">
                  <c:v>0.16784380518624101</c:v>
                </c:pt>
                <c:pt idx="152">
                  <c:v>8.2033964787084607E-2</c:v>
                </c:pt>
                <c:pt idx="153">
                  <c:v>2.8971358953673601E-2</c:v>
                </c:pt>
                <c:pt idx="154">
                  <c:v>0.122707293327373</c:v>
                </c:pt>
                <c:pt idx="155">
                  <c:v>0.34798966493000899</c:v>
                </c:pt>
                <c:pt idx="156">
                  <c:v>4.7316513432344602E-2</c:v>
                </c:pt>
                <c:pt idx="157">
                  <c:v>0.33567737376420198</c:v>
                </c:pt>
                <c:pt idx="158">
                  <c:v>0.465308783840786</c:v>
                </c:pt>
                <c:pt idx="159">
                  <c:v>0.36864176620815198</c:v>
                </c:pt>
                <c:pt idx="160">
                  <c:v>0.31725740855656898</c:v>
                </c:pt>
                <c:pt idx="161">
                  <c:v>0.26479837505620801</c:v>
                </c:pt>
                <c:pt idx="162">
                  <c:v>0.234272823570328</c:v>
                </c:pt>
                <c:pt idx="163">
                  <c:v>0.21871700553909701</c:v>
                </c:pt>
                <c:pt idx="164">
                  <c:v>0.22917733905302801</c:v>
                </c:pt>
                <c:pt idx="165">
                  <c:v>0.176374952080775</c:v>
                </c:pt>
                <c:pt idx="166">
                  <c:v>0.19834644247701499</c:v>
                </c:pt>
                <c:pt idx="167">
                  <c:v>0.22154892881412899</c:v>
                </c:pt>
                <c:pt idx="168">
                  <c:v>0.17285416900210299</c:v>
                </c:pt>
                <c:pt idx="169">
                  <c:v>0.213300296137372</c:v>
                </c:pt>
                <c:pt idx="170">
                  <c:v>0.24649794823257101</c:v>
                </c:pt>
                <c:pt idx="171">
                  <c:v>0.360295254474994</c:v>
                </c:pt>
                <c:pt idx="172">
                  <c:v>0.50301760315616595</c:v>
                </c:pt>
                <c:pt idx="173">
                  <c:v>0.57235909986716405</c:v>
                </c:pt>
                <c:pt idx="174">
                  <c:v>0.68684725706267402</c:v>
                </c:pt>
                <c:pt idx="175">
                  <c:v>0.68478290631425998</c:v>
                </c:pt>
                <c:pt idx="176">
                  <c:v>0.68795490271135196</c:v>
                </c:pt>
                <c:pt idx="177">
                  <c:v>0.77921113972656697</c:v>
                </c:pt>
                <c:pt idx="178">
                  <c:v>0.86101205106245005</c:v>
                </c:pt>
                <c:pt idx="179">
                  <c:v>0.79513386303000499</c:v>
                </c:pt>
                <c:pt idx="180">
                  <c:v>0.73603776951423705</c:v>
                </c:pt>
                <c:pt idx="181">
                  <c:v>0.73902095393582801</c:v>
                </c:pt>
                <c:pt idx="182">
                  <c:v>0.84689300883062302</c:v>
                </c:pt>
                <c:pt idx="183">
                  <c:v>0.83503892361828702</c:v>
                </c:pt>
                <c:pt idx="184">
                  <c:v>0.87169225142784801</c:v>
                </c:pt>
                <c:pt idx="185">
                  <c:v>0.93724558366567101</c:v>
                </c:pt>
                <c:pt idx="186">
                  <c:v>0.94353321312196303</c:v>
                </c:pt>
                <c:pt idx="187">
                  <c:v>0.93387169470251996</c:v>
                </c:pt>
                <c:pt idx="188">
                  <c:v>0.92168765554520904</c:v>
                </c:pt>
                <c:pt idx="189">
                  <c:v>0.93507699044963</c:v>
                </c:pt>
                <c:pt idx="190">
                  <c:v>0.94210624685983502</c:v>
                </c:pt>
                <c:pt idx="191">
                  <c:v>0.91337504007864001</c:v>
                </c:pt>
                <c:pt idx="192">
                  <c:v>0.95270094010678197</c:v>
                </c:pt>
                <c:pt idx="193">
                  <c:v>0.95871518391052701</c:v>
                </c:pt>
                <c:pt idx="194">
                  <c:v>0.95876271222873199</c:v>
                </c:pt>
                <c:pt idx="195">
                  <c:v>0.96000849063319404</c:v>
                </c:pt>
                <c:pt idx="196">
                  <c:v>0.91832685909670497</c:v>
                </c:pt>
                <c:pt idx="197">
                  <c:v>0.93637036997171197</c:v>
                </c:pt>
                <c:pt idx="198">
                  <c:v>0.90299687407411</c:v>
                </c:pt>
                <c:pt idx="199">
                  <c:v>0.91875913602215498</c:v>
                </c:pt>
                <c:pt idx="200">
                  <c:v>0.92521981059910197</c:v>
                </c:pt>
                <c:pt idx="201">
                  <c:v>0.94401508528211697</c:v>
                </c:pt>
                <c:pt idx="202">
                  <c:v>0.85173866502252105</c:v>
                </c:pt>
                <c:pt idx="203">
                  <c:v>0.83857013618086995</c:v>
                </c:pt>
                <c:pt idx="204">
                  <c:v>0.83117634694836795</c:v>
                </c:pt>
                <c:pt idx="205">
                  <c:v>0.83189806974191705</c:v>
                </c:pt>
                <c:pt idx="206">
                  <c:v>0.828141458549006</c:v>
                </c:pt>
                <c:pt idx="207">
                  <c:v>0.80343485317074903</c:v>
                </c:pt>
                <c:pt idx="208">
                  <c:v>0.82025972559188498</c:v>
                </c:pt>
                <c:pt idx="209">
                  <c:v>0.80353816148131596</c:v>
                </c:pt>
                <c:pt idx="210">
                  <c:v>0.79792979092665195</c:v>
                </c:pt>
                <c:pt idx="211">
                  <c:v>0.80408166571113004</c:v>
                </c:pt>
                <c:pt idx="212">
                  <c:v>0.70924160192569496</c:v>
                </c:pt>
                <c:pt idx="213">
                  <c:v>0.67466692965555297</c:v>
                </c:pt>
                <c:pt idx="214">
                  <c:v>0.61471662769483704</c:v>
                </c:pt>
                <c:pt idx="215">
                  <c:v>0.62317544927523105</c:v>
                </c:pt>
                <c:pt idx="216">
                  <c:v>0.61987408147601397</c:v>
                </c:pt>
                <c:pt idx="217">
                  <c:v>0.63048918963146305</c:v>
                </c:pt>
                <c:pt idx="218">
                  <c:v>0.61837845659392499</c:v>
                </c:pt>
                <c:pt idx="219">
                  <c:v>0.63052991012902804</c:v>
                </c:pt>
                <c:pt idx="220">
                  <c:v>0.63776774050757301</c:v>
                </c:pt>
                <c:pt idx="221">
                  <c:v>0.58626297504609004</c:v>
                </c:pt>
                <c:pt idx="222">
                  <c:v>0.58378285891123705</c:v>
                </c:pt>
                <c:pt idx="223">
                  <c:v>0.59196111371890203</c:v>
                </c:pt>
                <c:pt idx="224">
                  <c:v>0.61459769103842798</c:v>
                </c:pt>
                <c:pt idx="225">
                  <c:v>0.62240535240941497</c:v>
                </c:pt>
                <c:pt idx="226">
                  <c:v>0.60864926371857397</c:v>
                </c:pt>
                <c:pt idx="227">
                  <c:v>0.58207209959886996</c:v>
                </c:pt>
                <c:pt idx="228">
                  <c:v>0.56663670167098601</c:v>
                </c:pt>
                <c:pt idx="229">
                  <c:v>0.56893083396673705</c:v>
                </c:pt>
                <c:pt idx="230">
                  <c:v>0.56491729548211</c:v>
                </c:pt>
                <c:pt idx="231">
                  <c:v>0.56177648898938404</c:v>
                </c:pt>
                <c:pt idx="232">
                  <c:v>0.54557396334382902</c:v>
                </c:pt>
                <c:pt idx="233">
                  <c:v>0.54350760102470996</c:v>
                </c:pt>
                <c:pt idx="234">
                  <c:v>0.51922365930456804</c:v>
                </c:pt>
                <c:pt idx="235">
                  <c:v>0.48810814185978302</c:v>
                </c:pt>
                <c:pt idx="236">
                  <c:v>0.47459590969447402</c:v>
                </c:pt>
                <c:pt idx="237">
                  <c:v>0.51126574247536205</c:v>
                </c:pt>
                <c:pt idx="238">
                  <c:v>0.521579013935356</c:v>
                </c:pt>
                <c:pt idx="239">
                  <c:v>0.52746303482099999</c:v>
                </c:pt>
                <c:pt idx="240">
                  <c:v>0.52878856251565998</c:v>
                </c:pt>
                <c:pt idx="241">
                  <c:v>0.53148166454829804</c:v>
                </c:pt>
              </c:numCache>
            </c:numRef>
          </c:val>
        </c:ser>
        <c:marker val="1"/>
        <c:axId val="150448768"/>
        <c:axId val="150733184"/>
      </c:lineChart>
      <c:dateAx>
        <c:axId val="150448768"/>
        <c:scaling>
          <c:orientation val="minMax"/>
        </c:scaling>
        <c:axPos val="b"/>
        <c:numFmt formatCode="yyyy/mm/dd" sourceLinked="1"/>
        <c:tickLblPos val="nextTo"/>
        <c:crossAx val="150733184"/>
        <c:crosses val="autoZero"/>
        <c:auto val="1"/>
        <c:lblOffset val="100"/>
      </c:dateAx>
      <c:valAx>
        <c:axId val="150733184"/>
        <c:scaling>
          <c:orientation val="minMax"/>
        </c:scaling>
        <c:axPos val="l"/>
        <c:majorGridlines/>
        <c:numFmt formatCode="General" sourceLinked="1"/>
        <c:tickLblPos val="nextTo"/>
        <c:crossAx val="150448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9.2117651379319196E-2"/>
          <c:y val="3.0553318400621865E-2"/>
          <c:w val="0.87885104561634764"/>
          <c:h val="0.79822145785874865"/>
        </c:manualLayout>
      </c:layout>
      <c:lineChart>
        <c:grouping val="standard"/>
        <c:ser>
          <c:idx val="0"/>
          <c:order val="0"/>
          <c:tx>
            <c:strRef>
              <c:f>個別計算!$C$41</c:f>
              <c:strCache>
                <c:ptCount val="1"/>
                <c:pt idx="0">
                  <c:v>CLOSE_1951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個別計算!$K$42:$K$703</c:f>
              <c:numCache>
                <c:formatCode>General</c:formatCode>
                <c:ptCount val="662"/>
                <c:pt idx="0">
                  <c:v>2859</c:v>
                </c:pt>
                <c:pt idx="1">
                  <c:v>2865</c:v>
                </c:pt>
                <c:pt idx="2">
                  <c:v>2874</c:v>
                </c:pt>
                <c:pt idx="3">
                  <c:v>2908</c:v>
                </c:pt>
                <c:pt idx="4">
                  <c:v>2907</c:v>
                </c:pt>
                <c:pt idx="5">
                  <c:v>2883</c:v>
                </c:pt>
                <c:pt idx="6">
                  <c:v>2864</c:v>
                </c:pt>
                <c:pt idx="7">
                  <c:v>2856</c:v>
                </c:pt>
                <c:pt idx="8">
                  <c:v>2849</c:v>
                </c:pt>
                <c:pt idx="9">
                  <c:v>2877</c:v>
                </c:pt>
                <c:pt idx="10">
                  <c:v>2850</c:v>
                </c:pt>
                <c:pt idx="11">
                  <c:v>2889</c:v>
                </c:pt>
                <c:pt idx="12">
                  <c:v>2899</c:v>
                </c:pt>
                <c:pt idx="13">
                  <c:v>2845</c:v>
                </c:pt>
                <c:pt idx="14">
                  <c:v>2855</c:v>
                </c:pt>
                <c:pt idx="15">
                  <c:v>2922</c:v>
                </c:pt>
                <c:pt idx="16">
                  <c:v>2895</c:v>
                </c:pt>
                <c:pt idx="17">
                  <c:v>2900</c:v>
                </c:pt>
                <c:pt idx="18">
                  <c:v>2840</c:v>
                </c:pt>
                <c:pt idx="19">
                  <c:v>2818</c:v>
                </c:pt>
                <c:pt idx="20">
                  <c:v>2763</c:v>
                </c:pt>
                <c:pt idx="21">
                  <c:v>2789</c:v>
                </c:pt>
                <c:pt idx="22">
                  <c:v>2887</c:v>
                </c:pt>
                <c:pt idx="23">
                  <c:v>2787</c:v>
                </c:pt>
                <c:pt idx="24">
                  <c:v>2737</c:v>
                </c:pt>
                <c:pt idx="25">
                  <c:v>2757</c:v>
                </c:pt>
                <c:pt idx="26">
                  <c:v>2752</c:v>
                </c:pt>
                <c:pt idx="27">
                  <c:v>2783</c:v>
                </c:pt>
                <c:pt idx="28">
                  <c:v>2800</c:v>
                </c:pt>
                <c:pt idx="29">
                  <c:v>2755</c:v>
                </c:pt>
                <c:pt idx="30">
                  <c:v>2773</c:v>
                </c:pt>
                <c:pt idx="31">
                  <c:v>2778</c:v>
                </c:pt>
                <c:pt idx="32">
                  <c:v>2784</c:v>
                </c:pt>
                <c:pt idx="33">
                  <c:v>2744</c:v>
                </c:pt>
                <c:pt idx="34">
                  <c:v>2779</c:v>
                </c:pt>
                <c:pt idx="35">
                  <c:v>2763</c:v>
                </c:pt>
                <c:pt idx="36">
                  <c:v>2751</c:v>
                </c:pt>
                <c:pt idx="37">
                  <c:v>2721</c:v>
                </c:pt>
                <c:pt idx="38">
                  <c:v>2693</c:v>
                </c:pt>
                <c:pt idx="39">
                  <c:v>2670</c:v>
                </c:pt>
                <c:pt idx="40">
                  <c:v>2655</c:v>
                </c:pt>
                <c:pt idx="41">
                  <c:v>2637</c:v>
                </c:pt>
                <c:pt idx="42">
                  <c:v>2576</c:v>
                </c:pt>
                <c:pt idx="43">
                  <c:v>2554</c:v>
                </c:pt>
                <c:pt idx="44">
                  <c:v>2558</c:v>
                </c:pt>
                <c:pt idx="45">
                  <c:v>2554</c:v>
                </c:pt>
                <c:pt idx="46">
                  <c:v>2545</c:v>
                </c:pt>
                <c:pt idx="47">
                  <c:v>2563</c:v>
                </c:pt>
                <c:pt idx="48">
                  <c:v>2548</c:v>
                </c:pt>
                <c:pt idx="49">
                  <c:v>2629</c:v>
                </c:pt>
                <c:pt idx="50">
                  <c:v>2626</c:v>
                </c:pt>
                <c:pt idx="51">
                  <c:v>2620</c:v>
                </c:pt>
                <c:pt idx="52">
                  <c:v>2615</c:v>
                </c:pt>
                <c:pt idx="53">
                  <c:v>2646</c:v>
                </c:pt>
                <c:pt idx="54">
                  <c:v>2668</c:v>
                </c:pt>
                <c:pt idx="55">
                  <c:v>2640</c:v>
                </c:pt>
                <c:pt idx="56">
                  <c:v>2647</c:v>
                </c:pt>
                <c:pt idx="57">
                  <c:v>2658</c:v>
                </c:pt>
                <c:pt idx="58">
                  <c:v>2609</c:v>
                </c:pt>
                <c:pt idx="59">
                  <c:v>2628</c:v>
                </c:pt>
                <c:pt idx="60">
                  <c:v>2590</c:v>
                </c:pt>
                <c:pt idx="61">
                  <c:v>2613</c:v>
                </c:pt>
                <c:pt idx="62">
                  <c:v>2573</c:v>
                </c:pt>
                <c:pt idx="63">
                  <c:v>2573</c:v>
                </c:pt>
                <c:pt idx="64">
                  <c:v>2591</c:v>
                </c:pt>
                <c:pt idx="65">
                  <c:v>2555</c:v>
                </c:pt>
                <c:pt idx="66">
                  <c:v>2565</c:v>
                </c:pt>
                <c:pt idx="67">
                  <c:v>2565</c:v>
                </c:pt>
                <c:pt idx="68">
                  <c:v>2545</c:v>
                </c:pt>
                <c:pt idx="69">
                  <c:v>2564</c:v>
                </c:pt>
                <c:pt idx="70">
                  <c:v>2560</c:v>
                </c:pt>
                <c:pt idx="71">
                  <c:v>2493</c:v>
                </c:pt>
                <c:pt idx="72">
                  <c:v>2496</c:v>
                </c:pt>
                <c:pt idx="73">
                  <c:v>2470</c:v>
                </c:pt>
                <c:pt idx="74">
                  <c:v>2457</c:v>
                </c:pt>
                <c:pt idx="75">
                  <c:v>2447</c:v>
                </c:pt>
                <c:pt idx="76">
                  <c:v>2431</c:v>
                </c:pt>
                <c:pt idx="77">
                  <c:v>2404</c:v>
                </c:pt>
                <c:pt idx="78">
                  <c:v>2390</c:v>
                </c:pt>
                <c:pt idx="79">
                  <c:v>2338</c:v>
                </c:pt>
                <c:pt idx="80">
                  <c:v>2290</c:v>
                </c:pt>
                <c:pt idx="81">
                  <c:v>2337</c:v>
                </c:pt>
                <c:pt idx="82">
                  <c:v>2377</c:v>
                </c:pt>
                <c:pt idx="83">
                  <c:v>2379</c:v>
                </c:pt>
                <c:pt idx="84">
                  <c:v>2580</c:v>
                </c:pt>
                <c:pt idx="85">
                  <c:v>2566</c:v>
                </c:pt>
                <c:pt idx="86">
                  <c:v>2517</c:v>
                </c:pt>
                <c:pt idx="87">
                  <c:v>2547</c:v>
                </c:pt>
                <c:pt idx="88">
                  <c:v>2520</c:v>
                </c:pt>
                <c:pt idx="89">
                  <c:v>2552</c:v>
                </c:pt>
                <c:pt idx="90">
                  <c:v>2615</c:v>
                </c:pt>
                <c:pt idx="91">
                  <c:v>2627</c:v>
                </c:pt>
                <c:pt idx="92">
                  <c:v>2633</c:v>
                </c:pt>
                <c:pt idx="93">
                  <c:v>2606</c:v>
                </c:pt>
                <c:pt idx="94">
                  <c:v>2612</c:v>
                </c:pt>
                <c:pt idx="95">
                  <c:v>2629</c:v>
                </c:pt>
                <c:pt idx="96">
                  <c:v>2623</c:v>
                </c:pt>
                <c:pt idx="97">
                  <c:v>2605</c:v>
                </c:pt>
                <c:pt idx="98">
                  <c:v>2596</c:v>
                </c:pt>
                <c:pt idx="99">
                  <c:v>2616</c:v>
                </c:pt>
                <c:pt idx="100">
                  <c:v>2585</c:v>
                </c:pt>
                <c:pt idx="101">
                  <c:v>2666</c:v>
                </c:pt>
                <c:pt idx="102">
                  <c:v>2629</c:v>
                </c:pt>
                <c:pt idx="103">
                  <c:v>2656</c:v>
                </c:pt>
                <c:pt idx="104">
                  <c:v>2655</c:v>
                </c:pt>
                <c:pt idx="105">
                  <c:v>2655</c:v>
                </c:pt>
                <c:pt idx="106">
                  <c:v>2652</c:v>
                </c:pt>
                <c:pt idx="107">
                  <c:v>2678</c:v>
                </c:pt>
                <c:pt idx="108">
                  <c:v>2726</c:v>
                </c:pt>
                <c:pt idx="109">
                  <c:v>2728</c:v>
                </c:pt>
                <c:pt idx="110">
                  <c:v>2695</c:v>
                </c:pt>
                <c:pt idx="111">
                  <c:v>2719</c:v>
                </c:pt>
                <c:pt idx="112">
                  <c:v>2703</c:v>
                </c:pt>
                <c:pt idx="113">
                  <c:v>2682</c:v>
                </c:pt>
                <c:pt idx="114">
                  <c:v>2677</c:v>
                </c:pt>
                <c:pt idx="115">
                  <c:v>2661</c:v>
                </c:pt>
                <c:pt idx="116">
                  <c:v>2657</c:v>
                </c:pt>
                <c:pt idx="117">
                  <c:v>2652</c:v>
                </c:pt>
                <c:pt idx="118">
                  <c:v>2649</c:v>
                </c:pt>
                <c:pt idx="119">
                  <c:v>2674</c:v>
                </c:pt>
                <c:pt idx="120">
                  <c:v>2672</c:v>
                </c:pt>
                <c:pt idx="121">
                  <c:v>2658</c:v>
                </c:pt>
                <c:pt idx="122">
                  <c:v>2675</c:v>
                </c:pt>
                <c:pt idx="123">
                  <c:v>2719</c:v>
                </c:pt>
                <c:pt idx="124">
                  <c:v>2673</c:v>
                </c:pt>
                <c:pt idx="125">
                  <c:v>2687</c:v>
                </c:pt>
                <c:pt idx="126">
                  <c:v>2674</c:v>
                </c:pt>
                <c:pt idx="127">
                  <c:v>2628</c:v>
                </c:pt>
                <c:pt idx="128">
                  <c:v>2602</c:v>
                </c:pt>
                <c:pt idx="129">
                  <c:v>2581</c:v>
                </c:pt>
                <c:pt idx="130">
                  <c:v>2595</c:v>
                </c:pt>
                <c:pt idx="131">
                  <c:v>2522</c:v>
                </c:pt>
                <c:pt idx="132">
                  <c:v>2528</c:v>
                </c:pt>
                <c:pt idx="133">
                  <c:v>2553</c:v>
                </c:pt>
                <c:pt idx="134">
                  <c:v>2566</c:v>
                </c:pt>
                <c:pt idx="135">
                  <c:v>2513</c:v>
                </c:pt>
                <c:pt idx="136">
                  <c:v>2473</c:v>
                </c:pt>
                <c:pt idx="137">
                  <c:v>2455</c:v>
                </c:pt>
                <c:pt idx="138">
                  <c:v>2452</c:v>
                </c:pt>
                <c:pt idx="139">
                  <c:v>2473</c:v>
                </c:pt>
                <c:pt idx="140">
                  <c:v>2489</c:v>
                </c:pt>
                <c:pt idx="141">
                  <c:v>2464</c:v>
                </c:pt>
                <c:pt idx="142">
                  <c:v>2554</c:v>
                </c:pt>
                <c:pt idx="143">
                  <c:v>2534</c:v>
                </c:pt>
                <c:pt idx="144">
                  <c:v>2543</c:v>
                </c:pt>
                <c:pt idx="145">
                  <c:v>2600</c:v>
                </c:pt>
                <c:pt idx="146">
                  <c:v>2820</c:v>
                </c:pt>
                <c:pt idx="147">
                  <c:v>2852</c:v>
                </c:pt>
                <c:pt idx="148">
                  <c:v>2897</c:v>
                </c:pt>
                <c:pt idx="149">
                  <c:v>2904</c:v>
                </c:pt>
                <c:pt idx="150">
                  <c:v>2948</c:v>
                </c:pt>
                <c:pt idx="151">
                  <c:v>3010</c:v>
                </c:pt>
                <c:pt idx="152">
                  <c:v>3030</c:v>
                </c:pt>
                <c:pt idx="153">
                  <c:v>3040</c:v>
                </c:pt>
                <c:pt idx="154">
                  <c:v>3030</c:v>
                </c:pt>
                <c:pt idx="155">
                  <c:v>3065</c:v>
                </c:pt>
                <c:pt idx="156">
                  <c:v>3070</c:v>
                </c:pt>
                <c:pt idx="157">
                  <c:v>3050</c:v>
                </c:pt>
                <c:pt idx="158">
                  <c:v>3040</c:v>
                </c:pt>
                <c:pt idx="159">
                  <c:v>3085</c:v>
                </c:pt>
                <c:pt idx="160">
                  <c:v>3125</c:v>
                </c:pt>
                <c:pt idx="161">
                  <c:v>3120</c:v>
                </c:pt>
                <c:pt idx="162">
                  <c:v>3090</c:v>
                </c:pt>
                <c:pt idx="163">
                  <c:v>3085</c:v>
                </c:pt>
                <c:pt idx="164">
                  <c:v>3060</c:v>
                </c:pt>
                <c:pt idx="165">
                  <c:v>3090</c:v>
                </c:pt>
                <c:pt idx="166">
                  <c:v>3100</c:v>
                </c:pt>
                <c:pt idx="167">
                  <c:v>3080</c:v>
                </c:pt>
                <c:pt idx="168">
                  <c:v>3075</c:v>
                </c:pt>
                <c:pt idx="169">
                  <c:v>3055</c:v>
                </c:pt>
                <c:pt idx="170">
                  <c:v>3060</c:v>
                </c:pt>
                <c:pt idx="171">
                  <c:v>3090</c:v>
                </c:pt>
                <c:pt idx="172">
                  <c:v>3055</c:v>
                </c:pt>
                <c:pt idx="173">
                  <c:v>2954</c:v>
                </c:pt>
                <c:pt idx="174">
                  <c:v>3000</c:v>
                </c:pt>
                <c:pt idx="175">
                  <c:v>2999</c:v>
                </c:pt>
                <c:pt idx="176">
                  <c:v>2931</c:v>
                </c:pt>
                <c:pt idx="177">
                  <c:v>2970</c:v>
                </c:pt>
                <c:pt idx="178">
                  <c:v>2978</c:v>
                </c:pt>
                <c:pt idx="179">
                  <c:v>3000</c:v>
                </c:pt>
                <c:pt idx="180">
                  <c:v>2989</c:v>
                </c:pt>
                <c:pt idx="181">
                  <c:v>2981</c:v>
                </c:pt>
                <c:pt idx="182">
                  <c:v>2958</c:v>
                </c:pt>
                <c:pt idx="183">
                  <c:v>2984</c:v>
                </c:pt>
                <c:pt idx="184">
                  <c:v>3020</c:v>
                </c:pt>
                <c:pt idx="185">
                  <c:v>3005</c:v>
                </c:pt>
                <c:pt idx="186">
                  <c:v>2987</c:v>
                </c:pt>
                <c:pt idx="187">
                  <c:v>3070</c:v>
                </c:pt>
                <c:pt idx="188">
                  <c:v>3055</c:v>
                </c:pt>
                <c:pt idx="189">
                  <c:v>3010</c:v>
                </c:pt>
                <c:pt idx="190">
                  <c:v>3005</c:v>
                </c:pt>
                <c:pt idx="191">
                  <c:v>3040</c:v>
                </c:pt>
                <c:pt idx="192">
                  <c:v>3005</c:v>
                </c:pt>
                <c:pt idx="193">
                  <c:v>2954</c:v>
                </c:pt>
                <c:pt idx="194">
                  <c:v>2877</c:v>
                </c:pt>
                <c:pt idx="195">
                  <c:v>2869</c:v>
                </c:pt>
                <c:pt idx="196">
                  <c:v>2853</c:v>
                </c:pt>
                <c:pt idx="197">
                  <c:v>2875</c:v>
                </c:pt>
                <c:pt idx="198">
                  <c:v>2918</c:v>
                </c:pt>
                <c:pt idx="199">
                  <c:v>2907</c:v>
                </c:pt>
                <c:pt idx="200">
                  <c:v>2809</c:v>
                </c:pt>
                <c:pt idx="201">
                  <c:v>2773</c:v>
                </c:pt>
                <c:pt idx="202">
                  <c:v>2792</c:v>
                </c:pt>
                <c:pt idx="203">
                  <c:v>2789</c:v>
                </c:pt>
                <c:pt idx="204">
                  <c:v>2802</c:v>
                </c:pt>
                <c:pt idx="205">
                  <c:v>2719</c:v>
                </c:pt>
                <c:pt idx="206">
                  <c:v>2706</c:v>
                </c:pt>
                <c:pt idx="207">
                  <c:v>2722</c:v>
                </c:pt>
                <c:pt idx="208">
                  <c:v>2714</c:v>
                </c:pt>
                <c:pt idx="209">
                  <c:v>2737</c:v>
                </c:pt>
                <c:pt idx="210">
                  <c:v>2657</c:v>
                </c:pt>
                <c:pt idx="211">
                  <c:v>2670</c:v>
                </c:pt>
                <c:pt idx="212">
                  <c:v>2623</c:v>
                </c:pt>
                <c:pt idx="213">
                  <c:v>2652</c:v>
                </c:pt>
                <c:pt idx="214">
                  <c:v>2632</c:v>
                </c:pt>
                <c:pt idx="215">
                  <c:v>2666</c:v>
                </c:pt>
                <c:pt idx="216">
                  <c:v>2667</c:v>
                </c:pt>
                <c:pt idx="217">
                  <c:v>2658</c:v>
                </c:pt>
                <c:pt idx="218">
                  <c:v>2661</c:v>
                </c:pt>
                <c:pt idx="219">
                  <c:v>2703</c:v>
                </c:pt>
                <c:pt idx="220">
                  <c:v>2676</c:v>
                </c:pt>
                <c:pt idx="221">
                  <c:v>2636</c:v>
                </c:pt>
                <c:pt idx="222">
                  <c:v>2654</c:v>
                </c:pt>
                <c:pt idx="223">
                  <c:v>2670</c:v>
                </c:pt>
                <c:pt idx="224">
                  <c:v>2669</c:v>
                </c:pt>
                <c:pt idx="225">
                  <c:v>2649</c:v>
                </c:pt>
                <c:pt idx="226">
                  <c:v>2644</c:v>
                </c:pt>
                <c:pt idx="227">
                  <c:v>2632</c:v>
                </c:pt>
                <c:pt idx="228">
                  <c:v>2656</c:v>
                </c:pt>
                <c:pt idx="229">
                  <c:v>2558</c:v>
                </c:pt>
                <c:pt idx="230">
                  <c:v>2578</c:v>
                </c:pt>
                <c:pt idx="231">
                  <c:v>2546</c:v>
                </c:pt>
                <c:pt idx="232">
                  <c:v>2423</c:v>
                </c:pt>
                <c:pt idx="233">
                  <c:v>2334</c:v>
                </c:pt>
                <c:pt idx="234">
                  <c:v>2435</c:v>
                </c:pt>
                <c:pt idx="235">
                  <c:v>2509</c:v>
                </c:pt>
                <c:pt idx="236">
                  <c:v>2566</c:v>
                </c:pt>
                <c:pt idx="237">
                  <c:v>2580</c:v>
                </c:pt>
                <c:pt idx="238">
                  <c:v>2650</c:v>
                </c:pt>
                <c:pt idx="239">
                  <c:v>2636</c:v>
                </c:pt>
                <c:pt idx="240">
                  <c:v>2628</c:v>
                </c:pt>
                <c:pt idx="241">
                  <c:v>2573</c:v>
                </c:pt>
                <c:pt idx="242">
                  <c:v>2512</c:v>
                </c:pt>
                <c:pt idx="243">
                  <c:v>2588</c:v>
                </c:pt>
                <c:pt idx="244">
                  <c:v>2669</c:v>
                </c:pt>
                <c:pt idx="245">
                  <c:v>2673</c:v>
                </c:pt>
                <c:pt idx="246">
                  <c:v>2720</c:v>
                </c:pt>
                <c:pt idx="247">
                  <c:v>2741</c:v>
                </c:pt>
                <c:pt idx="248">
                  <c:v>2835</c:v>
                </c:pt>
                <c:pt idx="249">
                  <c:v>2860</c:v>
                </c:pt>
                <c:pt idx="250">
                  <c:v>2847</c:v>
                </c:pt>
                <c:pt idx="251">
                  <c:v>2821</c:v>
                </c:pt>
                <c:pt idx="252">
                  <c:v>2828</c:v>
                </c:pt>
                <c:pt idx="253">
                  <c:v>2842</c:v>
                </c:pt>
                <c:pt idx="254">
                  <c:v>2779</c:v>
                </c:pt>
                <c:pt idx="255">
                  <c:v>2772</c:v>
                </c:pt>
                <c:pt idx="256">
                  <c:v>2782</c:v>
                </c:pt>
                <c:pt idx="257">
                  <c:v>2812</c:v>
                </c:pt>
                <c:pt idx="258">
                  <c:v>2839</c:v>
                </c:pt>
                <c:pt idx="259">
                  <c:v>2885</c:v>
                </c:pt>
                <c:pt idx="260">
                  <c:v>2835</c:v>
                </c:pt>
                <c:pt idx="261">
                  <c:v>2866</c:v>
                </c:pt>
                <c:pt idx="262">
                  <c:v>2960</c:v>
                </c:pt>
                <c:pt idx="263">
                  <c:v>2924</c:v>
                </c:pt>
                <c:pt idx="264">
                  <c:v>2904</c:v>
                </c:pt>
                <c:pt idx="265">
                  <c:v>2902</c:v>
                </c:pt>
                <c:pt idx="266">
                  <c:v>2931</c:v>
                </c:pt>
                <c:pt idx="267">
                  <c:v>2843</c:v>
                </c:pt>
                <c:pt idx="268">
                  <c:v>2931</c:v>
                </c:pt>
                <c:pt idx="269">
                  <c:v>3045</c:v>
                </c:pt>
                <c:pt idx="270">
                  <c:v>3040</c:v>
                </c:pt>
                <c:pt idx="271">
                  <c:v>2980</c:v>
                </c:pt>
                <c:pt idx="272">
                  <c:v>2943</c:v>
                </c:pt>
                <c:pt idx="273">
                  <c:v>2970</c:v>
                </c:pt>
                <c:pt idx="274">
                  <c:v>3025</c:v>
                </c:pt>
                <c:pt idx="275">
                  <c:v>3120</c:v>
                </c:pt>
                <c:pt idx="276">
                  <c:v>3075</c:v>
                </c:pt>
                <c:pt idx="277">
                  <c:v>3120</c:v>
                </c:pt>
                <c:pt idx="278">
                  <c:v>3110</c:v>
                </c:pt>
                <c:pt idx="279">
                  <c:v>3120</c:v>
                </c:pt>
                <c:pt idx="280">
                  <c:v>3150</c:v>
                </c:pt>
                <c:pt idx="281">
                  <c:v>3090</c:v>
                </c:pt>
                <c:pt idx="282">
                  <c:v>3075</c:v>
                </c:pt>
                <c:pt idx="283">
                  <c:v>3165</c:v>
                </c:pt>
                <c:pt idx="284">
                  <c:v>3195</c:v>
                </c:pt>
                <c:pt idx="285">
                  <c:v>3325</c:v>
                </c:pt>
                <c:pt idx="286">
                  <c:v>3305</c:v>
                </c:pt>
                <c:pt idx="287">
                  <c:v>3260</c:v>
                </c:pt>
                <c:pt idx="288">
                  <c:v>3285</c:v>
                </c:pt>
                <c:pt idx="289">
                  <c:v>3265</c:v>
                </c:pt>
                <c:pt idx="290">
                  <c:v>3325</c:v>
                </c:pt>
                <c:pt idx="291">
                  <c:v>3315</c:v>
                </c:pt>
                <c:pt idx="292">
                  <c:v>3325</c:v>
                </c:pt>
                <c:pt idx="293">
                  <c:v>3245</c:v>
                </c:pt>
                <c:pt idx="294">
                  <c:v>3405</c:v>
                </c:pt>
                <c:pt idx="295">
                  <c:v>3375</c:v>
                </c:pt>
                <c:pt idx="296">
                  <c:v>3335</c:v>
                </c:pt>
                <c:pt idx="297">
                  <c:v>3305</c:v>
                </c:pt>
                <c:pt idx="298">
                  <c:v>3260</c:v>
                </c:pt>
                <c:pt idx="299">
                  <c:v>3260</c:v>
                </c:pt>
                <c:pt idx="300">
                  <c:v>3145</c:v>
                </c:pt>
                <c:pt idx="301">
                  <c:v>3140</c:v>
                </c:pt>
                <c:pt idx="302">
                  <c:v>3140</c:v>
                </c:pt>
                <c:pt idx="303">
                  <c:v>3115</c:v>
                </c:pt>
                <c:pt idx="304">
                  <c:v>3115</c:v>
                </c:pt>
                <c:pt idx="305">
                  <c:v>3105</c:v>
                </c:pt>
                <c:pt idx="306">
                  <c:v>3085</c:v>
                </c:pt>
                <c:pt idx="307">
                  <c:v>3075</c:v>
                </c:pt>
                <c:pt idx="308">
                  <c:v>3065</c:v>
                </c:pt>
                <c:pt idx="309">
                  <c:v>3125</c:v>
                </c:pt>
                <c:pt idx="310">
                  <c:v>3110</c:v>
                </c:pt>
                <c:pt idx="311">
                  <c:v>3100</c:v>
                </c:pt>
                <c:pt idx="312">
                  <c:v>2984</c:v>
                </c:pt>
                <c:pt idx="313">
                  <c:v>2970</c:v>
                </c:pt>
                <c:pt idx="314">
                  <c:v>2979</c:v>
                </c:pt>
                <c:pt idx="315">
                  <c:v>2956</c:v>
                </c:pt>
                <c:pt idx="316">
                  <c:v>2912</c:v>
                </c:pt>
                <c:pt idx="317">
                  <c:v>2871</c:v>
                </c:pt>
                <c:pt idx="318">
                  <c:v>2916</c:v>
                </c:pt>
                <c:pt idx="319">
                  <c:v>2917</c:v>
                </c:pt>
                <c:pt idx="320">
                  <c:v>2920</c:v>
                </c:pt>
                <c:pt idx="321">
                  <c:v>2954</c:v>
                </c:pt>
                <c:pt idx="322">
                  <c:v>2957</c:v>
                </c:pt>
                <c:pt idx="323">
                  <c:v>3025</c:v>
                </c:pt>
                <c:pt idx="324">
                  <c:v>2934</c:v>
                </c:pt>
                <c:pt idx="325">
                  <c:v>2984</c:v>
                </c:pt>
                <c:pt idx="326">
                  <c:v>2976</c:v>
                </c:pt>
                <c:pt idx="327">
                  <c:v>3010</c:v>
                </c:pt>
                <c:pt idx="328">
                  <c:v>3025</c:v>
                </c:pt>
                <c:pt idx="329">
                  <c:v>2954</c:v>
                </c:pt>
                <c:pt idx="330">
                  <c:v>3015</c:v>
                </c:pt>
                <c:pt idx="331">
                  <c:v>2985</c:v>
                </c:pt>
                <c:pt idx="332">
                  <c:v>2990</c:v>
                </c:pt>
                <c:pt idx="333">
                  <c:v>3025</c:v>
                </c:pt>
                <c:pt idx="334">
                  <c:v>3160</c:v>
                </c:pt>
                <c:pt idx="335">
                  <c:v>3155</c:v>
                </c:pt>
                <c:pt idx="336">
                  <c:v>3150</c:v>
                </c:pt>
                <c:pt idx="337">
                  <c:v>2976</c:v>
                </c:pt>
                <c:pt idx="338">
                  <c:v>2974</c:v>
                </c:pt>
                <c:pt idx="339">
                  <c:v>2948</c:v>
                </c:pt>
                <c:pt idx="340">
                  <c:v>2981</c:v>
                </c:pt>
                <c:pt idx="341">
                  <c:v>2948</c:v>
                </c:pt>
                <c:pt idx="342">
                  <c:v>2959</c:v>
                </c:pt>
                <c:pt idx="343">
                  <c:v>2960</c:v>
                </c:pt>
                <c:pt idx="344">
                  <c:v>2935</c:v>
                </c:pt>
                <c:pt idx="345">
                  <c:v>2929</c:v>
                </c:pt>
                <c:pt idx="346">
                  <c:v>2887</c:v>
                </c:pt>
                <c:pt idx="347">
                  <c:v>2905</c:v>
                </c:pt>
                <c:pt idx="348">
                  <c:v>2929</c:v>
                </c:pt>
                <c:pt idx="349">
                  <c:v>2858</c:v>
                </c:pt>
                <c:pt idx="350">
                  <c:v>2831</c:v>
                </c:pt>
                <c:pt idx="351">
                  <c:v>2849</c:v>
                </c:pt>
                <c:pt idx="352">
                  <c:v>2818</c:v>
                </c:pt>
                <c:pt idx="353">
                  <c:v>2827</c:v>
                </c:pt>
                <c:pt idx="354">
                  <c:v>2909</c:v>
                </c:pt>
                <c:pt idx="355">
                  <c:v>2908</c:v>
                </c:pt>
                <c:pt idx="356">
                  <c:v>2962</c:v>
                </c:pt>
                <c:pt idx="357">
                  <c:v>2951</c:v>
                </c:pt>
                <c:pt idx="358">
                  <c:v>2999</c:v>
                </c:pt>
                <c:pt idx="359">
                  <c:v>3035</c:v>
                </c:pt>
                <c:pt idx="360">
                  <c:v>3025</c:v>
                </c:pt>
                <c:pt idx="361">
                  <c:v>2986</c:v>
                </c:pt>
                <c:pt idx="362">
                  <c:v>2999</c:v>
                </c:pt>
                <c:pt idx="363">
                  <c:v>3020</c:v>
                </c:pt>
                <c:pt idx="364">
                  <c:v>2974</c:v>
                </c:pt>
                <c:pt idx="365">
                  <c:v>2974</c:v>
                </c:pt>
                <c:pt idx="366">
                  <c:v>2988</c:v>
                </c:pt>
                <c:pt idx="367">
                  <c:v>2959</c:v>
                </c:pt>
                <c:pt idx="368">
                  <c:v>2937</c:v>
                </c:pt>
                <c:pt idx="369">
                  <c:v>2917</c:v>
                </c:pt>
                <c:pt idx="370">
                  <c:v>2919</c:v>
                </c:pt>
                <c:pt idx="371">
                  <c:v>2896</c:v>
                </c:pt>
                <c:pt idx="372">
                  <c:v>2912</c:v>
                </c:pt>
                <c:pt idx="373">
                  <c:v>2943</c:v>
                </c:pt>
                <c:pt idx="374">
                  <c:v>2867</c:v>
                </c:pt>
                <c:pt idx="375">
                  <c:v>2850</c:v>
                </c:pt>
                <c:pt idx="376">
                  <c:v>2877</c:v>
                </c:pt>
                <c:pt idx="377">
                  <c:v>2932</c:v>
                </c:pt>
                <c:pt idx="378">
                  <c:v>2891</c:v>
                </c:pt>
                <c:pt idx="379">
                  <c:v>2872</c:v>
                </c:pt>
                <c:pt idx="380">
                  <c:v>2870</c:v>
                </c:pt>
                <c:pt idx="381">
                  <c:v>2881</c:v>
                </c:pt>
                <c:pt idx="382">
                  <c:v>2921</c:v>
                </c:pt>
                <c:pt idx="383">
                  <c:v>2937</c:v>
                </c:pt>
                <c:pt idx="384">
                  <c:v>2941</c:v>
                </c:pt>
                <c:pt idx="385">
                  <c:v>2936</c:v>
                </c:pt>
                <c:pt idx="386">
                  <c:v>2920</c:v>
                </c:pt>
                <c:pt idx="387">
                  <c:v>2915</c:v>
                </c:pt>
                <c:pt idx="388">
                  <c:v>2969</c:v>
                </c:pt>
                <c:pt idx="389">
                  <c:v>2919</c:v>
                </c:pt>
                <c:pt idx="390">
                  <c:v>2969</c:v>
                </c:pt>
                <c:pt idx="391">
                  <c:v>2822</c:v>
                </c:pt>
                <c:pt idx="392">
                  <c:v>2773</c:v>
                </c:pt>
                <c:pt idx="393">
                  <c:v>2818</c:v>
                </c:pt>
                <c:pt idx="394">
                  <c:v>2815</c:v>
                </c:pt>
                <c:pt idx="395">
                  <c:v>2794</c:v>
                </c:pt>
                <c:pt idx="396">
                  <c:v>2850</c:v>
                </c:pt>
                <c:pt idx="397">
                  <c:v>2825</c:v>
                </c:pt>
                <c:pt idx="398">
                  <c:v>2856</c:v>
                </c:pt>
                <c:pt idx="399">
                  <c:v>2804</c:v>
                </c:pt>
                <c:pt idx="400">
                  <c:v>2777</c:v>
                </c:pt>
                <c:pt idx="401">
                  <c:v>2789</c:v>
                </c:pt>
                <c:pt idx="402">
                  <c:v>2787</c:v>
                </c:pt>
                <c:pt idx="403">
                  <c:v>2826</c:v>
                </c:pt>
                <c:pt idx="404">
                  <c:v>2818</c:v>
                </c:pt>
                <c:pt idx="405">
                  <c:v>2779</c:v>
                </c:pt>
                <c:pt idx="406">
                  <c:v>2764</c:v>
                </c:pt>
                <c:pt idx="407">
                  <c:v>2765</c:v>
                </c:pt>
                <c:pt idx="408">
                  <c:v>2785</c:v>
                </c:pt>
                <c:pt idx="409">
                  <c:v>2853</c:v>
                </c:pt>
                <c:pt idx="410">
                  <c:v>2831</c:v>
                </c:pt>
                <c:pt idx="411">
                  <c:v>2728</c:v>
                </c:pt>
                <c:pt idx="412">
                  <c:v>2716</c:v>
                </c:pt>
                <c:pt idx="413">
                  <c:v>2753</c:v>
                </c:pt>
                <c:pt idx="414">
                  <c:v>2768</c:v>
                </c:pt>
                <c:pt idx="415">
                  <c:v>2796</c:v>
                </c:pt>
                <c:pt idx="416">
                  <c:v>2846</c:v>
                </c:pt>
                <c:pt idx="417">
                  <c:v>2805</c:v>
                </c:pt>
                <c:pt idx="418">
                  <c:v>2691</c:v>
                </c:pt>
                <c:pt idx="419">
                  <c:v>2743</c:v>
                </c:pt>
                <c:pt idx="420">
                  <c:v>2650</c:v>
                </c:pt>
                <c:pt idx="421">
                  <c:v>2630</c:v>
                </c:pt>
                <c:pt idx="422">
                  <c:v>2685</c:v>
                </c:pt>
                <c:pt idx="423">
                  <c:v>2678</c:v>
                </c:pt>
                <c:pt idx="424">
                  <c:v>2666</c:v>
                </c:pt>
                <c:pt idx="425">
                  <c:v>2669</c:v>
                </c:pt>
                <c:pt idx="426">
                  <c:v>2693</c:v>
                </c:pt>
                <c:pt idx="427">
                  <c:v>2694</c:v>
                </c:pt>
                <c:pt idx="428">
                  <c:v>2699</c:v>
                </c:pt>
                <c:pt idx="429">
                  <c:v>2706</c:v>
                </c:pt>
                <c:pt idx="430">
                  <c:v>2750</c:v>
                </c:pt>
                <c:pt idx="431">
                  <c:v>2721</c:v>
                </c:pt>
                <c:pt idx="432">
                  <c:v>2767</c:v>
                </c:pt>
                <c:pt idx="433">
                  <c:v>2771</c:v>
                </c:pt>
                <c:pt idx="434">
                  <c:v>2741</c:v>
                </c:pt>
                <c:pt idx="435">
                  <c:v>2718</c:v>
                </c:pt>
                <c:pt idx="436">
                  <c:v>2789</c:v>
                </c:pt>
                <c:pt idx="437">
                  <c:v>2859</c:v>
                </c:pt>
                <c:pt idx="438">
                  <c:v>2910</c:v>
                </c:pt>
                <c:pt idx="439">
                  <c:v>2881</c:v>
                </c:pt>
                <c:pt idx="440">
                  <c:v>2854</c:v>
                </c:pt>
                <c:pt idx="441">
                  <c:v>2827</c:v>
                </c:pt>
                <c:pt idx="442">
                  <c:v>2864</c:v>
                </c:pt>
                <c:pt idx="443">
                  <c:v>2842</c:v>
                </c:pt>
                <c:pt idx="444">
                  <c:v>2838</c:v>
                </c:pt>
                <c:pt idx="445">
                  <c:v>2741</c:v>
                </c:pt>
                <c:pt idx="446">
                  <c:v>2692</c:v>
                </c:pt>
                <c:pt idx="447">
                  <c:v>2697</c:v>
                </c:pt>
                <c:pt idx="448">
                  <c:v>2671</c:v>
                </c:pt>
                <c:pt idx="449">
                  <c:v>2685</c:v>
                </c:pt>
                <c:pt idx="450">
                  <c:v>2739</c:v>
                </c:pt>
                <c:pt idx="451">
                  <c:v>2664</c:v>
                </c:pt>
                <c:pt idx="452">
                  <c:v>2610</c:v>
                </c:pt>
                <c:pt idx="453">
                  <c:v>2795</c:v>
                </c:pt>
                <c:pt idx="454">
                  <c:v>2900</c:v>
                </c:pt>
                <c:pt idx="455">
                  <c:v>2940</c:v>
                </c:pt>
                <c:pt idx="456">
                  <c:v>2828</c:v>
                </c:pt>
                <c:pt idx="457">
                  <c:v>2842</c:v>
                </c:pt>
                <c:pt idx="458">
                  <c:v>2942</c:v>
                </c:pt>
                <c:pt idx="459">
                  <c:v>2900</c:v>
                </c:pt>
                <c:pt idx="460">
                  <c:v>2883</c:v>
                </c:pt>
                <c:pt idx="461">
                  <c:v>2921</c:v>
                </c:pt>
                <c:pt idx="462">
                  <c:v>2935</c:v>
                </c:pt>
                <c:pt idx="463">
                  <c:v>2948</c:v>
                </c:pt>
                <c:pt idx="464">
                  <c:v>2964</c:v>
                </c:pt>
                <c:pt idx="465">
                  <c:v>2910</c:v>
                </c:pt>
                <c:pt idx="466">
                  <c:v>2973</c:v>
                </c:pt>
                <c:pt idx="467">
                  <c:v>3050</c:v>
                </c:pt>
                <c:pt idx="468">
                  <c:v>3015</c:v>
                </c:pt>
                <c:pt idx="469">
                  <c:v>2972</c:v>
                </c:pt>
                <c:pt idx="470">
                  <c:v>2936</c:v>
                </c:pt>
                <c:pt idx="471">
                  <c:v>2954</c:v>
                </c:pt>
                <c:pt idx="472">
                  <c:v>2993</c:v>
                </c:pt>
                <c:pt idx="473">
                  <c:v>3000</c:v>
                </c:pt>
                <c:pt idx="474">
                  <c:v>2994</c:v>
                </c:pt>
                <c:pt idx="475">
                  <c:v>2917</c:v>
                </c:pt>
                <c:pt idx="476">
                  <c:v>2929</c:v>
                </c:pt>
                <c:pt idx="477">
                  <c:v>3010</c:v>
                </c:pt>
                <c:pt idx="478">
                  <c:v>2987</c:v>
                </c:pt>
                <c:pt idx="479">
                  <c:v>2988</c:v>
                </c:pt>
                <c:pt idx="480">
                  <c:v>2947</c:v>
                </c:pt>
                <c:pt idx="481">
                  <c:v>2926</c:v>
                </c:pt>
                <c:pt idx="482">
                  <c:v>2917</c:v>
                </c:pt>
                <c:pt idx="483">
                  <c:v>2868</c:v>
                </c:pt>
                <c:pt idx="484">
                  <c:v>2837</c:v>
                </c:pt>
                <c:pt idx="485">
                  <c:v>2861</c:v>
                </c:pt>
                <c:pt idx="486">
                  <c:v>2724</c:v>
                </c:pt>
                <c:pt idx="487">
                  <c:v>2623</c:v>
                </c:pt>
                <c:pt idx="488">
                  <c:v>2634</c:v>
                </c:pt>
                <c:pt idx="489">
                  <c:v>2634</c:v>
                </c:pt>
                <c:pt idx="490">
                  <c:v>2658</c:v>
                </c:pt>
                <c:pt idx="491">
                  <c:v>2631</c:v>
                </c:pt>
                <c:pt idx="492">
                  <c:v>2605</c:v>
                </c:pt>
                <c:pt idx="493">
                  <c:v>2662</c:v>
                </c:pt>
                <c:pt idx="494">
                  <c:v>2678</c:v>
                </c:pt>
                <c:pt idx="495">
                  <c:v>2671</c:v>
                </c:pt>
                <c:pt idx="496">
                  <c:v>2698</c:v>
                </c:pt>
                <c:pt idx="497">
                  <c:v>2658</c:v>
                </c:pt>
                <c:pt idx="498">
                  <c:v>2609</c:v>
                </c:pt>
                <c:pt idx="499">
                  <c:v>2629</c:v>
                </c:pt>
                <c:pt idx="500">
                  <c:v>2665</c:v>
                </c:pt>
                <c:pt idx="501">
                  <c:v>2649</c:v>
                </c:pt>
                <c:pt idx="502">
                  <c:v>2599</c:v>
                </c:pt>
                <c:pt idx="503">
                  <c:v>2580</c:v>
                </c:pt>
                <c:pt idx="504">
                  <c:v>2529</c:v>
                </c:pt>
                <c:pt idx="505">
                  <c:v>2497</c:v>
                </c:pt>
                <c:pt idx="506">
                  <c:v>2465</c:v>
                </c:pt>
                <c:pt idx="507">
                  <c:v>2526</c:v>
                </c:pt>
                <c:pt idx="508">
                  <c:v>2502</c:v>
                </c:pt>
                <c:pt idx="509">
                  <c:v>2393</c:v>
                </c:pt>
                <c:pt idx="510">
                  <c:v>2413</c:v>
                </c:pt>
                <c:pt idx="511">
                  <c:v>2416</c:v>
                </c:pt>
                <c:pt idx="512">
                  <c:v>2452</c:v>
                </c:pt>
                <c:pt idx="513">
                  <c:v>2504</c:v>
                </c:pt>
                <c:pt idx="514">
                  <c:v>2493</c:v>
                </c:pt>
                <c:pt idx="515">
                  <c:v>2508</c:v>
                </c:pt>
                <c:pt idx="516">
                  <c:v>2461</c:v>
                </c:pt>
                <c:pt idx="517">
                  <c:v>2429</c:v>
                </c:pt>
                <c:pt idx="518">
                  <c:v>2402</c:v>
                </c:pt>
                <c:pt idx="519">
                  <c:v>2403</c:v>
                </c:pt>
                <c:pt idx="520">
                  <c:v>2411</c:v>
                </c:pt>
                <c:pt idx="521">
                  <c:v>2397</c:v>
                </c:pt>
                <c:pt idx="522">
                  <c:v>2357</c:v>
                </c:pt>
                <c:pt idx="523">
                  <c:v>2369</c:v>
                </c:pt>
                <c:pt idx="524">
                  <c:v>2358</c:v>
                </c:pt>
                <c:pt idx="525">
                  <c:v>2385</c:v>
                </c:pt>
                <c:pt idx="526">
                  <c:v>2440</c:v>
                </c:pt>
                <c:pt idx="527">
                  <c:v>2440</c:v>
                </c:pt>
                <c:pt idx="528">
                  <c:v>2435</c:v>
                </c:pt>
                <c:pt idx="529">
                  <c:v>2378</c:v>
                </c:pt>
                <c:pt idx="530">
                  <c:v>2351</c:v>
                </c:pt>
                <c:pt idx="531">
                  <c:v>2314</c:v>
                </c:pt>
                <c:pt idx="532">
                  <c:v>2206</c:v>
                </c:pt>
                <c:pt idx="533">
                  <c:v>2224</c:v>
                </c:pt>
                <c:pt idx="534">
                  <c:v>2220</c:v>
                </c:pt>
                <c:pt idx="535">
                  <c:v>2227</c:v>
                </c:pt>
                <c:pt idx="536">
                  <c:v>2209</c:v>
                </c:pt>
                <c:pt idx="537">
                  <c:v>2235</c:v>
                </c:pt>
                <c:pt idx="538">
                  <c:v>2211</c:v>
                </c:pt>
                <c:pt idx="539">
                  <c:v>2195</c:v>
                </c:pt>
                <c:pt idx="540">
                  <c:v>2202</c:v>
                </c:pt>
                <c:pt idx="541">
                  <c:v>2197</c:v>
                </c:pt>
                <c:pt idx="542">
                  <c:v>2196</c:v>
                </c:pt>
                <c:pt idx="543">
                  <c:v>2156</c:v>
                </c:pt>
                <c:pt idx="544">
                  <c:v>2122</c:v>
                </c:pt>
                <c:pt idx="545">
                  <c:v>2091</c:v>
                </c:pt>
                <c:pt idx="546">
                  <c:v>2042</c:v>
                </c:pt>
                <c:pt idx="547">
                  <c:v>2044</c:v>
                </c:pt>
                <c:pt idx="548">
                  <c:v>2058</c:v>
                </c:pt>
                <c:pt idx="549">
                  <c:v>2064</c:v>
                </c:pt>
                <c:pt idx="550">
                  <c:v>2090</c:v>
                </c:pt>
                <c:pt idx="551">
                  <c:v>2057</c:v>
                </c:pt>
                <c:pt idx="552">
                  <c:v>2070</c:v>
                </c:pt>
                <c:pt idx="553">
                  <c:v>2066</c:v>
                </c:pt>
                <c:pt idx="554">
                  <c:v>2080</c:v>
                </c:pt>
                <c:pt idx="555">
                  <c:v>2085</c:v>
                </c:pt>
                <c:pt idx="556">
                  <c:v>2102</c:v>
                </c:pt>
                <c:pt idx="557">
                  <c:v>2070</c:v>
                </c:pt>
                <c:pt idx="558">
                  <c:v>2062</c:v>
                </c:pt>
                <c:pt idx="559">
                  <c:v>2029</c:v>
                </c:pt>
                <c:pt idx="560">
                  <c:v>2032</c:v>
                </c:pt>
                <c:pt idx="561">
                  <c:v>2013</c:v>
                </c:pt>
                <c:pt idx="562">
                  <c:v>2024</c:v>
                </c:pt>
                <c:pt idx="563">
                  <c:v>2049</c:v>
                </c:pt>
                <c:pt idx="564">
                  <c:v>2027</c:v>
                </c:pt>
                <c:pt idx="565">
                  <c:v>2044</c:v>
                </c:pt>
                <c:pt idx="566">
                  <c:v>2023</c:v>
                </c:pt>
                <c:pt idx="567">
                  <c:v>2043</c:v>
                </c:pt>
                <c:pt idx="568">
                  <c:v>2043</c:v>
                </c:pt>
                <c:pt idx="569">
                  <c:v>2054</c:v>
                </c:pt>
                <c:pt idx="570">
                  <c:v>2079</c:v>
                </c:pt>
                <c:pt idx="571">
                  <c:v>2094</c:v>
                </c:pt>
                <c:pt idx="572">
                  <c:v>2048</c:v>
                </c:pt>
                <c:pt idx="573">
                  <c:v>2037</c:v>
                </c:pt>
                <c:pt idx="574">
                  <c:v>2044</c:v>
                </c:pt>
                <c:pt idx="575">
                  <c:v>1946</c:v>
                </c:pt>
                <c:pt idx="576">
                  <c:v>1949</c:v>
                </c:pt>
                <c:pt idx="577">
                  <c:v>1944</c:v>
                </c:pt>
                <c:pt idx="578">
                  <c:v>1922</c:v>
                </c:pt>
                <c:pt idx="579">
                  <c:v>1884</c:v>
                </c:pt>
                <c:pt idx="580">
                  <c:v>1894</c:v>
                </c:pt>
                <c:pt idx="581">
                  <c:v>1896</c:v>
                </c:pt>
                <c:pt idx="582">
                  <c:v>1868</c:v>
                </c:pt>
                <c:pt idx="583">
                  <c:v>1865</c:v>
                </c:pt>
                <c:pt idx="584">
                  <c:v>1886</c:v>
                </c:pt>
                <c:pt idx="585">
                  <c:v>1908</c:v>
                </c:pt>
                <c:pt idx="586">
                  <c:v>1920</c:v>
                </c:pt>
                <c:pt idx="587">
                  <c:v>1917</c:v>
                </c:pt>
                <c:pt idx="588">
                  <c:v>1897</c:v>
                </c:pt>
                <c:pt idx="589">
                  <c:v>1890</c:v>
                </c:pt>
                <c:pt idx="590">
                  <c:v>1884</c:v>
                </c:pt>
                <c:pt idx="591">
                  <c:v>1885</c:v>
                </c:pt>
                <c:pt idx="592">
                  <c:v>1904</c:v>
                </c:pt>
                <c:pt idx="593">
                  <c:v>1856</c:v>
                </c:pt>
                <c:pt idx="594">
                  <c:v>1878</c:v>
                </c:pt>
                <c:pt idx="595">
                  <c:v>1903</c:v>
                </c:pt>
                <c:pt idx="596">
                  <c:v>1896</c:v>
                </c:pt>
                <c:pt idx="597">
                  <c:v>1881</c:v>
                </c:pt>
                <c:pt idx="598">
                  <c:v>1892</c:v>
                </c:pt>
                <c:pt idx="599">
                  <c:v>1889</c:v>
                </c:pt>
                <c:pt idx="600">
                  <c:v>1915</c:v>
                </c:pt>
                <c:pt idx="601">
                  <c:v>1910</c:v>
                </c:pt>
                <c:pt idx="602">
                  <c:v>1935</c:v>
                </c:pt>
                <c:pt idx="603">
                  <c:v>1944</c:v>
                </c:pt>
                <c:pt idx="604">
                  <c:v>1940</c:v>
                </c:pt>
                <c:pt idx="605">
                  <c:v>1943</c:v>
                </c:pt>
                <c:pt idx="606">
                  <c:v>1940</c:v>
                </c:pt>
                <c:pt idx="607">
                  <c:v>1934</c:v>
                </c:pt>
                <c:pt idx="608">
                  <c:v>1927</c:v>
                </c:pt>
                <c:pt idx="609">
                  <c:v>1907</c:v>
                </c:pt>
                <c:pt idx="610">
                  <c:v>1911</c:v>
                </c:pt>
                <c:pt idx="611">
                  <c:v>1916</c:v>
                </c:pt>
                <c:pt idx="612">
                  <c:v>1937</c:v>
                </c:pt>
                <c:pt idx="613">
                  <c:v>1891</c:v>
                </c:pt>
                <c:pt idx="614">
                  <c:v>1833</c:v>
                </c:pt>
                <c:pt idx="615">
                  <c:v>1841</c:v>
                </c:pt>
                <c:pt idx="616">
                  <c:v>1832</c:v>
                </c:pt>
                <c:pt idx="617">
                  <c:v>1831</c:v>
                </c:pt>
                <c:pt idx="618">
                  <c:v>1858</c:v>
                </c:pt>
                <c:pt idx="619">
                  <c:v>1845</c:v>
                </c:pt>
                <c:pt idx="620">
                  <c:v>1840</c:v>
                </c:pt>
                <c:pt idx="621">
                  <c:v>1840</c:v>
                </c:pt>
                <c:pt idx="622">
                  <c:v>1857</c:v>
                </c:pt>
                <c:pt idx="623">
                  <c:v>1862</c:v>
                </c:pt>
                <c:pt idx="624">
                  <c:v>1873</c:v>
                </c:pt>
                <c:pt idx="625">
                  <c:v>1877</c:v>
                </c:pt>
                <c:pt idx="626">
                  <c:v>1867</c:v>
                </c:pt>
                <c:pt idx="627">
                  <c:v>1894</c:v>
                </c:pt>
                <c:pt idx="628">
                  <c:v>1884</c:v>
                </c:pt>
                <c:pt idx="629">
                  <c:v>1882</c:v>
                </c:pt>
                <c:pt idx="630">
                  <c:v>1880</c:v>
                </c:pt>
                <c:pt idx="631">
                  <c:v>1895</c:v>
                </c:pt>
                <c:pt idx="632">
                  <c:v>1862</c:v>
                </c:pt>
                <c:pt idx="633">
                  <c:v>1844</c:v>
                </c:pt>
                <c:pt idx="634">
                  <c:v>1829</c:v>
                </c:pt>
                <c:pt idx="635">
                  <c:v>1826</c:v>
                </c:pt>
                <c:pt idx="636">
                  <c:v>1835</c:v>
                </c:pt>
                <c:pt idx="637">
                  <c:v>1748</c:v>
                </c:pt>
                <c:pt idx="638">
                  <c:v>1730</c:v>
                </c:pt>
                <c:pt idx="639">
                  <c:v>1690</c:v>
                </c:pt>
                <c:pt idx="640">
                  <c:v>1689</c:v>
                </c:pt>
                <c:pt idx="641">
                  <c:v>1684</c:v>
                </c:pt>
                <c:pt idx="642">
                  <c:v>1663</c:v>
                </c:pt>
                <c:pt idx="643">
                  <c:v>1673</c:v>
                </c:pt>
                <c:pt idx="644">
                  <c:v>1649</c:v>
                </c:pt>
                <c:pt idx="645">
                  <c:v>1637</c:v>
                </c:pt>
                <c:pt idx="646">
                  <c:v>1596</c:v>
                </c:pt>
                <c:pt idx="647">
                  <c:v>1590</c:v>
                </c:pt>
                <c:pt idx="648">
                  <c:v>1578</c:v>
                </c:pt>
                <c:pt idx="649">
                  <c:v>1575</c:v>
                </c:pt>
                <c:pt idx="650">
                  <c:v>1575</c:v>
                </c:pt>
                <c:pt idx="651">
                  <c:v>1569</c:v>
                </c:pt>
                <c:pt idx="652">
                  <c:v>1593</c:v>
                </c:pt>
                <c:pt idx="653">
                  <c:v>1612</c:v>
                </c:pt>
                <c:pt idx="654">
                  <c:v>1612</c:v>
                </c:pt>
                <c:pt idx="655">
                  <c:v>1600</c:v>
                </c:pt>
                <c:pt idx="656">
                  <c:v>1586</c:v>
                </c:pt>
                <c:pt idx="657">
                  <c:v>1568</c:v>
                </c:pt>
                <c:pt idx="658">
                  <c:v>1613</c:v>
                </c:pt>
                <c:pt idx="659">
                  <c:v>1613</c:v>
                </c:pt>
                <c:pt idx="660">
                  <c:v>1625</c:v>
                </c:pt>
                <c:pt idx="661">
                  <c:v>1611</c:v>
                </c:pt>
              </c:numCache>
            </c:numRef>
          </c:val>
        </c:ser>
        <c:ser>
          <c:idx val="1"/>
          <c:order val="1"/>
          <c:tx>
            <c:strRef>
              <c:f>個別計算!$E$41</c:f>
              <c:strCache>
                <c:ptCount val="1"/>
                <c:pt idx="0">
                  <c:v>CLOSE_4042</c:v>
                </c:pt>
              </c:strCache>
            </c:strRef>
          </c:tx>
          <c:marker>
            <c:symbol val="none"/>
          </c:marker>
          <c:cat>
            <c:numRef>
              <c:f>個別計算!$A$42:$A$703</c:f>
              <c:numCache>
                <c:formatCode>yyyy/mm/dd</c:formatCode>
                <c:ptCount val="662"/>
                <c:pt idx="0">
                  <c:v>43812</c:v>
                </c:pt>
                <c:pt idx="1">
                  <c:v>43811</c:v>
                </c:pt>
                <c:pt idx="2">
                  <c:v>43810</c:v>
                </c:pt>
                <c:pt idx="3">
                  <c:v>43809</c:v>
                </c:pt>
                <c:pt idx="4">
                  <c:v>43808</c:v>
                </c:pt>
                <c:pt idx="5">
                  <c:v>43805</c:v>
                </c:pt>
                <c:pt idx="6">
                  <c:v>43804</c:v>
                </c:pt>
                <c:pt idx="7">
                  <c:v>43803</c:v>
                </c:pt>
                <c:pt idx="8">
                  <c:v>43802</c:v>
                </c:pt>
                <c:pt idx="9">
                  <c:v>43801</c:v>
                </c:pt>
                <c:pt idx="10">
                  <c:v>43798</c:v>
                </c:pt>
                <c:pt idx="11">
                  <c:v>43797</c:v>
                </c:pt>
                <c:pt idx="12">
                  <c:v>43796</c:v>
                </c:pt>
                <c:pt idx="13">
                  <c:v>43795</c:v>
                </c:pt>
                <c:pt idx="14">
                  <c:v>43794</c:v>
                </c:pt>
                <c:pt idx="15">
                  <c:v>43791</c:v>
                </c:pt>
                <c:pt idx="16">
                  <c:v>43790</c:v>
                </c:pt>
                <c:pt idx="17">
                  <c:v>43789</c:v>
                </c:pt>
                <c:pt idx="18">
                  <c:v>43788</c:v>
                </c:pt>
                <c:pt idx="19">
                  <c:v>43787</c:v>
                </c:pt>
                <c:pt idx="20">
                  <c:v>43784</c:v>
                </c:pt>
                <c:pt idx="21">
                  <c:v>43783</c:v>
                </c:pt>
                <c:pt idx="22">
                  <c:v>43782</c:v>
                </c:pt>
                <c:pt idx="23">
                  <c:v>43781</c:v>
                </c:pt>
                <c:pt idx="24">
                  <c:v>43780</c:v>
                </c:pt>
                <c:pt idx="25">
                  <c:v>43777</c:v>
                </c:pt>
                <c:pt idx="26">
                  <c:v>43776</c:v>
                </c:pt>
                <c:pt idx="27">
                  <c:v>43775</c:v>
                </c:pt>
                <c:pt idx="28">
                  <c:v>43774</c:v>
                </c:pt>
                <c:pt idx="29">
                  <c:v>43770</c:v>
                </c:pt>
                <c:pt idx="30">
                  <c:v>43769</c:v>
                </c:pt>
                <c:pt idx="31">
                  <c:v>43768</c:v>
                </c:pt>
                <c:pt idx="32">
                  <c:v>43767</c:v>
                </c:pt>
                <c:pt idx="33">
                  <c:v>43766</c:v>
                </c:pt>
                <c:pt idx="34">
                  <c:v>43763</c:v>
                </c:pt>
                <c:pt idx="35">
                  <c:v>43762</c:v>
                </c:pt>
                <c:pt idx="36">
                  <c:v>43761</c:v>
                </c:pt>
                <c:pt idx="37">
                  <c:v>43759</c:v>
                </c:pt>
                <c:pt idx="38">
                  <c:v>43756</c:v>
                </c:pt>
                <c:pt idx="39">
                  <c:v>43755</c:v>
                </c:pt>
                <c:pt idx="40">
                  <c:v>43754</c:v>
                </c:pt>
                <c:pt idx="41">
                  <c:v>43753</c:v>
                </c:pt>
                <c:pt idx="42">
                  <c:v>43749</c:v>
                </c:pt>
                <c:pt idx="43">
                  <c:v>43748</c:v>
                </c:pt>
                <c:pt idx="44">
                  <c:v>43747</c:v>
                </c:pt>
                <c:pt idx="45">
                  <c:v>43746</c:v>
                </c:pt>
                <c:pt idx="46">
                  <c:v>43745</c:v>
                </c:pt>
                <c:pt idx="47">
                  <c:v>43742</c:v>
                </c:pt>
                <c:pt idx="48">
                  <c:v>43741</c:v>
                </c:pt>
                <c:pt idx="49">
                  <c:v>43740</c:v>
                </c:pt>
                <c:pt idx="50">
                  <c:v>43739</c:v>
                </c:pt>
                <c:pt idx="51">
                  <c:v>43738</c:v>
                </c:pt>
                <c:pt idx="52">
                  <c:v>43735</c:v>
                </c:pt>
                <c:pt idx="53">
                  <c:v>43734</c:v>
                </c:pt>
                <c:pt idx="54">
                  <c:v>43733</c:v>
                </c:pt>
                <c:pt idx="55">
                  <c:v>43732</c:v>
                </c:pt>
                <c:pt idx="56">
                  <c:v>43728</c:v>
                </c:pt>
                <c:pt idx="57">
                  <c:v>43727</c:v>
                </c:pt>
                <c:pt idx="58">
                  <c:v>43726</c:v>
                </c:pt>
                <c:pt idx="59">
                  <c:v>43725</c:v>
                </c:pt>
                <c:pt idx="60">
                  <c:v>43721</c:v>
                </c:pt>
                <c:pt idx="61">
                  <c:v>43720</c:v>
                </c:pt>
                <c:pt idx="62">
                  <c:v>43719</c:v>
                </c:pt>
                <c:pt idx="63">
                  <c:v>43718</c:v>
                </c:pt>
                <c:pt idx="64">
                  <c:v>43717</c:v>
                </c:pt>
                <c:pt idx="65">
                  <c:v>43714</c:v>
                </c:pt>
                <c:pt idx="66">
                  <c:v>43713</c:v>
                </c:pt>
                <c:pt idx="67">
                  <c:v>43712</c:v>
                </c:pt>
                <c:pt idx="68">
                  <c:v>43711</c:v>
                </c:pt>
                <c:pt idx="69">
                  <c:v>43710</c:v>
                </c:pt>
                <c:pt idx="70">
                  <c:v>43707</c:v>
                </c:pt>
                <c:pt idx="71">
                  <c:v>43706</c:v>
                </c:pt>
                <c:pt idx="72">
                  <c:v>43705</c:v>
                </c:pt>
                <c:pt idx="73">
                  <c:v>43704</c:v>
                </c:pt>
                <c:pt idx="74">
                  <c:v>43703</c:v>
                </c:pt>
                <c:pt idx="75">
                  <c:v>43700</c:v>
                </c:pt>
                <c:pt idx="76">
                  <c:v>43699</c:v>
                </c:pt>
                <c:pt idx="77">
                  <c:v>43698</c:v>
                </c:pt>
                <c:pt idx="78">
                  <c:v>43697</c:v>
                </c:pt>
                <c:pt idx="79">
                  <c:v>43696</c:v>
                </c:pt>
                <c:pt idx="80">
                  <c:v>43693</c:v>
                </c:pt>
                <c:pt idx="81">
                  <c:v>43692</c:v>
                </c:pt>
                <c:pt idx="82">
                  <c:v>43691</c:v>
                </c:pt>
                <c:pt idx="83">
                  <c:v>43690</c:v>
                </c:pt>
                <c:pt idx="84">
                  <c:v>43686</c:v>
                </c:pt>
                <c:pt idx="85">
                  <c:v>43685</c:v>
                </c:pt>
                <c:pt idx="86">
                  <c:v>43684</c:v>
                </c:pt>
                <c:pt idx="87">
                  <c:v>43683</c:v>
                </c:pt>
                <c:pt idx="88">
                  <c:v>43682</c:v>
                </c:pt>
                <c:pt idx="89">
                  <c:v>43679</c:v>
                </c:pt>
                <c:pt idx="90">
                  <c:v>43678</c:v>
                </c:pt>
                <c:pt idx="91">
                  <c:v>43677</c:v>
                </c:pt>
                <c:pt idx="92">
                  <c:v>43676</c:v>
                </c:pt>
                <c:pt idx="93">
                  <c:v>43675</c:v>
                </c:pt>
                <c:pt idx="94">
                  <c:v>43672</c:v>
                </c:pt>
                <c:pt idx="95">
                  <c:v>43671</c:v>
                </c:pt>
                <c:pt idx="96">
                  <c:v>43670</c:v>
                </c:pt>
                <c:pt idx="97">
                  <c:v>43669</c:v>
                </c:pt>
                <c:pt idx="98">
                  <c:v>43668</c:v>
                </c:pt>
                <c:pt idx="99">
                  <c:v>43665</c:v>
                </c:pt>
                <c:pt idx="100">
                  <c:v>43664</c:v>
                </c:pt>
                <c:pt idx="101">
                  <c:v>43663</c:v>
                </c:pt>
                <c:pt idx="102">
                  <c:v>43662</c:v>
                </c:pt>
                <c:pt idx="103">
                  <c:v>43658</c:v>
                </c:pt>
                <c:pt idx="104">
                  <c:v>43657</c:v>
                </c:pt>
                <c:pt idx="105">
                  <c:v>43656</c:v>
                </c:pt>
                <c:pt idx="106">
                  <c:v>43655</c:v>
                </c:pt>
                <c:pt idx="107">
                  <c:v>43654</c:v>
                </c:pt>
                <c:pt idx="108">
                  <c:v>43651</c:v>
                </c:pt>
                <c:pt idx="109">
                  <c:v>43650</c:v>
                </c:pt>
                <c:pt idx="110">
                  <c:v>43649</c:v>
                </c:pt>
                <c:pt idx="111">
                  <c:v>43648</c:v>
                </c:pt>
                <c:pt idx="112">
                  <c:v>43647</c:v>
                </c:pt>
                <c:pt idx="113">
                  <c:v>43644</c:v>
                </c:pt>
                <c:pt idx="114">
                  <c:v>43643</c:v>
                </c:pt>
                <c:pt idx="115">
                  <c:v>43642</c:v>
                </c:pt>
                <c:pt idx="116">
                  <c:v>43641</c:v>
                </c:pt>
                <c:pt idx="117">
                  <c:v>43640</c:v>
                </c:pt>
                <c:pt idx="118">
                  <c:v>43637</c:v>
                </c:pt>
                <c:pt idx="119">
                  <c:v>43636</c:v>
                </c:pt>
                <c:pt idx="120">
                  <c:v>43635</c:v>
                </c:pt>
                <c:pt idx="121">
                  <c:v>43634</c:v>
                </c:pt>
                <c:pt idx="122">
                  <c:v>43633</c:v>
                </c:pt>
                <c:pt idx="123">
                  <c:v>43630</c:v>
                </c:pt>
                <c:pt idx="124">
                  <c:v>43629</c:v>
                </c:pt>
                <c:pt idx="125">
                  <c:v>43628</c:v>
                </c:pt>
                <c:pt idx="126">
                  <c:v>43627</c:v>
                </c:pt>
                <c:pt idx="127">
                  <c:v>43626</c:v>
                </c:pt>
                <c:pt idx="128">
                  <c:v>43623</c:v>
                </c:pt>
                <c:pt idx="129">
                  <c:v>43622</c:v>
                </c:pt>
                <c:pt idx="130">
                  <c:v>43621</c:v>
                </c:pt>
                <c:pt idx="131">
                  <c:v>43620</c:v>
                </c:pt>
                <c:pt idx="132">
                  <c:v>43619</c:v>
                </c:pt>
                <c:pt idx="133">
                  <c:v>43616</c:v>
                </c:pt>
                <c:pt idx="134">
                  <c:v>43615</c:v>
                </c:pt>
                <c:pt idx="135">
                  <c:v>43614</c:v>
                </c:pt>
                <c:pt idx="136">
                  <c:v>43613</c:v>
                </c:pt>
                <c:pt idx="137">
                  <c:v>43612</c:v>
                </c:pt>
                <c:pt idx="138">
                  <c:v>43609</c:v>
                </c:pt>
                <c:pt idx="139">
                  <c:v>43608</c:v>
                </c:pt>
                <c:pt idx="140">
                  <c:v>43607</c:v>
                </c:pt>
                <c:pt idx="141">
                  <c:v>43606</c:v>
                </c:pt>
                <c:pt idx="142">
                  <c:v>43605</c:v>
                </c:pt>
                <c:pt idx="143">
                  <c:v>43602</c:v>
                </c:pt>
                <c:pt idx="144">
                  <c:v>43601</c:v>
                </c:pt>
                <c:pt idx="145">
                  <c:v>43600</c:v>
                </c:pt>
                <c:pt idx="146">
                  <c:v>43599</c:v>
                </c:pt>
                <c:pt idx="147">
                  <c:v>43598</c:v>
                </c:pt>
                <c:pt idx="148">
                  <c:v>43595</c:v>
                </c:pt>
                <c:pt idx="149">
                  <c:v>43594</c:v>
                </c:pt>
                <c:pt idx="150">
                  <c:v>43593</c:v>
                </c:pt>
                <c:pt idx="151">
                  <c:v>43592</c:v>
                </c:pt>
                <c:pt idx="152">
                  <c:v>43581</c:v>
                </c:pt>
                <c:pt idx="153">
                  <c:v>43580</c:v>
                </c:pt>
                <c:pt idx="154">
                  <c:v>43579</c:v>
                </c:pt>
                <c:pt idx="155">
                  <c:v>43578</c:v>
                </c:pt>
                <c:pt idx="156">
                  <c:v>43577</c:v>
                </c:pt>
                <c:pt idx="157">
                  <c:v>43574</c:v>
                </c:pt>
                <c:pt idx="158">
                  <c:v>43573</c:v>
                </c:pt>
                <c:pt idx="159">
                  <c:v>43572</c:v>
                </c:pt>
                <c:pt idx="160">
                  <c:v>43571</c:v>
                </c:pt>
                <c:pt idx="161">
                  <c:v>43570</c:v>
                </c:pt>
                <c:pt idx="162">
                  <c:v>43567</c:v>
                </c:pt>
                <c:pt idx="163">
                  <c:v>43566</c:v>
                </c:pt>
                <c:pt idx="164">
                  <c:v>43565</c:v>
                </c:pt>
                <c:pt idx="165">
                  <c:v>43564</c:v>
                </c:pt>
                <c:pt idx="166">
                  <c:v>43563</c:v>
                </c:pt>
                <c:pt idx="167">
                  <c:v>43560</c:v>
                </c:pt>
                <c:pt idx="168">
                  <c:v>43559</c:v>
                </c:pt>
                <c:pt idx="169">
                  <c:v>43558</c:v>
                </c:pt>
                <c:pt idx="170">
                  <c:v>43557</c:v>
                </c:pt>
                <c:pt idx="171">
                  <c:v>43556</c:v>
                </c:pt>
                <c:pt idx="172">
                  <c:v>43553</c:v>
                </c:pt>
                <c:pt idx="173">
                  <c:v>43552</c:v>
                </c:pt>
                <c:pt idx="174">
                  <c:v>43551</c:v>
                </c:pt>
                <c:pt idx="175">
                  <c:v>43550</c:v>
                </c:pt>
                <c:pt idx="176">
                  <c:v>43549</c:v>
                </c:pt>
                <c:pt idx="177">
                  <c:v>43546</c:v>
                </c:pt>
                <c:pt idx="178">
                  <c:v>43544</c:v>
                </c:pt>
                <c:pt idx="179">
                  <c:v>43543</c:v>
                </c:pt>
                <c:pt idx="180">
                  <c:v>43542</c:v>
                </c:pt>
                <c:pt idx="181">
                  <c:v>43539</c:v>
                </c:pt>
                <c:pt idx="182">
                  <c:v>43538</c:v>
                </c:pt>
                <c:pt idx="183">
                  <c:v>43537</c:v>
                </c:pt>
                <c:pt idx="184">
                  <c:v>43536</c:v>
                </c:pt>
                <c:pt idx="185">
                  <c:v>43535</c:v>
                </c:pt>
                <c:pt idx="186">
                  <c:v>43532</c:v>
                </c:pt>
                <c:pt idx="187">
                  <c:v>43531</c:v>
                </c:pt>
                <c:pt idx="188">
                  <c:v>43530</c:v>
                </c:pt>
                <c:pt idx="189">
                  <c:v>43529</c:v>
                </c:pt>
                <c:pt idx="190">
                  <c:v>43528</c:v>
                </c:pt>
                <c:pt idx="191">
                  <c:v>43525</c:v>
                </c:pt>
                <c:pt idx="192">
                  <c:v>43524</c:v>
                </c:pt>
                <c:pt idx="193">
                  <c:v>43523</c:v>
                </c:pt>
                <c:pt idx="194">
                  <c:v>43522</c:v>
                </c:pt>
                <c:pt idx="195">
                  <c:v>43521</c:v>
                </c:pt>
                <c:pt idx="196">
                  <c:v>43518</c:v>
                </c:pt>
                <c:pt idx="197">
                  <c:v>43517</c:v>
                </c:pt>
                <c:pt idx="198">
                  <c:v>43516</c:v>
                </c:pt>
                <c:pt idx="199">
                  <c:v>43515</c:v>
                </c:pt>
                <c:pt idx="200">
                  <c:v>43514</c:v>
                </c:pt>
                <c:pt idx="201">
                  <c:v>43511</c:v>
                </c:pt>
                <c:pt idx="202">
                  <c:v>43510</c:v>
                </c:pt>
                <c:pt idx="203">
                  <c:v>43509</c:v>
                </c:pt>
                <c:pt idx="204">
                  <c:v>43508</c:v>
                </c:pt>
                <c:pt idx="205">
                  <c:v>43504</c:v>
                </c:pt>
                <c:pt idx="206">
                  <c:v>43503</c:v>
                </c:pt>
                <c:pt idx="207">
                  <c:v>43502</c:v>
                </c:pt>
                <c:pt idx="208">
                  <c:v>43501</c:v>
                </c:pt>
                <c:pt idx="209">
                  <c:v>43500</c:v>
                </c:pt>
                <c:pt idx="210">
                  <c:v>43497</c:v>
                </c:pt>
                <c:pt idx="211">
                  <c:v>43496</c:v>
                </c:pt>
                <c:pt idx="212">
                  <c:v>43495</c:v>
                </c:pt>
                <c:pt idx="213">
                  <c:v>43494</c:v>
                </c:pt>
                <c:pt idx="214">
                  <c:v>43493</c:v>
                </c:pt>
                <c:pt idx="215">
                  <c:v>43490</c:v>
                </c:pt>
                <c:pt idx="216">
                  <c:v>43489</c:v>
                </c:pt>
                <c:pt idx="217">
                  <c:v>43488</c:v>
                </c:pt>
                <c:pt idx="218">
                  <c:v>43487</c:v>
                </c:pt>
                <c:pt idx="219">
                  <c:v>43486</c:v>
                </c:pt>
                <c:pt idx="220">
                  <c:v>43483</c:v>
                </c:pt>
                <c:pt idx="221">
                  <c:v>43482</c:v>
                </c:pt>
                <c:pt idx="222">
                  <c:v>43481</c:v>
                </c:pt>
                <c:pt idx="223">
                  <c:v>43480</c:v>
                </c:pt>
                <c:pt idx="224">
                  <c:v>43476</c:v>
                </c:pt>
                <c:pt idx="225">
                  <c:v>43475</c:v>
                </c:pt>
                <c:pt idx="226">
                  <c:v>43474</c:v>
                </c:pt>
                <c:pt idx="227">
                  <c:v>43473</c:v>
                </c:pt>
                <c:pt idx="228">
                  <c:v>43472</c:v>
                </c:pt>
                <c:pt idx="229">
                  <c:v>43469</c:v>
                </c:pt>
                <c:pt idx="230">
                  <c:v>43462</c:v>
                </c:pt>
                <c:pt idx="231">
                  <c:v>43461</c:v>
                </c:pt>
                <c:pt idx="232">
                  <c:v>43460</c:v>
                </c:pt>
                <c:pt idx="233">
                  <c:v>43459</c:v>
                </c:pt>
                <c:pt idx="234">
                  <c:v>43455</c:v>
                </c:pt>
                <c:pt idx="235">
                  <c:v>43454</c:v>
                </c:pt>
                <c:pt idx="236">
                  <c:v>43453</c:v>
                </c:pt>
                <c:pt idx="237">
                  <c:v>43452</c:v>
                </c:pt>
                <c:pt idx="238">
                  <c:v>43451</c:v>
                </c:pt>
                <c:pt idx="239">
                  <c:v>43448</c:v>
                </c:pt>
                <c:pt idx="240">
                  <c:v>43447</c:v>
                </c:pt>
                <c:pt idx="241">
                  <c:v>43446</c:v>
                </c:pt>
                <c:pt idx="242">
                  <c:v>43445</c:v>
                </c:pt>
                <c:pt idx="243">
                  <c:v>43444</c:v>
                </c:pt>
                <c:pt idx="244">
                  <c:v>43441</c:v>
                </c:pt>
                <c:pt idx="245">
                  <c:v>43440</c:v>
                </c:pt>
                <c:pt idx="246">
                  <c:v>43439</c:v>
                </c:pt>
                <c:pt idx="247">
                  <c:v>43438</c:v>
                </c:pt>
                <c:pt idx="248">
                  <c:v>43437</c:v>
                </c:pt>
                <c:pt idx="249">
                  <c:v>43434</c:v>
                </c:pt>
                <c:pt idx="250">
                  <c:v>43433</c:v>
                </c:pt>
                <c:pt idx="251">
                  <c:v>43432</c:v>
                </c:pt>
                <c:pt idx="252">
                  <c:v>43431</c:v>
                </c:pt>
                <c:pt idx="253">
                  <c:v>43430</c:v>
                </c:pt>
                <c:pt idx="254">
                  <c:v>43426</c:v>
                </c:pt>
                <c:pt idx="255">
                  <c:v>43425</c:v>
                </c:pt>
                <c:pt idx="256">
                  <c:v>43424</c:v>
                </c:pt>
                <c:pt idx="257">
                  <c:v>43423</c:v>
                </c:pt>
                <c:pt idx="258">
                  <c:v>43420</c:v>
                </c:pt>
                <c:pt idx="259">
                  <c:v>43419</c:v>
                </c:pt>
                <c:pt idx="260">
                  <c:v>43418</c:v>
                </c:pt>
                <c:pt idx="261">
                  <c:v>43417</c:v>
                </c:pt>
                <c:pt idx="262">
                  <c:v>43416</c:v>
                </c:pt>
                <c:pt idx="263">
                  <c:v>43413</c:v>
                </c:pt>
                <c:pt idx="264">
                  <c:v>43412</c:v>
                </c:pt>
                <c:pt idx="265">
                  <c:v>43411</c:v>
                </c:pt>
                <c:pt idx="266">
                  <c:v>43410</c:v>
                </c:pt>
                <c:pt idx="267">
                  <c:v>43409</c:v>
                </c:pt>
                <c:pt idx="268">
                  <c:v>43406</c:v>
                </c:pt>
                <c:pt idx="269">
                  <c:v>43405</c:v>
                </c:pt>
                <c:pt idx="270">
                  <c:v>43404</c:v>
                </c:pt>
                <c:pt idx="271">
                  <c:v>43403</c:v>
                </c:pt>
                <c:pt idx="272">
                  <c:v>43402</c:v>
                </c:pt>
                <c:pt idx="273">
                  <c:v>43399</c:v>
                </c:pt>
                <c:pt idx="274">
                  <c:v>43398</c:v>
                </c:pt>
                <c:pt idx="275">
                  <c:v>43397</c:v>
                </c:pt>
                <c:pt idx="276">
                  <c:v>43396</c:v>
                </c:pt>
                <c:pt idx="277">
                  <c:v>43395</c:v>
                </c:pt>
                <c:pt idx="278">
                  <c:v>43392</c:v>
                </c:pt>
                <c:pt idx="279">
                  <c:v>43391</c:v>
                </c:pt>
                <c:pt idx="280">
                  <c:v>43390</c:v>
                </c:pt>
                <c:pt idx="281">
                  <c:v>43389</c:v>
                </c:pt>
                <c:pt idx="282">
                  <c:v>43388</c:v>
                </c:pt>
                <c:pt idx="283">
                  <c:v>43385</c:v>
                </c:pt>
                <c:pt idx="284">
                  <c:v>43384</c:v>
                </c:pt>
                <c:pt idx="285">
                  <c:v>43383</c:v>
                </c:pt>
                <c:pt idx="286">
                  <c:v>43382</c:v>
                </c:pt>
                <c:pt idx="287">
                  <c:v>43378</c:v>
                </c:pt>
                <c:pt idx="288">
                  <c:v>43377</c:v>
                </c:pt>
                <c:pt idx="289">
                  <c:v>43376</c:v>
                </c:pt>
                <c:pt idx="290">
                  <c:v>43375</c:v>
                </c:pt>
                <c:pt idx="291">
                  <c:v>43374</c:v>
                </c:pt>
                <c:pt idx="292">
                  <c:v>43371</c:v>
                </c:pt>
                <c:pt idx="293">
                  <c:v>43370</c:v>
                </c:pt>
                <c:pt idx="294">
                  <c:v>43369</c:v>
                </c:pt>
                <c:pt idx="295">
                  <c:v>43368</c:v>
                </c:pt>
                <c:pt idx="296">
                  <c:v>43364</c:v>
                </c:pt>
                <c:pt idx="297">
                  <c:v>43363</c:v>
                </c:pt>
                <c:pt idx="298">
                  <c:v>43362</c:v>
                </c:pt>
                <c:pt idx="299">
                  <c:v>43361</c:v>
                </c:pt>
                <c:pt idx="300">
                  <c:v>43357</c:v>
                </c:pt>
                <c:pt idx="301">
                  <c:v>43356</c:v>
                </c:pt>
                <c:pt idx="302">
                  <c:v>43355</c:v>
                </c:pt>
                <c:pt idx="303">
                  <c:v>43354</c:v>
                </c:pt>
                <c:pt idx="304">
                  <c:v>43353</c:v>
                </c:pt>
                <c:pt idx="305">
                  <c:v>43350</c:v>
                </c:pt>
                <c:pt idx="306">
                  <c:v>43349</c:v>
                </c:pt>
                <c:pt idx="307">
                  <c:v>43348</c:v>
                </c:pt>
                <c:pt idx="308">
                  <c:v>43347</c:v>
                </c:pt>
                <c:pt idx="309">
                  <c:v>43346</c:v>
                </c:pt>
                <c:pt idx="310">
                  <c:v>43343</c:v>
                </c:pt>
                <c:pt idx="311">
                  <c:v>43342</c:v>
                </c:pt>
                <c:pt idx="312">
                  <c:v>43341</c:v>
                </c:pt>
                <c:pt idx="313">
                  <c:v>43340</c:v>
                </c:pt>
                <c:pt idx="314">
                  <c:v>43339</c:v>
                </c:pt>
                <c:pt idx="315">
                  <c:v>43336</c:v>
                </c:pt>
                <c:pt idx="316">
                  <c:v>43335</c:v>
                </c:pt>
                <c:pt idx="317">
                  <c:v>43334</c:v>
                </c:pt>
                <c:pt idx="318">
                  <c:v>43333</c:v>
                </c:pt>
                <c:pt idx="319">
                  <c:v>43332</c:v>
                </c:pt>
                <c:pt idx="320">
                  <c:v>43329</c:v>
                </c:pt>
                <c:pt idx="321">
                  <c:v>43328</c:v>
                </c:pt>
                <c:pt idx="322">
                  <c:v>43327</c:v>
                </c:pt>
                <c:pt idx="323">
                  <c:v>43326</c:v>
                </c:pt>
                <c:pt idx="324">
                  <c:v>43325</c:v>
                </c:pt>
                <c:pt idx="325">
                  <c:v>43322</c:v>
                </c:pt>
                <c:pt idx="326">
                  <c:v>43321</c:v>
                </c:pt>
                <c:pt idx="327">
                  <c:v>43320</c:v>
                </c:pt>
                <c:pt idx="328">
                  <c:v>43319</c:v>
                </c:pt>
                <c:pt idx="329">
                  <c:v>43318</c:v>
                </c:pt>
                <c:pt idx="330">
                  <c:v>43315</c:v>
                </c:pt>
                <c:pt idx="331">
                  <c:v>43314</c:v>
                </c:pt>
                <c:pt idx="332">
                  <c:v>43313</c:v>
                </c:pt>
                <c:pt idx="333">
                  <c:v>43312</c:v>
                </c:pt>
                <c:pt idx="334">
                  <c:v>43311</c:v>
                </c:pt>
                <c:pt idx="335">
                  <c:v>43308</c:v>
                </c:pt>
                <c:pt idx="336">
                  <c:v>43307</c:v>
                </c:pt>
                <c:pt idx="337">
                  <c:v>43306</c:v>
                </c:pt>
                <c:pt idx="338">
                  <c:v>43305</c:v>
                </c:pt>
                <c:pt idx="339">
                  <c:v>43304</c:v>
                </c:pt>
                <c:pt idx="340">
                  <c:v>43301</c:v>
                </c:pt>
                <c:pt idx="341">
                  <c:v>43300</c:v>
                </c:pt>
                <c:pt idx="342">
                  <c:v>43299</c:v>
                </c:pt>
                <c:pt idx="343">
                  <c:v>43298</c:v>
                </c:pt>
                <c:pt idx="344">
                  <c:v>43294</c:v>
                </c:pt>
                <c:pt idx="345">
                  <c:v>43293</c:v>
                </c:pt>
                <c:pt idx="346">
                  <c:v>43292</c:v>
                </c:pt>
                <c:pt idx="347">
                  <c:v>43291</c:v>
                </c:pt>
                <c:pt idx="348">
                  <c:v>43290</c:v>
                </c:pt>
                <c:pt idx="349">
                  <c:v>43287</c:v>
                </c:pt>
                <c:pt idx="350">
                  <c:v>43286</c:v>
                </c:pt>
                <c:pt idx="351">
                  <c:v>43285</c:v>
                </c:pt>
                <c:pt idx="352">
                  <c:v>43284</c:v>
                </c:pt>
                <c:pt idx="353">
                  <c:v>43283</c:v>
                </c:pt>
                <c:pt idx="354">
                  <c:v>43280</c:v>
                </c:pt>
                <c:pt idx="355">
                  <c:v>43279</c:v>
                </c:pt>
                <c:pt idx="356">
                  <c:v>43278</c:v>
                </c:pt>
                <c:pt idx="357">
                  <c:v>43277</c:v>
                </c:pt>
                <c:pt idx="358">
                  <c:v>43276</c:v>
                </c:pt>
                <c:pt idx="359">
                  <c:v>43273</c:v>
                </c:pt>
                <c:pt idx="360">
                  <c:v>43272</c:v>
                </c:pt>
                <c:pt idx="361">
                  <c:v>43271</c:v>
                </c:pt>
                <c:pt idx="362">
                  <c:v>43270</c:v>
                </c:pt>
                <c:pt idx="363">
                  <c:v>43269</c:v>
                </c:pt>
                <c:pt idx="364">
                  <c:v>43266</c:v>
                </c:pt>
                <c:pt idx="365">
                  <c:v>43265</c:v>
                </c:pt>
                <c:pt idx="366">
                  <c:v>43264</c:v>
                </c:pt>
                <c:pt idx="367">
                  <c:v>43263</c:v>
                </c:pt>
                <c:pt idx="368">
                  <c:v>43262</c:v>
                </c:pt>
                <c:pt idx="369">
                  <c:v>43259</c:v>
                </c:pt>
                <c:pt idx="370">
                  <c:v>43258</c:v>
                </c:pt>
                <c:pt idx="371">
                  <c:v>43257</c:v>
                </c:pt>
                <c:pt idx="372">
                  <c:v>43256</c:v>
                </c:pt>
                <c:pt idx="373">
                  <c:v>43255</c:v>
                </c:pt>
                <c:pt idx="374">
                  <c:v>43252</c:v>
                </c:pt>
                <c:pt idx="375">
                  <c:v>43251</c:v>
                </c:pt>
                <c:pt idx="376">
                  <c:v>43250</c:v>
                </c:pt>
                <c:pt idx="377">
                  <c:v>43249</c:v>
                </c:pt>
                <c:pt idx="378">
                  <c:v>43248</c:v>
                </c:pt>
                <c:pt idx="379">
                  <c:v>43245</c:v>
                </c:pt>
                <c:pt idx="380">
                  <c:v>43244</c:v>
                </c:pt>
                <c:pt idx="381">
                  <c:v>43243</c:v>
                </c:pt>
                <c:pt idx="382">
                  <c:v>43242</c:v>
                </c:pt>
                <c:pt idx="383">
                  <c:v>43241</c:v>
                </c:pt>
                <c:pt idx="384">
                  <c:v>43238</c:v>
                </c:pt>
                <c:pt idx="385">
                  <c:v>43237</c:v>
                </c:pt>
                <c:pt idx="386">
                  <c:v>43236</c:v>
                </c:pt>
                <c:pt idx="387">
                  <c:v>43235</c:v>
                </c:pt>
                <c:pt idx="388">
                  <c:v>43234</c:v>
                </c:pt>
                <c:pt idx="389">
                  <c:v>43231</c:v>
                </c:pt>
                <c:pt idx="390">
                  <c:v>43230</c:v>
                </c:pt>
                <c:pt idx="391">
                  <c:v>43229</c:v>
                </c:pt>
                <c:pt idx="392">
                  <c:v>43228</c:v>
                </c:pt>
                <c:pt idx="393">
                  <c:v>43227</c:v>
                </c:pt>
                <c:pt idx="394">
                  <c:v>43222</c:v>
                </c:pt>
                <c:pt idx="395">
                  <c:v>43221</c:v>
                </c:pt>
                <c:pt idx="396">
                  <c:v>43217</c:v>
                </c:pt>
                <c:pt idx="397">
                  <c:v>43216</c:v>
                </c:pt>
                <c:pt idx="398">
                  <c:v>43215</c:v>
                </c:pt>
                <c:pt idx="399">
                  <c:v>43214</c:v>
                </c:pt>
                <c:pt idx="400">
                  <c:v>43213</c:v>
                </c:pt>
                <c:pt idx="401">
                  <c:v>43210</c:v>
                </c:pt>
                <c:pt idx="402">
                  <c:v>43209</c:v>
                </c:pt>
                <c:pt idx="403">
                  <c:v>43208</c:v>
                </c:pt>
                <c:pt idx="404">
                  <c:v>43207</c:v>
                </c:pt>
                <c:pt idx="405">
                  <c:v>43206</c:v>
                </c:pt>
                <c:pt idx="406">
                  <c:v>43203</c:v>
                </c:pt>
                <c:pt idx="407">
                  <c:v>43202</c:v>
                </c:pt>
                <c:pt idx="408">
                  <c:v>43201</c:v>
                </c:pt>
                <c:pt idx="409">
                  <c:v>43200</c:v>
                </c:pt>
                <c:pt idx="410">
                  <c:v>43199</c:v>
                </c:pt>
                <c:pt idx="411">
                  <c:v>43196</c:v>
                </c:pt>
                <c:pt idx="412">
                  <c:v>43195</c:v>
                </c:pt>
                <c:pt idx="413">
                  <c:v>43194</c:v>
                </c:pt>
                <c:pt idx="414">
                  <c:v>43193</c:v>
                </c:pt>
                <c:pt idx="415">
                  <c:v>43192</c:v>
                </c:pt>
                <c:pt idx="416">
                  <c:v>43189</c:v>
                </c:pt>
                <c:pt idx="417">
                  <c:v>43188</c:v>
                </c:pt>
                <c:pt idx="418">
                  <c:v>43187</c:v>
                </c:pt>
                <c:pt idx="419">
                  <c:v>43186</c:v>
                </c:pt>
                <c:pt idx="420">
                  <c:v>43185</c:v>
                </c:pt>
                <c:pt idx="421">
                  <c:v>43182</c:v>
                </c:pt>
                <c:pt idx="422">
                  <c:v>43181</c:v>
                </c:pt>
                <c:pt idx="423">
                  <c:v>43179</c:v>
                </c:pt>
                <c:pt idx="424">
                  <c:v>43178</c:v>
                </c:pt>
                <c:pt idx="425">
                  <c:v>43175</c:v>
                </c:pt>
                <c:pt idx="426">
                  <c:v>43174</c:v>
                </c:pt>
                <c:pt idx="427">
                  <c:v>43173</c:v>
                </c:pt>
                <c:pt idx="428">
                  <c:v>43172</c:v>
                </c:pt>
                <c:pt idx="429">
                  <c:v>43171</c:v>
                </c:pt>
                <c:pt idx="430">
                  <c:v>43168</c:v>
                </c:pt>
                <c:pt idx="431">
                  <c:v>43167</c:v>
                </c:pt>
                <c:pt idx="432">
                  <c:v>43166</c:v>
                </c:pt>
                <c:pt idx="433">
                  <c:v>43165</c:v>
                </c:pt>
                <c:pt idx="434">
                  <c:v>43164</c:v>
                </c:pt>
                <c:pt idx="435">
                  <c:v>43161</c:v>
                </c:pt>
                <c:pt idx="436">
                  <c:v>43160</c:v>
                </c:pt>
                <c:pt idx="437">
                  <c:v>43159</c:v>
                </c:pt>
                <c:pt idx="438">
                  <c:v>43158</c:v>
                </c:pt>
                <c:pt idx="439">
                  <c:v>43157</c:v>
                </c:pt>
                <c:pt idx="440">
                  <c:v>43154</c:v>
                </c:pt>
                <c:pt idx="441">
                  <c:v>43153</c:v>
                </c:pt>
                <c:pt idx="442">
                  <c:v>43152</c:v>
                </c:pt>
                <c:pt idx="443">
                  <c:v>43151</c:v>
                </c:pt>
                <c:pt idx="444">
                  <c:v>43150</c:v>
                </c:pt>
                <c:pt idx="445">
                  <c:v>43147</c:v>
                </c:pt>
                <c:pt idx="446">
                  <c:v>43146</c:v>
                </c:pt>
                <c:pt idx="447">
                  <c:v>43145</c:v>
                </c:pt>
                <c:pt idx="448">
                  <c:v>43144</c:v>
                </c:pt>
                <c:pt idx="449">
                  <c:v>43140</c:v>
                </c:pt>
                <c:pt idx="450">
                  <c:v>43139</c:v>
                </c:pt>
                <c:pt idx="451">
                  <c:v>43138</c:v>
                </c:pt>
                <c:pt idx="452">
                  <c:v>43137</c:v>
                </c:pt>
                <c:pt idx="453">
                  <c:v>43136</c:v>
                </c:pt>
                <c:pt idx="454">
                  <c:v>43133</c:v>
                </c:pt>
                <c:pt idx="455">
                  <c:v>43132</c:v>
                </c:pt>
                <c:pt idx="456">
                  <c:v>43131</c:v>
                </c:pt>
                <c:pt idx="457">
                  <c:v>43130</c:v>
                </c:pt>
                <c:pt idx="458">
                  <c:v>43129</c:v>
                </c:pt>
                <c:pt idx="459">
                  <c:v>43126</c:v>
                </c:pt>
                <c:pt idx="460">
                  <c:v>43125</c:v>
                </c:pt>
                <c:pt idx="461">
                  <c:v>43124</c:v>
                </c:pt>
                <c:pt idx="462">
                  <c:v>43123</c:v>
                </c:pt>
                <c:pt idx="463">
                  <c:v>43122</c:v>
                </c:pt>
                <c:pt idx="464">
                  <c:v>43119</c:v>
                </c:pt>
                <c:pt idx="465">
                  <c:v>43118</c:v>
                </c:pt>
                <c:pt idx="466">
                  <c:v>43117</c:v>
                </c:pt>
                <c:pt idx="467">
                  <c:v>43116</c:v>
                </c:pt>
                <c:pt idx="468">
                  <c:v>43115</c:v>
                </c:pt>
                <c:pt idx="469">
                  <c:v>43112</c:v>
                </c:pt>
                <c:pt idx="470">
                  <c:v>43111</c:v>
                </c:pt>
                <c:pt idx="471">
                  <c:v>43110</c:v>
                </c:pt>
                <c:pt idx="472">
                  <c:v>43109</c:v>
                </c:pt>
                <c:pt idx="473">
                  <c:v>43105</c:v>
                </c:pt>
                <c:pt idx="474">
                  <c:v>43104</c:v>
                </c:pt>
                <c:pt idx="475">
                  <c:v>43098</c:v>
                </c:pt>
                <c:pt idx="476">
                  <c:v>43097</c:v>
                </c:pt>
                <c:pt idx="477">
                  <c:v>43096</c:v>
                </c:pt>
                <c:pt idx="478">
                  <c:v>43095</c:v>
                </c:pt>
                <c:pt idx="479">
                  <c:v>43094</c:v>
                </c:pt>
                <c:pt idx="480">
                  <c:v>43091</c:v>
                </c:pt>
                <c:pt idx="481">
                  <c:v>43090</c:v>
                </c:pt>
                <c:pt idx="482">
                  <c:v>43089</c:v>
                </c:pt>
                <c:pt idx="483">
                  <c:v>43088</c:v>
                </c:pt>
                <c:pt idx="484">
                  <c:v>43087</c:v>
                </c:pt>
                <c:pt idx="485">
                  <c:v>43084</c:v>
                </c:pt>
                <c:pt idx="486">
                  <c:v>43083</c:v>
                </c:pt>
                <c:pt idx="487">
                  <c:v>43082</c:v>
                </c:pt>
                <c:pt idx="488">
                  <c:v>43081</c:v>
                </c:pt>
                <c:pt idx="489">
                  <c:v>43080</c:v>
                </c:pt>
                <c:pt idx="490">
                  <c:v>43077</c:v>
                </c:pt>
                <c:pt idx="491">
                  <c:v>43076</c:v>
                </c:pt>
                <c:pt idx="492">
                  <c:v>43075</c:v>
                </c:pt>
                <c:pt idx="493">
                  <c:v>43074</c:v>
                </c:pt>
                <c:pt idx="494">
                  <c:v>43073</c:v>
                </c:pt>
                <c:pt idx="495">
                  <c:v>43070</c:v>
                </c:pt>
                <c:pt idx="496">
                  <c:v>43069</c:v>
                </c:pt>
                <c:pt idx="497">
                  <c:v>43068</c:v>
                </c:pt>
                <c:pt idx="498">
                  <c:v>43067</c:v>
                </c:pt>
                <c:pt idx="499">
                  <c:v>43066</c:v>
                </c:pt>
                <c:pt idx="500">
                  <c:v>43063</c:v>
                </c:pt>
                <c:pt idx="501">
                  <c:v>43061</c:v>
                </c:pt>
                <c:pt idx="502">
                  <c:v>43060</c:v>
                </c:pt>
                <c:pt idx="503">
                  <c:v>43059</c:v>
                </c:pt>
                <c:pt idx="504">
                  <c:v>43056</c:v>
                </c:pt>
                <c:pt idx="505">
                  <c:v>43055</c:v>
                </c:pt>
                <c:pt idx="506">
                  <c:v>43054</c:v>
                </c:pt>
                <c:pt idx="507">
                  <c:v>43053</c:v>
                </c:pt>
                <c:pt idx="508">
                  <c:v>43052</c:v>
                </c:pt>
                <c:pt idx="509">
                  <c:v>43049</c:v>
                </c:pt>
                <c:pt idx="510">
                  <c:v>43048</c:v>
                </c:pt>
                <c:pt idx="511">
                  <c:v>43047</c:v>
                </c:pt>
                <c:pt idx="512">
                  <c:v>43046</c:v>
                </c:pt>
                <c:pt idx="513">
                  <c:v>43045</c:v>
                </c:pt>
                <c:pt idx="514">
                  <c:v>43041</c:v>
                </c:pt>
                <c:pt idx="515">
                  <c:v>43040</c:v>
                </c:pt>
                <c:pt idx="516">
                  <c:v>43039</c:v>
                </c:pt>
                <c:pt idx="517">
                  <c:v>43038</c:v>
                </c:pt>
                <c:pt idx="518">
                  <c:v>43035</c:v>
                </c:pt>
                <c:pt idx="519">
                  <c:v>43034</c:v>
                </c:pt>
                <c:pt idx="520">
                  <c:v>43033</c:v>
                </c:pt>
                <c:pt idx="521">
                  <c:v>43032</c:v>
                </c:pt>
                <c:pt idx="522">
                  <c:v>43031</c:v>
                </c:pt>
                <c:pt idx="523">
                  <c:v>43028</c:v>
                </c:pt>
                <c:pt idx="524">
                  <c:v>43027</c:v>
                </c:pt>
                <c:pt idx="525">
                  <c:v>43026</c:v>
                </c:pt>
                <c:pt idx="526">
                  <c:v>43025</c:v>
                </c:pt>
                <c:pt idx="527">
                  <c:v>43024</c:v>
                </c:pt>
                <c:pt idx="528">
                  <c:v>43021</c:v>
                </c:pt>
                <c:pt idx="529">
                  <c:v>43020</c:v>
                </c:pt>
                <c:pt idx="530">
                  <c:v>43019</c:v>
                </c:pt>
                <c:pt idx="531">
                  <c:v>43018</c:v>
                </c:pt>
                <c:pt idx="532">
                  <c:v>43014</c:v>
                </c:pt>
                <c:pt idx="533">
                  <c:v>43013</c:v>
                </c:pt>
                <c:pt idx="534">
                  <c:v>43012</c:v>
                </c:pt>
                <c:pt idx="535">
                  <c:v>43011</c:v>
                </c:pt>
                <c:pt idx="536">
                  <c:v>43010</c:v>
                </c:pt>
                <c:pt idx="537">
                  <c:v>43007</c:v>
                </c:pt>
                <c:pt idx="538">
                  <c:v>43006</c:v>
                </c:pt>
                <c:pt idx="539">
                  <c:v>43005</c:v>
                </c:pt>
                <c:pt idx="540">
                  <c:v>43004</c:v>
                </c:pt>
                <c:pt idx="541">
                  <c:v>43003</c:v>
                </c:pt>
                <c:pt idx="542">
                  <c:v>43000</c:v>
                </c:pt>
                <c:pt idx="543">
                  <c:v>42999</c:v>
                </c:pt>
                <c:pt idx="544">
                  <c:v>42998</c:v>
                </c:pt>
                <c:pt idx="545">
                  <c:v>42997</c:v>
                </c:pt>
                <c:pt idx="546">
                  <c:v>42993</c:v>
                </c:pt>
                <c:pt idx="547">
                  <c:v>42992</c:v>
                </c:pt>
                <c:pt idx="548">
                  <c:v>42991</c:v>
                </c:pt>
                <c:pt idx="549">
                  <c:v>42990</c:v>
                </c:pt>
                <c:pt idx="550">
                  <c:v>42989</c:v>
                </c:pt>
                <c:pt idx="551">
                  <c:v>42986</c:v>
                </c:pt>
                <c:pt idx="552">
                  <c:v>42985</c:v>
                </c:pt>
                <c:pt idx="553">
                  <c:v>42984</c:v>
                </c:pt>
                <c:pt idx="554">
                  <c:v>42983</c:v>
                </c:pt>
                <c:pt idx="555">
                  <c:v>42982</c:v>
                </c:pt>
                <c:pt idx="556">
                  <c:v>42979</c:v>
                </c:pt>
                <c:pt idx="557">
                  <c:v>42978</c:v>
                </c:pt>
                <c:pt idx="558">
                  <c:v>42977</c:v>
                </c:pt>
                <c:pt idx="559">
                  <c:v>42976</c:v>
                </c:pt>
                <c:pt idx="560">
                  <c:v>42975</c:v>
                </c:pt>
                <c:pt idx="561">
                  <c:v>42972</c:v>
                </c:pt>
                <c:pt idx="562">
                  <c:v>42971</c:v>
                </c:pt>
                <c:pt idx="563">
                  <c:v>42970</c:v>
                </c:pt>
                <c:pt idx="564">
                  <c:v>42969</c:v>
                </c:pt>
                <c:pt idx="565">
                  <c:v>42968</c:v>
                </c:pt>
                <c:pt idx="566">
                  <c:v>42965</c:v>
                </c:pt>
                <c:pt idx="567">
                  <c:v>42964</c:v>
                </c:pt>
                <c:pt idx="568">
                  <c:v>42963</c:v>
                </c:pt>
                <c:pt idx="569">
                  <c:v>42962</c:v>
                </c:pt>
                <c:pt idx="570">
                  <c:v>42961</c:v>
                </c:pt>
                <c:pt idx="571">
                  <c:v>42957</c:v>
                </c:pt>
                <c:pt idx="572">
                  <c:v>42956</c:v>
                </c:pt>
                <c:pt idx="573">
                  <c:v>42955</c:v>
                </c:pt>
                <c:pt idx="574">
                  <c:v>42954</c:v>
                </c:pt>
                <c:pt idx="575">
                  <c:v>42951</c:v>
                </c:pt>
                <c:pt idx="576">
                  <c:v>42950</c:v>
                </c:pt>
                <c:pt idx="577">
                  <c:v>42949</c:v>
                </c:pt>
                <c:pt idx="578">
                  <c:v>42948</c:v>
                </c:pt>
                <c:pt idx="579">
                  <c:v>42947</c:v>
                </c:pt>
                <c:pt idx="580">
                  <c:v>42944</c:v>
                </c:pt>
                <c:pt idx="581">
                  <c:v>42943</c:v>
                </c:pt>
                <c:pt idx="582">
                  <c:v>42942</c:v>
                </c:pt>
                <c:pt idx="583">
                  <c:v>42941</c:v>
                </c:pt>
                <c:pt idx="584">
                  <c:v>42940</c:v>
                </c:pt>
                <c:pt idx="585">
                  <c:v>42937</c:v>
                </c:pt>
                <c:pt idx="586">
                  <c:v>42936</c:v>
                </c:pt>
                <c:pt idx="587">
                  <c:v>42935</c:v>
                </c:pt>
                <c:pt idx="588">
                  <c:v>42934</c:v>
                </c:pt>
                <c:pt idx="589">
                  <c:v>42930</c:v>
                </c:pt>
                <c:pt idx="590">
                  <c:v>42929</c:v>
                </c:pt>
                <c:pt idx="591">
                  <c:v>42928</c:v>
                </c:pt>
                <c:pt idx="592">
                  <c:v>42927</c:v>
                </c:pt>
                <c:pt idx="593">
                  <c:v>42926</c:v>
                </c:pt>
                <c:pt idx="594">
                  <c:v>42923</c:v>
                </c:pt>
                <c:pt idx="595">
                  <c:v>42922</c:v>
                </c:pt>
                <c:pt idx="596">
                  <c:v>42921</c:v>
                </c:pt>
                <c:pt idx="597">
                  <c:v>42920</c:v>
                </c:pt>
                <c:pt idx="598">
                  <c:v>42919</c:v>
                </c:pt>
                <c:pt idx="599">
                  <c:v>42916</c:v>
                </c:pt>
                <c:pt idx="600">
                  <c:v>42915</c:v>
                </c:pt>
                <c:pt idx="601">
                  <c:v>42914</c:v>
                </c:pt>
                <c:pt idx="602">
                  <c:v>42913</c:v>
                </c:pt>
                <c:pt idx="603">
                  <c:v>42912</c:v>
                </c:pt>
                <c:pt idx="604">
                  <c:v>42909</c:v>
                </c:pt>
                <c:pt idx="605">
                  <c:v>42908</c:v>
                </c:pt>
                <c:pt idx="606">
                  <c:v>42907</c:v>
                </c:pt>
                <c:pt idx="607">
                  <c:v>42906</c:v>
                </c:pt>
                <c:pt idx="608">
                  <c:v>42905</c:v>
                </c:pt>
                <c:pt idx="609">
                  <c:v>42902</c:v>
                </c:pt>
                <c:pt idx="610">
                  <c:v>42901</c:v>
                </c:pt>
                <c:pt idx="611">
                  <c:v>42900</c:v>
                </c:pt>
                <c:pt idx="612">
                  <c:v>42899</c:v>
                </c:pt>
                <c:pt idx="613">
                  <c:v>42898</c:v>
                </c:pt>
                <c:pt idx="614">
                  <c:v>42895</c:v>
                </c:pt>
                <c:pt idx="615">
                  <c:v>42894</c:v>
                </c:pt>
                <c:pt idx="616">
                  <c:v>42893</c:v>
                </c:pt>
                <c:pt idx="617">
                  <c:v>42892</c:v>
                </c:pt>
                <c:pt idx="618">
                  <c:v>42891</c:v>
                </c:pt>
                <c:pt idx="619">
                  <c:v>42888</c:v>
                </c:pt>
                <c:pt idx="620">
                  <c:v>42887</c:v>
                </c:pt>
                <c:pt idx="621">
                  <c:v>42886</c:v>
                </c:pt>
                <c:pt idx="622">
                  <c:v>42885</c:v>
                </c:pt>
                <c:pt idx="623">
                  <c:v>42884</c:v>
                </c:pt>
                <c:pt idx="624">
                  <c:v>42881</c:v>
                </c:pt>
                <c:pt idx="625">
                  <c:v>42880</c:v>
                </c:pt>
                <c:pt idx="626">
                  <c:v>42879</c:v>
                </c:pt>
                <c:pt idx="627">
                  <c:v>42878</c:v>
                </c:pt>
                <c:pt idx="628">
                  <c:v>42877</c:v>
                </c:pt>
                <c:pt idx="629">
                  <c:v>42874</c:v>
                </c:pt>
                <c:pt idx="630">
                  <c:v>42873</c:v>
                </c:pt>
                <c:pt idx="631">
                  <c:v>42872</c:v>
                </c:pt>
                <c:pt idx="632">
                  <c:v>42871</c:v>
                </c:pt>
                <c:pt idx="633">
                  <c:v>42870</c:v>
                </c:pt>
                <c:pt idx="634">
                  <c:v>42867</c:v>
                </c:pt>
                <c:pt idx="635">
                  <c:v>42866</c:v>
                </c:pt>
                <c:pt idx="636">
                  <c:v>42865</c:v>
                </c:pt>
                <c:pt idx="637">
                  <c:v>42864</c:v>
                </c:pt>
                <c:pt idx="638">
                  <c:v>42863</c:v>
                </c:pt>
                <c:pt idx="639">
                  <c:v>42857</c:v>
                </c:pt>
                <c:pt idx="640">
                  <c:v>42856</c:v>
                </c:pt>
                <c:pt idx="641">
                  <c:v>42853</c:v>
                </c:pt>
                <c:pt idx="642">
                  <c:v>42852</c:v>
                </c:pt>
                <c:pt idx="643">
                  <c:v>42851</c:v>
                </c:pt>
                <c:pt idx="644">
                  <c:v>42850</c:v>
                </c:pt>
                <c:pt idx="645">
                  <c:v>42849</c:v>
                </c:pt>
                <c:pt idx="646">
                  <c:v>42846</c:v>
                </c:pt>
                <c:pt idx="647">
                  <c:v>42845</c:v>
                </c:pt>
                <c:pt idx="648">
                  <c:v>42844</c:v>
                </c:pt>
                <c:pt idx="649">
                  <c:v>42843</c:v>
                </c:pt>
                <c:pt idx="650">
                  <c:v>42842</c:v>
                </c:pt>
                <c:pt idx="651">
                  <c:v>42839</c:v>
                </c:pt>
                <c:pt idx="652">
                  <c:v>42838</c:v>
                </c:pt>
                <c:pt idx="653">
                  <c:v>42837</c:v>
                </c:pt>
                <c:pt idx="654">
                  <c:v>42836</c:v>
                </c:pt>
                <c:pt idx="655">
                  <c:v>42835</c:v>
                </c:pt>
                <c:pt idx="656">
                  <c:v>42832</c:v>
                </c:pt>
                <c:pt idx="657">
                  <c:v>42831</c:v>
                </c:pt>
                <c:pt idx="658">
                  <c:v>42830</c:v>
                </c:pt>
                <c:pt idx="659">
                  <c:v>42829</c:v>
                </c:pt>
                <c:pt idx="660">
                  <c:v>42828</c:v>
                </c:pt>
                <c:pt idx="661">
                  <c:v>42825</c:v>
                </c:pt>
              </c:numCache>
            </c:numRef>
          </c:cat>
          <c:val>
            <c:numRef>
              <c:f>個別計算!$L$42:$L$703</c:f>
              <c:numCache>
                <c:formatCode>General</c:formatCode>
                <c:ptCount val="662"/>
                <c:pt idx="0">
                  <c:v>1405.9187116564417</c:v>
                </c:pt>
                <c:pt idx="1">
                  <c:v>1348.2653374233128</c:v>
                </c:pt>
                <c:pt idx="2">
                  <c:v>1358.1487730061349</c:v>
                </c:pt>
                <c:pt idx="3">
                  <c:v>1382.0337423312883</c:v>
                </c:pt>
                <c:pt idx="4">
                  <c:v>1396.0352760736196</c:v>
                </c:pt>
                <c:pt idx="5">
                  <c:v>1382.8573619631902</c:v>
                </c:pt>
                <c:pt idx="6">
                  <c:v>1383.6809815950919</c:v>
                </c:pt>
                <c:pt idx="7">
                  <c:v>1344.9708588957055</c:v>
                </c:pt>
                <c:pt idx="8">
                  <c:v>1356.5015337423313</c:v>
                </c:pt>
                <c:pt idx="9">
                  <c:v>1366.3849693251534</c:v>
                </c:pt>
                <c:pt idx="10">
                  <c:v>1342.5</c:v>
                </c:pt>
                <c:pt idx="11">
                  <c:v>1354.8542944785277</c:v>
                </c:pt>
                <c:pt idx="12">
                  <c:v>1364.7377300613496</c:v>
                </c:pt>
                <c:pt idx="13">
                  <c:v>1337.5582822085889</c:v>
                </c:pt>
                <c:pt idx="14">
                  <c:v>1326.8512269938649</c:v>
                </c:pt>
                <c:pt idx="15">
                  <c:v>1322.7331288343557</c:v>
                </c:pt>
                <c:pt idx="16">
                  <c:v>1314.4969325153374</c:v>
                </c:pt>
                <c:pt idx="17">
                  <c:v>1314.4969325153374</c:v>
                </c:pt>
                <c:pt idx="18">
                  <c:v>1335.9110429447853</c:v>
                </c:pt>
                <c:pt idx="19">
                  <c:v>1335.0874233128834</c:v>
                </c:pt>
                <c:pt idx="20">
                  <c:v>1336.734662576687</c:v>
                </c:pt>
                <c:pt idx="21">
                  <c:v>1333.4401840490798</c:v>
                </c:pt>
                <c:pt idx="22">
                  <c:v>1358.9723926380368</c:v>
                </c:pt>
                <c:pt idx="23">
                  <c:v>1373.7975460122698</c:v>
                </c:pt>
                <c:pt idx="24">
                  <c:v>1371.3266871165645</c:v>
                </c:pt>
                <c:pt idx="25">
                  <c:v>1350.7361963190183</c:v>
                </c:pt>
                <c:pt idx="26">
                  <c:v>1323.5567484662577</c:v>
                </c:pt>
                <c:pt idx="27">
                  <c:v>1326.0276073619632</c:v>
                </c:pt>
                <c:pt idx="28">
                  <c:v>1298.0245398773006</c:v>
                </c:pt>
                <c:pt idx="29">
                  <c:v>1243.6656441717791</c:v>
                </c:pt>
                <c:pt idx="30">
                  <c:v>1233.782208588957</c:v>
                </c:pt>
                <c:pt idx="31">
                  <c:v>1246.1365030674847</c:v>
                </c:pt>
                <c:pt idx="32">
                  <c:v>1268.3742331288342</c:v>
                </c:pt>
                <c:pt idx="33">
                  <c:v>1256.8435582822085</c:v>
                </c:pt>
                <c:pt idx="34">
                  <c:v>1232.9585889570551</c:v>
                </c:pt>
                <c:pt idx="35">
                  <c:v>1256.0199386503066</c:v>
                </c:pt>
                <c:pt idx="36">
                  <c:v>1237.0766871165645</c:v>
                </c:pt>
                <c:pt idx="37">
                  <c:v>1240.3711656441717</c:v>
                </c:pt>
                <c:pt idx="38">
                  <c:v>1237.0766871165645</c:v>
                </c:pt>
                <c:pt idx="39">
                  <c:v>1226.3696319018404</c:v>
                </c:pt>
                <c:pt idx="40">
                  <c:v>1230.4877300613496</c:v>
                </c:pt>
                <c:pt idx="41">
                  <c:v>1227.1932515337423</c:v>
                </c:pt>
                <c:pt idx="42">
                  <c:v>1199.1901840490798</c:v>
                </c:pt>
                <c:pt idx="43">
                  <c:v>1168.7162576687117</c:v>
                </c:pt>
                <c:pt idx="44">
                  <c:v>1153.0674846625766</c:v>
                </c:pt>
                <c:pt idx="45">
                  <c:v>1176.95245398773</c:v>
                </c:pt>
                <c:pt idx="46">
                  <c:v>1159.6564417177913</c:v>
                </c:pt>
                <c:pt idx="47">
                  <c:v>1158.8328220858896</c:v>
                </c:pt>
                <c:pt idx="48">
                  <c:v>1155.5383435582821</c:v>
                </c:pt>
                <c:pt idx="49">
                  <c:v>1190.9539877300613</c:v>
                </c:pt>
                <c:pt idx="50">
                  <c:v>1213.1917177914111</c:v>
                </c:pt>
                <c:pt idx="51">
                  <c:v>1176.1288343558281</c:v>
                </c:pt>
                <c:pt idx="52">
                  <c:v>1182.717791411043</c:v>
                </c:pt>
                <c:pt idx="53">
                  <c:v>1214.0153374233128</c:v>
                </c:pt>
                <c:pt idx="54">
                  <c:v>1197.5429447852759</c:v>
                </c:pt>
                <c:pt idx="55">
                  <c:v>1214.8389570552147</c:v>
                </c:pt>
                <c:pt idx="56">
                  <c:v>1204.9555214723925</c:v>
                </c:pt>
                <c:pt idx="57">
                  <c:v>1205.7791411042945</c:v>
                </c:pt>
                <c:pt idx="58">
                  <c:v>1208.25</c:v>
                </c:pt>
                <c:pt idx="59">
                  <c:v>1223.075153374233</c:v>
                </c:pt>
                <c:pt idx="60">
                  <c:v>1237.0766871165645</c:v>
                </c:pt>
                <c:pt idx="61">
                  <c:v>1222.2515337423313</c:v>
                </c:pt>
                <c:pt idx="62">
                  <c:v>1209.8972392638036</c:v>
                </c:pt>
                <c:pt idx="63">
                  <c:v>1184.3650306748466</c:v>
                </c:pt>
                <c:pt idx="64">
                  <c:v>1148.9493865030674</c:v>
                </c:pt>
                <c:pt idx="65">
                  <c:v>1145.65490797546</c:v>
                </c:pt>
                <c:pt idx="66">
                  <c:v>1135.7714723926381</c:v>
                </c:pt>
                <c:pt idx="67">
                  <c:v>1107.7684049079753</c:v>
                </c:pt>
                <c:pt idx="68">
                  <c:v>1118.4754601226994</c:v>
                </c:pt>
                <c:pt idx="69">
                  <c:v>1116.0046012269938</c:v>
                </c:pt>
                <c:pt idx="70">
                  <c:v>1123.4171779141104</c:v>
                </c:pt>
                <c:pt idx="71">
                  <c:v>1108.5920245398772</c:v>
                </c:pt>
                <c:pt idx="72">
                  <c:v>1108.5920245398772</c:v>
                </c:pt>
                <c:pt idx="73">
                  <c:v>1106.9447852760736</c:v>
                </c:pt>
                <c:pt idx="74">
                  <c:v>1088.8251533742332</c:v>
                </c:pt>
                <c:pt idx="75">
                  <c:v>1117.6518404907974</c:v>
                </c:pt>
                <c:pt idx="76">
                  <c:v>1117.6518404907974</c:v>
                </c:pt>
                <c:pt idx="77">
                  <c:v>1111.0628834355828</c:v>
                </c:pt>
                <c:pt idx="78">
                  <c:v>1110.2392638036808</c:v>
                </c:pt>
                <c:pt idx="79">
                  <c:v>1114.3573619631902</c:v>
                </c:pt>
                <c:pt idx="80">
                  <c:v>1102.8266871165645</c:v>
                </c:pt>
                <c:pt idx="81">
                  <c:v>1111.8865030674847</c:v>
                </c:pt>
                <c:pt idx="82">
                  <c:v>1114.3573619631902</c:v>
                </c:pt>
                <c:pt idx="83">
                  <c:v>1092.1196319018404</c:v>
                </c:pt>
                <c:pt idx="84">
                  <c:v>1111.0628834355828</c:v>
                </c:pt>
                <c:pt idx="85">
                  <c:v>1102.0030674846626</c:v>
                </c:pt>
                <c:pt idx="86">
                  <c:v>1102.8266871165645</c:v>
                </c:pt>
                <c:pt idx="87">
                  <c:v>1118.4754601226994</c:v>
                </c:pt>
                <c:pt idx="88">
                  <c:v>1120.9463190184049</c:v>
                </c:pt>
                <c:pt idx="89">
                  <c:v>1148.1257668711655</c:v>
                </c:pt>
                <c:pt idx="90">
                  <c:v>1174.4815950920245</c:v>
                </c:pt>
                <c:pt idx="91">
                  <c:v>1262.6088957055215</c:v>
                </c:pt>
                <c:pt idx="92">
                  <c:v>1252.7254601226994</c:v>
                </c:pt>
                <c:pt idx="93">
                  <c:v>1247.7837423312883</c:v>
                </c:pt>
                <c:pt idx="94">
                  <c:v>1270.0214723926381</c:v>
                </c:pt>
                <c:pt idx="95">
                  <c:v>1287.3174846625766</c:v>
                </c:pt>
                <c:pt idx="96">
                  <c:v>1280.7285276073619</c:v>
                </c:pt>
                <c:pt idx="97">
                  <c:v>1277.4340490797545</c:v>
                </c:pt>
                <c:pt idx="98">
                  <c:v>1254.372699386503</c:v>
                </c:pt>
                <c:pt idx="99">
                  <c:v>1256.0199386503066</c:v>
                </c:pt>
                <c:pt idx="100">
                  <c:v>1223.075153374233</c:v>
                </c:pt>
                <c:pt idx="101">
                  <c:v>1246.1365030674847</c:v>
                </c:pt>
                <c:pt idx="102">
                  <c:v>1250.2546012269938</c:v>
                </c:pt>
                <c:pt idx="103">
                  <c:v>1235.4294478527606</c:v>
                </c:pt>
                <c:pt idx="104">
                  <c:v>1228.016871165644</c:v>
                </c:pt>
                <c:pt idx="105">
                  <c:v>1223.075153374233</c:v>
                </c:pt>
                <c:pt idx="106">
                  <c:v>1256.0199386503066</c:v>
                </c:pt>
                <c:pt idx="107">
                  <c:v>1271.6687116564417</c:v>
                </c:pt>
                <c:pt idx="108">
                  <c:v>1272.4923312883434</c:v>
                </c:pt>
                <c:pt idx="109">
                  <c:v>1270.8450920245398</c:v>
                </c:pt>
                <c:pt idx="110">
                  <c:v>1264.2561349693251</c:v>
                </c:pt>
                <c:pt idx="111">
                  <c:v>1277.4340490797545</c:v>
                </c:pt>
                <c:pt idx="112">
                  <c:v>1278.2576687116564</c:v>
                </c:pt>
                <c:pt idx="113">
                  <c:v>1247.7837423312883</c:v>
                </c:pt>
                <c:pt idx="114">
                  <c:v>1251.0782208588957</c:v>
                </c:pt>
                <c:pt idx="115">
                  <c:v>1220.6042944785277</c:v>
                </c:pt>
                <c:pt idx="116">
                  <c:v>1214.8389570552147</c:v>
                </c:pt>
                <c:pt idx="117">
                  <c:v>1223.8987730061349</c:v>
                </c:pt>
                <c:pt idx="118">
                  <c:v>1214.0153374233128</c:v>
                </c:pt>
                <c:pt idx="119">
                  <c:v>1209.8972392638036</c:v>
                </c:pt>
                <c:pt idx="120">
                  <c:v>1204.9555214723925</c:v>
                </c:pt>
                <c:pt idx="121">
                  <c:v>1182.717791411043</c:v>
                </c:pt>
                <c:pt idx="122">
                  <c:v>1178.5996932515336</c:v>
                </c:pt>
                <c:pt idx="123">
                  <c:v>1183.5414110429447</c:v>
                </c:pt>
                <c:pt idx="124">
                  <c:v>1186.8358895705521</c:v>
                </c:pt>
                <c:pt idx="125">
                  <c:v>1191.7776073619632</c:v>
                </c:pt>
                <c:pt idx="126">
                  <c:v>1179.4233128834355</c:v>
                </c:pt>
                <c:pt idx="127">
                  <c:v>1167.0690184049079</c:v>
                </c:pt>
                <c:pt idx="128">
                  <c:v>1153.0674846625766</c:v>
                </c:pt>
                <c:pt idx="129">
                  <c:v>1153.0674846625766</c:v>
                </c:pt>
                <c:pt idx="130">
                  <c:v>1153.0674846625766</c:v>
                </c:pt>
                <c:pt idx="131">
                  <c:v>1127.5352760736196</c:v>
                </c:pt>
                <c:pt idx="132">
                  <c:v>1104.4739263803681</c:v>
                </c:pt>
                <c:pt idx="133">
                  <c:v>1134.9478527607362</c:v>
                </c:pt>
                <c:pt idx="134">
                  <c:v>1153.8911042944785</c:v>
                </c:pt>
                <c:pt idx="135">
                  <c:v>1136.5950920245398</c:v>
                </c:pt>
                <c:pt idx="136">
                  <c:v>1148.9493865030674</c:v>
                </c:pt>
                <c:pt idx="137">
                  <c:v>1147.3021472392638</c:v>
                </c:pt>
                <c:pt idx="138">
                  <c:v>1155.5383435582821</c:v>
                </c:pt>
                <c:pt idx="139">
                  <c:v>1158.0092024539877</c:v>
                </c:pt>
                <c:pt idx="140">
                  <c:v>1189.3067484662577</c:v>
                </c:pt>
                <c:pt idx="141">
                  <c:v>1186.8358895705521</c:v>
                </c:pt>
                <c:pt idx="142">
                  <c:v>1186.0122699386502</c:v>
                </c:pt>
                <c:pt idx="143">
                  <c:v>1221.4279141104294</c:v>
                </c:pt>
                <c:pt idx="144">
                  <c:v>1219.7806748466257</c:v>
                </c:pt>
                <c:pt idx="145">
                  <c:v>1244.4892638036808</c:v>
                </c:pt>
                <c:pt idx="146">
                  <c:v>1248.6073619631902</c:v>
                </c:pt>
                <c:pt idx="147">
                  <c:v>1243.6656441717791</c:v>
                </c:pt>
                <c:pt idx="148">
                  <c:v>1331.7929447852759</c:v>
                </c:pt>
                <c:pt idx="149">
                  <c:v>1382.8573619631902</c:v>
                </c:pt>
                <c:pt idx="150">
                  <c:v>1372.9739263803681</c:v>
                </c:pt>
                <c:pt idx="151">
                  <c:v>1412.5076687116564</c:v>
                </c:pt>
                <c:pt idx="152">
                  <c:v>1470.1610429447853</c:v>
                </c:pt>
                <c:pt idx="153">
                  <c:v>1466.0429447852759</c:v>
                </c:pt>
                <c:pt idx="154">
                  <c:v>1464.3957055214723</c:v>
                </c:pt>
                <c:pt idx="155">
                  <c:v>1485.8098159509202</c:v>
                </c:pt>
                <c:pt idx="156">
                  <c:v>1486.6334355828221</c:v>
                </c:pt>
                <c:pt idx="157">
                  <c:v>1498.9877300613496</c:v>
                </c:pt>
                <c:pt idx="158">
                  <c:v>1489.1042944785274</c:v>
                </c:pt>
                <c:pt idx="159">
                  <c:v>1503.1058282208589</c:v>
                </c:pt>
                <c:pt idx="160">
                  <c:v>1493.2223926380368</c:v>
                </c:pt>
                <c:pt idx="161">
                  <c:v>1516.2837423312883</c:v>
                </c:pt>
                <c:pt idx="162">
                  <c:v>1481.6917177914111</c:v>
                </c:pt>
                <c:pt idx="163">
                  <c:v>1492.3987730061349</c:v>
                </c:pt>
                <c:pt idx="164">
                  <c:v>1491.575153374233</c:v>
                </c:pt>
                <c:pt idx="165">
                  <c:v>1505.5766871165642</c:v>
                </c:pt>
                <c:pt idx="166">
                  <c:v>1505.5766871165642</c:v>
                </c:pt>
                <c:pt idx="167">
                  <c:v>1497.340490797546</c:v>
                </c:pt>
                <c:pt idx="168">
                  <c:v>1486.6334355828221</c:v>
                </c:pt>
                <c:pt idx="169">
                  <c:v>1498.1641104294479</c:v>
                </c:pt>
                <c:pt idx="170">
                  <c:v>1472.6319018404906</c:v>
                </c:pt>
                <c:pt idx="171">
                  <c:v>1462.7484662576687</c:v>
                </c:pt>
                <c:pt idx="172">
                  <c:v>1417.4493865030674</c:v>
                </c:pt>
                <c:pt idx="173">
                  <c:v>1387.7990797546013</c:v>
                </c:pt>
                <c:pt idx="174">
                  <c:v>1416.6257668711655</c:v>
                </c:pt>
                <c:pt idx="175">
                  <c:v>1433.0981595092023</c:v>
                </c:pt>
                <c:pt idx="176">
                  <c:v>1403.4478527607362</c:v>
                </c:pt>
                <c:pt idx="177">
                  <c:v>1444.6288343558281</c:v>
                </c:pt>
                <c:pt idx="178">
                  <c:v>1444.6288343558281</c:v>
                </c:pt>
                <c:pt idx="179">
                  <c:v>1456.1595092024538</c:v>
                </c:pt>
                <c:pt idx="180">
                  <c:v>1450.3941717791411</c:v>
                </c:pt>
                <c:pt idx="181">
                  <c:v>1424.0383435582821</c:v>
                </c:pt>
                <c:pt idx="182">
                  <c:v>1400.1533742331287</c:v>
                </c:pt>
                <c:pt idx="183">
                  <c:v>1411.6840490797545</c:v>
                </c:pt>
                <c:pt idx="184">
                  <c:v>1418.2730061349694</c:v>
                </c:pt>
                <c:pt idx="185">
                  <c:v>1377.0920245398772</c:v>
                </c:pt>
                <c:pt idx="186">
                  <c:v>1344.1472392638036</c:v>
                </c:pt>
                <c:pt idx="187">
                  <c:v>1396.8588957055215</c:v>
                </c:pt>
                <c:pt idx="188">
                  <c:v>1400.9769938650306</c:v>
                </c:pt>
                <c:pt idx="189">
                  <c:v>1396.0352760736196</c:v>
                </c:pt>
                <c:pt idx="190">
                  <c:v>1400.1533742331287</c:v>
                </c:pt>
                <c:pt idx="191">
                  <c:v>1348.2653374233128</c:v>
                </c:pt>
                <c:pt idx="192">
                  <c:v>1353.2070552147238</c:v>
                </c:pt>
                <c:pt idx="193">
                  <c:v>1355.6779141104294</c:v>
                </c:pt>
                <c:pt idx="194">
                  <c:v>1353.2070552147238</c:v>
                </c:pt>
                <c:pt idx="195">
                  <c:v>1368.032208588957</c:v>
                </c:pt>
                <c:pt idx="196">
                  <c:v>1360.6196319018404</c:v>
                </c:pt>
                <c:pt idx="197">
                  <c:v>1359.7960122699385</c:v>
                </c:pt>
                <c:pt idx="198">
                  <c:v>1368.8558282208589</c:v>
                </c:pt>
                <c:pt idx="199">
                  <c:v>1360.6196319018404</c:v>
                </c:pt>
                <c:pt idx="200">
                  <c:v>1358.1487730061349</c:v>
                </c:pt>
                <c:pt idx="201">
                  <c:v>1325.2039877300613</c:v>
                </c:pt>
                <c:pt idx="202">
                  <c:v>1339.2055214723925</c:v>
                </c:pt>
                <c:pt idx="203">
                  <c:v>1321.0858895705521</c:v>
                </c:pt>
                <c:pt idx="204">
                  <c:v>1298.8481595092023</c:v>
                </c:pt>
                <c:pt idx="205">
                  <c:v>1255.1963190184049</c:v>
                </c:pt>
                <c:pt idx="206">
                  <c:v>1293.9064417177913</c:v>
                </c:pt>
                <c:pt idx="207">
                  <c:v>1336.734662576687</c:v>
                </c:pt>
                <c:pt idx="208">
                  <c:v>1335.9110429447853</c:v>
                </c:pt>
                <c:pt idx="209">
                  <c:v>1310.3788343558281</c:v>
                </c:pt>
                <c:pt idx="210">
                  <c:v>1279.0812883435583</c:v>
                </c:pt>
                <c:pt idx="211">
                  <c:v>1270.8450920245398</c:v>
                </c:pt>
                <c:pt idx="212">
                  <c:v>1264.2561349693251</c:v>
                </c:pt>
                <c:pt idx="213">
                  <c:v>1263.4325153374232</c:v>
                </c:pt>
                <c:pt idx="214">
                  <c:v>1259.314417177914</c:v>
                </c:pt>
                <c:pt idx="215">
                  <c:v>1270.0214723926381</c:v>
                </c:pt>
                <c:pt idx="216">
                  <c:v>1251.9018404907974</c:v>
                </c:pt>
                <c:pt idx="217">
                  <c:v>1240.3711656441717</c:v>
                </c:pt>
                <c:pt idx="218">
                  <c:v>1229.6641104294479</c:v>
                </c:pt>
                <c:pt idx="219">
                  <c:v>1241.1947852760736</c:v>
                </c:pt>
                <c:pt idx="220">
                  <c:v>1214.8389570552147</c:v>
                </c:pt>
                <c:pt idx="221">
                  <c:v>1193.4248466257668</c:v>
                </c:pt>
                <c:pt idx="222">
                  <c:v>1194.2484662576687</c:v>
                </c:pt>
                <c:pt idx="223">
                  <c:v>1208.25</c:v>
                </c:pt>
                <c:pt idx="224">
                  <c:v>1199.1901840490798</c:v>
                </c:pt>
                <c:pt idx="225">
                  <c:v>1176.1288343558281</c:v>
                </c:pt>
                <c:pt idx="226">
                  <c:v>1167.0690184049079</c:v>
                </c:pt>
                <c:pt idx="227">
                  <c:v>1184.3650306748466</c:v>
                </c:pt>
                <c:pt idx="228">
                  <c:v>1180.2469325153374</c:v>
                </c:pt>
                <c:pt idx="229">
                  <c:v>1134.1242331288342</c:v>
                </c:pt>
                <c:pt idx="230">
                  <c:v>1179.4233128834355</c:v>
                </c:pt>
                <c:pt idx="231">
                  <c:v>1170.3634969325153</c:v>
                </c:pt>
                <c:pt idx="232">
                  <c:v>1125.064417177914</c:v>
                </c:pt>
                <c:pt idx="233">
                  <c:v>1109.4156441717791</c:v>
                </c:pt>
                <c:pt idx="234">
                  <c:v>1158.0092024539877</c:v>
                </c:pt>
                <c:pt idx="235">
                  <c:v>1159.6564417177913</c:v>
                </c:pt>
                <c:pt idx="236">
                  <c:v>1188.4831288343557</c:v>
                </c:pt>
                <c:pt idx="237">
                  <c:v>1203.3082822085889</c:v>
                </c:pt>
                <c:pt idx="238">
                  <c:v>1181.8941717791411</c:v>
                </c:pt>
                <c:pt idx="239">
                  <c:v>1181.8941717791411</c:v>
                </c:pt>
                <c:pt idx="240">
                  <c:v>1197.5429447852759</c:v>
                </c:pt>
                <c:pt idx="241">
                  <c:v>1186.0122699386502</c:v>
                </c:pt>
                <c:pt idx="242">
                  <c:v>1169.5398773006134</c:v>
                </c:pt>
                <c:pt idx="243">
                  <c:v>1188.4831288343557</c:v>
                </c:pt>
                <c:pt idx="244">
                  <c:v>1211.5444785276072</c:v>
                </c:pt>
                <c:pt idx="245">
                  <c:v>1246.9601226993864</c:v>
                </c:pt>
                <c:pt idx="246">
                  <c:v>1275.7868098159508</c:v>
                </c:pt>
                <c:pt idx="247">
                  <c:v>1287.3174846625766</c:v>
                </c:pt>
                <c:pt idx="248">
                  <c:v>1337.5582822085889</c:v>
                </c:pt>
                <c:pt idx="249">
                  <c:v>1317.7914110429447</c:v>
                </c:pt>
                <c:pt idx="250">
                  <c:v>1344.9708588957055</c:v>
                </c:pt>
                <c:pt idx="251">
                  <c:v>1339.2055214723925</c:v>
                </c:pt>
                <c:pt idx="252">
                  <c:v>1349.9125766871166</c:v>
                </c:pt>
                <c:pt idx="253">
                  <c:v>1329.3220858895704</c:v>
                </c:pt>
                <c:pt idx="254">
                  <c:v>1312.0260736196319</c:v>
                </c:pt>
                <c:pt idx="255">
                  <c:v>1337.5582822085889</c:v>
                </c:pt>
                <c:pt idx="256">
                  <c:v>1326.0276073619632</c:v>
                </c:pt>
                <c:pt idx="257">
                  <c:v>1311.20245398773</c:v>
                </c:pt>
                <c:pt idx="258">
                  <c:v>1295.5536809815951</c:v>
                </c:pt>
                <c:pt idx="259">
                  <c:v>1309.5552147239264</c:v>
                </c:pt>
                <c:pt idx="260">
                  <c:v>1293.0828220858896</c:v>
                </c:pt>
                <c:pt idx="261">
                  <c:v>1256.0199386503066</c:v>
                </c:pt>
                <c:pt idx="262">
                  <c:v>1285.670245398773</c:v>
                </c:pt>
                <c:pt idx="263">
                  <c:v>1268.3742331288342</c:v>
                </c:pt>
                <c:pt idx="264">
                  <c:v>1259.314417177914</c:v>
                </c:pt>
                <c:pt idx="265">
                  <c:v>1255.1963190184049</c:v>
                </c:pt>
                <c:pt idx="266">
                  <c:v>1273.3159509202453</c:v>
                </c:pt>
                <c:pt idx="267">
                  <c:v>1265.9033742331287</c:v>
                </c:pt>
                <c:pt idx="268">
                  <c:v>1321.0858895705521</c:v>
                </c:pt>
                <c:pt idx="269">
                  <c:v>1300.4953987730062</c:v>
                </c:pt>
                <c:pt idx="270">
                  <c:v>1229.6641104294479</c:v>
                </c:pt>
                <c:pt idx="271">
                  <c:v>1209.8972392638036</c:v>
                </c:pt>
                <c:pt idx="272">
                  <c:v>1202.484662576687</c:v>
                </c:pt>
                <c:pt idx="273">
                  <c:v>1194.2484662576687</c:v>
                </c:pt>
                <c:pt idx="274">
                  <c:v>1205.7791411042945</c:v>
                </c:pt>
                <c:pt idx="275">
                  <c:v>1255.1963190184049</c:v>
                </c:pt>
                <c:pt idx="276">
                  <c:v>1278.2576687116564</c:v>
                </c:pt>
                <c:pt idx="277">
                  <c:v>1324.3803680981594</c:v>
                </c:pt>
                <c:pt idx="278">
                  <c:v>1316.967791411043</c:v>
                </c:pt>
                <c:pt idx="279">
                  <c:v>1355.6779141104294</c:v>
                </c:pt>
                <c:pt idx="280">
                  <c:v>1355.6779141104294</c:v>
                </c:pt>
                <c:pt idx="281">
                  <c:v>1329.3220858895704</c:v>
                </c:pt>
                <c:pt idx="282">
                  <c:v>1314.4969325153374</c:v>
                </c:pt>
                <c:pt idx="283">
                  <c:v>1326.8512269938649</c:v>
                </c:pt>
                <c:pt idx="284">
                  <c:v>1294.7300613496932</c:v>
                </c:pt>
                <c:pt idx="285">
                  <c:v>1333.4401840490798</c:v>
                </c:pt>
                <c:pt idx="286">
                  <c:v>1338.3819018404906</c:v>
                </c:pt>
                <c:pt idx="287">
                  <c:v>1362.266871165644</c:v>
                </c:pt>
                <c:pt idx="288">
                  <c:v>1447.9233128834355</c:v>
                </c:pt>
                <c:pt idx="289">
                  <c:v>1459.4539877300613</c:v>
                </c:pt>
                <c:pt idx="290">
                  <c:v>1462.7484662576687</c:v>
                </c:pt>
                <c:pt idx="291">
                  <c:v>1442.1579754601225</c:v>
                </c:pt>
                <c:pt idx="292">
                  <c:v>1441.3343558282209</c:v>
                </c:pt>
                <c:pt idx="293">
                  <c:v>1408.3895705521472</c:v>
                </c:pt>
                <c:pt idx="294">
                  <c:v>1432.2745398773006</c:v>
                </c:pt>
                <c:pt idx="295">
                  <c:v>1447.9233128834355</c:v>
                </c:pt>
                <c:pt idx="296">
                  <c:v>1447.9233128834355</c:v>
                </c:pt>
                <c:pt idx="297">
                  <c:v>1425.6855828220857</c:v>
                </c:pt>
                <c:pt idx="298">
                  <c:v>1418.2730061349694</c:v>
                </c:pt>
                <c:pt idx="299">
                  <c:v>1391.9171779141104</c:v>
                </c:pt>
                <c:pt idx="300">
                  <c:v>1326.8512269938649</c:v>
                </c:pt>
                <c:pt idx="301">
                  <c:v>1296.3773006134968</c:v>
                </c:pt>
                <c:pt idx="302">
                  <c:v>1298.8481595092023</c:v>
                </c:pt>
                <c:pt idx="303">
                  <c:v>1312.0260736196319</c:v>
                </c:pt>
                <c:pt idx="304">
                  <c:v>1335.9110429447853</c:v>
                </c:pt>
                <c:pt idx="305">
                  <c:v>1340.8527607361962</c:v>
                </c:pt>
                <c:pt idx="306">
                  <c:v>1366.3849693251534</c:v>
                </c:pt>
                <c:pt idx="307">
                  <c:v>1381.2101226993864</c:v>
                </c:pt>
                <c:pt idx="308">
                  <c:v>1395.2116564417177</c:v>
                </c:pt>
                <c:pt idx="309">
                  <c:v>1413.3312883435583</c:v>
                </c:pt>
                <c:pt idx="310">
                  <c:v>1438.0398773006134</c:v>
                </c:pt>
                <c:pt idx="311">
                  <c:v>1461.9248466257668</c:v>
                </c:pt>
                <c:pt idx="312">
                  <c:v>1463.5720858895704</c:v>
                </c:pt>
                <c:pt idx="313">
                  <c:v>1459.4539877300613</c:v>
                </c:pt>
                <c:pt idx="314">
                  <c:v>1438.8634969325153</c:v>
                </c:pt>
                <c:pt idx="315">
                  <c:v>1421.5674846625766</c:v>
                </c:pt>
                <c:pt idx="316">
                  <c:v>1425.6855828220857</c:v>
                </c:pt>
                <c:pt idx="317">
                  <c:v>1426.5092024539877</c:v>
                </c:pt>
                <c:pt idx="318">
                  <c:v>1396.8588957055215</c:v>
                </c:pt>
                <c:pt idx="319">
                  <c:v>1375.4447852760736</c:v>
                </c:pt>
                <c:pt idx="320">
                  <c:v>1395.2116564417177</c:v>
                </c:pt>
                <c:pt idx="321">
                  <c:v>1389.4463190184049</c:v>
                </c:pt>
                <c:pt idx="322">
                  <c:v>1393.564417177914</c:v>
                </c:pt>
                <c:pt idx="323">
                  <c:v>1410.8604294478528</c:v>
                </c:pt>
                <c:pt idx="324">
                  <c:v>1385.3282208588957</c:v>
                </c:pt>
                <c:pt idx="325">
                  <c:v>1414.15490797546</c:v>
                </c:pt>
                <c:pt idx="326">
                  <c:v>1437.2162576687117</c:v>
                </c:pt>
                <c:pt idx="327">
                  <c:v>1432.2745398773006</c:v>
                </c:pt>
                <c:pt idx="328">
                  <c:v>1457.8067484662577</c:v>
                </c:pt>
                <c:pt idx="329">
                  <c:v>1456.1595092024538</c:v>
                </c:pt>
                <c:pt idx="330">
                  <c:v>1456.9831288343557</c:v>
                </c:pt>
                <c:pt idx="331">
                  <c:v>1478.3972392638036</c:v>
                </c:pt>
                <c:pt idx="332">
                  <c:v>1512.9892638036808</c:v>
                </c:pt>
                <c:pt idx="333">
                  <c:v>1498.9877300613496</c:v>
                </c:pt>
                <c:pt idx="334">
                  <c:v>1484.9861963190183</c:v>
                </c:pt>
                <c:pt idx="335">
                  <c:v>1471.8082822085889</c:v>
                </c:pt>
                <c:pt idx="336">
                  <c:v>1460.2776073619632</c:v>
                </c:pt>
                <c:pt idx="337">
                  <c:v>1447.0996932515336</c:v>
                </c:pt>
                <c:pt idx="338">
                  <c:v>1412.5076687116564</c:v>
                </c:pt>
                <c:pt idx="339">
                  <c:v>1412.5076687116564</c:v>
                </c:pt>
                <c:pt idx="340">
                  <c:v>1433.0981595092023</c:v>
                </c:pt>
                <c:pt idx="341">
                  <c:v>1438.8634969325153</c:v>
                </c:pt>
                <c:pt idx="342">
                  <c:v>1428.1564417177913</c:v>
                </c:pt>
                <c:pt idx="343">
                  <c:v>1417.4493865030674</c:v>
                </c:pt>
                <c:pt idx="344">
                  <c:v>1388.622699386503</c:v>
                </c:pt>
                <c:pt idx="345">
                  <c:v>1371.3266871165645</c:v>
                </c:pt>
                <c:pt idx="346">
                  <c:v>1391.0935582822085</c:v>
                </c:pt>
                <c:pt idx="347">
                  <c:v>1431.4509202453987</c:v>
                </c:pt>
                <c:pt idx="348">
                  <c:v>1430.6273006134968</c:v>
                </c:pt>
                <c:pt idx="349">
                  <c:v>1409.2131901840489</c:v>
                </c:pt>
                <c:pt idx="350">
                  <c:v>1385.3282208588957</c:v>
                </c:pt>
                <c:pt idx="351">
                  <c:v>1392.7407975460121</c:v>
                </c:pt>
                <c:pt idx="352">
                  <c:v>1406.7423312883434</c:v>
                </c:pt>
                <c:pt idx="353">
                  <c:v>1407.5659509202453</c:v>
                </c:pt>
                <c:pt idx="354">
                  <c:v>1414.15490797546</c:v>
                </c:pt>
                <c:pt idx="355">
                  <c:v>1412.5076687116564</c:v>
                </c:pt>
                <c:pt idx="356">
                  <c:v>1402.6242331288342</c:v>
                </c:pt>
                <c:pt idx="357">
                  <c:v>1405.9187116564417</c:v>
                </c:pt>
                <c:pt idx="358">
                  <c:v>1391.9171779141104</c:v>
                </c:pt>
                <c:pt idx="359">
                  <c:v>1402.6242331288342</c:v>
                </c:pt>
                <c:pt idx="360">
                  <c:v>1396.8588957055215</c:v>
                </c:pt>
                <c:pt idx="361">
                  <c:v>1404.2714723926381</c:v>
                </c:pt>
                <c:pt idx="362">
                  <c:v>1402.6242331288342</c:v>
                </c:pt>
                <c:pt idx="363">
                  <c:v>1458.6303680981594</c:v>
                </c:pt>
                <c:pt idx="364">
                  <c:v>1488.2806748466257</c:v>
                </c:pt>
                <c:pt idx="365">
                  <c:v>1489.1042944785274</c:v>
                </c:pt>
                <c:pt idx="366">
                  <c:v>1495.6932515337423</c:v>
                </c:pt>
                <c:pt idx="367">
                  <c:v>1512.9892638036808</c:v>
                </c:pt>
                <c:pt idx="368">
                  <c:v>1527.814417177914</c:v>
                </c:pt>
                <c:pt idx="369">
                  <c:v>1549.2285276073619</c:v>
                </c:pt>
                <c:pt idx="370">
                  <c:v>1582.9969325153374</c:v>
                </c:pt>
                <c:pt idx="371">
                  <c:v>1573.1134969325153</c:v>
                </c:pt>
                <c:pt idx="372">
                  <c:v>1601.9401840490798</c:v>
                </c:pt>
                <c:pt idx="373">
                  <c:v>1620.0598159509202</c:v>
                </c:pt>
                <c:pt idx="374">
                  <c:v>1577.2315950920245</c:v>
                </c:pt>
                <c:pt idx="375">
                  <c:v>1573.1134969325153</c:v>
                </c:pt>
                <c:pt idx="376">
                  <c:v>1540.9923312883434</c:v>
                </c:pt>
                <c:pt idx="377">
                  <c:v>1599.4693251533743</c:v>
                </c:pt>
                <c:pt idx="378">
                  <c:v>1609.3527607361962</c:v>
                </c:pt>
                <c:pt idx="379">
                  <c:v>1601.1165644171779</c:v>
                </c:pt>
                <c:pt idx="380">
                  <c:v>1587.9386503067483</c:v>
                </c:pt>
                <c:pt idx="381">
                  <c:v>1625.0015337423313</c:v>
                </c:pt>
                <c:pt idx="382">
                  <c:v>1637.3558282208589</c:v>
                </c:pt>
                <c:pt idx="383">
                  <c:v>1652.1809815950919</c:v>
                </c:pt>
                <c:pt idx="384">
                  <c:v>1650.5337423312883</c:v>
                </c:pt>
                <c:pt idx="385">
                  <c:v>1646.4156441717791</c:v>
                </c:pt>
                <c:pt idx="386">
                  <c:v>1615.9417177914111</c:v>
                </c:pt>
                <c:pt idx="387">
                  <c:v>1634.0613496932515</c:v>
                </c:pt>
                <c:pt idx="388">
                  <c:v>1650.5337423312883</c:v>
                </c:pt>
                <c:pt idx="389">
                  <c:v>1656.2990797546011</c:v>
                </c:pt>
                <c:pt idx="390">
                  <c:v>1607.7055214723925</c:v>
                </c:pt>
                <c:pt idx="391">
                  <c:v>1634.8849693251534</c:v>
                </c:pt>
                <c:pt idx="392">
                  <c:v>1569.8190184049079</c:v>
                </c:pt>
                <c:pt idx="393">
                  <c:v>1579.70245398773</c:v>
                </c:pt>
                <c:pt idx="394">
                  <c:v>1603.5874233128834</c:v>
                </c:pt>
                <c:pt idx="395">
                  <c:v>1593.7039877300613</c:v>
                </c:pt>
                <c:pt idx="396">
                  <c:v>1599.4693251533743</c:v>
                </c:pt>
                <c:pt idx="397">
                  <c:v>1600.2929447852759</c:v>
                </c:pt>
                <c:pt idx="398">
                  <c:v>1612.6472392638036</c:v>
                </c:pt>
                <c:pt idx="399">
                  <c:v>1635.7085889570551</c:v>
                </c:pt>
                <c:pt idx="400">
                  <c:v>1658.7699386503066</c:v>
                </c:pt>
                <c:pt idx="401">
                  <c:v>1657.9463190184049</c:v>
                </c:pt>
                <c:pt idx="402">
                  <c:v>1685.9493865030674</c:v>
                </c:pt>
                <c:pt idx="403">
                  <c:v>1641.4739263803681</c:v>
                </c:pt>
                <c:pt idx="404">
                  <c:v>1612.6472392638036</c:v>
                </c:pt>
                <c:pt idx="405">
                  <c:v>1620.0598159509202</c:v>
                </c:pt>
                <c:pt idx="406">
                  <c:v>1624.1779141104294</c:v>
                </c:pt>
                <c:pt idx="407">
                  <c:v>1593.7039877300613</c:v>
                </c:pt>
                <c:pt idx="408">
                  <c:v>1615.9417177914111</c:v>
                </c:pt>
                <c:pt idx="409">
                  <c:v>1621.7070552147238</c:v>
                </c:pt>
                <c:pt idx="410">
                  <c:v>1574.7607361963189</c:v>
                </c:pt>
                <c:pt idx="411">
                  <c:v>1546.7576687116564</c:v>
                </c:pt>
                <c:pt idx="412">
                  <c:v>1574.7607361963189</c:v>
                </c:pt>
                <c:pt idx="413">
                  <c:v>1567.3481595092023</c:v>
                </c:pt>
                <c:pt idx="414">
                  <c:v>1698.3036809815951</c:v>
                </c:pt>
                <c:pt idx="415">
                  <c:v>1715.5996932515336</c:v>
                </c:pt>
                <c:pt idx="416">
                  <c:v>1719.717791411043</c:v>
                </c:pt>
                <c:pt idx="417">
                  <c:v>1700.7745398773006</c:v>
                </c:pt>
                <c:pt idx="418">
                  <c:v>1695.8328220858896</c:v>
                </c:pt>
                <c:pt idx="419">
                  <c:v>1704.8926380368098</c:v>
                </c:pt>
                <c:pt idx="420">
                  <c:v>1682.65490797546</c:v>
                </c:pt>
                <c:pt idx="421">
                  <c:v>1645.5920245398772</c:v>
                </c:pt>
                <c:pt idx="422">
                  <c:v>1741.1319018404906</c:v>
                </c:pt>
                <c:pt idx="423">
                  <c:v>1734.5429447852759</c:v>
                </c:pt>
                <c:pt idx="424">
                  <c:v>1736.1901840490798</c:v>
                </c:pt>
                <c:pt idx="425">
                  <c:v>1763.3696319018404</c:v>
                </c:pt>
                <c:pt idx="426">
                  <c:v>1768.3113496932515</c:v>
                </c:pt>
                <c:pt idx="427">
                  <c:v>1767.4877300613496</c:v>
                </c:pt>
                <c:pt idx="428">
                  <c:v>1791.372699386503</c:v>
                </c:pt>
                <c:pt idx="429">
                  <c:v>1754.3098159509202</c:v>
                </c:pt>
                <c:pt idx="430">
                  <c:v>1744.4263803680981</c:v>
                </c:pt>
                <c:pt idx="431">
                  <c:v>1727.1303680981594</c:v>
                </c:pt>
                <c:pt idx="432">
                  <c:v>1729.6012269938649</c:v>
                </c:pt>
                <c:pt idx="433">
                  <c:v>1738.6610429447851</c:v>
                </c:pt>
                <c:pt idx="434">
                  <c:v>1719.717791411043</c:v>
                </c:pt>
                <c:pt idx="435">
                  <c:v>1774.9003067484662</c:v>
                </c:pt>
                <c:pt idx="436">
                  <c:v>1824.3174846625766</c:v>
                </c:pt>
                <c:pt idx="437">
                  <c:v>1853.1441717791411</c:v>
                </c:pt>
                <c:pt idx="438">
                  <c:v>1891.0306748466257</c:v>
                </c:pt>
                <c:pt idx="439">
                  <c:v>1868.7929447852759</c:v>
                </c:pt>
                <c:pt idx="440">
                  <c:v>1858.0858895705521</c:v>
                </c:pt>
                <c:pt idx="441">
                  <c:v>1813.6104294478528</c:v>
                </c:pt>
                <c:pt idx="442">
                  <c:v>1874.5582822085889</c:v>
                </c:pt>
                <c:pt idx="443">
                  <c:v>1873.734662576687</c:v>
                </c:pt>
                <c:pt idx="444">
                  <c:v>1879.5</c:v>
                </c:pt>
                <c:pt idx="445">
                  <c:v>1827.611963190184</c:v>
                </c:pt>
                <c:pt idx="446">
                  <c:v>1809.4923312883434</c:v>
                </c:pt>
                <c:pt idx="447">
                  <c:v>1807.8450920245398</c:v>
                </c:pt>
                <c:pt idx="448">
                  <c:v>1804.5506134969323</c:v>
                </c:pt>
                <c:pt idx="449">
                  <c:v>1832.5536809815951</c:v>
                </c:pt>
                <c:pt idx="450">
                  <c:v>1891.8542944785274</c:v>
                </c:pt>
                <c:pt idx="451">
                  <c:v>1870.4401840490796</c:v>
                </c:pt>
                <c:pt idx="452">
                  <c:v>1889.3834355828219</c:v>
                </c:pt>
                <c:pt idx="453">
                  <c:v>2026.1042944785274</c:v>
                </c:pt>
                <c:pt idx="454">
                  <c:v>2106.8190184049081</c:v>
                </c:pt>
                <c:pt idx="455">
                  <c:v>2114.2315950920242</c:v>
                </c:pt>
                <c:pt idx="456">
                  <c:v>2059.0490797546013</c:v>
                </c:pt>
                <c:pt idx="457">
                  <c:v>2075.5214723926379</c:v>
                </c:pt>
                <c:pt idx="458">
                  <c:v>2122.467791411043</c:v>
                </c:pt>
                <c:pt idx="459">
                  <c:v>2062.3435582822085</c:v>
                </c:pt>
                <c:pt idx="460">
                  <c:v>2046.6947852760736</c:v>
                </c:pt>
                <c:pt idx="461">
                  <c:v>2047.5184049079753</c:v>
                </c:pt>
                <c:pt idx="462">
                  <c:v>2066.4616564417179</c:v>
                </c:pt>
                <c:pt idx="463">
                  <c:v>2060.6963190184047</c:v>
                </c:pt>
                <c:pt idx="464">
                  <c:v>2084.5812883435583</c:v>
                </c:pt>
                <c:pt idx="465">
                  <c:v>2012.1027607361962</c:v>
                </c:pt>
                <c:pt idx="466">
                  <c:v>2113.4079754601225</c:v>
                </c:pt>
                <c:pt idx="467">
                  <c:v>2115.8788343558281</c:v>
                </c:pt>
                <c:pt idx="468">
                  <c:v>2107.6426380368098</c:v>
                </c:pt>
                <c:pt idx="469">
                  <c:v>2128.2331288343557</c:v>
                </c:pt>
                <c:pt idx="470">
                  <c:v>2157.8834355828221</c:v>
                </c:pt>
                <c:pt idx="471">
                  <c:v>2159.5306748466255</c:v>
                </c:pt>
                <c:pt idx="472">
                  <c:v>2199.8880368098157</c:v>
                </c:pt>
                <c:pt idx="473">
                  <c:v>2185.8865030674847</c:v>
                </c:pt>
                <c:pt idx="474">
                  <c:v>2173.532208588957</c:v>
                </c:pt>
                <c:pt idx="475">
                  <c:v>2103.5245398773004</c:v>
                </c:pt>
                <c:pt idx="476">
                  <c:v>2110.1134969325153</c:v>
                </c:pt>
                <c:pt idx="477">
                  <c:v>2101.0536809815949</c:v>
                </c:pt>
                <c:pt idx="478">
                  <c:v>2105.9953987730059</c:v>
                </c:pt>
                <c:pt idx="479">
                  <c:v>2121.6441717791408</c:v>
                </c:pt>
                <c:pt idx="480">
                  <c:v>2129.8803680981596</c:v>
                </c:pt>
                <c:pt idx="481">
                  <c:v>2129.0567484662574</c:v>
                </c:pt>
                <c:pt idx="482">
                  <c:v>2124.9386503067485</c:v>
                </c:pt>
                <c:pt idx="483">
                  <c:v>2110.937116564417</c:v>
                </c:pt>
                <c:pt idx="484">
                  <c:v>2080.4631901840489</c:v>
                </c:pt>
                <c:pt idx="485">
                  <c:v>1988.2177914110428</c:v>
                </c:pt>
                <c:pt idx="486">
                  <c:v>2077.1687116564417</c:v>
                </c:pt>
                <c:pt idx="487">
                  <c:v>2044.2239263803681</c:v>
                </c:pt>
                <c:pt idx="488">
                  <c:v>2062.3435582822085</c:v>
                </c:pt>
                <c:pt idx="489">
                  <c:v>2082.1104294478528</c:v>
                </c:pt>
                <c:pt idx="490">
                  <c:v>2067.2852760736196</c:v>
                </c:pt>
                <c:pt idx="491">
                  <c:v>1994.8067484662577</c:v>
                </c:pt>
                <c:pt idx="492">
                  <c:v>1990.6886503067483</c:v>
                </c:pt>
                <c:pt idx="493">
                  <c:v>2007.1610429447851</c:v>
                </c:pt>
                <c:pt idx="494">
                  <c:v>2029.3987730061349</c:v>
                </c:pt>
                <c:pt idx="495">
                  <c:v>2042.5766871165642</c:v>
                </c:pt>
                <c:pt idx="496">
                  <c:v>2041.7530674846626</c:v>
                </c:pt>
                <c:pt idx="497">
                  <c:v>2026.9279141104294</c:v>
                </c:pt>
                <c:pt idx="498">
                  <c:v>1983.2760736196319</c:v>
                </c:pt>
                <c:pt idx="499">
                  <c:v>2017.0444785276072</c:v>
                </c:pt>
                <c:pt idx="500">
                  <c:v>2054.1073619631902</c:v>
                </c:pt>
                <c:pt idx="501">
                  <c:v>2038.4585889570551</c:v>
                </c:pt>
                <c:pt idx="502">
                  <c:v>2055.7546012269936</c:v>
                </c:pt>
                <c:pt idx="503">
                  <c:v>2012.1027607361962</c:v>
                </c:pt>
                <c:pt idx="504">
                  <c:v>2059.872699386503</c:v>
                </c:pt>
                <c:pt idx="505">
                  <c:v>2040.1058282208587</c:v>
                </c:pt>
                <c:pt idx="506">
                  <c:v>2022.8098159509202</c:v>
                </c:pt>
                <c:pt idx="507">
                  <c:v>2109.2898773006136</c:v>
                </c:pt>
                <c:pt idx="508">
                  <c:v>2109.2898773006136</c:v>
                </c:pt>
                <c:pt idx="509">
                  <c:v>2166.9432515337421</c:v>
                </c:pt>
                <c:pt idx="510">
                  <c:v>2183.4156441717791</c:v>
                </c:pt>
                <c:pt idx="511">
                  <c:v>2159.5306748466255</c:v>
                </c:pt>
                <c:pt idx="512">
                  <c:v>2112.5843558282209</c:v>
                </c:pt>
                <c:pt idx="513">
                  <c:v>2077.9923312883434</c:v>
                </c:pt>
                <c:pt idx="514">
                  <c:v>2129.8803680981596</c:v>
                </c:pt>
                <c:pt idx="515">
                  <c:v>2029.3987730061349</c:v>
                </c:pt>
                <c:pt idx="516">
                  <c:v>2007.984662576687</c:v>
                </c:pt>
                <c:pt idx="517">
                  <c:v>2111.7607361963187</c:v>
                </c:pt>
                <c:pt idx="518">
                  <c:v>2054.9309815950919</c:v>
                </c:pt>
                <c:pt idx="519">
                  <c:v>2044.2239263803681</c:v>
                </c:pt>
                <c:pt idx="520">
                  <c:v>2158.7070552147238</c:v>
                </c:pt>
                <c:pt idx="521">
                  <c:v>2122.467791411043</c:v>
                </c:pt>
                <c:pt idx="522">
                  <c:v>2114.2315950920242</c:v>
                </c:pt>
                <c:pt idx="523">
                  <c:v>2068.9325153374234</c:v>
                </c:pt>
                <c:pt idx="524">
                  <c:v>2028.575153374233</c:v>
                </c:pt>
                <c:pt idx="525">
                  <c:v>2001.3957055214723</c:v>
                </c:pt>
                <c:pt idx="526">
                  <c:v>1980.8052147239264</c:v>
                </c:pt>
                <c:pt idx="527">
                  <c:v>1950.3312883435583</c:v>
                </c:pt>
                <c:pt idx="528">
                  <c:v>1986.5705521472391</c:v>
                </c:pt>
                <c:pt idx="529">
                  <c:v>2007.1610429447851</c:v>
                </c:pt>
                <c:pt idx="530">
                  <c:v>2005.5138036809815</c:v>
                </c:pt>
                <c:pt idx="531">
                  <c:v>2093.6411042944783</c:v>
                </c:pt>
                <c:pt idx="532">
                  <c:v>2035.9877300613496</c:v>
                </c:pt>
                <c:pt idx="533">
                  <c:v>2010.4555214723925</c:v>
                </c:pt>
                <c:pt idx="534">
                  <c:v>2037.6349693251532</c:v>
                </c:pt>
                <c:pt idx="535">
                  <c:v>2047.5184049079753</c:v>
                </c:pt>
                <c:pt idx="536">
                  <c:v>2031.0460122699385</c:v>
                </c:pt>
                <c:pt idx="537">
                  <c:v>2088.6993865030672</c:v>
                </c:pt>
                <c:pt idx="538">
                  <c:v>2116.7024539877298</c:v>
                </c:pt>
                <c:pt idx="539">
                  <c:v>2095.2883435582821</c:v>
                </c:pt>
                <c:pt idx="540">
                  <c:v>2073.8742331288345</c:v>
                </c:pt>
                <c:pt idx="541">
                  <c:v>2090.3466257668711</c:v>
                </c:pt>
                <c:pt idx="542">
                  <c:v>2070.5797546012268</c:v>
                </c:pt>
                <c:pt idx="543">
                  <c:v>2115.0552147239264</c:v>
                </c:pt>
                <c:pt idx="544">
                  <c:v>2139.7638036809817</c:v>
                </c:pt>
                <c:pt idx="545">
                  <c:v>2134.8220858895706</c:v>
                </c:pt>
                <c:pt idx="546">
                  <c:v>2121.6441717791408</c:v>
                </c:pt>
                <c:pt idx="547">
                  <c:v>2090.3466257668711</c:v>
                </c:pt>
                <c:pt idx="548">
                  <c:v>2149.6472392638034</c:v>
                </c:pt>
                <c:pt idx="549">
                  <c:v>2139.7638036809817</c:v>
                </c:pt>
                <c:pt idx="550">
                  <c:v>2123.2914110429447</c:v>
                </c:pt>
                <c:pt idx="551">
                  <c:v>2103.5245398773004</c:v>
                </c:pt>
                <c:pt idx="552">
                  <c:v>2078.8159509202451</c:v>
                </c:pt>
                <c:pt idx="553">
                  <c:v>2090.3466257668711</c:v>
                </c:pt>
                <c:pt idx="554">
                  <c:v>2054.1073619631902</c:v>
                </c:pt>
                <c:pt idx="555">
                  <c:v>2062.3435582822085</c:v>
                </c:pt>
                <c:pt idx="556">
                  <c:v>2091.9938650306749</c:v>
                </c:pt>
                <c:pt idx="557">
                  <c:v>2124.9386503067485</c:v>
                </c:pt>
                <c:pt idx="558">
                  <c:v>2090.3466257668711</c:v>
                </c:pt>
                <c:pt idx="559">
                  <c:v>2017.8680981595091</c:v>
                </c:pt>
                <c:pt idx="560">
                  <c:v>2012.9263803680981</c:v>
                </c:pt>
                <c:pt idx="561">
                  <c:v>2024.4570552147238</c:v>
                </c:pt>
                <c:pt idx="562">
                  <c:v>2011.2791411042945</c:v>
                </c:pt>
                <c:pt idx="563">
                  <c:v>2012.9263803680981</c:v>
                </c:pt>
                <c:pt idx="564">
                  <c:v>1955.2730061349691</c:v>
                </c:pt>
                <c:pt idx="565">
                  <c:v>1948.6840490797545</c:v>
                </c:pt>
                <c:pt idx="566">
                  <c:v>1983.2760736196319</c:v>
                </c:pt>
                <c:pt idx="567">
                  <c:v>1971.7453987730059</c:v>
                </c:pt>
                <c:pt idx="568">
                  <c:v>1996.4539877300613</c:v>
                </c:pt>
                <c:pt idx="569">
                  <c:v>1968.4509202453987</c:v>
                </c:pt>
                <c:pt idx="570">
                  <c:v>1909.1503067484662</c:v>
                </c:pt>
                <c:pt idx="571">
                  <c:v>1872.9110429447851</c:v>
                </c:pt>
                <c:pt idx="572">
                  <c:v>1884.4417177914111</c:v>
                </c:pt>
                <c:pt idx="573">
                  <c:v>1904.2085889570551</c:v>
                </c:pt>
                <c:pt idx="574">
                  <c:v>1950.3312883435583</c:v>
                </c:pt>
                <c:pt idx="575">
                  <c:v>1891.0306748466257</c:v>
                </c:pt>
                <c:pt idx="576">
                  <c:v>1938.8006134969323</c:v>
                </c:pt>
                <c:pt idx="577">
                  <c:v>1909.1503067484662</c:v>
                </c:pt>
                <c:pt idx="578">
                  <c:v>1945.3895705521472</c:v>
                </c:pt>
                <c:pt idx="579">
                  <c:v>2166.1196319018404</c:v>
                </c:pt>
                <c:pt idx="580">
                  <c:v>2108.4662576687115</c:v>
                </c:pt>
                <c:pt idx="581">
                  <c:v>2157.8834355828221</c:v>
                </c:pt>
                <c:pt idx="582">
                  <c:v>2157.8834355828221</c:v>
                </c:pt>
                <c:pt idx="583">
                  <c:v>2177.6503067484664</c:v>
                </c:pt>
                <c:pt idx="584">
                  <c:v>2185.8865030674847</c:v>
                </c:pt>
                <c:pt idx="585">
                  <c:v>2194.122699386503</c:v>
                </c:pt>
                <c:pt idx="586">
                  <c:v>2174.3558282208587</c:v>
                </c:pt>
                <c:pt idx="587">
                  <c:v>2116.7024539877298</c:v>
                </c:pt>
                <c:pt idx="588">
                  <c:v>2100.2300613496932</c:v>
                </c:pt>
                <c:pt idx="589">
                  <c:v>2108.4662576687115</c:v>
                </c:pt>
                <c:pt idx="590">
                  <c:v>2063.9907975460123</c:v>
                </c:pt>
                <c:pt idx="591">
                  <c:v>2019.5153374233128</c:v>
                </c:pt>
                <c:pt idx="592">
                  <c:v>2037.6349693251532</c:v>
                </c:pt>
                <c:pt idx="593">
                  <c:v>2007.984662576687</c:v>
                </c:pt>
                <c:pt idx="594">
                  <c:v>1940.4478527607362</c:v>
                </c:pt>
                <c:pt idx="595">
                  <c:v>1923.9754601226994</c:v>
                </c:pt>
                <c:pt idx="596">
                  <c:v>1951.9785276073619</c:v>
                </c:pt>
                <c:pt idx="597">
                  <c:v>1915.7392638036808</c:v>
                </c:pt>
                <c:pt idx="598">
                  <c:v>1933.8588957055215</c:v>
                </c:pt>
                <c:pt idx="599">
                  <c:v>1895.9723926380368</c:v>
                </c:pt>
                <c:pt idx="600">
                  <c:v>1899.266871165644</c:v>
                </c:pt>
                <c:pt idx="601">
                  <c:v>1900.9141104294479</c:v>
                </c:pt>
                <c:pt idx="602">
                  <c:v>1892.6779141104294</c:v>
                </c:pt>
                <c:pt idx="603">
                  <c:v>1863.0276073619632</c:v>
                </c:pt>
                <c:pt idx="604">
                  <c:v>1858.0858895705521</c:v>
                </c:pt>
                <c:pt idx="605">
                  <c:v>1854.7914110429447</c:v>
                </c:pt>
                <c:pt idx="606">
                  <c:v>1843.2607361963189</c:v>
                </c:pt>
                <c:pt idx="607">
                  <c:v>1836.6717791411043</c:v>
                </c:pt>
                <c:pt idx="608">
                  <c:v>1793.8435582822085</c:v>
                </c:pt>
                <c:pt idx="609">
                  <c:v>1785.6073619631902</c:v>
                </c:pt>
                <c:pt idx="610">
                  <c:v>1744.4263803680981</c:v>
                </c:pt>
                <c:pt idx="611">
                  <c:v>1774.0766871165642</c:v>
                </c:pt>
                <c:pt idx="612">
                  <c:v>1759.2515337423313</c:v>
                </c:pt>
                <c:pt idx="613">
                  <c:v>1780.6656441717791</c:v>
                </c:pt>
                <c:pt idx="614">
                  <c:v>1780.6656441717791</c:v>
                </c:pt>
                <c:pt idx="615">
                  <c:v>1775.7239263803681</c:v>
                </c:pt>
                <c:pt idx="616">
                  <c:v>1746.0736196319017</c:v>
                </c:pt>
                <c:pt idx="617">
                  <c:v>1706.5398773006134</c:v>
                </c:pt>
                <c:pt idx="618">
                  <c:v>1685.1257668711655</c:v>
                </c:pt>
                <c:pt idx="619">
                  <c:v>1681.8312883435583</c:v>
                </c:pt>
                <c:pt idx="620">
                  <c:v>1607.7055214723925</c:v>
                </c:pt>
                <c:pt idx="621">
                  <c:v>1550.0521472392638</c:v>
                </c:pt>
                <c:pt idx="622">
                  <c:v>1546.7576687116564</c:v>
                </c:pt>
                <c:pt idx="623">
                  <c:v>1546.7576687116564</c:v>
                </c:pt>
                <c:pt idx="624">
                  <c:v>1550.0521472392638</c:v>
                </c:pt>
                <c:pt idx="625">
                  <c:v>1548.40490797546</c:v>
                </c:pt>
                <c:pt idx="626">
                  <c:v>1601.1165644171779</c:v>
                </c:pt>
                <c:pt idx="627">
                  <c:v>1573.1134969325153</c:v>
                </c:pt>
                <c:pt idx="628">
                  <c:v>1594.5276073619632</c:v>
                </c:pt>
                <c:pt idx="629">
                  <c:v>1604.4110429447851</c:v>
                </c:pt>
                <c:pt idx="630">
                  <c:v>1576.4079754601225</c:v>
                </c:pt>
                <c:pt idx="631">
                  <c:v>1607.7055214723925</c:v>
                </c:pt>
                <c:pt idx="632">
                  <c:v>1652.1809815950919</c:v>
                </c:pt>
                <c:pt idx="633">
                  <c:v>1620.8834355828221</c:v>
                </c:pt>
                <c:pt idx="634">
                  <c:v>1680.1840490797545</c:v>
                </c:pt>
                <c:pt idx="635">
                  <c:v>1737.8374233128834</c:v>
                </c:pt>
                <c:pt idx="636">
                  <c:v>1742.7791411042945</c:v>
                </c:pt>
                <c:pt idx="637">
                  <c:v>1719.717791411043</c:v>
                </c:pt>
                <c:pt idx="638">
                  <c:v>1749.3680981595091</c:v>
                </c:pt>
                <c:pt idx="639">
                  <c:v>1721.3650306748466</c:v>
                </c:pt>
                <c:pt idx="640">
                  <c:v>1734.5429447852759</c:v>
                </c:pt>
                <c:pt idx="641">
                  <c:v>1724.6595092024538</c:v>
                </c:pt>
                <c:pt idx="642">
                  <c:v>1718.0705521472391</c:v>
                </c:pt>
                <c:pt idx="643">
                  <c:v>1721.3650306748466</c:v>
                </c:pt>
                <c:pt idx="644">
                  <c:v>1663.7116564417177</c:v>
                </c:pt>
                <c:pt idx="645">
                  <c:v>1643.9447852760736</c:v>
                </c:pt>
                <c:pt idx="646">
                  <c:v>1653.8282208588957</c:v>
                </c:pt>
                <c:pt idx="647">
                  <c:v>1622.5306748466257</c:v>
                </c:pt>
                <c:pt idx="648">
                  <c:v>1619.2361963190183</c:v>
                </c:pt>
                <c:pt idx="649">
                  <c:v>1594.5276073619632</c:v>
                </c:pt>
                <c:pt idx="650">
                  <c:v>1561.5828220858896</c:v>
                </c:pt>
                <c:pt idx="651">
                  <c:v>1586.2914110429447</c:v>
                </c:pt>
                <c:pt idx="652">
                  <c:v>1568.1717791411043</c:v>
                </c:pt>
                <c:pt idx="653">
                  <c:v>1591.2331288343557</c:v>
                </c:pt>
                <c:pt idx="654">
                  <c:v>1624.1779141104294</c:v>
                </c:pt>
                <c:pt idx="655">
                  <c:v>1620.8834355828221</c:v>
                </c:pt>
                <c:pt idx="656">
                  <c:v>1584.6441717791411</c:v>
                </c:pt>
                <c:pt idx="657">
                  <c:v>1573.1134969325153</c:v>
                </c:pt>
                <c:pt idx="658">
                  <c:v>1592.8803680981594</c:v>
                </c:pt>
                <c:pt idx="659">
                  <c:v>1576.4079754601225</c:v>
                </c:pt>
                <c:pt idx="660">
                  <c:v>1625.825153374233</c:v>
                </c:pt>
                <c:pt idx="661">
                  <c:v>1611</c:v>
                </c:pt>
              </c:numCache>
            </c:numRef>
          </c:val>
        </c:ser>
        <c:marker val="1"/>
        <c:axId val="150671744"/>
        <c:axId val="150673280"/>
      </c:lineChart>
      <c:dateAx>
        <c:axId val="150671744"/>
        <c:scaling>
          <c:orientation val="minMax"/>
        </c:scaling>
        <c:axPos val="b"/>
        <c:numFmt formatCode="yyyy/mm/dd" sourceLinked="1"/>
        <c:tickLblPos val="nextTo"/>
        <c:crossAx val="150673280"/>
        <c:crosses val="autoZero"/>
        <c:auto val="1"/>
        <c:lblOffset val="100"/>
      </c:dateAx>
      <c:valAx>
        <c:axId val="150673280"/>
        <c:scaling>
          <c:orientation val="minMax"/>
          <c:max val="3405"/>
          <c:min val="1088.8251533742341"/>
        </c:scaling>
        <c:axPos val="l"/>
        <c:majorGridlines/>
        <c:numFmt formatCode="General" sourceLinked="1"/>
        <c:tickLblPos val="nextTo"/>
        <c:crossAx val="1506717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44"/>
          <c:y val="3.0978629203754358E-2"/>
          <c:w val="0.16694356073421124"/>
          <c:h val="0.10937726973325447"/>
        </c:manualLayout>
      </c:layout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B42" sqref="B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9"/>
  <sheetViews>
    <sheetView showGridLines="0" zoomScale="115" zoomScaleNormal="115" workbookViewId="0">
      <selection activeCell="B8" sqref="B8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57" t="s">
        <v>162</v>
      </c>
      <c r="D1" s="13"/>
      <c r="H1" s="1"/>
      <c r="I1" s="13" t="s">
        <v>24</v>
      </c>
      <c r="J1" s="56"/>
      <c r="K1" s="258">
        <v>43818</v>
      </c>
      <c r="L1" s="259"/>
      <c r="M1" s="23"/>
      <c r="N1" s="13" t="s">
        <v>264</v>
      </c>
      <c r="P1" s="258">
        <f ca="1">TODAY()</f>
        <v>43818</v>
      </c>
      <c r="Q1" s="260"/>
      <c r="U1" s="57" t="s">
        <v>23</v>
      </c>
      <c r="V1" s="57"/>
    </row>
    <row r="2" spans="2:23" ht="16.5" customHeight="1" thickBot="1">
      <c r="J2" s="181">
        <f>SUM(J4:J62)</f>
        <v>6033700</v>
      </c>
      <c r="R2" s="127">
        <f ca="1">SUM(R4:R62)</f>
        <v>-43014.230136986298</v>
      </c>
      <c r="S2" s="91">
        <f ca="1">SUM(S4:S62)</f>
        <v>-2.1845742391430313E-2</v>
      </c>
    </row>
    <row r="3" spans="2:23" ht="24.75" thickBot="1">
      <c r="C3" s="58" t="s">
        <v>145</v>
      </c>
      <c r="D3" s="68" t="s">
        <v>169</v>
      </c>
      <c r="E3" s="60"/>
      <c r="F3" s="59" t="s">
        <v>69</v>
      </c>
      <c r="G3" s="61" t="s">
        <v>70</v>
      </c>
      <c r="H3" s="62" t="s">
        <v>146</v>
      </c>
      <c r="I3" s="62" t="s">
        <v>147</v>
      </c>
      <c r="J3" s="60" t="s">
        <v>22</v>
      </c>
      <c r="K3" s="60" t="s">
        <v>148</v>
      </c>
      <c r="L3" s="62" t="s">
        <v>149</v>
      </c>
      <c r="M3" s="63" t="s">
        <v>170</v>
      </c>
      <c r="N3" s="60" t="s">
        <v>150</v>
      </c>
      <c r="O3" s="63" t="s">
        <v>164</v>
      </c>
      <c r="P3" s="60" t="s">
        <v>257</v>
      </c>
      <c r="Q3" s="60" t="s">
        <v>151</v>
      </c>
      <c r="R3" s="63" t="s">
        <v>166</v>
      </c>
      <c r="S3" s="66" t="s">
        <v>167</v>
      </c>
      <c r="T3" s="65"/>
      <c r="U3" s="67" t="s">
        <v>263</v>
      </c>
      <c r="V3" s="67" t="s">
        <v>168</v>
      </c>
      <c r="W3" s="64" t="s">
        <v>165</v>
      </c>
    </row>
    <row r="4" spans="2:23" s="106" customFormat="1">
      <c r="B4" s="124" t="s">
        <v>272</v>
      </c>
      <c r="C4" s="250">
        <f>ROW()/2-1</f>
        <v>1</v>
      </c>
      <c r="D4" s="252">
        <v>43808</v>
      </c>
      <c r="E4" s="33" t="s">
        <v>260</v>
      </c>
      <c r="F4" s="33">
        <v>5991</v>
      </c>
      <c r="G4" s="55" t="s">
        <v>1019</v>
      </c>
      <c r="H4" s="49">
        <v>1013</v>
      </c>
      <c r="I4" s="49">
        <v>900</v>
      </c>
      <c r="J4" s="50">
        <f t="shared" ref="J4:J9" si="0">H4*I4</f>
        <v>911700</v>
      </c>
      <c r="K4" s="52" t="s">
        <v>1018</v>
      </c>
      <c r="L4" s="49">
        <v>1029</v>
      </c>
      <c r="M4" s="33">
        <v>770</v>
      </c>
      <c r="N4" s="145">
        <f ca="1">IF(OR(K4="現物",J4=0),0,IF(E4="売",J4*Fee_Refer!$B$12/365*V4, J4*Fee_Refer!$B$11/365*#REF!))</f>
        <v>274.75890410958903</v>
      </c>
      <c r="O4" s="52">
        <v>0</v>
      </c>
      <c r="P4" s="148">
        <f ca="1">IF(L4 &gt;0,(H4-L4)*I4-M4-N4-O4,0)</f>
        <v>-15444.758904109589</v>
      </c>
      <c r="Q4" s="51">
        <f t="shared" ref="Q4:Q9" ca="1" si="1">P4/J4</f>
        <v>-1.6940615228813852E-2</v>
      </c>
      <c r="R4" s="254">
        <f ca="1">P4+P5</f>
        <v>-19044.293150684931</v>
      </c>
      <c r="S4" s="255">
        <f t="shared" ref="S4" ca="1" si="2">R4/(J4+J5)</f>
        <v>-1.0224025957311929E-2</v>
      </c>
      <c r="U4" s="257">
        <f ca="1">$P$1</f>
        <v>43818</v>
      </c>
      <c r="V4" s="248">
        <f t="shared" ref="V4" ca="1" si="3">IF(U4&gt;D4,DATEDIF(D4,U4,"d"),0)</f>
        <v>10</v>
      </c>
      <c r="W4" s="249"/>
    </row>
    <row r="5" spans="2:23" s="106" customFormat="1">
      <c r="B5" s="124" t="s">
        <v>846</v>
      </c>
      <c r="C5" s="251"/>
      <c r="D5" s="253">
        <v>43748</v>
      </c>
      <c r="E5" s="29" t="s">
        <v>262</v>
      </c>
      <c r="F5" s="29">
        <v>7267</v>
      </c>
      <c r="G5" s="54" t="s">
        <v>1020</v>
      </c>
      <c r="H5" s="46">
        <v>3170</v>
      </c>
      <c r="I5" s="46">
        <v>300</v>
      </c>
      <c r="J5" s="47">
        <f t="shared" si="0"/>
        <v>951000</v>
      </c>
      <c r="K5" s="146" t="s">
        <v>1018</v>
      </c>
      <c r="L5" s="41">
        <v>3163</v>
      </c>
      <c r="M5" s="31">
        <v>770</v>
      </c>
      <c r="N5" s="147">
        <f ca="1">IF(OR(K5="現物",J5=0),0,IF(E5="売",J5*Fee_Refer!$B$12/365*V5, J5*Fee_Refer!$B$11/365*V4))</f>
        <v>729.53424657534242</v>
      </c>
      <c r="O5" s="170">
        <v>0</v>
      </c>
      <c r="P5" s="149">
        <f ca="1">IF(L5&gt;0,(L5-H5)*I5-M5-N5-O5,0)</f>
        <v>-3599.5342465753424</v>
      </c>
      <c r="Q5" s="48">
        <f t="shared" ca="1" si="1"/>
        <v>-3.7849992077553548E-3</v>
      </c>
      <c r="R5" s="254"/>
      <c r="S5" s="256"/>
      <c r="U5" s="248"/>
      <c r="V5" s="248"/>
      <c r="W5" s="248"/>
    </row>
    <row r="6" spans="2:23" s="106" customFormat="1">
      <c r="B6" s="124" t="s">
        <v>272</v>
      </c>
      <c r="C6" s="250">
        <f>ROW()/2-1</f>
        <v>2</v>
      </c>
      <c r="D6" s="252">
        <v>43809</v>
      </c>
      <c r="E6" s="33" t="s">
        <v>260</v>
      </c>
      <c r="F6" s="33">
        <v>6471</v>
      </c>
      <c r="G6" s="55" t="s">
        <v>1023</v>
      </c>
      <c r="H6" s="49">
        <v>1067</v>
      </c>
      <c r="I6" s="49">
        <v>1000</v>
      </c>
      <c r="J6" s="50">
        <f t="shared" si="0"/>
        <v>1067000</v>
      </c>
      <c r="K6" s="52" t="s">
        <v>1025</v>
      </c>
      <c r="L6" s="49">
        <v>1064</v>
      </c>
      <c r="M6" s="33">
        <v>770</v>
      </c>
      <c r="N6" s="145">
        <f ca="1">IF(OR(K6="現物",J6=0),0,IF(E6="売",J6*Fee_Refer!$B$12/365*V6, J6*Fee_Refer!$B$11/365*#REF!))</f>
        <v>289.40547945205481</v>
      </c>
      <c r="O6" s="52">
        <v>0</v>
      </c>
      <c r="P6" s="148">
        <f ca="1">IF(L6 &gt;0,(H6-L6)*I6-M6-N6-O6,0)</f>
        <v>1940.5945205479452</v>
      </c>
      <c r="Q6" s="51">
        <f t="shared" ca="1" si="1"/>
        <v>1.8187390070739881E-3</v>
      </c>
      <c r="R6" s="254">
        <f ca="1">P6+P7</f>
        <v>-8380.572602739725</v>
      </c>
      <c r="S6" s="255">
        <f t="shared" ref="S6" ca="1" si="4">R6/(J6+J7)</f>
        <v>-3.8888967994151857E-3</v>
      </c>
      <c r="U6" s="257">
        <f ca="1">$P$1</f>
        <v>43818</v>
      </c>
      <c r="V6" s="248">
        <f t="shared" ref="V6" ca="1" si="5">IF(U6&gt;D6,DATEDIF(D6,U6,"d"),0)</f>
        <v>9</v>
      </c>
      <c r="W6" s="249"/>
    </row>
    <row r="7" spans="2:23" s="106" customFormat="1">
      <c r="B7" s="124" t="s">
        <v>846</v>
      </c>
      <c r="C7" s="251"/>
      <c r="D7" s="253">
        <v>43748</v>
      </c>
      <c r="E7" s="29" t="s">
        <v>262</v>
      </c>
      <c r="F7" s="29">
        <v>6473</v>
      </c>
      <c r="G7" s="54" t="s">
        <v>1024</v>
      </c>
      <c r="H7" s="46">
        <v>1360</v>
      </c>
      <c r="I7" s="46">
        <v>800</v>
      </c>
      <c r="J7" s="47">
        <f t="shared" si="0"/>
        <v>1088000</v>
      </c>
      <c r="K7" s="146" t="s">
        <v>1025</v>
      </c>
      <c r="L7" s="41">
        <v>1349</v>
      </c>
      <c r="M7" s="31">
        <v>770</v>
      </c>
      <c r="N7" s="147">
        <f ca="1">IF(OR(K7="現物",J7=0),0,IF(E7="売",J7*Fee_Refer!$B$12/365*V7, J7*Fee_Refer!$B$11/365*V6))</f>
        <v>751.16712328767119</v>
      </c>
      <c r="O7" s="171">
        <v>0</v>
      </c>
      <c r="P7" s="149">
        <f ca="1">IF(L7&gt;0,(L7-H7)*I7-M7-N7-O7,0)</f>
        <v>-10321.167123287671</v>
      </c>
      <c r="Q7" s="48">
        <f t="shared" ca="1" si="1"/>
        <v>-9.4863668412570497E-3</v>
      </c>
      <c r="R7" s="254"/>
      <c r="S7" s="256"/>
      <c r="U7" s="248"/>
      <c r="V7" s="248"/>
      <c r="W7" s="248"/>
    </row>
    <row r="8" spans="2:23" s="106" customFormat="1">
      <c r="B8" s="124" t="s">
        <v>272</v>
      </c>
      <c r="C8" s="250">
        <f>ROW()/2-1</f>
        <v>3</v>
      </c>
      <c r="D8" s="252">
        <v>43811</v>
      </c>
      <c r="E8" s="33" t="s">
        <v>260</v>
      </c>
      <c r="F8" s="33">
        <v>1860</v>
      </c>
      <c r="G8" s="55" t="s">
        <v>1027</v>
      </c>
      <c r="H8" s="49">
        <v>730</v>
      </c>
      <c r="I8" s="49">
        <v>1400</v>
      </c>
      <c r="J8" s="50">
        <f t="shared" si="0"/>
        <v>1022000</v>
      </c>
      <c r="K8" s="52" t="s">
        <v>1026</v>
      </c>
      <c r="L8" s="49">
        <v>730</v>
      </c>
      <c r="M8" s="33">
        <v>770</v>
      </c>
      <c r="N8" s="145">
        <f ca="1">IF(OR(K8="現物",J8=0),0,IF(E8="売",J8*Fee_Refer!$B$12/365*V8, J8*Fee_Refer!$B$11/365*#REF!))</f>
        <v>215.6</v>
      </c>
      <c r="O8" s="52">
        <v>0</v>
      </c>
      <c r="P8" s="148">
        <f ca="1">IF(L8 &gt;0,(H8-L8)*I8-M8-N8-O8,0)</f>
        <v>-985.6</v>
      </c>
      <c r="Q8" s="51">
        <f t="shared" ca="1" si="1"/>
        <v>-9.6438356164383569E-4</v>
      </c>
      <c r="R8" s="254">
        <f ca="1">P8+P9</f>
        <v>-15589.364383561644</v>
      </c>
      <c r="S8" s="255">
        <f t="shared" ref="S8" ca="1" si="6">R8/(J8+J9)</f>
        <v>-7.7328196347031964E-3</v>
      </c>
      <c r="U8" s="257">
        <f ca="1">$P$1</f>
        <v>43818</v>
      </c>
      <c r="V8" s="248">
        <f t="shared" ref="V8" ca="1" si="7">IF(U8&gt;D8,DATEDIF(D8,U8,"d"),0)</f>
        <v>7</v>
      </c>
      <c r="W8" s="249"/>
    </row>
    <row r="9" spans="2:23" s="106" customFormat="1">
      <c r="B9" s="124" t="s">
        <v>846</v>
      </c>
      <c r="C9" s="251"/>
      <c r="D9" s="253">
        <v>43748</v>
      </c>
      <c r="E9" s="29" t="s">
        <v>262</v>
      </c>
      <c r="F9" s="29">
        <v>5110</v>
      </c>
      <c r="G9" s="54" t="s">
        <v>1028</v>
      </c>
      <c r="H9" s="46">
        <v>1420</v>
      </c>
      <c r="I9" s="46">
        <v>700</v>
      </c>
      <c r="J9" s="47">
        <f t="shared" si="0"/>
        <v>994000</v>
      </c>
      <c r="K9" s="146" t="s">
        <v>1026</v>
      </c>
      <c r="L9" s="41">
        <v>1401</v>
      </c>
      <c r="M9" s="31">
        <v>770</v>
      </c>
      <c r="N9" s="147">
        <f ca="1">IF(OR(K9="現物",J9=0),0,IF(E9="売",J9*Fee_Refer!$B$12/365*V9, J9*Fee_Refer!$B$11/365*V8))</f>
        <v>533.76438356164385</v>
      </c>
      <c r="O9" s="180">
        <v>0</v>
      </c>
      <c r="P9" s="149">
        <f ca="1">IF(L9&gt;0,(L9-H9)*I9-M9-N9-O9,0)</f>
        <v>-14603.764383561644</v>
      </c>
      <c r="Q9" s="48">
        <f t="shared" ca="1" si="1"/>
        <v>-1.4691915878834651E-2</v>
      </c>
      <c r="R9" s="254"/>
      <c r="S9" s="256"/>
      <c r="U9" s="248"/>
      <c r="V9" s="248"/>
      <c r="W9" s="248"/>
    </row>
  </sheetData>
  <mergeCells count="23">
    <mergeCell ref="K1:L1"/>
    <mergeCell ref="P1:Q1"/>
    <mergeCell ref="V4:V5"/>
    <mergeCell ref="W4:W5"/>
    <mergeCell ref="C4:C5"/>
    <mergeCell ref="D4:D5"/>
    <mergeCell ref="R4:R5"/>
    <mergeCell ref="S4:S5"/>
    <mergeCell ref="U4:U5"/>
    <mergeCell ref="V6:V7"/>
    <mergeCell ref="W6:W7"/>
    <mergeCell ref="C6:C7"/>
    <mergeCell ref="D6:D7"/>
    <mergeCell ref="R6:R7"/>
    <mergeCell ref="S6:S7"/>
    <mergeCell ref="U6:U7"/>
    <mergeCell ref="V8:V9"/>
    <mergeCell ref="W8:W9"/>
    <mergeCell ref="C8:C9"/>
    <mergeCell ref="D8:D9"/>
    <mergeCell ref="R8:R9"/>
    <mergeCell ref="S8:S9"/>
    <mergeCell ref="U8:U9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35"/>
  <sheetViews>
    <sheetView showGridLines="0" zoomScaleNormal="100" workbookViewId="0">
      <selection activeCell="O26" sqref="O26"/>
    </sheetView>
  </sheetViews>
  <sheetFormatPr defaultRowHeight="14.25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57" t="s">
        <v>258</v>
      </c>
      <c r="R2" s="93">
        <f>SUM(R4:R1010)</f>
        <v>547597.39287671214</v>
      </c>
      <c r="S2" s="182"/>
      <c r="U2" s="57" t="s">
        <v>143</v>
      </c>
      <c r="X2" s="1" t="s">
        <v>1995</v>
      </c>
    </row>
    <row r="3" spans="2:29" ht="30" customHeight="1" thickBot="1">
      <c r="C3" s="58" t="s">
        <v>145</v>
      </c>
      <c r="D3" s="92" t="s">
        <v>169</v>
      </c>
      <c r="E3" s="60"/>
      <c r="F3" s="61" t="s">
        <v>69</v>
      </c>
      <c r="G3" s="61" t="s">
        <v>70</v>
      </c>
      <c r="H3" s="63" t="s">
        <v>271</v>
      </c>
      <c r="I3" s="63" t="s">
        <v>268</v>
      </c>
      <c r="J3" s="60" t="s">
        <v>22</v>
      </c>
      <c r="K3" s="60" t="s">
        <v>148</v>
      </c>
      <c r="L3" s="63" t="s">
        <v>269</v>
      </c>
      <c r="M3" s="63" t="s">
        <v>170</v>
      </c>
      <c r="N3" s="60" t="s">
        <v>150</v>
      </c>
      <c r="O3" s="63" t="s">
        <v>164</v>
      </c>
      <c r="P3" s="62" t="s">
        <v>270</v>
      </c>
      <c r="Q3" s="62" t="s">
        <v>152</v>
      </c>
      <c r="R3" s="63" t="s">
        <v>166</v>
      </c>
      <c r="S3" s="66" t="s">
        <v>167</v>
      </c>
      <c r="T3" s="65"/>
      <c r="U3" s="67" t="s">
        <v>259</v>
      </c>
      <c r="V3" s="67" t="s">
        <v>1967</v>
      </c>
      <c r="W3" s="67" t="s">
        <v>165</v>
      </c>
      <c r="AA3" s="67" t="s">
        <v>265</v>
      </c>
      <c r="AB3" s="67" t="s">
        <v>266</v>
      </c>
      <c r="AC3" s="67" t="s">
        <v>267</v>
      </c>
    </row>
    <row r="4" spans="2:29">
      <c r="B4" s="124" t="s">
        <v>272</v>
      </c>
      <c r="C4" s="280">
        <v>1</v>
      </c>
      <c r="D4" s="283">
        <v>43726</v>
      </c>
      <c r="E4" s="25" t="s">
        <v>260</v>
      </c>
      <c r="F4" s="25">
        <v>6472</v>
      </c>
      <c r="G4" s="53" t="s">
        <v>261</v>
      </c>
      <c r="H4" s="43">
        <v>320</v>
      </c>
      <c r="I4" s="26">
        <v>1200</v>
      </c>
      <c r="J4" s="44">
        <v>384000</v>
      </c>
      <c r="K4" s="37" t="s">
        <v>159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261">
        <f>P4+P5</f>
        <v>159</v>
      </c>
      <c r="S4" s="276">
        <f t="shared" ref="S4" si="0">R4/(J4+J5)</f>
        <v>2.1406645484409498E-4</v>
      </c>
      <c r="U4" s="285">
        <v>43742</v>
      </c>
      <c r="V4" s="278">
        <f>DATEDIF(D4,U4,"d")</f>
        <v>16</v>
      </c>
      <c r="W4" s="273" t="s">
        <v>999</v>
      </c>
      <c r="X4" s="172"/>
      <c r="AA4" s="261">
        <f>YEAR(U4)</f>
        <v>2019</v>
      </c>
      <c r="AB4" s="261">
        <f>MONTH(U4)</f>
        <v>10</v>
      </c>
      <c r="AC4" s="261" t="str">
        <f>IF(R4&gt;0,"○","☓")</f>
        <v>○</v>
      </c>
    </row>
    <row r="5" spans="2:29" ht="15" thickBot="1">
      <c r="B5" s="106"/>
      <c r="C5" s="251"/>
      <c r="D5" s="262"/>
      <c r="E5" s="29" t="s">
        <v>262</v>
      </c>
      <c r="F5" s="29">
        <v>6752</v>
      </c>
      <c r="G5" s="54" t="s">
        <v>105</v>
      </c>
      <c r="H5" s="46">
        <v>896.9</v>
      </c>
      <c r="I5" s="30">
        <v>400</v>
      </c>
      <c r="J5" s="47">
        <v>358760</v>
      </c>
      <c r="K5" s="38" t="s">
        <v>160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256"/>
      <c r="S5" s="284"/>
      <c r="U5" s="286"/>
      <c r="V5" s="279"/>
      <c r="W5" s="274"/>
      <c r="X5" s="172"/>
      <c r="AA5" s="256"/>
      <c r="AB5" s="256"/>
      <c r="AC5" s="256"/>
    </row>
    <row r="6" spans="2:29">
      <c r="B6" s="124" t="s">
        <v>272</v>
      </c>
      <c r="C6" s="280">
        <v>2</v>
      </c>
      <c r="D6" s="275">
        <v>43732</v>
      </c>
      <c r="E6" s="25" t="s">
        <v>153</v>
      </c>
      <c r="F6" s="25">
        <v>6305</v>
      </c>
      <c r="G6" s="53" t="s">
        <v>33</v>
      </c>
      <c r="H6" s="43">
        <v>2638</v>
      </c>
      <c r="I6" s="26">
        <v>300</v>
      </c>
      <c r="J6" s="44">
        <v>791400</v>
      </c>
      <c r="K6" s="37" t="s">
        <v>159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 t="shared" ref="P6" si="1">IF(L6 &gt;0,(H6-L6)*I6-M6-N6-O6,0)</f>
        <v>50930</v>
      </c>
      <c r="Q6" s="45">
        <f t="shared" ref="Q6:Q35" si="2">P6/J6</f>
        <v>6.4354308819812994E-2</v>
      </c>
      <c r="R6" s="261">
        <f>P6+P7</f>
        <v>37649</v>
      </c>
      <c r="S6" s="255">
        <f t="shared" ref="S6" si="3">R6/(J6+J7)</f>
        <v>2.3845082019127242E-2</v>
      </c>
      <c r="T6" s="3"/>
      <c r="U6" s="281">
        <v>43748</v>
      </c>
      <c r="V6" s="282">
        <f>DATEDIF(D6,U6,"d")</f>
        <v>16</v>
      </c>
      <c r="W6" s="273" t="s">
        <v>999</v>
      </c>
      <c r="X6" s="172"/>
      <c r="AA6" s="261">
        <f t="shared" ref="AA6" si="4">YEAR(U6)</f>
        <v>2019</v>
      </c>
      <c r="AB6" s="261">
        <f t="shared" ref="AB6" si="5">MONTH(U6)</f>
        <v>10</v>
      </c>
      <c r="AC6" s="261" t="str">
        <f>IF(R6&gt;0,"○","☓")</f>
        <v>○</v>
      </c>
    </row>
    <row r="7" spans="2:29">
      <c r="B7" s="106"/>
      <c r="C7" s="251"/>
      <c r="D7" s="263"/>
      <c r="E7" s="29" t="s">
        <v>154</v>
      </c>
      <c r="F7" s="29">
        <v>3861</v>
      </c>
      <c r="G7" s="54" t="s">
        <v>65</v>
      </c>
      <c r="H7" s="46">
        <v>525</v>
      </c>
      <c r="I7" s="30">
        <v>1500</v>
      </c>
      <c r="J7" s="47">
        <v>787500</v>
      </c>
      <c r="K7" s="38" t="s">
        <v>160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 t="shared" ref="P7" si="6">IF(L7 &gt;0,(L7-H7)*I7-M7-N7-O7,0)</f>
        <v>-13281</v>
      </c>
      <c r="Q7" s="48">
        <f t="shared" si="2"/>
        <v>-1.6864761904761903E-2</v>
      </c>
      <c r="R7" s="256"/>
      <c r="S7" s="256"/>
      <c r="T7" s="3"/>
      <c r="U7" s="281"/>
      <c r="V7" s="282"/>
      <c r="W7" s="274"/>
      <c r="X7" s="172"/>
      <c r="AA7" s="256"/>
      <c r="AB7" s="256"/>
      <c r="AC7" s="256"/>
    </row>
    <row r="8" spans="2:29">
      <c r="B8" s="124" t="s">
        <v>272</v>
      </c>
      <c r="C8" s="250">
        <f>ROW()/2-1</f>
        <v>3</v>
      </c>
      <c r="D8" s="275">
        <v>43747</v>
      </c>
      <c r="E8" s="33" t="s">
        <v>161</v>
      </c>
      <c r="F8" s="33">
        <v>3099</v>
      </c>
      <c r="G8" s="55" t="s">
        <v>64</v>
      </c>
      <c r="H8" s="49">
        <v>872</v>
      </c>
      <c r="I8" s="33">
        <v>1200</v>
      </c>
      <c r="J8" s="33">
        <f t="shared" ref="J8:J11" si="7">H8*I8</f>
        <v>1046400</v>
      </c>
      <c r="K8" s="52" t="s">
        <v>158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 t="shared" ref="P8" si="8">IF(L8 &gt;0,(H8-L8)*I8-M8-N8-O8,0)</f>
        <v>-5790</v>
      </c>
      <c r="Q8" s="45">
        <f t="shared" si="2"/>
        <v>-5.5332568807339453E-3</v>
      </c>
      <c r="R8" s="254">
        <f>P8+P9</f>
        <v>63304</v>
      </c>
      <c r="S8" s="276">
        <f>R8/(J8+J9)</f>
        <v>3.0952474085663994E-2</v>
      </c>
      <c r="U8" s="277">
        <v>43753</v>
      </c>
      <c r="V8" s="251">
        <f t="shared" ref="V8" si="9">DATEDIF(D8,U8,"d")</f>
        <v>6</v>
      </c>
      <c r="W8" s="264" t="s">
        <v>1001</v>
      </c>
      <c r="X8" s="172"/>
      <c r="AA8" s="261">
        <f t="shared" ref="AA8:AA10" si="10">YEAR(U8)</f>
        <v>2019</v>
      </c>
      <c r="AB8" s="261">
        <f t="shared" ref="AB8" si="11">MONTH(U8)</f>
        <v>10</v>
      </c>
      <c r="AC8" s="261" t="str">
        <f t="shared" ref="AC8:AC10" si="12">IF(R8&gt;0,"○","☓")</f>
        <v>○</v>
      </c>
    </row>
    <row r="9" spans="2:29">
      <c r="B9" s="106"/>
      <c r="C9" s="251"/>
      <c r="D9" s="263">
        <v>43747</v>
      </c>
      <c r="E9" s="29" t="s">
        <v>154</v>
      </c>
      <c r="F9" s="29">
        <v>7211</v>
      </c>
      <c r="G9" s="54" t="s">
        <v>30</v>
      </c>
      <c r="H9" s="46">
        <v>454</v>
      </c>
      <c r="I9" s="46">
        <v>2200</v>
      </c>
      <c r="J9" s="47">
        <f t="shared" si="7"/>
        <v>998800</v>
      </c>
      <c r="K9" s="38" t="s">
        <v>158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 t="shared" ref="P9" si="13">IF(L9 &gt;0,(L9-H9)*I9-M9-N9-O9,0)</f>
        <v>69094</v>
      </c>
      <c r="Q9" s="48">
        <f t="shared" si="2"/>
        <v>6.9177012414897876E-2</v>
      </c>
      <c r="R9" s="254"/>
      <c r="S9" s="256"/>
      <c r="U9" s="257"/>
      <c r="V9" s="248"/>
      <c r="W9" s="248"/>
      <c r="X9" s="172"/>
      <c r="AA9" s="256"/>
      <c r="AB9" s="256"/>
      <c r="AC9" s="256"/>
    </row>
    <row r="10" spans="2:29">
      <c r="B10" s="124" t="s">
        <v>272</v>
      </c>
      <c r="C10" s="250">
        <f>ROW()/2-1</f>
        <v>4</v>
      </c>
      <c r="D10" s="275">
        <v>43753</v>
      </c>
      <c r="E10" s="128" t="s">
        <v>153</v>
      </c>
      <c r="F10" s="33">
        <v>7453</v>
      </c>
      <c r="G10" s="55" t="s">
        <v>104</v>
      </c>
      <c r="H10" s="49">
        <v>2127</v>
      </c>
      <c r="I10" s="33">
        <v>500</v>
      </c>
      <c r="J10" s="33">
        <f t="shared" si="7"/>
        <v>1063500</v>
      </c>
      <c r="K10" s="52" t="s">
        <v>158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 t="shared" ref="P10" si="14">IF(L10 &gt;0,(H10-L10)*I10-M10-N10-O10,0)</f>
        <v>-86526</v>
      </c>
      <c r="Q10" s="45">
        <f t="shared" si="2"/>
        <v>-8.1359661495063476E-2</v>
      </c>
      <c r="R10" s="254">
        <f>P10+P11</f>
        <v>-93238.000000000029</v>
      </c>
      <c r="S10" s="255">
        <f t="shared" ref="S10" si="15">R10/(J10+J11)</f>
        <v>-4.3839777316989466E-2</v>
      </c>
      <c r="U10" s="288">
        <v>43759</v>
      </c>
      <c r="V10" s="248">
        <f>DATEDIF(D10,U10,"d")</f>
        <v>6</v>
      </c>
      <c r="W10" s="289" t="s">
        <v>277</v>
      </c>
      <c r="X10" s="172" t="s">
        <v>294</v>
      </c>
      <c r="AA10" s="261">
        <f t="shared" si="10"/>
        <v>2019</v>
      </c>
      <c r="AB10" s="261">
        <f t="shared" ref="AB10" si="16">MONTH(U10)</f>
        <v>10</v>
      </c>
      <c r="AC10" s="271" t="str">
        <f t="shared" si="12"/>
        <v>☓</v>
      </c>
    </row>
    <row r="11" spans="2:29">
      <c r="B11" s="106"/>
      <c r="C11" s="251"/>
      <c r="D11" s="263">
        <v>43748</v>
      </c>
      <c r="E11" s="129" t="s">
        <v>154</v>
      </c>
      <c r="F11" s="29">
        <v>8308</v>
      </c>
      <c r="G11" s="54" t="s">
        <v>102</v>
      </c>
      <c r="H11" s="46">
        <v>462.3</v>
      </c>
      <c r="I11" s="46">
        <v>2300</v>
      </c>
      <c r="J11" s="47">
        <f t="shared" si="7"/>
        <v>1063290</v>
      </c>
      <c r="K11" s="38" t="s">
        <v>158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 t="shared" ref="P11" si="17">IF(L11 &gt;0,(L11-H11)*I11-M11-N11-O11,0)</f>
        <v>-6712.0000000000264</v>
      </c>
      <c r="Q11" s="48">
        <f t="shared" si="2"/>
        <v>-6.3124829538508086E-3</v>
      </c>
      <c r="R11" s="254"/>
      <c r="S11" s="256"/>
      <c r="U11" s="277"/>
      <c r="V11" s="248"/>
      <c r="W11" s="289"/>
      <c r="X11" s="172" t="s">
        <v>295</v>
      </c>
      <c r="AA11" s="256"/>
      <c r="AB11" s="256"/>
      <c r="AC11" s="272"/>
    </row>
    <row r="12" spans="2:29">
      <c r="B12" s="124" t="s">
        <v>272</v>
      </c>
      <c r="C12" s="280">
        <f>ROW()/2-1</f>
        <v>5</v>
      </c>
      <c r="D12" s="262">
        <v>43742</v>
      </c>
      <c r="E12" s="25" t="s">
        <v>153</v>
      </c>
      <c r="F12" s="25">
        <v>8750</v>
      </c>
      <c r="G12" s="53" t="s">
        <v>32</v>
      </c>
      <c r="H12" s="43">
        <v>1635</v>
      </c>
      <c r="I12" s="26">
        <v>600</v>
      </c>
      <c r="J12" s="44">
        <f>H12*I12</f>
        <v>981000</v>
      </c>
      <c r="K12" s="37" t="s">
        <v>159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 t="shared" ref="P12" si="18">IF(L12 &gt;0,(H12-L12)*I12-M12-N12-O12,0)</f>
        <v>-65172</v>
      </c>
      <c r="Q12" s="45">
        <f t="shared" si="2"/>
        <v>-6.6434250764525998E-2</v>
      </c>
      <c r="R12" s="287">
        <f>P12+P13</f>
        <v>-11052.999999999898</v>
      </c>
      <c r="S12" s="276">
        <f>R12/(J12+J13)</f>
        <v>-5.6554672757562954E-3</v>
      </c>
      <c r="U12" s="288">
        <v>43759</v>
      </c>
      <c r="V12" s="248">
        <f>DATEDIF(D12,U12,"d")</f>
        <v>17</v>
      </c>
      <c r="W12" s="270" t="s">
        <v>999</v>
      </c>
      <c r="X12" s="172"/>
      <c r="AA12" s="261">
        <f t="shared" ref="AA12" si="19">YEAR(U12)</f>
        <v>2019</v>
      </c>
      <c r="AB12" s="261">
        <f t="shared" ref="AB12" si="20">MONTH(U12)</f>
        <v>10</v>
      </c>
      <c r="AC12" s="271" t="str">
        <f t="shared" ref="AC12" si="21">IF(R12&gt;0,"○","☓")</f>
        <v>☓</v>
      </c>
    </row>
    <row r="13" spans="2:29">
      <c r="B13" s="106"/>
      <c r="C13" s="251"/>
      <c r="D13" s="263"/>
      <c r="E13" s="29" t="s">
        <v>154</v>
      </c>
      <c r="F13" s="29">
        <v>8002</v>
      </c>
      <c r="G13" s="54" t="s">
        <v>31</v>
      </c>
      <c r="H13" s="46">
        <v>695.28</v>
      </c>
      <c r="I13" s="30">
        <v>1400</v>
      </c>
      <c r="J13" s="47">
        <f>H13*I13</f>
        <v>973392</v>
      </c>
      <c r="K13" s="174" t="s">
        <v>1009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2"/>
        <v>5.5598361194667822E-2</v>
      </c>
      <c r="R13" s="254"/>
      <c r="S13" s="256"/>
      <c r="U13" s="277"/>
      <c r="V13" s="248"/>
      <c r="W13" s="270"/>
      <c r="AA13" s="256"/>
      <c r="AB13" s="256"/>
      <c r="AC13" s="272"/>
    </row>
    <row r="14" spans="2:29" s="106" customFormat="1">
      <c r="B14" s="124" t="s">
        <v>272</v>
      </c>
      <c r="C14" s="250">
        <f>ROW()/2-1</f>
        <v>6</v>
      </c>
      <c r="D14" s="262">
        <v>43745</v>
      </c>
      <c r="E14" s="33" t="s">
        <v>153</v>
      </c>
      <c r="F14" s="33">
        <v>6770</v>
      </c>
      <c r="G14" s="55" t="s">
        <v>26</v>
      </c>
      <c r="H14" s="49">
        <v>2105</v>
      </c>
      <c r="I14" s="34">
        <v>400</v>
      </c>
      <c r="J14" s="50">
        <f t="shared" ref="J14:J19" si="22">H14*I14</f>
        <v>842000</v>
      </c>
      <c r="K14" s="39" t="s">
        <v>159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 t="shared" ref="P14" si="23">IF(L14 &gt;0,(H14-L14)*I14-M14-N14-O14,0)</f>
        <v>-17281</v>
      </c>
      <c r="Q14" s="45">
        <f t="shared" si="2"/>
        <v>-2.052375296912114E-2</v>
      </c>
      <c r="R14" s="254">
        <f>P14+P15</f>
        <v>-1197.0000000000437</v>
      </c>
      <c r="S14" s="255">
        <f t="shared" ref="S14" si="24">R14/(J14+J15)</f>
        <v>-7.1541831052504275E-4</v>
      </c>
      <c r="U14" s="257">
        <v>43761</v>
      </c>
      <c r="V14" s="248">
        <f t="shared" ref="V14" si="25">DATEDIF(D14,U14,"d")</f>
        <v>16</v>
      </c>
      <c r="W14" s="270" t="s">
        <v>999</v>
      </c>
      <c r="X14" s="172"/>
      <c r="AA14" s="261">
        <f t="shared" ref="AA14" si="26">YEAR(U14)</f>
        <v>2019</v>
      </c>
      <c r="AB14" s="261">
        <f t="shared" ref="AB14" si="27">MONTH(U14)</f>
        <v>10</v>
      </c>
      <c r="AC14" s="271" t="str">
        <f t="shared" ref="AC14" si="28">IF(R14&gt;0,"○","☓")</f>
        <v>☓</v>
      </c>
    </row>
    <row r="15" spans="2:29" s="106" customFormat="1">
      <c r="C15" s="251"/>
      <c r="D15" s="263">
        <v>43745</v>
      </c>
      <c r="E15" s="29" t="s">
        <v>154</v>
      </c>
      <c r="F15" s="29">
        <v>8601</v>
      </c>
      <c r="G15" s="54" t="s">
        <v>27</v>
      </c>
      <c r="H15" s="46">
        <v>488.91</v>
      </c>
      <c r="I15" s="30">
        <v>1700</v>
      </c>
      <c r="J15" s="47">
        <f t="shared" si="22"/>
        <v>831147</v>
      </c>
      <c r="K15" s="174" t="s">
        <v>144</v>
      </c>
      <c r="L15" s="41">
        <v>499</v>
      </c>
      <c r="M15" s="31">
        <f>487+582</f>
        <v>1069</v>
      </c>
      <c r="N15" s="170">
        <v>0</v>
      </c>
      <c r="O15" s="170">
        <v>0</v>
      </c>
      <c r="P15" s="29">
        <f t="shared" ref="P15" si="29">IF(L15 &gt;0,(L15-H15)*I15-M15-N15-O15,0)</f>
        <v>16083.999999999956</v>
      </c>
      <c r="Q15" s="48">
        <f t="shared" si="2"/>
        <v>1.9351570781101245E-2</v>
      </c>
      <c r="R15" s="254"/>
      <c r="S15" s="256"/>
      <c r="U15" s="248"/>
      <c r="V15" s="248"/>
      <c r="W15" s="270"/>
      <c r="AA15" s="256"/>
      <c r="AB15" s="256"/>
      <c r="AC15" s="272"/>
    </row>
    <row r="16" spans="2:29" s="106" customFormat="1">
      <c r="B16" s="124" t="s">
        <v>272</v>
      </c>
      <c r="C16" s="250">
        <f>ROW()/2-1</f>
        <v>7</v>
      </c>
      <c r="D16" s="262">
        <v>43745</v>
      </c>
      <c r="E16" s="33" t="s">
        <v>153</v>
      </c>
      <c r="F16" s="33">
        <v>5803</v>
      </c>
      <c r="G16" s="55" t="s">
        <v>28</v>
      </c>
      <c r="H16" s="49">
        <v>413</v>
      </c>
      <c r="I16" s="34">
        <v>1700</v>
      </c>
      <c r="J16" s="50">
        <f t="shared" si="22"/>
        <v>702100</v>
      </c>
      <c r="K16" s="39" t="s">
        <v>159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 t="shared" ref="P16" si="30">IF(L16 &gt;0,(H16-L16)*I16-M16-N16-O16,0)</f>
        <v>-79414</v>
      </c>
      <c r="Q16" s="45">
        <f t="shared" si="2"/>
        <v>-0.11310924369747899</v>
      </c>
      <c r="R16" s="254">
        <f>P16+P17</f>
        <v>-16483</v>
      </c>
      <c r="S16" s="255">
        <f>R16/(J16+J17)</f>
        <v>-1.1926054554663194E-2</v>
      </c>
      <c r="U16" s="257">
        <v>43761</v>
      </c>
      <c r="V16" s="248">
        <f t="shared" ref="V16" si="31">DATEDIF(D16,U16,"d")</f>
        <v>16</v>
      </c>
      <c r="W16" s="270" t="s">
        <v>999</v>
      </c>
      <c r="X16" s="172"/>
      <c r="AA16" s="261">
        <f t="shared" ref="AA16" si="32">YEAR(U16)</f>
        <v>2019</v>
      </c>
      <c r="AB16" s="261">
        <f t="shared" ref="AB16" si="33">MONTH(U16)</f>
        <v>10</v>
      </c>
      <c r="AC16" s="271" t="str">
        <f t="shared" ref="AC16" si="34">IF(R16&gt;0,"○","☓")</f>
        <v>☓</v>
      </c>
    </row>
    <row r="17" spans="2:29" s="106" customFormat="1">
      <c r="C17" s="251"/>
      <c r="D17" s="263">
        <v>43745</v>
      </c>
      <c r="E17" s="29" t="s">
        <v>154</v>
      </c>
      <c r="F17" s="29">
        <v>7259</v>
      </c>
      <c r="G17" s="54" t="s">
        <v>29</v>
      </c>
      <c r="H17" s="46">
        <v>3400</v>
      </c>
      <c r="I17" s="46">
        <v>200</v>
      </c>
      <c r="J17" s="47">
        <f t="shared" si="22"/>
        <v>680000</v>
      </c>
      <c r="K17" s="174" t="s">
        <v>144</v>
      </c>
      <c r="L17" s="41">
        <v>3720</v>
      </c>
      <c r="M17" s="31">
        <f>487+582</f>
        <v>1069</v>
      </c>
      <c r="N17" s="170">
        <v>0</v>
      </c>
      <c r="O17" s="170">
        <v>0</v>
      </c>
      <c r="P17" s="29">
        <f t="shared" ref="P17" si="35">IF(L17 &gt;0,(L17-H17)*I17-M17-N17-O17,0)</f>
        <v>62931</v>
      </c>
      <c r="Q17" s="48">
        <f t="shared" si="2"/>
        <v>9.2545588235294116E-2</v>
      </c>
      <c r="R17" s="254"/>
      <c r="S17" s="256"/>
      <c r="U17" s="248"/>
      <c r="V17" s="248"/>
      <c r="W17" s="270"/>
      <c r="AA17" s="256"/>
      <c r="AB17" s="256"/>
      <c r="AC17" s="272"/>
    </row>
    <row r="18" spans="2:29" s="106" customFormat="1">
      <c r="B18" s="124" t="s">
        <v>272</v>
      </c>
      <c r="C18" s="250">
        <f>ROW()/2-1</f>
        <v>8</v>
      </c>
      <c r="D18" s="262">
        <v>43748</v>
      </c>
      <c r="E18" s="33" t="s">
        <v>153</v>
      </c>
      <c r="F18" s="33">
        <v>7186</v>
      </c>
      <c r="G18" s="55" t="s">
        <v>155</v>
      </c>
      <c r="H18" s="49">
        <v>410</v>
      </c>
      <c r="I18" s="33">
        <v>1800</v>
      </c>
      <c r="J18" s="33">
        <f t="shared" si="22"/>
        <v>738000</v>
      </c>
      <c r="K18" s="52" t="s">
        <v>158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 t="shared" ref="P18" si="36">IF(L18 &gt;0,(H18-L18)*I18-M18-N18-O18,0)</f>
        <v>-63675</v>
      </c>
      <c r="Q18" s="45">
        <f t="shared" si="2"/>
        <v>-8.6280487804878042E-2</v>
      </c>
      <c r="R18" s="254">
        <f>P18+P19</f>
        <v>-4757</v>
      </c>
      <c r="S18" s="255">
        <f t="shared" ref="S18" si="37">R18/(J18+J19)</f>
        <v>-3.2102847887704143E-3</v>
      </c>
      <c r="U18" s="257">
        <v>43767</v>
      </c>
      <c r="V18" s="248">
        <f t="shared" ref="V18" si="38">DATEDIF(D18,U18,"d")</f>
        <v>19</v>
      </c>
      <c r="W18" s="270" t="s">
        <v>999</v>
      </c>
      <c r="X18" s="346"/>
      <c r="AA18" s="261">
        <f t="shared" ref="AA18" si="39">YEAR(U18)</f>
        <v>2019</v>
      </c>
      <c r="AB18" s="261">
        <f t="shared" ref="AB18" si="40">MONTH(U18)</f>
        <v>10</v>
      </c>
      <c r="AC18" s="271" t="str">
        <f t="shared" ref="AC18" si="41">IF(R18&gt;0,"○","☓")</f>
        <v>☓</v>
      </c>
    </row>
    <row r="19" spans="2:29" s="106" customFormat="1">
      <c r="C19" s="251"/>
      <c r="D19" s="263">
        <v>43748</v>
      </c>
      <c r="E19" s="29" t="s">
        <v>154</v>
      </c>
      <c r="F19" s="29">
        <v>8309</v>
      </c>
      <c r="G19" s="54" t="s">
        <v>156</v>
      </c>
      <c r="H19" s="46">
        <v>3719</v>
      </c>
      <c r="I19" s="46">
        <v>200</v>
      </c>
      <c r="J19" s="47">
        <f t="shared" si="22"/>
        <v>743800</v>
      </c>
      <c r="K19" s="38" t="s">
        <v>158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 t="shared" ref="P19" si="42">IF(L19 &gt;0,(L19-H19)*I19-M19-N19-O19,0)</f>
        <v>58918</v>
      </c>
      <c r="Q19" s="48">
        <f t="shared" si="2"/>
        <v>7.9212153804786231E-2</v>
      </c>
      <c r="R19" s="254"/>
      <c r="S19" s="256"/>
      <c r="U19" s="248"/>
      <c r="V19" s="248"/>
      <c r="W19" s="270"/>
      <c r="X19" s="346"/>
      <c r="AA19" s="256"/>
      <c r="AB19" s="256"/>
      <c r="AC19" s="272"/>
    </row>
    <row r="20" spans="2:29">
      <c r="B20" s="124" t="s">
        <v>272</v>
      </c>
      <c r="C20" s="250">
        <f>ROW()/2-1</f>
        <v>9</v>
      </c>
      <c r="D20" s="262">
        <v>43782</v>
      </c>
      <c r="E20" s="33" t="s">
        <v>153</v>
      </c>
      <c r="F20" s="33">
        <v>1820</v>
      </c>
      <c r="G20" s="55" t="s">
        <v>121</v>
      </c>
      <c r="H20" s="49">
        <v>2431</v>
      </c>
      <c r="I20" s="33">
        <v>400</v>
      </c>
      <c r="J20" s="50">
        <f t="shared" ref="J20:J27" si="43">H20*I20</f>
        <v>972400</v>
      </c>
      <c r="K20" s="52" t="s">
        <v>158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 t="shared" ref="P20" si="44">IF(L20 &gt;0,(H20-L20)*I20-M20-N20-O20,0)</f>
        <v>21396</v>
      </c>
      <c r="Q20" s="45">
        <f t="shared" si="2"/>
        <v>2.2003290826820239E-2</v>
      </c>
      <c r="R20" s="254">
        <f>P20+P21</f>
        <v>485995</v>
      </c>
      <c r="S20" s="255">
        <f>R20/(J20+J21)</f>
        <v>0.25451000559299347</v>
      </c>
      <c r="U20" s="257">
        <v>43789</v>
      </c>
      <c r="V20" s="248">
        <f>DATEDIF(D20,U20,"d")</f>
        <v>7</v>
      </c>
      <c r="W20" s="264" t="s">
        <v>296</v>
      </c>
      <c r="X20" s="347" t="s">
        <v>834</v>
      </c>
      <c r="AA20" s="261">
        <f t="shared" ref="AA20" si="45">YEAR(U20)</f>
        <v>2019</v>
      </c>
      <c r="AB20" s="261">
        <f t="shared" ref="AB20" si="46">MONTH(U20)</f>
        <v>11</v>
      </c>
      <c r="AC20" s="261" t="str">
        <f t="shared" ref="AC20" si="47">IF(R20&gt;0,"○","☓")</f>
        <v>○</v>
      </c>
    </row>
    <row r="21" spans="2:29">
      <c r="B21" s="106"/>
      <c r="C21" s="251"/>
      <c r="D21" s="263">
        <v>43748</v>
      </c>
      <c r="E21" s="29" t="s">
        <v>154</v>
      </c>
      <c r="F21" s="29">
        <v>4508</v>
      </c>
      <c r="G21" s="54" t="s">
        <v>307</v>
      </c>
      <c r="H21" s="46">
        <v>1338.76</v>
      </c>
      <c r="I21" s="46">
        <v>700</v>
      </c>
      <c r="J21" s="47">
        <f t="shared" si="43"/>
        <v>937132</v>
      </c>
      <c r="K21" s="174" t="s">
        <v>144</v>
      </c>
      <c r="L21" s="41">
        <v>2004</v>
      </c>
      <c r="M21" s="31">
        <f>487+582</f>
        <v>1069</v>
      </c>
      <c r="N21" s="170">
        <v>0</v>
      </c>
      <c r="O21" s="170">
        <v>0</v>
      </c>
      <c r="P21" s="29">
        <f t="shared" ref="P21" si="48">IF(L21 &gt;0,(L21-H21)*I21-M21-N21-O21,0)</f>
        <v>464599</v>
      </c>
      <c r="Q21" s="48">
        <f t="shared" si="2"/>
        <v>0.49576687168936712</v>
      </c>
      <c r="R21" s="254"/>
      <c r="S21" s="256"/>
      <c r="U21" s="248"/>
      <c r="V21" s="248"/>
      <c r="W21" s="248"/>
      <c r="X21" s="106" t="s">
        <v>833</v>
      </c>
      <c r="AA21" s="256"/>
      <c r="AB21" s="256"/>
      <c r="AC21" s="256"/>
    </row>
    <row r="22" spans="2:29" s="106" customFormat="1">
      <c r="B22" s="124" t="s">
        <v>272</v>
      </c>
      <c r="C22" s="250">
        <f>ROW()/2-1</f>
        <v>10</v>
      </c>
      <c r="D22" s="262">
        <v>43782</v>
      </c>
      <c r="E22" s="33" t="s">
        <v>153</v>
      </c>
      <c r="F22" s="33">
        <v>8002</v>
      </c>
      <c r="G22" s="55" t="s">
        <v>31</v>
      </c>
      <c r="H22" s="49">
        <v>814</v>
      </c>
      <c r="I22" s="33">
        <v>1300</v>
      </c>
      <c r="J22" s="50">
        <f t="shared" si="43"/>
        <v>1058200</v>
      </c>
      <c r="K22" s="52" t="s">
        <v>158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 t="shared" ref="P22" si="49">IF(L22 &gt;0,(H22-L22)*I22-M22-N22-O22,0)</f>
        <v>24749.999999999971</v>
      </c>
      <c r="Q22" s="45">
        <f t="shared" si="2"/>
        <v>2.3388773388773362E-2</v>
      </c>
      <c r="R22" s="254">
        <f>P22+P23</f>
        <v>60240.999999999913</v>
      </c>
      <c r="S22" s="255">
        <f>R22/(J22+J23)</f>
        <v>2.8847737807914758E-2</v>
      </c>
      <c r="U22" s="257">
        <v>43790</v>
      </c>
      <c r="V22" s="248">
        <f>DATEDIF(D22,U22,"d")</f>
        <v>8</v>
      </c>
      <c r="W22" s="264" t="s">
        <v>296</v>
      </c>
      <c r="X22" s="172"/>
      <c r="AA22" s="261">
        <f t="shared" ref="AA22" si="50">YEAR(U22)</f>
        <v>2019</v>
      </c>
      <c r="AB22" s="261">
        <f t="shared" ref="AB22" si="51">MONTH(U22)</f>
        <v>11</v>
      </c>
      <c r="AC22" s="261" t="str">
        <f t="shared" ref="AC22" si="52">IF(R22&gt;0,"○","☓")</f>
        <v>○</v>
      </c>
    </row>
    <row r="23" spans="2:29" s="106" customFormat="1">
      <c r="C23" s="251"/>
      <c r="D23" s="263">
        <v>43748</v>
      </c>
      <c r="E23" s="29" t="s">
        <v>154</v>
      </c>
      <c r="F23" s="29">
        <v>8601</v>
      </c>
      <c r="G23" s="54" t="s">
        <v>27</v>
      </c>
      <c r="H23" s="46">
        <v>515.02</v>
      </c>
      <c r="I23" s="46">
        <v>2000</v>
      </c>
      <c r="J23" s="47">
        <f t="shared" si="43"/>
        <v>1030040</v>
      </c>
      <c r="K23" s="174" t="s">
        <v>144</v>
      </c>
      <c r="L23" s="41">
        <v>533.29999999999995</v>
      </c>
      <c r="M23" s="31">
        <f>487+582</f>
        <v>1069</v>
      </c>
      <c r="N23" s="130">
        <v>0</v>
      </c>
      <c r="O23" s="170">
        <v>0</v>
      </c>
      <c r="P23" s="29">
        <f t="shared" ref="P23" si="53">IF(L23 &gt;0,(L23-H23)*I23-M23-N23-O23,0)</f>
        <v>35490.999999999942</v>
      </c>
      <c r="Q23" s="48">
        <f t="shared" si="2"/>
        <v>3.4455943458506409E-2</v>
      </c>
      <c r="R23" s="254"/>
      <c r="S23" s="256"/>
      <c r="U23" s="248"/>
      <c r="V23" s="248"/>
      <c r="W23" s="248"/>
      <c r="AA23" s="256"/>
      <c r="AB23" s="256"/>
      <c r="AC23" s="256"/>
    </row>
    <row r="24" spans="2:29" s="106" customFormat="1">
      <c r="B24" s="124" t="s">
        <v>272</v>
      </c>
      <c r="C24" s="250">
        <f>ROW()/2-1</f>
        <v>11</v>
      </c>
      <c r="D24" s="262">
        <v>43783</v>
      </c>
      <c r="E24" s="33" t="s">
        <v>153</v>
      </c>
      <c r="F24" s="33">
        <v>3105</v>
      </c>
      <c r="G24" s="55" t="s">
        <v>90</v>
      </c>
      <c r="H24" s="49">
        <v>970</v>
      </c>
      <c r="I24" s="33">
        <v>1100</v>
      </c>
      <c r="J24" s="50">
        <f t="shared" si="43"/>
        <v>1067000</v>
      </c>
      <c r="K24" s="52" t="s">
        <v>158</v>
      </c>
      <c r="L24" s="49">
        <v>999</v>
      </c>
      <c r="M24" s="33">
        <f t="shared" ref="M24:M30" si="54">700+35+35</f>
        <v>770</v>
      </c>
      <c r="N24" s="33">
        <v>514</v>
      </c>
      <c r="O24" s="52">
        <v>165</v>
      </c>
      <c r="P24" s="25">
        <f t="shared" ref="P24" si="55">IF(L24 &gt;0,(H24-L24)*I24-M24-N24-O24,0)</f>
        <v>-33349</v>
      </c>
      <c r="Q24" s="45">
        <f t="shared" si="2"/>
        <v>-3.1254920337394562E-2</v>
      </c>
      <c r="R24" s="254">
        <f>P24+P25</f>
        <v>-59214</v>
      </c>
      <c r="S24" s="255">
        <f>R24/(J24+J25)</f>
        <v>-2.7894290559638213E-2</v>
      </c>
      <c r="U24" s="257">
        <v>43798</v>
      </c>
      <c r="V24" s="248">
        <f>DATEDIF(D24,U24,"d")</f>
        <v>15</v>
      </c>
      <c r="W24" s="268" t="s">
        <v>277</v>
      </c>
      <c r="X24" s="172"/>
      <c r="AA24" s="261">
        <f t="shared" ref="AA24" si="56">YEAR(U24)</f>
        <v>2019</v>
      </c>
      <c r="AB24" s="261">
        <f t="shared" ref="AB24" si="57">MONTH(U24)</f>
        <v>11</v>
      </c>
      <c r="AC24" s="261" t="str">
        <f t="shared" ref="AC24" si="58">IF(R24&gt;0,"○","☓")</f>
        <v>☓</v>
      </c>
    </row>
    <row r="25" spans="2:29" s="106" customFormat="1">
      <c r="C25" s="251"/>
      <c r="D25" s="263">
        <v>43748</v>
      </c>
      <c r="E25" s="29" t="s">
        <v>154</v>
      </c>
      <c r="F25" s="29">
        <v>6301</v>
      </c>
      <c r="G25" s="54" t="s">
        <v>109</v>
      </c>
      <c r="H25" s="46">
        <v>2639.5</v>
      </c>
      <c r="I25" s="46">
        <v>400</v>
      </c>
      <c r="J25" s="47">
        <f t="shared" si="43"/>
        <v>1055800</v>
      </c>
      <c r="K25" s="38" t="s">
        <v>144</v>
      </c>
      <c r="L25" s="41">
        <v>2580</v>
      </c>
      <c r="M25" s="31">
        <f t="shared" si="54"/>
        <v>770</v>
      </c>
      <c r="N25" s="131">
        <v>1295</v>
      </c>
      <c r="O25" s="131">
        <v>0</v>
      </c>
      <c r="P25" s="29">
        <f t="shared" ref="P25" si="59">IF(L25 &gt;0,(L25-H25)*I25-M25-N25-O25,0)</f>
        <v>-25865</v>
      </c>
      <c r="Q25" s="48">
        <f t="shared" si="2"/>
        <v>-2.4498010986929341E-2</v>
      </c>
      <c r="R25" s="254"/>
      <c r="S25" s="256"/>
      <c r="U25" s="248"/>
      <c r="V25" s="248"/>
      <c r="W25" s="269"/>
      <c r="X25" s="172"/>
      <c r="AA25" s="256"/>
      <c r="AB25" s="256"/>
      <c r="AC25" s="256"/>
    </row>
    <row r="26" spans="2:29" s="106" customFormat="1">
      <c r="B26" s="124" t="s">
        <v>272</v>
      </c>
      <c r="C26" s="250">
        <f>ROW()/2-1</f>
        <v>12</v>
      </c>
      <c r="D26" s="262">
        <v>43784</v>
      </c>
      <c r="E26" s="33" t="s">
        <v>153</v>
      </c>
      <c r="F26" s="33">
        <v>6770</v>
      </c>
      <c r="G26" s="55" t="s">
        <v>26</v>
      </c>
      <c r="H26" s="49">
        <v>2386</v>
      </c>
      <c r="I26" s="33">
        <v>400</v>
      </c>
      <c r="J26" s="50">
        <f t="shared" si="43"/>
        <v>954400</v>
      </c>
      <c r="K26" s="52" t="s">
        <v>1010</v>
      </c>
      <c r="L26" s="49">
        <v>2446</v>
      </c>
      <c r="M26" s="33">
        <f t="shared" si="54"/>
        <v>770</v>
      </c>
      <c r="N26" s="33">
        <v>320</v>
      </c>
      <c r="O26" s="52">
        <v>488</v>
      </c>
      <c r="P26" s="25">
        <f t="shared" ref="P26" si="60">IF(L26 &gt;0,(H26-L26)*I26-M26-N26-O26,0)</f>
        <v>-25578</v>
      </c>
      <c r="Q26" s="45">
        <f t="shared" si="2"/>
        <v>-2.680008382229673E-2</v>
      </c>
      <c r="R26" s="254">
        <f>P26+P27</f>
        <v>-23558</v>
      </c>
      <c r="S26" s="255">
        <f>R26/(J26+J27)</f>
        <v>-1.2410704878305763E-2</v>
      </c>
      <c r="U26" s="257">
        <v>43802</v>
      </c>
      <c r="V26" s="248">
        <f>DATEDIF(D26,U26,"d")</f>
        <v>18</v>
      </c>
      <c r="W26" s="266" t="s">
        <v>999</v>
      </c>
      <c r="X26" s="172"/>
      <c r="AA26" s="261">
        <f t="shared" ref="AA26" si="61">YEAR(U26)</f>
        <v>2019</v>
      </c>
      <c r="AB26" s="261">
        <f t="shared" ref="AB26" si="62">MONTH(U26)</f>
        <v>12</v>
      </c>
      <c r="AC26" s="261" t="str">
        <f t="shared" ref="AC26" si="63">IF(R26&gt;0,"○","☓")</f>
        <v>☓</v>
      </c>
    </row>
    <row r="27" spans="2:29" s="106" customFormat="1">
      <c r="C27" s="251"/>
      <c r="D27" s="263">
        <v>43748</v>
      </c>
      <c r="E27" s="29" t="s">
        <v>154</v>
      </c>
      <c r="F27" s="29">
        <v>1911</v>
      </c>
      <c r="G27" s="54" t="s">
        <v>103</v>
      </c>
      <c r="H27" s="46">
        <v>1573</v>
      </c>
      <c r="I27" s="46">
        <v>600</v>
      </c>
      <c r="J27" s="47">
        <f t="shared" si="43"/>
        <v>943800</v>
      </c>
      <c r="K27" s="173" t="s">
        <v>159</v>
      </c>
      <c r="L27" s="41">
        <v>1579</v>
      </c>
      <c r="M27" s="31">
        <f t="shared" si="54"/>
        <v>770</v>
      </c>
      <c r="N27" s="132">
        <v>1230</v>
      </c>
      <c r="O27" s="132">
        <v>-420</v>
      </c>
      <c r="P27" s="29">
        <f t="shared" ref="P27" si="64">IF(L27 &gt;0,(L27-H27)*I27-M27-N27-O27,0)</f>
        <v>2020</v>
      </c>
      <c r="Q27" s="48">
        <f t="shared" si="2"/>
        <v>2.1402839584657766E-3</v>
      </c>
      <c r="R27" s="254"/>
      <c r="S27" s="256"/>
      <c r="U27" s="248"/>
      <c r="V27" s="248"/>
      <c r="W27" s="267"/>
      <c r="X27" s="172"/>
      <c r="AA27" s="256"/>
      <c r="AB27" s="256"/>
      <c r="AC27" s="256"/>
    </row>
    <row r="28" spans="2:29" s="106" customFormat="1">
      <c r="B28" s="124" t="s">
        <v>272</v>
      </c>
      <c r="C28" s="250">
        <v>13</v>
      </c>
      <c r="D28" s="262">
        <v>43789</v>
      </c>
      <c r="E28" s="33" t="s">
        <v>153</v>
      </c>
      <c r="F28" s="33">
        <v>4182</v>
      </c>
      <c r="G28" s="55" t="s">
        <v>88</v>
      </c>
      <c r="H28" s="49">
        <v>1627</v>
      </c>
      <c r="I28" s="33">
        <v>600</v>
      </c>
      <c r="J28" s="50">
        <v>976200</v>
      </c>
      <c r="K28" s="52" t="s">
        <v>158</v>
      </c>
      <c r="L28" s="49">
        <v>1681</v>
      </c>
      <c r="M28" s="33">
        <f t="shared" si="54"/>
        <v>770</v>
      </c>
      <c r="N28" s="145">
        <v>558</v>
      </c>
      <c r="O28" s="52">
        <v>120</v>
      </c>
      <c r="P28" s="25">
        <f t="shared" ref="P28" si="65">IF(L28 &gt;0,(H28-L28)*I28-M28-N28-O28,0)</f>
        <v>-33848</v>
      </c>
      <c r="Q28" s="45">
        <f t="shared" si="2"/>
        <v>-3.4673222700266342E-2</v>
      </c>
      <c r="R28" s="254">
        <v>54150</v>
      </c>
      <c r="S28" s="255">
        <v>2.7799999999999998E-2</v>
      </c>
      <c r="U28" s="257">
        <v>43805</v>
      </c>
      <c r="V28" s="248">
        <v>15</v>
      </c>
      <c r="W28" s="264" t="s">
        <v>975</v>
      </c>
      <c r="X28" s="172"/>
      <c r="AA28" s="261">
        <f>YEAR(U28)</f>
        <v>2019</v>
      </c>
      <c r="AB28" s="261">
        <f>MONTH(U28)</f>
        <v>12</v>
      </c>
      <c r="AC28" s="261" t="str">
        <f>IF(R28&gt;0,"○","☓")</f>
        <v>○</v>
      </c>
    </row>
    <row r="29" spans="2:29" s="106" customFormat="1">
      <c r="C29" s="251"/>
      <c r="D29" s="263">
        <v>43748</v>
      </c>
      <c r="E29" s="29" t="s">
        <v>154</v>
      </c>
      <c r="F29" s="29">
        <v>1824</v>
      </c>
      <c r="G29" s="54" t="s">
        <v>310</v>
      </c>
      <c r="H29" s="46">
        <v>973</v>
      </c>
      <c r="I29" s="46">
        <v>1000</v>
      </c>
      <c r="J29" s="47">
        <v>973000</v>
      </c>
      <c r="K29" s="146" t="s">
        <v>158</v>
      </c>
      <c r="L29" s="41">
        <v>1062</v>
      </c>
      <c r="M29" s="31">
        <f t="shared" si="54"/>
        <v>770</v>
      </c>
      <c r="N29" s="31">
        <v>1418</v>
      </c>
      <c r="O29" s="139">
        <v>0</v>
      </c>
      <c r="P29" s="29">
        <f t="shared" ref="P29" si="66">IF(L29 &gt;0,(L29-H29)*I29-M29-N29-O29,0)</f>
        <v>86812</v>
      </c>
      <c r="Q29" s="48">
        <f t="shared" si="2"/>
        <v>8.9220966084275433E-2</v>
      </c>
      <c r="R29" s="254"/>
      <c r="S29" s="256"/>
      <c r="U29" s="248"/>
      <c r="V29" s="248"/>
      <c r="W29" s="248"/>
      <c r="X29" s="172"/>
      <c r="AA29" s="256"/>
      <c r="AB29" s="256"/>
      <c r="AC29" s="256"/>
    </row>
    <row r="30" spans="2:29" s="106" customFormat="1">
      <c r="B30" s="124" t="s">
        <v>272</v>
      </c>
      <c r="C30" s="250">
        <v>14</v>
      </c>
      <c r="D30" s="262">
        <v>43790</v>
      </c>
      <c r="E30" s="33" t="s">
        <v>153</v>
      </c>
      <c r="F30" s="33">
        <v>6995</v>
      </c>
      <c r="G30" s="55" t="s">
        <v>91</v>
      </c>
      <c r="H30" s="49">
        <v>2050</v>
      </c>
      <c r="I30" s="33">
        <v>500</v>
      </c>
      <c r="J30" s="50">
        <f t="shared" ref="J30:J35" si="67">H30*I30</f>
        <v>1025000</v>
      </c>
      <c r="K30" s="52" t="s">
        <v>158</v>
      </c>
      <c r="L30" s="49">
        <v>2176</v>
      </c>
      <c r="M30" s="33">
        <f t="shared" si="54"/>
        <v>770</v>
      </c>
      <c r="N30" s="145">
        <f>IF(OR(K30="現物",J30=0),0,IF(E30="売",J30*Fee_Refer!$B$12/365*V30, J30*Fee_Refer!$B$11/365*#REF!))</f>
        <v>556.02739726027391</v>
      </c>
      <c r="O30" s="52">
        <v>92</v>
      </c>
      <c r="P30" s="25">
        <f t="shared" ref="P30" si="68">IF(L30 &gt;0,(H30-L30)*I30-M30-N30-O30,0)</f>
        <v>-64418.027397260274</v>
      </c>
      <c r="Q30" s="45">
        <f t="shared" si="2"/>
        <v>-6.2846855997327103E-2</v>
      </c>
      <c r="R30" s="254">
        <f>P30+P31</f>
        <v>33712.972602739726</v>
      </c>
      <c r="S30" s="255">
        <f t="shared" ref="S30" si="69">R30/(J30+J31)</f>
        <v>1.6402146834066229E-2</v>
      </c>
      <c r="U30" s="257">
        <v>43808</v>
      </c>
      <c r="V30" s="248">
        <f t="shared" ref="V30" si="70">IF(U30&gt;D30,DATEDIF(D30,U30,"d"),0)</f>
        <v>18</v>
      </c>
      <c r="W30" s="265" t="s">
        <v>1000</v>
      </c>
      <c r="AA30" s="261">
        <f>YEAR(U30)</f>
        <v>2019</v>
      </c>
      <c r="AB30" s="261">
        <f>MONTH(U30)</f>
        <v>12</v>
      </c>
      <c r="AC30" s="261" t="str">
        <f>IF(R30&gt;0,"○","☓")</f>
        <v>○</v>
      </c>
    </row>
    <row r="31" spans="2:29" s="106" customFormat="1">
      <c r="C31" s="251"/>
      <c r="D31" s="263">
        <v>43748</v>
      </c>
      <c r="E31" s="29" t="s">
        <v>154</v>
      </c>
      <c r="F31" s="29">
        <v>6472</v>
      </c>
      <c r="G31" s="54" t="s">
        <v>133</v>
      </c>
      <c r="H31" s="46">
        <v>322</v>
      </c>
      <c r="I31" s="46">
        <v>3200</v>
      </c>
      <c r="J31" s="47">
        <f t="shared" si="67"/>
        <v>1030400</v>
      </c>
      <c r="K31" s="174" t="s">
        <v>144</v>
      </c>
      <c r="L31" s="41">
        <v>353</v>
      </c>
      <c r="M31" s="31">
        <f>487+582</f>
        <v>1069</v>
      </c>
      <c r="N31" s="170">
        <v>0</v>
      </c>
      <c r="O31" s="170">
        <v>0</v>
      </c>
      <c r="P31" s="29">
        <f t="shared" ref="P31" si="71">IF(L31 &gt;0,(L31-H31)*I31-M31-N31-O31,0)</f>
        <v>98131</v>
      </c>
      <c r="Q31" s="48">
        <f t="shared" si="2"/>
        <v>9.5235830745341615E-2</v>
      </c>
      <c r="R31" s="254"/>
      <c r="S31" s="256"/>
      <c r="U31" s="248"/>
      <c r="V31" s="248"/>
      <c r="W31" s="248"/>
      <c r="AA31" s="256"/>
      <c r="AB31" s="256"/>
      <c r="AC31" s="256"/>
    </row>
    <row r="32" spans="2:29" s="106" customFormat="1">
      <c r="B32" s="124" t="s">
        <v>272</v>
      </c>
      <c r="C32" s="250">
        <v>15</v>
      </c>
      <c r="D32" s="262">
        <v>43791</v>
      </c>
      <c r="E32" s="33" t="s">
        <v>153</v>
      </c>
      <c r="F32" s="33">
        <v>8601</v>
      </c>
      <c r="G32" s="55" t="s">
        <v>27</v>
      </c>
      <c r="H32" s="49">
        <v>533.79999999999995</v>
      </c>
      <c r="I32" s="33">
        <v>2000</v>
      </c>
      <c r="J32" s="50">
        <f t="shared" si="67"/>
        <v>1067600</v>
      </c>
      <c r="K32" s="52" t="s">
        <v>158</v>
      </c>
      <c r="L32" s="49">
        <v>555</v>
      </c>
      <c r="M32" s="33">
        <f>700+35+35</f>
        <v>770</v>
      </c>
      <c r="N32" s="145">
        <f>IF(OR(K32="現物",J32=0),0,IF(E32="売",J32*Fee_Refer!$B$12/365*V32, J32*Fee_Refer!$B$11/365*#REF!))</f>
        <v>546.96219178082174</v>
      </c>
      <c r="O32" s="52">
        <v>92</v>
      </c>
      <c r="P32" s="25">
        <f t="shared" ref="P32" si="72">IF(L32 &gt;0,(H32-L32)*I32-M32-N32-O32,0)</f>
        <v>-43808.962191780913</v>
      </c>
      <c r="Q32" s="45">
        <f t="shared" si="2"/>
        <v>-4.1034996432915805E-2</v>
      </c>
      <c r="R32" s="254">
        <f>P32+P33</f>
        <v>-7387.9621917808836</v>
      </c>
      <c r="S32" s="255">
        <f t="shared" ref="S32" si="73">R32/(J32+J33)</f>
        <v>-3.4469872261972761E-3</v>
      </c>
      <c r="U32" s="257">
        <v>43808</v>
      </c>
      <c r="V32" s="248">
        <f t="shared" ref="V32" si="74">IF(U32&gt;D32,DATEDIF(D32,U32,"d"),0)</f>
        <v>17</v>
      </c>
      <c r="W32" s="265" t="s">
        <v>1000</v>
      </c>
      <c r="AA32" s="261">
        <f>YEAR(U32)</f>
        <v>2019</v>
      </c>
      <c r="AB32" s="261">
        <f>MONTH(U32)</f>
        <v>12</v>
      </c>
      <c r="AC32" s="261" t="str">
        <f>IF(R32&gt;0,"○","☓")</f>
        <v>☓</v>
      </c>
    </row>
    <row r="33" spans="2:29" s="106" customFormat="1">
      <c r="C33" s="251"/>
      <c r="D33" s="263">
        <v>43748</v>
      </c>
      <c r="E33" s="29" t="s">
        <v>154</v>
      </c>
      <c r="F33" s="29">
        <v>8308</v>
      </c>
      <c r="G33" s="54" t="s">
        <v>102</v>
      </c>
      <c r="H33" s="46">
        <v>467.7</v>
      </c>
      <c r="I33" s="46">
        <v>2300</v>
      </c>
      <c r="J33" s="47">
        <f t="shared" si="67"/>
        <v>1075710</v>
      </c>
      <c r="K33" s="174" t="s">
        <v>144</v>
      </c>
      <c r="L33" s="41">
        <v>484</v>
      </c>
      <c r="M33" s="31">
        <f>487+582</f>
        <v>1069</v>
      </c>
      <c r="N33" s="170">
        <v>0</v>
      </c>
      <c r="O33" s="170">
        <v>0</v>
      </c>
      <c r="P33" s="29">
        <f t="shared" ref="P33" si="75">IF(L33 &gt;0,(L33-H33)*I33-M33-N33-O33,0)</f>
        <v>36421.000000000029</v>
      </c>
      <c r="Q33" s="48">
        <f t="shared" si="2"/>
        <v>3.3857638211042033E-2</v>
      </c>
      <c r="R33" s="254"/>
      <c r="S33" s="256"/>
      <c r="U33" s="248"/>
      <c r="V33" s="248"/>
      <c r="W33" s="248"/>
      <c r="AA33" s="256"/>
      <c r="AB33" s="256"/>
      <c r="AC33" s="256"/>
    </row>
    <row r="34" spans="2:29" s="106" customFormat="1">
      <c r="B34" s="124" t="s">
        <v>272</v>
      </c>
      <c r="C34" s="250">
        <v>16</v>
      </c>
      <c r="D34" s="252">
        <v>43802</v>
      </c>
      <c r="E34" s="33" t="s">
        <v>260</v>
      </c>
      <c r="F34" s="33">
        <v>3861</v>
      </c>
      <c r="G34" s="55" t="s">
        <v>65</v>
      </c>
      <c r="H34" s="49">
        <v>616</v>
      </c>
      <c r="I34" s="49">
        <v>1700</v>
      </c>
      <c r="J34" s="50">
        <f t="shared" si="67"/>
        <v>1047200</v>
      </c>
      <c r="K34" s="52" t="s">
        <v>158</v>
      </c>
      <c r="L34" s="49">
        <v>630</v>
      </c>
      <c r="M34" s="33">
        <v>770</v>
      </c>
      <c r="N34" s="145">
        <f>IF(OR(K34="現物",J34=0),0,IF(E34="売",J34*Fee_Refer!$B$12/365*V34, J34*Fee_Refer!$B$11/365*#REF!))</f>
        <v>504.95123287671225</v>
      </c>
      <c r="O34" s="52">
        <v>0</v>
      </c>
      <c r="P34" s="148">
        <f>IF(L34 &gt;0,(H34-L34)*I34-M34-N34-O34,0)</f>
        <v>-25074.951232876712</v>
      </c>
      <c r="Q34" s="51">
        <f t="shared" si="2"/>
        <v>-2.3944758625741705E-2</v>
      </c>
      <c r="R34" s="254">
        <f>P34+P35</f>
        <v>29274.382465753424</v>
      </c>
      <c r="S34" s="255">
        <f t="shared" ref="S34" si="76">R34/(J34+J35)</f>
        <v>1.4002861602292846E-2</v>
      </c>
      <c r="U34" s="257">
        <v>43818</v>
      </c>
      <c r="V34" s="248">
        <f t="shared" ref="V34" si="77">IF(U34&gt;D34,DATEDIF(D34,U34,"d"),0)</f>
        <v>16</v>
      </c>
      <c r="W34" s="249" t="s">
        <v>1000</v>
      </c>
      <c r="AA34" s="261">
        <f>YEAR(U34)</f>
        <v>2019</v>
      </c>
      <c r="AB34" s="261">
        <f>MONTH(U34)</f>
        <v>12</v>
      </c>
      <c r="AC34" s="261" t="str">
        <f>IF(R34&gt;0,"○","☓")</f>
        <v>○</v>
      </c>
    </row>
    <row r="35" spans="2:29" s="106" customFormat="1">
      <c r="C35" s="251"/>
      <c r="D35" s="253">
        <v>43748</v>
      </c>
      <c r="E35" s="29" t="s">
        <v>262</v>
      </c>
      <c r="F35" s="29">
        <v>5703</v>
      </c>
      <c r="G35" s="54" t="s">
        <v>303</v>
      </c>
      <c r="H35" s="46">
        <v>222</v>
      </c>
      <c r="I35" s="46">
        <v>4700</v>
      </c>
      <c r="J35" s="47">
        <f t="shared" si="67"/>
        <v>1043400</v>
      </c>
      <c r="K35" s="146" t="s">
        <v>158</v>
      </c>
      <c r="L35" s="41">
        <v>234</v>
      </c>
      <c r="M35" s="31">
        <v>770</v>
      </c>
      <c r="N35" s="147">
        <f>IF(OR(K35="現物",J35=0),0,IF(E35="売",J35*Fee_Refer!$B$12/365*V35, J35*Fee_Refer!$B$11/365*V34))</f>
        <v>1280.666301369863</v>
      </c>
      <c r="O35" s="247">
        <v>0</v>
      </c>
      <c r="P35" s="149">
        <f>IF(L35&gt;0,(L35-H35)*I35-M35-N35-O35,0)</f>
        <v>54349.333698630136</v>
      </c>
      <c r="Q35" s="48">
        <f t="shared" si="2"/>
        <v>5.2088684779212323E-2</v>
      </c>
      <c r="R35" s="254"/>
      <c r="S35" s="256"/>
      <c r="U35" s="248"/>
      <c r="V35" s="248"/>
      <c r="W35" s="248"/>
      <c r="AA35" s="256"/>
      <c r="AB35" s="256"/>
      <c r="AC35" s="256"/>
    </row>
  </sheetData>
  <autoFilter ref="B3:AC23"/>
  <mergeCells count="160">
    <mergeCell ref="C26:C27"/>
    <mergeCell ref="D26:D27"/>
    <mergeCell ref="R26:R27"/>
    <mergeCell ref="S26:S27"/>
    <mergeCell ref="U26:U27"/>
    <mergeCell ref="AA34:AA35"/>
    <mergeCell ref="AB34:AB35"/>
    <mergeCell ref="AC34:AC35"/>
    <mergeCell ref="C24:C25"/>
    <mergeCell ref="D24:D25"/>
    <mergeCell ref="R24:R25"/>
    <mergeCell ref="S24:S25"/>
    <mergeCell ref="U24:U25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AA22:AA23"/>
    <mergeCell ref="AB22:AB23"/>
    <mergeCell ref="AC22:AC23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6:V27"/>
    <mergeCell ref="W26:W27"/>
    <mergeCell ref="V24:V25"/>
    <mergeCell ref="W24:W25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D28:D29"/>
    <mergeCell ref="R28:R29"/>
    <mergeCell ref="S28:S29"/>
    <mergeCell ref="U28:U29"/>
    <mergeCell ref="V28:V29"/>
    <mergeCell ref="W28:W29"/>
    <mergeCell ref="C30:C31"/>
    <mergeCell ref="D30:D31"/>
    <mergeCell ref="R30:R31"/>
    <mergeCell ref="S30:S31"/>
    <mergeCell ref="U30:U31"/>
    <mergeCell ref="V30:V31"/>
    <mergeCell ref="W30:W31"/>
    <mergeCell ref="C32:C33"/>
    <mergeCell ref="D32:D33"/>
    <mergeCell ref="R32:R33"/>
    <mergeCell ref="AA28:AA29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C42" sqref="C42"/>
    </sheetView>
  </sheetViews>
  <sheetFormatPr defaultRowHeight="14.25"/>
  <sheetData>
    <row r="27" spans="1:1">
      <c r="A27" s="16" t="s">
        <v>68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W14"/>
  <sheetViews>
    <sheetView showGridLines="0" zoomScaleNormal="100" workbookViewId="0">
      <selection activeCell="M13" sqref="M13"/>
    </sheetView>
  </sheetViews>
  <sheetFormatPr defaultRowHeight="14.25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>
      <c r="A1" s="169" t="s">
        <v>998</v>
      </c>
    </row>
    <row r="2" spans="1:23" ht="59.25" customHeight="1">
      <c r="A2" s="153" t="s">
        <v>976</v>
      </c>
      <c r="B2" s="154" t="s">
        <v>977</v>
      </c>
      <c r="C2" s="155" t="s">
        <v>984</v>
      </c>
      <c r="D2" s="154" t="s">
        <v>985</v>
      </c>
      <c r="E2" s="154" t="s">
        <v>986</v>
      </c>
      <c r="F2" s="155" t="s">
        <v>994</v>
      </c>
      <c r="G2" s="155" t="s">
        <v>995</v>
      </c>
      <c r="H2" s="155" t="s">
        <v>987</v>
      </c>
      <c r="I2" s="155" t="s">
        <v>988</v>
      </c>
      <c r="J2" s="155" t="s">
        <v>989</v>
      </c>
      <c r="K2" s="155" t="s">
        <v>996</v>
      </c>
      <c r="L2" s="155" t="s">
        <v>990</v>
      </c>
      <c r="M2" s="155" t="s">
        <v>978</v>
      </c>
      <c r="N2" s="155" t="s">
        <v>979</v>
      </c>
      <c r="O2" s="155" t="s">
        <v>980</v>
      </c>
      <c r="P2" s="155" t="s">
        <v>991</v>
      </c>
      <c r="Q2" s="156" t="s">
        <v>992</v>
      </c>
      <c r="R2" s="156" t="s">
        <v>981</v>
      </c>
      <c r="S2" s="157" t="s">
        <v>982</v>
      </c>
      <c r="T2" s="157" t="s">
        <v>983</v>
      </c>
      <c r="U2" s="157" t="s">
        <v>997</v>
      </c>
      <c r="V2" s="158" t="s">
        <v>993</v>
      </c>
      <c r="W2" s="152"/>
    </row>
    <row r="3" spans="1:23">
      <c r="A3" s="159">
        <v>2019</v>
      </c>
      <c r="B3" s="159">
        <v>10</v>
      </c>
      <c r="C3" s="160">
        <v>5000000</v>
      </c>
      <c r="D3" s="161">
        <v>-25615.999999999971</v>
      </c>
      <c r="E3" s="162">
        <f t="shared" ref="E3:E5" si="0">IF(D3 &lt;&gt; 0,D3/C3, 0)</f>
        <v>-5.1231999999999944E-3</v>
      </c>
      <c r="F3" s="161">
        <v>101112</v>
      </c>
      <c r="G3" s="161">
        <v>-126727.99999999997</v>
      </c>
      <c r="H3" s="159">
        <v>8</v>
      </c>
      <c r="I3" s="159">
        <v>3</v>
      </c>
      <c r="J3" s="159">
        <v>5</v>
      </c>
      <c r="K3" s="163">
        <f t="shared" ref="K3:K5" si="1">IF(H3&lt;&gt;0,I3/H3,0)</f>
        <v>0.375</v>
      </c>
      <c r="L3" s="164">
        <f t="shared" ref="L3:L5" si="2">IF(I3&lt;&gt;0,F3/I3,0)</f>
        <v>33704</v>
      </c>
      <c r="M3" s="165">
        <f t="shared" ref="M3:M5" si="3">IF(J3&lt;&gt;0,G3/J3,0)</f>
        <v>-25345.599999999995</v>
      </c>
      <c r="N3" s="166">
        <v>14</v>
      </c>
      <c r="O3" s="166">
        <v>-93238.000000000029</v>
      </c>
      <c r="P3" s="167">
        <f t="shared" ref="P3:P5" si="4">IF(C3&lt;&gt;0,O3/C3,0)</f>
        <v>-1.8647600000000007E-2</v>
      </c>
      <c r="Q3" s="168">
        <v>3</v>
      </c>
      <c r="R3" s="168">
        <v>5</v>
      </c>
      <c r="S3" s="168">
        <v>1</v>
      </c>
      <c r="T3" s="168">
        <v>1</v>
      </c>
      <c r="U3" s="168">
        <v>6</v>
      </c>
      <c r="V3" s="168">
        <f t="shared" ref="V3:V5" si="5">IF(H3&lt;&gt;0,H3-S3-T3-U3,0)</f>
        <v>0</v>
      </c>
    </row>
    <row r="4" spans="1:23">
      <c r="A4" s="159">
        <v>2019</v>
      </c>
      <c r="B4" s="159">
        <v>11</v>
      </c>
      <c r="C4" s="160">
        <f>IF(D3 &lt;&gt; 0,C3+D3, 0)</f>
        <v>4974384</v>
      </c>
      <c r="D4" s="161">
        <v>487021.99999999988</v>
      </c>
      <c r="E4" s="162">
        <f t="shared" si="0"/>
        <v>9.7905991978102194E-2</v>
      </c>
      <c r="F4" s="161">
        <v>546235.99999999988</v>
      </c>
      <c r="G4" s="161">
        <v>-59214</v>
      </c>
      <c r="H4" s="159">
        <v>3</v>
      </c>
      <c r="I4" s="159">
        <v>2</v>
      </c>
      <c r="J4" s="159">
        <v>1</v>
      </c>
      <c r="K4" s="163">
        <f t="shared" si="1"/>
        <v>0.66666666666666663</v>
      </c>
      <c r="L4" s="164">
        <f t="shared" si="2"/>
        <v>273117.99999999994</v>
      </c>
      <c r="M4" s="165">
        <f t="shared" si="3"/>
        <v>-59214</v>
      </c>
      <c r="N4" s="166">
        <v>10</v>
      </c>
      <c r="O4" s="166">
        <v>-59214</v>
      </c>
      <c r="P4" s="167">
        <f t="shared" si="4"/>
        <v>-1.190378547373906E-2</v>
      </c>
      <c r="Q4" s="168">
        <v>2</v>
      </c>
      <c r="R4" s="168">
        <v>1</v>
      </c>
      <c r="S4" s="168">
        <v>2</v>
      </c>
      <c r="T4" s="168">
        <v>1</v>
      </c>
      <c r="U4" s="168">
        <v>0</v>
      </c>
      <c r="V4" s="168">
        <f t="shared" si="5"/>
        <v>0</v>
      </c>
    </row>
    <row r="5" spans="1:23">
      <c r="A5" s="159">
        <v>2019</v>
      </c>
      <c r="B5" s="159">
        <v>12</v>
      </c>
      <c r="C5" s="160">
        <f>IF(D4 &lt;&gt; 0,C4+D4, 0)</f>
        <v>5461406</v>
      </c>
      <c r="D5" s="161">
        <v>86191.392876712271</v>
      </c>
      <c r="E5" s="162">
        <f t="shared" si="0"/>
        <v>1.5781905406174211E-2</v>
      </c>
      <c r="F5" s="161">
        <v>117137.35506849315</v>
      </c>
      <c r="G5" s="161">
        <v>-30945.962191780884</v>
      </c>
      <c r="H5" s="159">
        <v>5</v>
      </c>
      <c r="I5" s="159">
        <v>3</v>
      </c>
      <c r="J5" s="159">
        <v>2</v>
      </c>
      <c r="K5" s="163">
        <f t="shared" si="1"/>
        <v>0.6</v>
      </c>
      <c r="L5" s="164">
        <f t="shared" si="2"/>
        <v>39045.785022831049</v>
      </c>
      <c r="M5" s="165">
        <f t="shared" si="3"/>
        <v>-15472.981095890442</v>
      </c>
      <c r="N5" s="166">
        <v>16.8</v>
      </c>
      <c r="O5" s="166">
        <v>-23558</v>
      </c>
      <c r="P5" s="167">
        <f t="shared" si="4"/>
        <v>-4.3135412382818636E-3</v>
      </c>
      <c r="Q5" s="168">
        <v>2</v>
      </c>
      <c r="R5" s="168">
        <v>1</v>
      </c>
      <c r="S5" s="168">
        <v>1</v>
      </c>
      <c r="T5" s="168">
        <v>0</v>
      </c>
      <c r="U5" s="168">
        <v>4</v>
      </c>
      <c r="V5" s="168">
        <f t="shared" si="5"/>
        <v>0</v>
      </c>
    </row>
    <row r="7" spans="1:23">
      <c r="C7" s="10"/>
      <c r="D7" s="10"/>
    </row>
    <row r="14" spans="1:23">
      <c r="A14" s="16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1:W6"/>
  <sheetViews>
    <sheetView zoomScale="130" zoomScaleNormal="130" workbookViewId="0">
      <selection activeCell="E29" sqref="E29"/>
    </sheetView>
  </sheetViews>
  <sheetFormatPr defaultRowHeight="14.25"/>
  <cols>
    <col min="1" max="1" width="1.25" customWidth="1"/>
    <col min="3" max="3" width="11.125" bestFit="1" customWidth="1"/>
  </cols>
  <sheetData>
    <row r="1" spans="2:23" ht="15" thickBot="1"/>
    <row r="2" spans="2:23" s="106" customFormat="1" ht="24.75" thickBot="1">
      <c r="C2" s="58" t="s">
        <v>145</v>
      </c>
      <c r="D2" s="68" t="s">
        <v>169</v>
      </c>
      <c r="E2" s="60"/>
      <c r="F2" s="59" t="s">
        <v>69</v>
      </c>
      <c r="G2" s="61" t="s">
        <v>70</v>
      </c>
      <c r="H2" s="62" t="s">
        <v>146</v>
      </c>
      <c r="I2" s="62" t="s">
        <v>147</v>
      </c>
      <c r="J2" s="60" t="s">
        <v>22</v>
      </c>
      <c r="K2" s="60" t="s">
        <v>148</v>
      </c>
      <c r="L2" s="62" t="s">
        <v>149</v>
      </c>
      <c r="M2" s="63" t="s">
        <v>170</v>
      </c>
      <c r="N2" s="60" t="s">
        <v>150</v>
      </c>
      <c r="O2" s="63" t="s">
        <v>164</v>
      </c>
      <c r="P2" s="60" t="s">
        <v>257</v>
      </c>
      <c r="Q2" s="60" t="s">
        <v>151</v>
      </c>
      <c r="R2" s="63" t="s">
        <v>166</v>
      </c>
      <c r="S2" s="66" t="s">
        <v>167</v>
      </c>
      <c r="T2" s="65"/>
      <c r="U2" s="67" t="s">
        <v>263</v>
      </c>
      <c r="V2" s="67" t="s">
        <v>168</v>
      </c>
      <c r="W2" s="64" t="s">
        <v>165</v>
      </c>
    </row>
    <row r="3" spans="2:23" s="106" customFormat="1">
      <c r="B3" s="124" t="s">
        <v>272</v>
      </c>
      <c r="C3" s="250">
        <f>ROW()/2-1</f>
        <v>0.5</v>
      </c>
      <c r="D3" s="252">
        <v>43807</v>
      </c>
      <c r="E3" s="33" t="s">
        <v>260</v>
      </c>
      <c r="F3" s="33">
        <v>3105</v>
      </c>
      <c r="G3" s="55" t="s">
        <v>1016</v>
      </c>
      <c r="H3" s="49"/>
      <c r="I3" s="49">
        <v>1000</v>
      </c>
      <c r="J3" s="50">
        <f t="shared" ref="J3:J4" si="0">H3*I3</f>
        <v>0</v>
      </c>
      <c r="K3" s="52" t="s">
        <v>1018</v>
      </c>
      <c r="L3" s="49"/>
      <c r="M3" s="33"/>
      <c r="N3" s="145">
        <f>IF(OR(K3="現物",J3=0),0,IF(E3="売",J3*Fee_Refer!$B$12/365*V3, J3*Fee_Refer!$B$11/365*#REF!))</f>
        <v>0</v>
      </c>
      <c r="O3" s="52">
        <v>0</v>
      </c>
      <c r="P3" s="148">
        <f>IF(L3 &gt;0,(H3-L3)*I3-M3-N3-O3,0)</f>
        <v>0</v>
      </c>
      <c r="Q3" s="51" t="e">
        <f t="shared" ref="Q3:Q4" si="1">P3/J3</f>
        <v>#DIV/0!</v>
      </c>
      <c r="R3" s="254">
        <f>P3+P4</f>
        <v>0</v>
      </c>
      <c r="S3" s="255" t="e">
        <f t="shared" ref="S3" si="2">R3/(J3+J4)</f>
        <v>#DIV/0!</v>
      </c>
      <c r="U3" s="257">
        <f>$P$1</f>
        <v>0</v>
      </c>
      <c r="V3" s="248">
        <f t="shared" ref="V3" si="3">IF(U3&gt;D3,DATEDIF(D3,U3,"d"),0)</f>
        <v>0</v>
      </c>
      <c r="W3" s="249"/>
    </row>
    <row r="4" spans="2:23" s="106" customFormat="1">
      <c r="B4" s="124" t="s">
        <v>846</v>
      </c>
      <c r="C4" s="251"/>
      <c r="D4" s="253">
        <v>43748</v>
      </c>
      <c r="E4" s="29" t="s">
        <v>262</v>
      </c>
      <c r="F4" s="29">
        <v>7762</v>
      </c>
      <c r="G4" s="54" t="s">
        <v>1017</v>
      </c>
      <c r="H4" s="46"/>
      <c r="I4" s="46">
        <v>1700</v>
      </c>
      <c r="J4" s="47">
        <f t="shared" si="0"/>
        <v>0</v>
      </c>
      <c r="K4" s="146" t="s">
        <v>1018</v>
      </c>
      <c r="L4" s="41"/>
      <c r="M4" s="31"/>
      <c r="N4" s="147">
        <f>IF(OR(K4="現物",J4=0),0,IF(E4="売",J4*Fee_Refer!$B$12/365*V4, J4*Fee_Refer!$B$11/365*V3))</f>
        <v>0</v>
      </c>
      <c r="O4" s="170">
        <v>0</v>
      </c>
      <c r="P4" s="149">
        <f>IF(L4&gt;0,(L4-H4)*I4-M4-N4-O4,0)</f>
        <v>0</v>
      </c>
      <c r="Q4" s="48" t="e">
        <f t="shared" si="1"/>
        <v>#DIV/0!</v>
      </c>
      <c r="R4" s="254"/>
      <c r="S4" s="256"/>
      <c r="U4" s="248"/>
      <c r="V4" s="248"/>
      <c r="W4" s="248"/>
    </row>
    <row r="6" spans="2:23">
      <c r="C6" s="14">
        <v>43806</v>
      </c>
      <c r="D6" s="106" t="s">
        <v>1021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21"/>
  <sheetViews>
    <sheetView showGridLines="0" zoomScale="115" zoomScaleNormal="115" workbookViewId="0">
      <selection activeCell="F27" sqref="F27"/>
    </sheetView>
  </sheetViews>
  <sheetFormatPr defaultRowHeight="14.25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0</v>
      </c>
    </row>
    <row r="3" spans="1:8">
      <c r="B3" s="4" t="s">
        <v>1</v>
      </c>
      <c r="C3" s="2" t="s">
        <v>2</v>
      </c>
      <c r="F3" s="4" t="s">
        <v>15</v>
      </c>
      <c r="G3" s="11">
        <v>1000000</v>
      </c>
    </row>
    <row r="4" spans="1:8">
      <c r="B4" s="4" t="s">
        <v>3</v>
      </c>
      <c r="C4" s="5">
        <v>43737</v>
      </c>
      <c r="F4" s="4" t="s">
        <v>16</v>
      </c>
      <c r="G4" s="24">
        <v>8</v>
      </c>
    </row>
    <row r="5" spans="1:8">
      <c r="B5" s="8"/>
    </row>
    <row r="6" spans="1:8">
      <c r="A6" s="10"/>
      <c r="B6" s="9"/>
      <c r="C6" s="2" t="s">
        <v>5</v>
      </c>
      <c r="D6" s="2" t="s">
        <v>6</v>
      </c>
      <c r="F6" s="1" t="s">
        <v>17</v>
      </c>
    </row>
    <row r="7" spans="1:8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>
      <c r="B8" s="4" t="s">
        <v>7</v>
      </c>
      <c r="C8" s="19">
        <v>1.8</v>
      </c>
      <c r="D8" s="19">
        <v>3</v>
      </c>
      <c r="F8" s="4" t="s">
        <v>71</v>
      </c>
      <c r="G8" s="151">
        <v>-2.5</v>
      </c>
    </row>
    <row r="9" spans="1:8">
      <c r="B9" s="4" t="s">
        <v>8</v>
      </c>
      <c r="C9" s="19">
        <v>0.9</v>
      </c>
      <c r="D9" s="18">
        <v>1</v>
      </c>
      <c r="E9" s="1"/>
      <c r="F9" s="4" t="s">
        <v>72</v>
      </c>
      <c r="G9" s="20">
        <v>15</v>
      </c>
      <c r="H9" s="1"/>
    </row>
    <row r="10" spans="1:8">
      <c r="B10" s="4" t="s">
        <v>9</v>
      </c>
      <c r="C10" s="3">
        <v>2</v>
      </c>
      <c r="D10" s="3">
        <v>3</v>
      </c>
      <c r="E10" s="12"/>
      <c r="F10" s="4" t="s">
        <v>73</v>
      </c>
      <c r="G10" s="19">
        <v>2</v>
      </c>
      <c r="H10" s="1"/>
    </row>
    <row r="11" spans="1:8">
      <c r="B11" s="4" t="s">
        <v>10</v>
      </c>
      <c r="C11" s="2" t="s">
        <v>14</v>
      </c>
      <c r="D11" s="6"/>
      <c r="E11" s="1" t="s">
        <v>19</v>
      </c>
    </row>
    <row r="12" spans="1:8">
      <c r="B12" s="4" t="s">
        <v>11</v>
      </c>
      <c r="C12" s="2" t="s">
        <v>13</v>
      </c>
      <c r="D12" s="6"/>
    </row>
    <row r="13" spans="1:8">
      <c r="B13" s="4" t="s">
        <v>12</v>
      </c>
      <c r="C13" s="3">
        <v>200</v>
      </c>
      <c r="D13" s="6"/>
    </row>
    <row r="16" spans="1:8">
      <c r="B16" s="1"/>
    </row>
    <row r="17" spans="2:9">
      <c r="B17" s="4" t="s">
        <v>67</v>
      </c>
      <c r="C17" s="296" t="s">
        <v>1965</v>
      </c>
      <c r="D17" s="297"/>
      <c r="E17" s="297"/>
      <c r="F17" s="297"/>
      <c r="G17" s="298"/>
    </row>
    <row r="18" spans="2:9">
      <c r="B18" s="4" t="s">
        <v>66</v>
      </c>
      <c r="C18" s="292" t="str">
        <f>C17 &amp; "\master\" &amp; H18</f>
        <v>G:\Stock\pairs_trade\pair_trade\stock_data\master\master.csv</v>
      </c>
      <c r="D18" s="293"/>
      <c r="E18" s="293"/>
      <c r="F18" s="293"/>
      <c r="G18" s="293"/>
      <c r="H18" s="290" t="s">
        <v>968</v>
      </c>
      <c r="I18" s="291"/>
    </row>
    <row r="19" spans="2:9">
      <c r="B19" s="4" t="s">
        <v>338</v>
      </c>
      <c r="C19" s="294" t="str">
        <f>C17 &amp; "\master\" &amp; H19</f>
        <v>G:\Stock\pairs_trade\pair_trade\stock_data\master\fiscal_data.csv</v>
      </c>
      <c r="D19" s="295"/>
      <c r="E19" s="295"/>
      <c r="F19" s="295"/>
      <c r="G19" s="295"/>
      <c r="H19" s="290" t="s">
        <v>967</v>
      </c>
      <c r="I19" s="291"/>
    </row>
    <row r="20" spans="2:9">
      <c r="B20" s="4" t="s">
        <v>1067</v>
      </c>
      <c r="C20" s="188" t="str">
        <f>C17 &amp; "\master\" &amp; H20</f>
        <v>G:\Stock\pairs_trade\pair_trade\stock_data\master\gyakunipo_data.csv</v>
      </c>
      <c r="D20" s="189"/>
      <c r="E20" s="189"/>
      <c r="F20" s="189"/>
      <c r="G20" s="189"/>
      <c r="H20" s="290" t="s">
        <v>1068</v>
      </c>
      <c r="I20" s="291"/>
    </row>
    <row r="21" spans="2:9">
      <c r="B21" s="4" t="s">
        <v>1963</v>
      </c>
      <c r="C21" s="188" t="str">
        <f>C17 &amp; "\" &amp; H21</f>
        <v>G:\Stock\pairs_trade\pair_trade\stock_data\trade</v>
      </c>
      <c r="D21" s="189"/>
      <c r="E21" s="189"/>
      <c r="F21" s="189"/>
      <c r="G21" s="189"/>
      <c r="H21" s="290" t="s">
        <v>1964</v>
      </c>
      <c r="I21" s="291"/>
    </row>
  </sheetData>
  <mergeCells count="7">
    <mergeCell ref="H21:I21"/>
    <mergeCell ref="H20:I20"/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BP300"/>
  <sheetViews>
    <sheetView showGridLines="0" zoomScaleNormal="100" workbookViewId="0">
      <selection activeCell="T29" sqref="T29"/>
    </sheetView>
  </sheetViews>
  <sheetFormatPr defaultRowHeight="14.25"/>
  <cols>
    <col min="1" max="1" width="4" customWidth="1"/>
    <col min="2" max="2" width="4.25" style="106" customWidth="1"/>
    <col min="3" max="3" width="2.8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30" width="7.875" style="22" hidden="1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>
      <c r="L1" s="100"/>
      <c r="M1" s="100"/>
      <c r="N1" s="100"/>
    </row>
    <row r="2" spans="1:68">
      <c r="A2" s="106"/>
      <c r="E2" s="305" t="s">
        <v>1032</v>
      </c>
      <c r="F2" s="303" t="s">
        <v>1942</v>
      </c>
      <c r="G2" s="300"/>
      <c r="H2" s="300"/>
      <c r="I2" s="300"/>
      <c r="J2" s="300"/>
      <c r="K2" s="300"/>
      <c r="L2" s="185"/>
      <c r="M2" s="185"/>
      <c r="N2" s="184"/>
      <c r="O2" s="304" t="s">
        <v>278</v>
      </c>
      <c r="P2" s="300"/>
      <c r="Q2" s="300"/>
      <c r="R2" s="300"/>
      <c r="S2" s="300"/>
      <c r="T2" s="300"/>
      <c r="U2" s="300"/>
      <c r="V2" s="300"/>
      <c r="W2" s="301"/>
      <c r="X2" s="299" t="s">
        <v>1011</v>
      </c>
      <c r="Y2" s="300"/>
      <c r="Z2" s="300"/>
      <c r="AA2" s="300"/>
      <c r="AB2" s="300"/>
      <c r="AC2" s="300"/>
      <c r="AD2" s="300"/>
      <c r="AE2" s="301"/>
      <c r="AF2" s="302" t="s">
        <v>279</v>
      </c>
      <c r="AG2" s="300"/>
      <c r="AH2" s="300"/>
      <c r="AI2" s="300"/>
      <c r="AJ2" s="300"/>
      <c r="AK2" s="300"/>
      <c r="AL2" s="300"/>
      <c r="AM2" s="300"/>
      <c r="AN2" s="300"/>
      <c r="AO2" s="301"/>
      <c r="AP2" s="111" t="s">
        <v>280</v>
      </c>
      <c r="AQ2" s="112"/>
      <c r="AR2" s="112"/>
      <c r="AS2" s="113"/>
    </row>
    <row r="3" spans="1:68" s="17" customFormat="1" ht="28.5" customHeight="1" thickBot="1">
      <c r="A3" s="107"/>
      <c r="B3" s="107"/>
      <c r="C3" s="107"/>
      <c r="D3" s="107"/>
      <c r="E3" s="306"/>
      <c r="F3" s="109" t="s">
        <v>281</v>
      </c>
      <c r="G3" s="125" t="s">
        <v>282</v>
      </c>
      <c r="H3" s="125" t="s">
        <v>283</v>
      </c>
      <c r="I3" s="125" t="s">
        <v>284</v>
      </c>
      <c r="J3" s="125" t="s">
        <v>285</v>
      </c>
      <c r="K3" s="183" t="s">
        <v>337</v>
      </c>
      <c r="L3" s="183" t="s">
        <v>1031</v>
      </c>
      <c r="M3" s="183"/>
      <c r="N3" s="126"/>
      <c r="O3" s="110" t="s">
        <v>281</v>
      </c>
      <c r="P3" s="114" t="s">
        <v>282</v>
      </c>
      <c r="Q3" s="114" t="s">
        <v>283</v>
      </c>
      <c r="R3" s="114" t="s">
        <v>284</v>
      </c>
      <c r="S3" s="114" t="s">
        <v>285</v>
      </c>
      <c r="T3" s="186" t="s">
        <v>337</v>
      </c>
      <c r="U3" s="186" t="s">
        <v>1031</v>
      </c>
      <c r="V3" s="186"/>
      <c r="W3" s="115"/>
      <c r="X3" s="116" t="s">
        <v>1012</v>
      </c>
      <c r="Y3" s="117" t="s">
        <v>1013</v>
      </c>
      <c r="Z3" s="187" t="s">
        <v>1949</v>
      </c>
      <c r="AA3" s="187" t="s">
        <v>1950</v>
      </c>
      <c r="AB3" s="187" t="s">
        <v>1937</v>
      </c>
      <c r="AC3" s="117"/>
      <c r="AD3" s="117"/>
      <c r="AE3" s="118"/>
      <c r="AF3" s="119" t="s">
        <v>1938</v>
      </c>
      <c r="AG3" s="120" t="s">
        <v>286</v>
      </c>
      <c r="AH3" s="108" t="s">
        <v>287</v>
      </c>
      <c r="AI3" s="108" t="s">
        <v>288</v>
      </c>
      <c r="AJ3" s="108" t="s">
        <v>289</v>
      </c>
      <c r="AK3" s="120" t="s">
        <v>290</v>
      </c>
      <c r="AL3" s="120" t="s">
        <v>291</v>
      </c>
      <c r="AM3" s="108"/>
      <c r="AN3" s="120"/>
      <c r="AO3" s="121"/>
      <c r="AP3" s="122" t="s">
        <v>1014</v>
      </c>
      <c r="AQ3" s="123" t="s">
        <v>292</v>
      </c>
      <c r="AR3" s="123" t="s">
        <v>1015</v>
      </c>
      <c r="AS3" s="150" t="s">
        <v>293</v>
      </c>
    </row>
    <row r="4" spans="1:68">
      <c r="A4" s="124" t="s">
        <v>1064</v>
      </c>
      <c r="B4" s="124" t="s">
        <v>1066</v>
      </c>
      <c r="C4" s="124" t="s">
        <v>1065</v>
      </c>
      <c r="D4"/>
      <c r="E4">
        <v>1</v>
      </c>
      <c r="F4">
        <v>1963</v>
      </c>
      <c r="G4" s="106" t="s">
        <v>129</v>
      </c>
      <c r="H4" s="106" t="s">
        <v>78</v>
      </c>
      <c r="I4">
        <v>1780</v>
      </c>
      <c r="J4">
        <v>600</v>
      </c>
      <c r="L4" s="191">
        <v>0.15</v>
      </c>
      <c r="M4"/>
      <c r="N4"/>
      <c r="O4">
        <v>7186</v>
      </c>
      <c r="P4" s="106" t="s">
        <v>1034</v>
      </c>
      <c r="Q4" s="106" t="s">
        <v>82</v>
      </c>
      <c r="R4">
        <v>458</v>
      </c>
      <c r="S4">
        <v>2300</v>
      </c>
      <c r="T4"/>
      <c r="U4" s="191">
        <v>0.15</v>
      </c>
      <c r="V4"/>
      <c r="W4"/>
      <c r="X4">
        <v>2.0664338801727502</v>
      </c>
      <c r="Y4">
        <v>8.23</v>
      </c>
      <c r="Z4">
        <v>1068000</v>
      </c>
      <c r="AA4">
        <v>1053400</v>
      </c>
      <c r="AB4">
        <v>1.37</v>
      </c>
      <c r="AC4"/>
      <c r="AD4"/>
      <c r="AE4"/>
      <c r="AF4">
        <v>542326</v>
      </c>
      <c r="AG4">
        <v>27116</v>
      </c>
      <c r="AH4" s="133">
        <v>20</v>
      </c>
      <c r="AI4" s="133">
        <v>14</v>
      </c>
      <c r="AJ4" s="133" t="s">
        <v>2611</v>
      </c>
      <c r="AK4">
        <v>70</v>
      </c>
      <c r="AL4">
        <v>11</v>
      </c>
      <c r="AM4"/>
      <c r="AN4"/>
      <c r="AO4"/>
      <c r="AP4">
        <v>0.90394201318131495</v>
      </c>
      <c r="AQ4">
        <v>0.91073402574747397</v>
      </c>
      <c r="AR4">
        <v>9.9114508616189395E-2</v>
      </c>
      <c r="AS4">
        <v>4.6015164765562297E-5</v>
      </c>
    </row>
    <row r="5" spans="1:68" s="134" customFormat="1">
      <c r="A5" s="124" t="s">
        <v>1064</v>
      </c>
      <c r="B5" s="124" t="s">
        <v>1066</v>
      </c>
      <c r="C5" s="124" t="s">
        <v>1065</v>
      </c>
      <c r="D5"/>
      <c r="E5">
        <v>2</v>
      </c>
      <c r="F5">
        <v>1963</v>
      </c>
      <c r="G5" s="106" t="s">
        <v>129</v>
      </c>
      <c r="H5" s="106" t="s">
        <v>78</v>
      </c>
      <c r="I5">
        <v>1780</v>
      </c>
      <c r="J5">
        <v>500</v>
      </c>
      <c r="K5"/>
      <c r="L5" s="191">
        <v>0.15</v>
      </c>
      <c r="M5"/>
      <c r="N5"/>
      <c r="O5">
        <v>7272</v>
      </c>
      <c r="P5" s="106" t="s">
        <v>298</v>
      </c>
      <c r="Q5" s="106" t="s">
        <v>84</v>
      </c>
      <c r="R5">
        <v>2293</v>
      </c>
      <c r="S5">
        <v>400</v>
      </c>
      <c r="T5"/>
      <c r="U5"/>
      <c r="V5"/>
      <c r="W5"/>
      <c r="X5">
        <v>2.3349962003576801</v>
      </c>
      <c r="Y5">
        <v>5.99</v>
      </c>
      <c r="Z5">
        <v>890000</v>
      </c>
      <c r="AA5">
        <v>917200</v>
      </c>
      <c r="AB5">
        <v>2.97</v>
      </c>
      <c r="AC5"/>
      <c r="AD5"/>
      <c r="AE5"/>
      <c r="AF5">
        <v>348955</v>
      </c>
      <c r="AG5">
        <v>16617</v>
      </c>
      <c r="AH5" s="133">
        <v>21</v>
      </c>
      <c r="AI5" s="133">
        <v>14</v>
      </c>
      <c r="AJ5" s="133" t="s">
        <v>2612</v>
      </c>
      <c r="AK5">
        <v>66.67</v>
      </c>
      <c r="AL5">
        <v>10</v>
      </c>
      <c r="AM5"/>
      <c r="AN5"/>
      <c r="AO5"/>
      <c r="AP5">
        <v>0.932008244391758</v>
      </c>
      <c r="AQ5">
        <v>0.92324281459674695</v>
      </c>
      <c r="AR5">
        <v>7.1908869229467196E-2</v>
      </c>
      <c r="AS5">
        <v>2.1590781815359199E-5</v>
      </c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</row>
    <row r="6" spans="1:68" s="134" customFormat="1">
      <c r="A6" s="350" t="s">
        <v>1064</v>
      </c>
      <c r="B6" s="350" t="s">
        <v>1066</v>
      </c>
      <c r="C6" s="350" t="s">
        <v>1065</v>
      </c>
      <c r="E6" s="134">
        <v>3</v>
      </c>
      <c r="F6" s="134">
        <v>1963</v>
      </c>
      <c r="G6" s="134" t="s">
        <v>129</v>
      </c>
      <c r="H6" s="134" t="s">
        <v>78</v>
      </c>
      <c r="I6" s="134">
        <v>1780</v>
      </c>
      <c r="J6" s="134">
        <v>500</v>
      </c>
      <c r="L6" s="348">
        <v>0.15</v>
      </c>
      <c r="O6" s="348">
        <v>7267</v>
      </c>
      <c r="P6" s="134" t="s">
        <v>118</v>
      </c>
      <c r="Q6" s="134" t="s">
        <v>84</v>
      </c>
      <c r="R6" s="134">
        <v>3163</v>
      </c>
      <c r="S6" s="134">
        <v>300</v>
      </c>
      <c r="U6" s="348">
        <v>0.15</v>
      </c>
      <c r="X6" s="134">
        <v>2.06129370767772</v>
      </c>
      <c r="Y6" s="134">
        <v>7.96</v>
      </c>
      <c r="Z6" s="134">
        <v>890000</v>
      </c>
      <c r="AA6" s="134">
        <v>948900</v>
      </c>
      <c r="AB6" s="134">
        <v>6.21</v>
      </c>
      <c r="AF6" s="134">
        <v>259201</v>
      </c>
      <c r="AG6" s="134">
        <v>12960</v>
      </c>
      <c r="AH6" s="349">
        <v>20</v>
      </c>
      <c r="AI6" s="349">
        <v>13</v>
      </c>
      <c r="AJ6" s="349" t="s">
        <v>2613</v>
      </c>
      <c r="AK6" s="134">
        <v>65</v>
      </c>
      <c r="AL6" s="134">
        <v>10</v>
      </c>
      <c r="AP6" s="134">
        <v>0.92733534117206295</v>
      </c>
      <c r="AQ6" s="134">
        <v>0.91859989357041805</v>
      </c>
      <c r="AR6" s="134">
        <v>2.4876500115521401E-2</v>
      </c>
      <c r="AS6" s="134">
        <v>9.7437717632388893E-5</v>
      </c>
    </row>
    <row r="7" spans="1:68" s="134" customFormat="1">
      <c r="A7" s="124" t="s">
        <v>1064</v>
      </c>
      <c r="B7" s="124" t="s">
        <v>1066</v>
      </c>
      <c r="C7" s="124" t="s">
        <v>1065</v>
      </c>
      <c r="D7"/>
      <c r="E7">
        <v>4</v>
      </c>
      <c r="F7">
        <v>3635</v>
      </c>
      <c r="G7" s="106" t="s">
        <v>85</v>
      </c>
      <c r="H7" s="106" t="s">
        <v>79</v>
      </c>
      <c r="I7">
        <v>2820</v>
      </c>
      <c r="J7">
        <v>300</v>
      </c>
      <c r="K7"/>
      <c r="L7" s="191">
        <v>0.15</v>
      </c>
      <c r="M7"/>
      <c r="N7"/>
      <c r="O7">
        <v>8593</v>
      </c>
      <c r="P7" s="106" t="s">
        <v>309</v>
      </c>
      <c r="Q7" s="106" t="s">
        <v>297</v>
      </c>
      <c r="R7">
        <v>721</v>
      </c>
      <c r="S7">
        <v>1200</v>
      </c>
      <c r="T7"/>
      <c r="U7"/>
      <c r="V7"/>
      <c r="W7"/>
      <c r="X7">
        <v>2.1847921952250999</v>
      </c>
      <c r="Y7">
        <v>5.66</v>
      </c>
      <c r="Z7">
        <v>846000</v>
      </c>
      <c r="AA7">
        <v>865200</v>
      </c>
      <c r="AB7">
        <v>2.27</v>
      </c>
      <c r="AC7"/>
      <c r="AD7"/>
      <c r="AE7"/>
      <c r="AF7">
        <v>218633</v>
      </c>
      <c r="AG7">
        <v>12861</v>
      </c>
      <c r="AH7" s="133">
        <v>17</v>
      </c>
      <c r="AI7" s="133">
        <v>10</v>
      </c>
      <c r="AJ7" s="133" t="s">
        <v>2614</v>
      </c>
      <c r="AK7">
        <v>58.82</v>
      </c>
      <c r="AL7">
        <v>12</v>
      </c>
      <c r="AM7"/>
      <c r="AN7"/>
      <c r="AO7"/>
      <c r="AP7">
        <v>0.92076035219248298</v>
      </c>
      <c r="AQ7">
        <v>0.942864259526076</v>
      </c>
      <c r="AR7">
        <v>5.20093293536028E-2</v>
      </c>
      <c r="AS7">
        <v>6.2063580253689399E-3</v>
      </c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8" s="134" customFormat="1">
      <c r="A8" s="350" t="s">
        <v>1064</v>
      </c>
      <c r="B8" s="350" t="s">
        <v>1066</v>
      </c>
      <c r="C8" s="350" t="s">
        <v>1065</v>
      </c>
      <c r="E8" s="134">
        <v>5</v>
      </c>
      <c r="F8" s="348">
        <v>5991</v>
      </c>
      <c r="G8" s="134" t="s">
        <v>115</v>
      </c>
      <c r="H8" s="134" t="s">
        <v>116</v>
      </c>
      <c r="I8" s="134">
        <v>1029</v>
      </c>
      <c r="J8" s="134">
        <v>1000</v>
      </c>
      <c r="L8" s="348">
        <v>0.15</v>
      </c>
      <c r="O8" s="134">
        <v>4182</v>
      </c>
      <c r="P8" s="134" t="s">
        <v>88</v>
      </c>
      <c r="Q8" s="134" t="s">
        <v>62</v>
      </c>
      <c r="R8" s="134">
        <v>1693</v>
      </c>
      <c r="S8" s="134">
        <v>600</v>
      </c>
      <c r="X8" s="134">
        <v>-2.0044918939678902</v>
      </c>
      <c r="Y8" s="134">
        <v>-4.5</v>
      </c>
      <c r="Z8" s="134">
        <v>1029000</v>
      </c>
      <c r="AA8" s="134">
        <v>1015800</v>
      </c>
      <c r="AB8" s="134">
        <v>1.3</v>
      </c>
      <c r="AF8" s="134">
        <v>196981</v>
      </c>
      <c r="AG8" s="134">
        <v>10367</v>
      </c>
      <c r="AH8" s="349">
        <v>19</v>
      </c>
      <c r="AI8" s="349">
        <v>11</v>
      </c>
      <c r="AJ8" s="349" t="s">
        <v>2615</v>
      </c>
      <c r="AK8" s="134">
        <v>57.89</v>
      </c>
      <c r="AL8" s="134">
        <v>12</v>
      </c>
      <c r="AP8" s="134">
        <v>0.96780883413621699</v>
      </c>
      <c r="AQ8" s="134">
        <v>0.95947578102220799</v>
      </c>
      <c r="AR8" s="134">
        <v>1.19074089843465E-2</v>
      </c>
      <c r="AS8" s="134">
        <v>0.26631801333320898</v>
      </c>
    </row>
    <row r="9" spans="1:68" s="134" customFormat="1">
      <c r="A9" s="124" t="s">
        <v>1064</v>
      </c>
      <c r="B9" s="124" t="s">
        <v>1066</v>
      </c>
      <c r="C9" s="124" t="s">
        <v>1065</v>
      </c>
      <c r="D9"/>
      <c r="E9">
        <v>6</v>
      </c>
      <c r="F9">
        <v>6674</v>
      </c>
      <c r="G9" s="106" t="s">
        <v>327</v>
      </c>
      <c r="H9" s="106" t="s">
        <v>87</v>
      </c>
      <c r="I9">
        <v>2429</v>
      </c>
      <c r="J9">
        <v>400</v>
      </c>
      <c r="K9"/>
      <c r="L9"/>
      <c r="M9"/>
      <c r="N9"/>
      <c r="O9">
        <v>6752</v>
      </c>
      <c r="P9" s="106" t="s">
        <v>105</v>
      </c>
      <c r="Q9" s="106" t="s">
        <v>87</v>
      </c>
      <c r="R9">
        <v>1026.5</v>
      </c>
      <c r="S9">
        <v>900</v>
      </c>
      <c r="T9"/>
      <c r="U9"/>
      <c r="V9"/>
      <c r="W9"/>
      <c r="X9">
        <v>2.4360273145167399</v>
      </c>
      <c r="Y9">
        <v>8.19</v>
      </c>
      <c r="Z9">
        <v>971600</v>
      </c>
      <c r="AA9">
        <v>923850</v>
      </c>
      <c r="AB9">
        <v>4.91</v>
      </c>
      <c r="AC9"/>
      <c r="AD9"/>
      <c r="AE9"/>
      <c r="AF9">
        <v>150976</v>
      </c>
      <c r="AG9">
        <v>10065</v>
      </c>
      <c r="AH9" s="133">
        <v>15</v>
      </c>
      <c r="AI9" s="133">
        <v>9</v>
      </c>
      <c r="AJ9" s="133" t="s">
        <v>2616</v>
      </c>
      <c r="AK9">
        <v>60</v>
      </c>
      <c r="AL9">
        <v>13</v>
      </c>
      <c r="AM9"/>
      <c r="AN9"/>
      <c r="AO9"/>
      <c r="AP9">
        <v>0.95150992118835898</v>
      </c>
      <c r="AQ9">
        <v>0.910394613553834</v>
      </c>
      <c r="AR9">
        <v>1.28375829323981E-2</v>
      </c>
      <c r="AS9">
        <v>0.24223377213043801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4" customFormat="1">
      <c r="A10" s="124" t="s">
        <v>1064</v>
      </c>
      <c r="B10" s="124" t="s">
        <v>1066</v>
      </c>
      <c r="C10" s="124" t="s">
        <v>1065</v>
      </c>
      <c r="D10"/>
      <c r="E10">
        <v>7</v>
      </c>
      <c r="F10">
        <v>5802</v>
      </c>
      <c r="G10" s="106" t="s">
        <v>130</v>
      </c>
      <c r="H10" s="106" t="s">
        <v>131</v>
      </c>
      <c r="I10">
        <v>1680.5</v>
      </c>
      <c r="J10">
        <v>400</v>
      </c>
      <c r="K10"/>
      <c r="L10"/>
      <c r="M10"/>
      <c r="N10"/>
      <c r="O10">
        <v>9062</v>
      </c>
      <c r="P10" s="106" t="s">
        <v>789</v>
      </c>
      <c r="Q10" s="106" t="s">
        <v>119</v>
      </c>
      <c r="R10">
        <v>6460</v>
      </c>
      <c r="S10">
        <v>100</v>
      </c>
      <c r="T10"/>
      <c r="U10" s="191">
        <v>0.45</v>
      </c>
      <c r="V10"/>
      <c r="W10"/>
      <c r="X10">
        <v>2.1459714669810501</v>
      </c>
      <c r="Y10">
        <v>7.22</v>
      </c>
      <c r="Z10">
        <v>672200</v>
      </c>
      <c r="AA10">
        <v>646000</v>
      </c>
      <c r="AB10">
        <v>4.0599999999999996</v>
      </c>
      <c r="AC10"/>
      <c r="AD10"/>
      <c r="AE10"/>
      <c r="AF10">
        <v>146996</v>
      </c>
      <c r="AG10">
        <v>10500</v>
      </c>
      <c r="AH10" s="133">
        <v>14</v>
      </c>
      <c r="AI10" s="133">
        <v>8</v>
      </c>
      <c r="AJ10" s="133" t="s">
        <v>2617</v>
      </c>
      <c r="AK10">
        <v>57.14</v>
      </c>
      <c r="AL10">
        <v>13</v>
      </c>
      <c r="AM10"/>
      <c r="AN10"/>
      <c r="AO10"/>
      <c r="AP10">
        <v>0.91108689499755602</v>
      </c>
      <c r="AQ10">
        <v>0.91007429330794298</v>
      </c>
      <c r="AR10">
        <v>0.13357625490419101</v>
      </c>
      <c r="AS10">
        <v>1.5536770860133701E-3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4" customFormat="1">
      <c r="A11" s="124" t="s">
        <v>1064</v>
      </c>
      <c r="B11" s="124" t="s">
        <v>1066</v>
      </c>
      <c r="C11" s="124" t="s">
        <v>1065</v>
      </c>
      <c r="D11"/>
      <c r="E11">
        <v>8</v>
      </c>
      <c r="F11">
        <v>3116</v>
      </c>
      <c r="G11" s="106" t="s">
        <v>124</v>
      </c>
      <c r="H11" s="106" t="s">
        <v>84</v>
      </c>
      <c r="I11">
        <v>1846</v>
      </c>
      <c r="J11">
        <v>400</v>
      </c>
      <c r="K11" s="106" t="s">
        <v>589</v>
      </c>
      <c r="L11" s="191">
        <v>0.15</v>
      </c>
      <c r="M11"/>
      <c r="N11"/>
      <c r="O11">
        <v>6371</v>
      </c>
      <c r="P11" s="106" t="s">
        <v>108</v>
      </c>
      <c r="Q11" s="106" t="s">
        <v>99</v>
      </c>
      <c r="R11">
        <v>3925</v>
      </c>
      <c r="S11">
        <v>200</v>
      </c>
      <c r="T11"/>
      <c r="U11" s="191">
        <v>0.3</v>
      </c>
      <c r="V11"/>
      <c r="W11"/>
      <c r="X11">
        <v>2.3651675457079002</v>
      </c>
      <c r="Y11">
        <v>5.88</v>
      </c>
      <c r="Z11">
        <v>738400</v>
      </c>
      <c r="AA11">
        <v>785000</v>
      </c>
      <c r="AB11">
        <v>5.94</v>
      </c>
      <c r="AC11"/>
      <c r="AD11"/>
      <c r="AE11"/>
      <c r="AF11">
        <v>127732</v>
      </c>
      <c r="AG11">
        <v>7983</v>
      </c>
      <c r="AH11" s="133">
        <v>16</v>
      </c>
      <c r="AI11" s="133">
        <v>9</v>
      </c>
      <c r="AJ11" s="133" t="s">
        <v>2618</v>
      </c>
      <c r="AK11">
        <v>56.25</v>
      </c>
      <c r="AL11">
        <v>12</v>
      </c>
      <c r="AM11"/>
      <c r="AN11"/>
      <c r="AO11"/>
      <c r="AP11">
        <v>0.92707263765270997</v>
      </c>
      <c r="AQ11">
        <v>0.915530585729466</v>
      </c>
      <c r="AR11">
        <v>0.10862196791626801</v>
      </c>
      <c r="AS11">
        <v>1.6954155787953899E-2</v>
      </c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8" s="134" customFormat="1" ht="17.25" hidden="1" customHeight="1">
      <c r="A12" s="124" t="s">
        <v>1064</v>
      </c>
      <c r="B12" s="124" t="s">
        <v>1066</v>
      </c>
      <c r="C12" s="124" t="s">
        <v>1065</v>
      </c>
      <c r="D12"/>
      <c r="E12">
        <v>9</v>
      </c>
      <c r="F12">
        <v>3116</v>
      </c>
      <c r="G12" s="106" t="s">
        <v>124</v>
      </c>
      <c r="H12" s="106" t="s">
        <v>84</v>
      </c>
      <c r="I12">
        <v>1846</v>
      </c>
      <c r="J12">
        <v>500</v>
      </c>
      <c r="K12" s="106" t="s">
        <v>589</v>
      </c>
      <c r="L12" s="191">
        <v>0.15</v>
      </c>
      <c r="M12"/>
      <c r="N12"/>
      <c r="O12">
        <v>8002</v>
      </c>
      <c r="P12" s="106" t="s">
        <v>31</v>
      </c>
      <c r="Q12" s="106" t="s">
        <v>101</v>
      </c>
      <c r="R12">
        <v>819</v>
      </c>
      <c r="S12">
        <v>1100</v>
      </c>
      <c r="T12"/>
      <c r="U12"/>
      <c r="V12"/>
      <c r="W12"/>
      <c r="X12">
        <v>2.8114357667533798</v>
      </c>
      <c r="Y12">
        <v>6.63</v>
      </c>
      <c r="Z12">
        <v>923000</v>
      </c>
      <c r="AA12">
        <v>900900</v>
      </c>
      <c r="AB12">
        <v>2.39</v>
      </c>
      <c r="AC12"/>
      <c r="AD12"/>
      <c r="AE12"/>
      <c r="AF12">
        <v>69702</v>
      </c>
      <c r="AG12">
        <v>5362</v>
      </c>
      <c r="AH12" s="133">
        <v>13</v>
      </c>
      <c r="AI12" s="133">
        <v>5</v>
      </c>
      <c r="AJ12" s="133" t="s">
        <v>2619</v>
      </c>
      <c r="AK12">
        <v>38.46</v>
      </c>
      <c r="AL12">
        <v>16</v>
      </c>
      <c r="AM12"/>
      <c r="AN12"/>
      <c r="AO12"/>
      <c r="AP12">
        <v>0.94630915375829505</v>
      </c>
      <c r="AQ12">
        <v>0.92068927314621096</v>
      </c>
      <c r="AR12">
        <v>7.9351145454365807E-2</v>
      </c>
      <c r="AS12">
        <v>3.2812250635998602E-2</v>
      </c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8" s="134" customFormat="1" ht="17.25" hidden="1" customHeight="1">
      <c r="A13" s="350" t="s">
        <v>1064</v>
      </c>
      <c r="B13" s="350" t="s">
        <v>1066</v>
      </c>
      <c r="C13" s="350" t="s">
        <v>1065</v>
      </c>
      <c r="E13" s="134">
        <v>10</v>
      </c>
      <c r="F13" s="348">
        <v>5991</v>
      </c>
      <c r="G13" s="134" t="s">
        <v>115</v>
      </c>
      <c r="H13" s="134" t="s">
        <v>116</v>
      </c>
      <c r="I13" s="134">
        <v>1029</v>
      </c>
      <c r="J13" s="134">
        <v>1000</v>
      </c>
      <c r="L13" s="348">
        <v>0.15</v>
      </c>
      <c r="O13" s="134">
        <v>6752</v>
      </c>
      <c r="P13" s="134" t="s">
        <v>105</v>
      </c>
      <c r="Q13" s="134" t="s">
        <v>87</v>
      </c>
      <c r="R13" s="134">
        <v>1026.5</v>
      </c>
      <c r="S13" s="134">
        <v>1000</v>
      </c>
      <c r="X13" s="134">
        <v>2.4729056575075101</v>
      </c>
      <c r="Y13" s="134">
        <v>5.38</v>
      </c>
      <c r="Z13" s="134">
        <v>1029000</v>
      </c>
      <c r="AA13" s="134">
        <v>1026500</v>
      </c>
      <c r="AB13" s="134">
        <v>0.24</v>
      </c>
      <c r="AF13" s="134">
        <v>34237</v>
      </c>
      <c r="AG13" s="134">
        <v>2014</v>
      </c>
      <c r="AH13" s="349">
        <v>17</v>
      </c>
      <c r="AI13" s="349">
        <v>9</v>
      </c>
      <c r="AJ13" s="349" t="s">
        <v>2620</v>
      </c>
      <c r="AK13" s="134">
        <v>52.94</v>
      </c>
      <c r="AL13" s="134">
        <v>12</v>
      </c>
      <c r="AP13" s="134">
        <v>0.96290073218958905</v>
      </c>
      <c r="AQ13" s="134">
        <v>0.93764332285744301</v>
      </c>
      <c r="AR13" s="134">
        <v>6.8469000242928398E-3</v>
      </c>
      <c r="AS13" s="134">
        <v>0.32997169350494998</v>
      </c>
    </row>
    <row r="14" spans="1:68" s="134" customFormat="1" ht="17.25" hidden="1" customHeight="1">
      <c r="A14" s="350" t="s">
        <v>1064</v>
      </c>
      <c r="B14" s="350" t="s">
        <v>1066</v>
      </c>
      <c r="C14" s="350" t="s">
        <v>1065</v>
      </c>
      <c r="E14" s="134">
        <v>11</v>
      </c>
      <c r="F14" s="348">
        <v>5991</v>
      </c>
      <c r="G14" s="134" t="s">
        <v>115</v>
      </c>
      <c r="H14" s="134" t="s">
        <v>116</v>
      </c>
      <c r="I14" s="134">
        <v>1029</v>
      </c>
      <c r="J14" s="134">
        <v>1000</v>
      </c>
      <c r="L14" s="348">
        <v>0.15</v>
      </c>
      <c r="O14" s="134">
        <v>8002</v>
      </c>
      <c r="P14" s="134" t="s">
        <v>31</v>
      </c>
      <c r="Q14" s="134" t="s">
        <v>101</v>
      </c>
      <c r="R14" s="134">
        <v>819</v>
      </c>
      <c r="S14" s="134">
        <v>1300</v>
      </c>
      <c r="X14" s="134">
        <v>2.2328436145864301</v>
      </c>
      <c r="Y14" s="134">
        <v>6.85</v>
      </c>
      <c r="Z14" s="134">
        <v>1029000</v>
      </c>
      <c r="AA14" s="134">
        <v>1064700</v>
      </c>
      <c r="AB14" s="134">
        <v>3.47</v>
      </c>
      <c r="AF14" s="134">
        <v>10934</v>
      </c>
      <c r="AG14" s="134">
        <v>643</v>
      </c>
      <c r="AH14" s="349">
        <v>17</v>
      </c>
      <c r="AI14" s="349">
        <v>8</v>
      </c>
      <c r="AJ14" s="349" t="s">
        <v>2621</v>
      </c>
      <c r="AK14" s="134">
        <v>47.06</v>
      </c>
      <c r="AL14" s="134">
        <v>14</v>
      </c>
      <c r="AP14" s="134">
        <v>0.97496462501077197</v>
      </c>
      <c r="AQ14" s="134">
        <v>0.92715307248488199</v>
      </c>
      <c r="AR14" s="134">
        <v>2.1953602914533202E-3</v>
      </c>
      <c r="AS14" s="134">
        <v>2.8373751865444399E-2</v>
      </c>
    </row>
    <row r="15" spans="1:68" s="134" customFormat="1">
      <c r="A15" s="124" t="s">
        <v>1064</v>
      </c>
      <c r="B15" s="124" t="s">
        <v>1066</v>
      </c>
      <c r="C15" s="124" t="s">
        <v>1065</v>
      </c>
      <c r="D15"/>
      <c r="E15">
        <v>12</v>
      </c>
      <c r="F15">
        <v>6755</v>
      </c>
      <c r="G15" s="106" t="s">
        <v>1005</v>
      </c>
      <c r="H15" s="106" t="s">
        <v>87</v>
      </c>
      <c r="I15">
        <v>2427</v>
      </c>
      <c r="J15">
        <v>400</v>
      </c>
      <c r="K15"/>
      <c r="L15" s="191">
        <v>0.15</v>
      </c>
      <c r="M15"/>
      <c r="N15"/>
      <c r="O15">
        <v>6702</v>
      </c>
      <c r="P15" s="106" t="s">
        <v>329</v>
      </c>
      <c r="Q15" s="106" t="s">
        <v>87</v>
      </c>
      <c r="R15">
        <v>10265</v>
      </c>
      <c r="S15">
        <v>100</v>
      </c>
      <c r="T15"/>
      <c r="U15" s="191">
        <v>0.6</v>
      </c>
      <c r="V15"/>
      <c r="W15"/>
      <c r="X15">
        <v>-2.6171986145732</v>
      </c>
      <c r="Y15">
        <v>-12.6</v>
      </c>
      <c r="Z15">
        <v>970800</v>
      </c>
      <c r="AA15">
        <v>1026500</v>
      </c>
      <c r="AB15">
        <v>5.43</v>
      </c>
      <c r="AC15"/>
      <c r="AD15"/>
      <c r="AE15"/>
      <c r="AF15">
        <v>-16047</v>
      </c>
      <c r="AG15">
        <v>-944</v>
      </c>
      <c r="AH15" s="133">
        <v>17</v>
      </c>
      <c r="AI15" s="133">
        <v>7</v>
      </c>
      <c r="AJ15" s="133" t="s">
        <v>2622</v>
      </c>
      <c r="AK15">
        <v>41.18</v>
      </c>
      <c r="AL15">
        <v>13</v>
      </c>
      <c r="AM15"/>
      <c r="AN15"/>
      <c r="AO15"/>
      <c r="AP15">
        <v>0.90438595127264099</v>
      </c>
      <c r="AQ15">
        <v>0.92025425047985299</v>
      </c>
      <c r="AR15">
        <v>0.33721273107636102</v>
      </c>
      <c r="AS15">
        <v>3.3626730863928499E-2</v>
      </c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4" customFormat="1">
      <c r="A16" s="124" t="s">
        <v>1064</v>
      </c>
      <c r="B16" s="124" t="s">
        <v>1066</v>
      </c>
      <c r="C16" s="124" t="s">
        <v>1065</v>
      </c>
      <c r="D16"/>
      <c r="E16">
        <v>13</v>
      </c>
      <c r="F16">
        <v>7205</v>
      </c>
      <c r="G16" s="106" t="s">
        <v>117</v>
      </c>
      <c r="H16" s="106" t="s">
        <v>84</v>
      </c>
      <c r="I16">
        <v>1165</v>
      </c>
      <c r="J16">
        <v>900</v>
      </c>
      <c r="K16"/>
      <c r="L16" s="191">
        <v>0.15</v>
      </c>
      <c r="M16"/>
      <c r="N16"/>
      <c r="O16">
        <v>8002</v>
      </c>
      <c r="P16" s="106" t="s">
        <v>31</v>
      </c>
      <c r="Q16" s="106" t="s">
        <v>101</v>
      </c>
      <c r="R16">
        <v>819</v>
      </c>
      <c r="S16">
        <v>1300</v>
      </c>
      <c r="T16"/>
      <c r="U16"/>
      <c r="V16"/>
      <c r="W16"/>
      <c r="X16">
        <v>2.0517789435524798</v>
      </c>
      <c r="Y16">
        <v>8.6199999999999992</v>
      </c>
      <c r="Z16">
        <v>1048500</v>
      </c>
      <c r="AA16">
        <v>1064700</v>
      </c>
      <c r="AB16">
        <v>1.55</v>
      </c>
      <c r="AC16"/>
      <c r="AD16"/>
      <c r="AE16"/>
      <c r="AF16">
        <v>-42476</v>
      </c>
      <c r="AG16">
        <v>-2655</v>
      </c>
      <c r="AH16" s="133">
        <v>16</v>
      </c>
      <c r="AI16" s="133">
        <v>7</v>
      </c>
      <c r="AJ16" s="133" t="s">
        <v>1022</v>
      </c>
      <c r="AK16">
        <v>43.75</v>
      </c>
      <c r="AL16">
        <v>16</v>
      </c>
      <c r="AM16"/>
      <c r="AN16"/>
      <c r="AO16"/>
      <c r="AP16">
        <v>0.95775577010783997</v>
      </c>
      <c r="AQ16">
        <v>0.90654597115164803</v>
      </c>
      <c r="AR16">
        <v>7.8216385416870704E-2</v>
      </c>
      <c r="AS16">
        <v>3.54971249278302E-2</v>
      </c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</row>
    <row r="17" spans="1:68" s="134" customFormat="1">
      <c r="A17" s="124" t="s">
        <v>1064</v>
      </c>
      <c r="B17" s="124" t="s">
        <v>1066</v>
      </c>
      <c r="C17" s="124" t="s">
        <v>1065</v>
      </c>
      <c r="D17"/>
      <c r="E17">
        <v>14</v>
      </c>
      <c r="F17">
        <v>8795</v>
      </c>
      <c r="G17" s="106" t="s">
        <v>134</v>
      </c>
      <c r="H17" s="106" t="s">
        <v>110</v>
      </c>
      <c r="I17">
        <v>1429</v>
      </c>
      <c r="J17">
        <v>700</v>
      </c>
      <c r="K17"/>
      <c r="L17" s="191">
        <v>0.15</v>
      </c>
      <c r="M17"/>
      <c r="N17"/>
      <c r="O17">
        <v>6752</v>
      </c>
      <c r="P17" s="106" t="s">
        <v>105</v>
      </c>
      <c r="Q17" s="106" t="s">
        <v>87</v>
      </c>
      <c r="R17">
        <v>1026.5</v>
      </c>
      <c r="S17">
        <v>1000</v>
      </c>
      <c r="T17"/>
      <c r="U17"/>
      <c r="V17"/>
      <c r="W17"/>
      <c r="X17">
        <v>-2.5427241929664799</v>
      </c>
      <c r="Y17">
        <v>-6.91</v>
      </c>
      <c r="Z17">
        <v>1000300</v>
      </c>
      <c r="AA17">
        <v>1026500</v>
      </c>
      <c r="AB17">
        <v>2.62</v>
      </c>
      <c r="AC17"/>
      <c r="AD17"/>
      <c r="AE17"/>
      <c r="AF17">
        <v>-86216</v>
      </c>
      <c r="AG17">
        <v>-5388</v>
      </c>
      <c r="AH17" s="133">
        <v>16</v>
      </c>
      <c r="AI17" s="133">
        <v>6</v>
      </c>
      <c r="AJ17" s="133" t="s">
        <v>2623</v>
      </c>
      <c r="AK17">
        <v>37.5</v>
      </c>
      <c r="AL17">
        <v>14</v>
      </c>
      <c r="AM17"/>
      <c r="AN17"/>
      <c r="AO17"/>
      <c r="AP17">
        <v>0.91657049152672099</v>
      </c>
      <c r="AQ17">
        <v>0.911736402679867</v>
      </c>
      <c r="AR17">
        <v>2.96823251218469E-2</v>
      </c>
      <c r="AS17">
        <v>9.1991393404150593E-3</v>
      </c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>
      <c r="A18" s="124" t="s">
        <v>1064</v>
      </c>
      <c r="B18" s="124" t="s">
        <v>1066</v>
      </c>
      <c r="C18" s="124" t="s">
        <v>1065</v>
      </c>
      <c r="D18"/>
      <c r="E18">
        <v>15</v>
      </c>
      <c r="F18">
        <v>3038</v>
      </c>
      <c r="G18" s="106" t="s">
        <v>335</v>
      </c>
      <c r="H18" s="106" t="s">
        <v>101</v>
      </c>
      <c r="I18">
        <v>3765</v>
      </c>
      <c r="J18">
        <v>200</v>
      </c>
      <c r="L18"/>
      <c r="M18"/>
      <c r="N18"/>
      <c r="O18">
        <v>6098</v>
      </c>
      <c r="P18" s="106" t="s">
        <v>336</v>
      </c>
      <c r="Q18" s="106" t="s">
        <v>120</v>
      </c>
      <c r="R18">
        <v>4086</v>
      </c>
      <c r="S18">
        <v>200</v>
      </c>
      <c r="T18"/>
      <c r="U18" s="191">
        <v>0.3</v>
      </c>
      <c r="V18"/>
      <c r="W18"/>
      <c r="X18">
        <v>2.0966573559535502</v>
      </c>
      <c r="Y18">
        <v>9.5299999999999994</v>
      </c>
      <c r="Z18">
        <v>753000</v>
      </c>
      <c r="AA18">
        <v>817200</v>
      </c>
      <c r="AB18">
        <v>7.86</v>
      </c>
      <c r="AC18"/>
      <c r="AD18"/>
      <c r="AE18"/>
      <c r="AF18">
        <v>-187710</v>
      </c>
      <c r="AG18">
        <v>-8161</v>
      </c>
      <c r="AH18" s="133">
        <v>23</v>
      </c>
      <c r="AI18" s="133">
        <v>11</v>
      </c>
      <c r="AJ18" s="133" t="s">
        <v>2624</v>
      </c>
      <c r="AK18">
        <v>47.83</v>
      </c>
      <c r="AL18">
        <v>10</v>
      </c>
      <c r="AM18"/>
      <c r="AN18"/>
      <c r="AO18"/>
      <c r="AP18">
        <v>0.94261136901104703</v>
      </c>
      <c r="AQ18">
        <v>0.94081380306587803</v>
      </c>
      <c r="AR18">
        <v>0.27245343199579197</v>
      </c>
      <c r="AS18">
        <v>0.180157820419417</v>
      </c>
    </row>
    <row r="19" spans="1:68">
      <c r="B19"/>
      <c r="C19"/>
      <c r="D19"/>
      <c r="E19"/>
      <c r="F19"/>
      <c r="G19"/>
      <c r="H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68">
      <c r="B20"/>
      <c r="C20"/>
      <c r="D20"/>
      <c r="E20"/>
      <c r="F20"/>
      <c r="G20"/>
      <c r="H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68">
      <c r="B21"/>
      <c r="C21"/>
      <c r="D21"/>
      <c r="E21"/>
      <c r="F21"/>
      <c r="G21"/>
      <c r="H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68" s="134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4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>
      <c r="B24"/>
      <c r="C24"/>
      <c r="D24"/>
      <c r="E24"/>
      <c r="F24"/>
      <c r="G24"/>
      <c r="H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68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68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X777"/>
  <sheetViews>
    <sheetView showGridLines="0" zoomScaleNormal="100" workbookViewId="0">
      <selection activeCell="A7" sqref="A7"/>
    </sheetView>
  </sheetViews>
  <sheetFormatPr defaultRowHeight="14.25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>
      <c r="A1" s="135"/>
      <c r="B1" s="194" t="s">
        <v>1973</v>
      </c>
      <c r="C1" s="192">
        <v>4042</v>
      </c>
      <c r="D1" s="193" t="s">
        <v>1974</v>
      </c>
      <c r="E1" s="191"/>
      <c r="F1" s="191"/>
      <c r="G1" s="191"/>
      <c r="H1" s="195" t="s">
        <v>1975</v>
      </c>
      <c r="I1" s="137">
        <v>1951</v>
      </c>
      <c r="J1" s="138" t="s">
        <v>1976</v>
      </c>
      <c r="N1" s="175"/>
      <c r="O1" s="196">
        <v>1</v>
      </c>
      <c r="P1" s="136" t="s">
        <v>1985</v>
      </c>
      <c r="Q1" s="197">
        <v>7</v>
      </c>
      <c r="R1" s="136"/>
      <c r="T1" s="175"/>
      <c r="U1" s="136" t="s">
        <v>1939</v>
      </c>
    </row>
    <row r="2" spans="1:24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7" t="s">
        <v>1977</v>
      </c>
      <c r="X2" s="176">
        <v>-2.01129245740049</v>
      </c>
    </row>
    <row r="3" spans="1:24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8" t="s">
        <v>1978</v>
      </c>
      <c r="X3" s="176">
        <v>-6.62</v>
      </c>
    </row>
    <row r="4" spans="1:24"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8" t="s">
        <v>1979</v>
      </c>
      <c r="X4" s="176">
        <v>0.49</v>
      </c>
    </row>
    <row r="5" spans="1:24"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7" t="s">
        <v>1980</v>
      </c>
      <c r="X5" s="176">
        <v>442222</v>
      </c>
    </row>
    <row r="6" spans="1:24" ht="15" customHeight="1">
      <c r="A6" s="207" t="s">
        <v>1940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9" t="s">
        <v>1981</v>
      </c>
      <c r="X6" s="176">
        <v>0.90234379917297303</v>
      </c>
    </row>
    <row r="7" spans="1:24">
      <c r="A7" s="208">
        <v>0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9" t="s">
        <v>1982</v>
      </c>
      <c r="X7" s="176">
        <v>0.94005586292935805</v>
      </c>
    </row>
    <row r="8" spans="1:24">
      <c r="A8" s="207" t="s">
        <v>1941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7" t="s">
        <v>1983</v>
      </c>
      <c r="X8" s="176">
        <v>5.3677926905130603E-2</v>
      </c>
    </row>
    <row r="9" spans="1:24">
      <c r="A9" s="208">
        <v>0.9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7" t="s">
        <v>1984</v>
      </c>
      <c r="X9" s="176">
        <v>2.5601143161935798E-5</v>
      </c>
    </row>
    <row r="10" spans="1:24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>
      <c r="A41" s="106"/>
      <c r="B41" s="106"/>
      <c r="C41" s="106"/>
      <c r="D41" s="106"/>
      <c r="E41" s="106"/>
      <c r="F41" s="106"/>
      <c r="G41" s="106"/>
      <c r="H41" s="106"/>
      <c r="I41" s="106"/>
      <c r="J41" s="106"/>
      <c r="L41" s="106" t="s">
        <v>273</v>
      </c>
      <c r="M41" s="106" t="s">
        <v>274</v>
      </c>
      <c r="N41" s="106" t="s">
        <v>275</v>
      </c>
      <c r="O41" s="106" t="s">
        <v>276</v>
      </c>
    </row>
    <row r="42" spans="1:20">
      <c r="A42" s="14"/>
    </row>
    <row r="43" spans="1:20">
      <c r="A43" s="14"/>
    </row>
    <row r="44" spans="1:20">
      <c r="A44" s="14"/>
    </row>
    <row r="45" spans="1:20">
      <c r="A45" s="14"/>
    </row>
    <row r="46" spans="1:20">
      <c r="A46" s="14"/>
    </row>
    <row r="47" spans="1:20">
      <c r="A47" s="14"/>
    </row>
    <row r="48" spans="1:20">
      <c r="A48" s="14"/>
    </row>
    <row r="49" spans="1:1">
      <c r="A49" s="14"/>
    </row>
    <row r="50" spans="1:1">
      <c r="A50" s="14"/>
    </row>
    <row r="51" spans="1:1">
      <c r="A51" s="14"/>
    </row>
    <row r="52" spans="1:1">
      <c r="A52" s="14"/>
    </row>
    <row r="53" spans="1:1">
      <c r="A53" s="14"/>
    </row>
    <row r="54" spans="1:1">
      <c r="A54" s="14"/>
    </row>
    <row r="55" spans="1:1">
      <c r="A55" s="14"/>
    </row>
    <row r="56" spans="1:1">
      <c r="A56" s="14"/>
    </row>
    <row r="57" spans="1:1">
      <c r="A57" s="14"/>
    </row>
    <row r="58" spans="1:1">
      <c r="A58" s="14"/>
    </row>
    <row r="59" spans="1:1">
      <c r="A59" s="14"/>
    </row>
    <row r="60" spans="1:1">
      <c r="A60" s="14"/>
    </row>
    <row r="61" spans="1:1">
      <c r="A61" s="14"/>
    </row>
    <row r="62" spans="1:1">
      <c r="A62" s="14"/>
    </row>
    <row r="63" spans="1:1">
      <c r="A63" s="14"/>
    </row>
    <row r="64" spans="1:1">
      <c r="A64" s="14"/>
    </row>
    <row r="65" spans="1:1">
      <c r="A65" s="14"/>
    </row>
    <row r="66" spans="1:1">
      <c r="A66" s="14"/>
    </row>
    <row r="67" spans="1:1">
      <c r="A67" s="14"/>
    </row>
    <row r="68" spans="1:1">
      <c r="A68" s="14"/>
    </row>
    <row r="69" spans="1:1">
      <c r="A69" s="14"/>
    </row>
    <row r="70" spans="1:1">
      <c r="A70" s="14"/>
    </row>
    <row r="71" spans="1:1">
      <c r="A71" s="14"/>
    </row>
    <row r="72" spans="1:1">
      <c r="A72" s="14"/>
    </row>
    <row r="73" spans="1:1">
      <c r="A73" s="14"/>
    </row>
    <row r="74" spans="1:1">
      <c r="A74" s="14"/>
    </row>
    <row r="75" spans="1:1">
      <c r="A75" s="14"/>
    </row>
    <row r="76" spans="1:1">
      <c r="A76" s="14"/>
    </row>
    <row r="77" spans="1:1">
      <c r="A77" s="14"/>
    </row>
    <row r="78" spans="1:1">
      <c r="A78" s="14"/>
    </row>
    <row r="79" spans="1:1">
      <c r="A79" s="14"/>
    </row>
    <row r="80" spans="1:1">
      <c r="A80" s="14"/>
    </row>
    <row r="81" spans="1:1">
      <c r="A81" s="14"/>
    </row>
    <row r="82" spans="1:1">
      <c r="A82" s="14"/>
    </row>
    <row r="83" spans="1:1">
      <c r="A83" s="14"/>
    </row>
    <row r="84" spans="1:1">
      <c r="A84" s="14"/>
    </row>
    <row r="85" spans="1:1">
      <c r="A85" s="14"/>
    </row>
    <row r="86" spans="1:1">
      <c r="A86" s="14"/>
    </row>
    <row r="87" spans="1:1">
      <c r="A87" s="14"/>
    </row>
    <row r="88" spans="1:1">
      <c r="A88" s="14"/>
    </row>
    <row r="89" spans="1:1">
      <c r="A89" s="14"/>
    </row>
    <row r="90" spans="1:1">
      <c r="A90" s="14"/>
    </row>
    <row r="91" spans="1:1">
      <c r="A91" s="14"/>
    </row>
    <row r="92" spans="1:1">
      <c r="A92" s="14"/>
    </row>
    <row r="93" spans="1:1">
      <c r="A93" s="14"/>
    </row>
    <row r="94" spans="1:1">
      <c r="A94" s="14"/>
    </row>
    <row r="95" spans="1:1">
      <c r="A95" s="14"/>
    </row>
    <row r="96" spans="1:1">
      <c r="A96" s="14"/>
    </row>
    <row r="97" spans="1:1">
      <c r="A97" s="14"/>
    </row>
    <row r="98" spans="1:1">
      <c r="A98" s="14"/>
    </row>
    <row r="99" spans="1:1">
      <c r="A99" s="14"/>
    </row>
    <row r="100" spans="1:1">
      <c r="A100" s="14"/>
    </row>
    <row r="101" spans="1:1">
      <c r="A101" s="14"/>
    </row>
    <row r="102" spans="1:1">
      <c r="A102" s="14"/>
    </row>
    <row r="103" spans="1:1">
      <c r="A103" s="14"/>
    </row>
    <row r="104" spans="1:1">
      <c r="A104" s="14"/>
    </row>
    <row r="105" spans="1:1">
      <c r="A105" s="14"/>
    </row>
    <row r="106" spans="1:1">
      <c r="A106" s="14"/>
    </row>
    <row r="107" spans="1:1">
      <c r="A107" s="14"/>
    </row>
    <row r="108" spans="1:1">
      <c r="A108" s="14"/>
    </row>
    <row r="109" spans="1:1">
      <c r="A109" s="14"/>
    </row>
    <row r="110" spans="1:1">
      <c r="A110" s="14"/>
    </row>
    <row r="111" spans="1:1">
      <c r="A111" s="14"/>
    </row>
    <row r="112" spans="1:1">
      <c r="A112" s="14"/>
    </row>
    <row r="113" spans="1:1">
      <c r="A113" s="14"/>
    </row>
    <row r="114" spans="1:1">
      <c r="A114" s="14"/>
    </row>
    <row r="115" spans="1:1">
      <c r="A115" s="14"/>
    </row>
    <row r="116" spans="1:1">
      <c r="A116" s="14"/>
    </row>
    <row r="117" spans="1:1">
      <c r="A117" s="14"/>
    </row>
    <row r="118" spans="1:1">
      <c r="A118" s="14"/>
    </row>
    <row r="119" spans="1:1">
      <c r="A119" s="14"/>
    </row>
    <row r="120" spans="1:1">
      <c r="A120" s="14"/>
    </row>
    <row r="121" spans="1:1">
      <c r="A121" s="14"/>
    </row>
    <row r="122" spans="1:1">
      <c r="A122" s="14"/>
    </row>
    <row r="123" spans="1:1">
      <c r="A123" s="14"/>
    </row>
    <row r="124" spans="1:1">
      <c r="A124" s="14"/>
    </row>
    <row r="125" spans="1:1">
      <c r="A125" s="14"/>
    </row>
    <row r="126" spans="1:1">
      <c r="A126" s="14"/>
    </row>
    <row r="127" spans="1:1">
      <c r="A127" s="14"/>
    </row>
    <row r="128" spans="1:1">
      <c r="A128" s="14"/>
    </row>
    <row r="129" spans="1:9">
      <c r="A129" s="14"/>
    </row>
    <row r="130" spans="1:9">
      <c r="A130" s="14"/>
    </row>
    <row r="131" spans="1:9">
      <c r="A131" s="14"/>
    </row>
    <row r="132" spans="1:9">
      <c r="A132" s="14"/>
      <c r="I132" s="15"/>
    </row>
    <row r="133" spans="1:9">
      <c r="A133" s="14"/>
      <c r="I133" s="15"/>
    </row>
    <row r="134" spans="1:9">
      <c r="A134" s="14"/>
    </row>
    <row r="135" spans="1:9">
      <c r="A135" s="14"/>
    </row>
    <row r="136" spans="1:9">
      <c r="A136" s="14"/>
    </row>
    <row r="137" spans="1:9">
      <c r="A137" s="14"/>
    </row>
    <row r="138" spans="1:9">
      <c r="A138" s="14"/>
    </row>
    <row r="139" spans="1:9">
      <c r="A139" s="14"/>
    </row>
    <row r="140" spans="1:9">
      <c r="A140" s="14"/>
    </row>
    <row r="141" spans="1:9">
      <c r="A141" s="14"/>
    </row>
    <row r="142" spans="1:9">
      <c r="A142" s="14"/>
    </row>
    <row r="143" spans="1:9">
      <c r="A143" s="14"/>
    </row>
    <row r="144" spans="1:9">
      <c r="A144" s="14"/>
    </row>
    <row r="145" spans="1:1">
      <c r="A145" s="14"/>
    </row>
    <row r="146" spans="1:1">
      <c r="A146" s="14"/>
    </row>
    <row r="147" spans="1:1">
      <c r="A147" s="14"/>
    </row>
    <row r="148" spans="1:1">
      <c r="A148" s="14"/>
    </row>
    <row r="149" spans="1:1">
      <c r="A149" s="14"/>
    </row>
    <row r="150" spans="1:1">
      <c r="A150" s="14"/>
    </row>
    <row r="151" spans="1:1">
      <c r="A151" s="14"/>
    </row>
    <row r="152" spans="1:1">
      <c r="A152" s="14"/>
    </row>
    <row r="153" spans="1:1">
      <c r="A153" s="14"/>
    </row>
    <row r="154" spans="1:1">
      <c r="A154" s="14"/>
    </row>
    <row r="155" spans="1:1">
      <c r="A155" s="14"/>
    </row>
    <row r="156" spans="1:1">
      <c r="A156" s="14"/>
    </row>
    <row r="157" spans="1:1">
      <c r="A157" s="14"/>
    </row>
    <row r="158" spans="1:1">
      <c r="A158" s="14"/>
    </row>
    <row r="159" spans="1:1">
      <c r="A159" s="14"/>
    </row>
    <row r="160" spans="1:1">
      <c r="A160" s="14"/>
    </row>
    <row r="161" spans="1:1">
      <c r="A161" s="14"/>
    </row>
    <row r="162" spans="1:1">
      <c r="A162" s="14"/>
    </row>
    <row r="163" spans="1:1">
      <c r="A163" s="14"/>
    </row>
    <row r="164" spans="1:1">
      <c r="A164" s="14"/>
    </row>
    <row r="165" spans="1:1">
      <c r="A165" s="14"/>
    </row>
    <row r="166" spans="1:1">
      <c r="A166" s="14"/>
    </row>
    <row r="167" spans="1:1">
      <c r="A167" s="14"/>
    </row>
    <row r="168" spans="1:1">
      <c r="A168" s="14"/>
    </row>
    <row r="169" spans="1:1">
      <c r="A169" s="14"/>
    </row>
    <row r="170" spans="1:1">
      <c r="A170" s="14"/>
    </row>
    <row r="171" spans="1:1">
      <c r="A171" s="14"/>
    </row>
    <row r="172" spans="1:1">
      <c r="A172" s="14"/>
    </row>
    <row r="173" spans="1:1">
      <c r="A173" s="14"/>
    </row>
    <row r="174" spans="1:1">
      <c r="A174" s="14"/>
    </row>
    <row r="175" spans="1:1">
      <c r="A175" s="14"/>
    </row>
    <row r="176" spans="1:1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9">
      <c r="A305" s="14"/>
    </row>
    <row r="306" spans="1:9">
      <c r="A306" s="14"/>
    </row>
    <row r="307" spans="1:9">
      <c r="A307" s="14"/>
      <c r="I307" s="15"/>
    </row>
    <row r="308" spans="1:9">
      <c r="A308" s="14"/>
    </row>
    <row r="309" spans="1:9">
      <c r="A309" s="14"/>
    </row>
    <row r="310" spans="1:9">
      <c r="A310" s="14"/>
    </row>
    <row r="311" spans="1:9">
      <c r="A311" s="14"/>
    </row>
    <row r="312" spans="1:9">
      <c r="A312" s="14"/>
    </row>
    <row r="313" spans="1:9">
      <c r="A313" s="14"/>
    </row>
    <row r="314" spans="1:9">
      <c r="A314" s="14"/>
    </row>
    <row r="315" spans="1:9">
      <c r="A315" s="14"/>
    </row>
    <row r="316" spans="1:9">
      <c r="A316" s="14"/>
    </row>
    <row r="317" spans="1:9">
      <c r="A317" s="14"/>
    </row>
    <row r="318" spans="1:9">
      <c r="A318" s="14"/>
    </row>
    <row r="319" spans="1:9">
      <c r="A319" s="14"/>
    </row>
    <row r="320" spans="1:9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  <row r="331" spans="1:1">
      <c r="A331" s="14"/>
    </row>
    <row r="332" spans="1:1">
      <c r="A332" s="14"/>
    </row>
    <row r="333" spans="1:1">
      <c r="A333" s="14"/>
    </row>
    <row r="334" spans="1:1">
      <c r="A334" s="14"/>
    </row>
    <row r="335" spans="1:1">
      <c r="A335" s="14"/>
    </row>
    <row r="336" spans="1:1">
      <c r="A336" s="14"/>
    </row>
    <row r="337" spans="1:9">
      <c r="A337" s="14"/>
      <c r="I337" s="15"/>
    </row>
    <row r="338" spans="1:9">
      <c r="A338" s="14"/>
    </row>
    <row r="339" spans="1:9">
      <c r="A339" s="14"/>
    </row>
    <row r="340" spans="1:9">
      <c r="A340" s="14"/>
    </row>
    <row r="341" spans="1:9">
      <c r="A341" s="14"/>
    </row>
    <row r="342" spans="1:9">
      <c r="A342" s="14"/>
    </row>
    <row r="343" spans="1:9">
      <c r="A343" s="14"/>
    </row>
    <row r="344" spans="1:9">
      <c r="A344" s="14"/>
    </row>
    <row r="345" spans="1:9">
      <c r="A345" s="14"/>
    </row>
    <row r="346" spans="1:9">
      <c r="A346" s="14"/>
    </row>
    <row r="347" spans="1:9">
      <c r="A347" s="14"/>
    </row>
    <row r="348" spans="1:9">
      <c r="A348" s="14"/>
    </row>
    <row r="349" spans="1:9">
      <c r="A349" s="14"/>
    </row>
    <row r="350" spans="1:9">
      <c r="A350" s="14"/>
    </row>
    <row r="351" spans="1:9">
      <c r="A351" s="14"/>
    </row>
    <row r="352" spans="1:9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1">
      <c r="A369" s="14"/>
    </row>
    <row r="370" spans="1:1">
      <c r="A370" s="14"/>
    </row>
    <row r="371" spans="1:1">
      <c r="A371" s="14"/>
    </row>
    <row r="372" spans="1:1">
      <c r="A372" s="14"/>
    </row>
    <row r="373" spans="1:1">
      <c r="A373" s="14"/>
    </row>
    <row r="374" spans="1:1">
      <c r="A374" s="14"/>
    </row>
    <row r="375" spans="1:1">
      <c r="A375" s="14"/>
    </row>
    <row r="376" spans="1:1">
      <c r="A376" s="14"/>
    </row>
    <row r="377" spans="1:1">
      <c r="A377" s="14"/>
    </row>
    <row r="378" spans="1:1">
      <c r="A378" s="14"/>
    </row>
    <row r="379" spans="1:1">
      <c r="A379" s="14"/>
    </row>
    <row r="380" spans="1:1">
      <c r="A380" s="14"/>
    </row>
    <row r="381" spans="1:1">
      <c r="A381" s="14"/>
    </row>
    <row r="382" spans="1:1">
      <c r="A382" s="14"/>
    </row>
    <row r="383" spans="1:1">
      <c r="A383" s="14"/>
    </row>
    <row r="384" spans="1:1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">
      <c r="A481" s="14"/>
    </row>
    <row r="482" spans="1:1">
      <c r="A482" s="14"/>
    </row>
    <row r="483" spans="1:1">
      <c r="A483" s="14"/>
    </row>
    <row r="484" spans="1:1">
      <c r="A484" s="14"/>
    </row>
    <row r="485" spans="1:1">
      <c r="A485" s="14"/>
    </row>
    <row r="486" spans="1:1">
      <c r="A486" s="14"/>
    </row>
    <row r="487" spans="1:1">
      <c r="A487" s="14"/>
    </row>
    <row r="488" spans="1:1">
      <c r="A488" s="14"/>
    </row>
    <row r="489" spans="1:1">
      <c r="A489" s="14"/>
    </row>
    <row r="490" spans="1:1">
      <c r="A490" s="14"/>
    </row>
    <row r="491" spans="1:1">
      <c r="A491" s="14"/>
    </row>
    <row r="492" spans="1:1">
      <c r="A492" s="14"/>
    </row>
    <row r="493" spans="1:1">
      <c r="A493" s="14"/>
    </row>
    <row r="494" spans="1:1">
      <c r="A494" s="14"/>
    </row>
    <row r="495" spans="1:1">
      <c r="A495" s="14"/>
    </row>
    <row r="496" spans="1:1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">
      <c r="A529" s="14"/>
    </row>
    <row r="530" spans="1:1">
      <c r="A530" s="14"/>
    </row>
    <row r="531" spans="1:1">
      <c r="A531" s="14"/>
    </row>
    <row r="532" spans="1:1">
      <c r="A532" s="14"/>
    </row>
    <row r="533" spans="1:1">
      <c r="A533" s="14"/>
    </row>
    <row r="534" spans="1:1">
      <c r="A534" s="14"/>
    </row>
    <row r="535" spans="1:1">
      <c r="A535" s="14"/>
    </row>
    <row r="536" spans="1:1">
      <c r="A536" s="14"/>
    </row>
    <row r="537" spans="1:1">
      <c r="A537" s="14"/>
    </row>
    <row r="538" spans="1:1">
      <c r="A538" s="14"/>
    </row>
    <row r="539" spans="1:1">
      <c r="A539" s="14"/>
    </row>
    <row r="540" spans="1:1">
      <c r="A540" s="14"/>
    </row>
    <row r="541" spans="1:1">
      <c r="A541" s="14"/>
    </row>
    <row r="542" spans="1:1">
      <c r="A542" s="14"/>
    </row>
    <row r="543" spans="1:1">
      <c r="A543" s="14"/>
    </row>
    <row r="544" spans="1:1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">
      <c r="A577" s="14"/>
    </row>
    <row r="578" spans="1:1">
      <c r="A578" s="14"/>
    </row>
    <row r="579" spans="1:1">
      <c r="A579" s="14"/>
    </row>
    <row r="580" spans="1:1">
      <c r="A580" s="14"/>
    </row>
    <row r="581" spans="1:1">
      <c r="A581" s="14"/>
    </row>
    <row r="582" spans="1:1">
      <c r="A582" s="14"/>
    </row>
    <row r="583" spans="1:1">
      <c r="A583" s="14"/>
    </row>
    <row r="584" spans="1:1">
      <c r="A584" s="14"/>
    </row>
    <row r="585" spans="1:1">
      <c r="A585" s="14"/>
    </row>
    <row r="586" spans="1:1">
      <c r="A586" s="14"/>
    </row>
    <row r="587" spans="1:1">
      <c r="A587" s="14"/>
    </row>
    <row r="588" spans="1:1">
      <c r="A588" s="14"/>
    </row>
    <row r="589" spans="1:1">
      <c r="A589" s="14"/>
    </row>
    <row r="590" spans="1:1">
      <c r="A590" s="14"/>
    </row>
    <row r="591" spans="1:1">
      <c r="A591" s="14"/>
    </row>
    <row r="592" spans="1:1">
      <c r="A592" s="14"/>
    </row>
    <row r="593" spans="1:1">
      <c r="A593" s="14"/>
    </row>
    <row r="594" spans="1:1">
      <c r="A594" s="14"/>
    </row>
    <row r="595" spans="1:1">
      <c r="A595" s="14"/>
    </row>
    <row r="596" spans="1:1">
      <c r="A596" s="14"/>
    </row>
    <row r="597" spans="1:1">
      <c r="A597" s="14"/>
    </row>
    <row r="598" spans="1:1">
      <c r="A598" s="14"/>
    </row>
    <row r="599" spans="1:1">
      <c r="A599" s="14"/>
    </row>
    <row r="600" spans="1:1">
      <c r="A600" s="14"/>
    </row>
    <row r="601" spans="1:1">
      <c r="A601" s="14"/>
    </row>
    <row r="602" spans="1:1">
      <c r="A602" s="14"/>
    </row>
    <row r="603" spans="1:1">
      <c r="A603" s="14"/>
    </row>
    <row r="604" spans="1:1">
      <c r="A604" s="14"/>
    </row>
    <row r="605" spans="1:1">
      <c r="A605" s="14"/>
    </row>
    <row r="606" spans="1:1">
      <c r="A606" s="14"/>
    </row>
    <row r="607" spans="1:1">
      <c r="A607" s="14"/>
    </row>
    <row r="608" spans="1:1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</sheetData>
  <phoneticPr fontId="1" type="noConversion"/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9"/>
  <dimension ref="A1:AF821"/>
  <sheetViews>
    <sheetView showGridLines="0" topLeftCell="A7" zoomScale="70" zoomScaleNormal="70" workbookViewId="0">
      <selection activeCell="P26" sqref="P26"/>
    </sheetView>
  </sheetViews>
  <sheetFormatPr defaultRowHeight="14.25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7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0.75" style="106" customWidth="1"/>
    <col min="26" max="16384" width="9" style="106"/>
  </cols>
  <sheetData>
    <row r="1" spans="1:31" ht="22.5" customHeight="1" thickBot="1">
      <c r="A1" s="135"/>
      <c r="B1" s="194"/>
      <c r="C1" s="192"/>
      <c r="D1" s="193"/>
      <c r="E1" s="191"/>
      <c r="F1" s="191"/>
      <c r="G1" s="191"/>
      <c r="H1" s="195"/>
      <c r="I1" s="137"/>
      <c r="J1" s="138"/>
      <c r="N1" s="175"/>
      <c r="O1" s="196"/>
      <c r="P1" s="136"/>
      <c r="Q1" s="226"/>
      <c r="R1" s="227"/>
      <c r="S1" s="10"/>
      <c r="T1" s="228"/>
      <c r="U1" s="136"/>
    </row>
    <row r="2" spans="1:31" ht="33" customHeight="1" thickBot="1">
      <c r="A2" s="135"/>
      <c r="B2" s="68" t="s">
        <v>1966</v>
      </c>
      <c r="C2" s="60"/>
      <c r="D2" s="59" t="s">
        <v>69</v>
      </c>
      <c r="E2" s="61" t="s">
        <v>70</v>
      </c>
      <c r="F2" s="62" t="s">
        <v>146</v>
      </c>
      <c r="G2" s="62" t="s">
        <v>147</v>
      </c>
      <c r="H2" s="60" t="s">
        <v>22</v>
      </c>
      <c r="I2" s="60" t="s">
        <v>148</v>
      </c>
      <c r="J2" s="62" t="s">
        <v>149</v>
      </c>
      <c r="K2" s="63" t="s">
        <v>170</v>
      </c>
      <c r="L2" s="60" t="s">
        <v>150</v>
      </c>
      <c r="M2" s="63" t="s">
        <v>164</v>
      </c>
      <c r="N2" s="60" t="s">
        <v>257</v>
      </c>
      <c r="O2" s="60" t="s">
        <v>151</v>
      </c>
      <c r="P2" s="63" t="s">
        <v>166</v>
      </c>
      <c r="Q2" s="66" t="s">
        <v>167</v>
      </c>
      <c r="R2" s="66" t="s">
        <v>1967</v>
      </c>
      <c r="S2" s="10"/>
      <c r="T2" s="10"/>
      <c r="U2" s="10"/>
    </row>
    <row r="3" spans="1:31" ht="22.5" customHeight="1">
      <c r="A3" s="135"/>
      <c r="B3" s="242">
        <v>43809</v>
      </c>
      <c r="C3" s="36" t="s">
        <v>153</v>
      </c>
      <c r="D3" s="36">
        <v>6471</v>
      </c>
      <c r="E3" s="229" t="s">
        <v>1992</v>
      </c>
      <c r="F3" s="230">
        <v>1067</v>
      </c>
      <c r="G3" s="230">
        <v>1000</v>
      </c>
      <c r="H3" s="231">
        <f t="shared" ref="H3:H4" si="0">F3*G3</f>
        <v>1067000</v>
      </c>
      <c r="I3" s="232" t="s">
        <v>1994</v>
      </c>
      <c r="J3" s="230">
        <v>1064</v>
      </c>
      <c r="K3" s="36">
        <v>770</v>
      </c>
      <c r="L3" s="233">
        <f>IF(OR(I3="現物",H3=0),0,IF(C3="売",H3*Fee_Refer!$B$12/365*T3, H3*Fee_Refer!$B$11/365*#REF!))</f>
        <v>0</v>
      </c>
      <c r="M3" s="232">
        <v>92</v>
      </c>
      <c r="N3" s="234">
        <v>1940.5945205479452</v>
      </c>
      <c r="O3" s="235">
        <v>1.8187390070739881E-3</v>
      </c>
      <c r="P3" s="254">
        <v>-8380.572602739725</v>
      </c>
      <c r="Q3" s="255">
        <v>-3.8888967994151857E-3</v>
      </c>
      <c r="R3" s="254">
        <v>9</v>
      </c>
      <c r="S3" s="10"/>
      <c r="T3" s="10"/>
      <c r="U3" s="10"/>
    </row>
    <row r="4" spans="1:31" ht="22.5" customHeight="1">
      <c r="A4" s="135"/>
      <c r="B4" s="29"/>
      <c r="C4" s="225" t="s">
        <v>154</v>
      </c>
      <c r="D4" s="225">
        <v>6473</v>
      </c>
      <c r="E4" s="236" t="s">
        <v>1993</v>
      </c>
      <c r="F4" s="237">
        <v>1360</v>
      </c>
      <c r="G4" s="237">
        <v>800</v>
      </c>
      <c r="H4" s="238">
        <f t="shared" si="0"/>
        <v>1088000</v>
      </c>
      <c r="I4" s="239" t="s">
        <v>1994</v>
      </c>
      <c r="J4" s="240">
        <v>1349</v>
      </c>
      <c r="K4" s="31">
        <v>770</v>
      </c>
      <c r="L4" s="147">
        <f>IF(OR(I4="現物",H4=0),0,IF(C4="売",H4*Fee_Refer!$B$12/365*T4, H4*Fee_Refer!$B$11/365*T3))</f>
        <v>0</v>
      </c>
      <c r="M4" s="225">
        <v>408</v>
      </c>
      <c r="N4" s="223">
        <v>-10321.167123287671</v>
      </c>
      <c r="O4" s="224">
        <v>-9.4863668412570497E-3</v>
      </c>
      <c r="P4" s="254"/>
      <c r="Q4" s="255"/>
      <c r="R4" s="254"/>
      <c r="S4" s="10"/>
      <c r="T4" s="10"/>
      <c r="U4" s="10"/>
    </row>
    <row r="5" spans="1:31" ht="22.5" customHeight="1" thickBot="1">
      <c r="A5" s="135"/>
      <c r="B5" s="194"/>
      <c r="C5" s="192"/>
      <c r="D5" s="193"/>
      <c r="E5" s="191"/>
      <c r="F5" s="191"/>
      <c r="G5" s="191"/>
      <c r="H5" s="195"/>
      <c r="I5" s="137"/>
      <c r="J5" s="138"/>
      <c r="N5" s="175"/>
      <c r="O5" s="196"/>
      <c r="P5" s="136"/>
      <c r="Q5" s="226"/>
    </row>
    <row r="6" spans="1:31"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97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>
      <c r="A8" s="207" t="s">
        <v>1953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>
      <c r="A9" s="243" t="s">
        <v>1972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>
      <c r="A10" s="207" t="s">
        <v>1940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>
      <c r="A11" s="208">
        <v>0.82379825571060916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>
      <c r="A12" s="207" t="s">
        <v>1941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>
      <c r="A13" s="208">
        <v>0.69373878021168012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9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>
      <c r="A35" s="244">
        <f>B3</f>
        <v>43809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>
      <c r="A36" s="244">
        <f>B3</f>
        <v>43809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>
      <c r="A37" s="245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>
      <c r="A38" s="246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>
      <c r="A39" s="10"/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94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>
      <c r="A45" s="106">
        <v>0.74750575594781277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>
      <c r="A47" s="106">
        <v>1188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>
      <c r="A49" s="106">
        <v>825.99386032233315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>
      <c r="A80" s="241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>
      <c r="A81" s="106" t="s">
        <v>969</v>
      </c>
      <c r="B81" s="106" t="s">
        <v>1986</v>
      </c>
      <c r="C81" s="106" t="s">
        <v>1987</v>
      </c>
      <c r="D81" s="106" t="s">
        <v>1988</v>
      </c>
      <c r="E81" s="106" t="s">
        <v>1989</v>
      </c>
      <c r="F81" s="106" t="s">
        <v>970</v>
      </c>
      <c r="G81" s="106" t="s">
        <v>971</v>
      </c>
      <c r="H81" s="106" t="s">
        <v>972</v>
      </c>
      <c r="I81" s="106" t="s">
        <v>973</v>
      </c>
      <c r="J81" s="106" t="s">
        <v>974</v>
      </c>
      <c r="K81" s="106" t="s">
        <v>46</v>
      </c>
      <c r="L81" s="106" t="s">
        <v>48</v>
      </c>
      <c r="M81" s="106" t="s">
        <v>47</v>
      </c>
      <c r="N81" s="106" t="s">
        <v>49</v>
      </c>
      <c r="P81" s="106" t="s">
        <v>273</v>
      </c>
      <c r="Q81" s="106" t="s">
        <v>274</v>
      </c>
      <c r="R81" s="106" t="s">
        <v>275</v>
      </c>
      <c r="S81" s="106" t="s">
        <v>276</v>
      </c>
      <c r="U81" s="106" t="s">
        <v>1968</v>
      </c>
      <c r="V81" s="106" t="s">
        <v>1969</v>
      </c>
      <c r="W81" s="106" t="s">
        <v>1970</v>
      </c>
      <c r="X81" s="106" t="s">
        <v>1971</v>
      </c>
      <c r="Y81" s="106" t="s">
        <v>969</v>
      </c>
      <c r="AA81" s="106" t="s">
        <v>1990</v>
      </c>
      <c r="AB81" s="106" t="s">
        <v>1991</v>
      </c>
    </row>
    <row r="82" spans="1:28">
      <c r="A82" s="14">
        <v>43818</v>
      </c>
      <c r="B82" s="106">
        <v>1056</v>
      </c>
      <c r="C82" s="106">
        <v>1064</v>
      </c>
      <c r="D82" s="106">
        <v>1353</v>
      </c>
      <c r="E82" s="106">
        <v>1349</v>
      </c>
      <c r="F82" s="106">
        <v>0.78873239436619702</v>
      </c>
      <c r="G82" s="106">
        <v>0.75980578039543001</v>
      </c>
      <c r="H82" s="106">
        <v>1.5720654503574499E-2</v>
      </c>
      <c r="I82" s="106">
        <v>1.8400387823668201</v>
      </c>
      <c r="J82" s="106">
        <v>3.67</v>
      </c>
      <c r="K82" s="106">
        <v>0.940507910021121</v>
      </c>
      <c r="L82" s="106">
        <v>0.47442998666439901</v>
      </c>
      <c r="M82" s="106">
        <v>0.95258436422025405</v>
      </c>
      <c r="N82" s="106">
        <v>2.5158703485199999E-2</v>
      </c>
      <c r="P82" s="106">
        <v>0.77552643489900452</v>
      </c>
      <c r="Q82" s="106">
        <v>0.74408512589185549</v>
      </c>
      <c r="R82" s="106">
        <v>0.79124708940257904</v>
      </c>
      <c r="S82" s="106">
        <v>0.72836447138828098</v>
      </c>
      <c r="U82" s="106">
        <v>2230</v>
      </c>
      <c r="V82" s="106">
        <v>-9570</v>
      </c>
      <c r="W82" s="106">
        <v>-7340</v>
      </c>
      <c r="X82" s="106">
        <v>-0.34060324825986082</v>
      </c>
      <c r="Y82" s="14">
        <v>43818</v>
      </c>
      <c r="AA82" s="106">
        <v>1064</v>
      </c>
      <c r="AB82" s="106">
        <v>1008.3852647735994</v>
      </c>
    </row>
    <row r="83" spans="1:28">
      <c r="A83" s="14">
        <v>43817</v>
      </c>
      <c r="B83" s="106">
        <v>1073</v>
      </c>
      <c r="C83" s="106">
        <v>1059</v>
      </c>
      <c r="D83" s="106">
        <v>1390</v>
      </c>
      <c r="E83" s="106">
        <v>1356</v>
      </c>
      <c r="F83" s="106">
        <v>0.78097345132743301</v>
      </c>
      <c r="G83" s="106">
        <v>0.75907582533887497</v>
      </c>
      <c r="H83" s="106">
        <v>1.5631329636550201E-2</v>
      </c>
      <c r="I83" s="106">
        <v>1.4008805711163601</v>
      </c>
      <c r="J83" s="106">
        <v>2.8</v>
      </c>
      <c r="K83" s="106">
        <v>0.94081750370363604</v>
      </c>
      <c r="L83" s="106">
        <v>0.58796993648782003</v>
      </c>
      <c r="M83" s="106">
        <v>0.95276190195043098</v>
      </c>
      <c r="N83" s="106">
        <v>2.7299589066942999E-2</v>
      </c>
      <c r="P83" s="106">
        <v>0.77470715497542519</v>
      </c>
      <c r="Q83" s="106">
        <v>0.74344449570232474</v>
      </c>
      <c r="R83" s="106">
        <v>0.79033848461197542</v>
      </c>
      <c r="S83" s="106">
        <v>0.72781316606577451</v>
      </c>
      <c r="U83" s="106">
        <v>7230</v>
      </c>
      <c r="V83" s="106">
        <v>-3970</v>
      </c>
      <c r="W83" s="106">
        <v>3260</v>
      </c>
      <c r="X83" s="106">
        <v>0.15127610208816705</v>
      </c>
      <c r="Y83" s="14">
        <v>43817</v>
      </c>
      <c r="AA83" s="106">
        <v>1059</v>
      </c>
      <c r="AB83" s="106">
        <v>1013.6178050652342</v>
      </c>
    </row>
    <row r="84" spans="1:28">
      <c r="A84" s="14">
        <v>43816</v>
      </c>
      <c r="B84" s="106">
        <v>1090</v>
      </c>
      <c r="C84" s="106">
        <v>1070</v>
      </c>
      <c r="D84" s="106">
        <v>1385</v>
      </c>
      <c r="E84" s="106">
        <v>1377</v>
      </c>
      <c r="F84" s="106">
        <v>0.77705156136528597</v>
      </c>
      <c r="G84" s="106">
        <v>0.758401873271353</v>
      </c>
      <c r="H84" s="106">
        <v>1.5761795849404101E-2</v>
      </c>
      <c r="I84" s="106">
        <v>1.1832210156838201</v>
      </c>
      <c r="J84" s="106">
        <v>2.4</v>
      </c>
      <c r="K84" s="106">
        <v>0.94132776006971197</v>
      </c>
      <c r="L84" s="106">
        <v>0.376161803626615</v>
      </c>
      <c r="M84" s="106">
        <v>0.95275794314441198</v>
      </c>
      <c r="N84" s="106">
        <v>2.13713256038175E-2</v>
      </c>
      <c r="P84" s="106">
        <v>0.77416366912075707</v>
      </c>
      <c r="Q84" s="106">
        <v>0.74264007742194893</v>
      </c>
      <c r="R84" s="106">
        <v>0.78992546497016125</v>
      </c>
      <c r="S84" s="106">
        <v>0.72687828157254475</v>
      </c>
      <c r="U84" s="106">
        <v>-3770</v>
      </c>
      <c r="V84" s="106">
        <v>12830</v>
      </c>
      <c r="W84" s="106">
        <v>9060</v>
      </c>
      <c r="X84" s="106">
        <v>0.4204176334106729</v>
      </c>
      <c r="Y84" s="14">
        <v>43816</v>
      </c>
      <c r="AA84" s="106">
        <v>1070</v>
      </c>
      <c r="AB84" s="106">
        <v>1029.3154259401381</v>
      </c>
    </row>
    <row r="85" spans="1:28">
      <c r="A85" s="14">
        <v>43815</v>
      </c>
      <c r="B85" s="106">
        <v>1083</v>
      </c>
      <c r="C85" s="106">
        <v>1083</v>
      </c>
      <c r="D85" s="106">
        <v>1380</v>
      </c>
      <c r="E85" s="106">
        <v>1379</v>
      </c>
      <c r="F85" s="106">
        <v>0.78535170413343003</v>
      </c>
      <c r="G85" s="106">
        <v>0.75785583715453197</v>
      </c>
      <c r="H85" s="106">
        <v>1.5815527322521599E-2</v>
      </c>
      <c r="I85" s="106">
        <v>1.7385362130633799</v>
      </c>
      <c r="J85" s="106">
        <v>3.5</v>
      </c>
      <c r="K85" s="106">
        <v>0.94272725897062004</v>
      </c>
      <c r="L85" s="106">
        <v>0.28598676493220199</v>
      </c>
      <c r="M85" s="106">
        <v>0.95291384550703595</v>
      </c>
      <c r="N85" s="106">
        <v>1.7881709578201E-2</v>
      </c>
      <c r="P85" s="106">
        <v>0.77367136447705354</v>
      </c>
      <c r="Q85" s="106">
        <v>0.74204030983201041</v>
      </c>
      <c r="R85" s="106">
        <v>0.78948689179957521</v>
      </c>
      <c r="S85" s="106">
        <v>0.72622478250948874</v>
      </c>
      <c r="U85" s="106">
        <v>-16770</v>
      </c>
      <c r="V85" s="106">
        <v>14430</v>
      </c>
      <c r="W85" s="106">
        <v>-2340</v>
      </c>
      <c r="X85" s="106">
        <v>-0.108584686774942</v>
      </c>
      <c r="Y85" s="14">
        <v>43815</v>
      </c>
      <c r="AA85" s="106">
        <v>1083</v>
      </c>
      <c r="AB85" s="106">
        <v>1030.8104374520337</v>
      </c>
    </row>
    <row r="86" spans="1:28">
      <c r="A86" s="14">
        <v>43812</v>
      </c>
      <c r="B86" s="106">
        <v>1090</v>
      </c>
      <c r="C86" s="106">
        <v>1088</v>
      </c>
      <c r="D86" s="106">
        <v>1375</v>
      </c>
      <c r="E86" s="106">
        <v>1381</v>
      </c>
      <c r="F86" s="106">
        <v>0.78783490224474995</v>
      </c>
      <c r="G86" s="106">
        <v>0.75721529142889499</v>
      </c>
      <c r="H86" s="106">
        <v>1.5661043947584798E-2</v>
      </c>
      <c r="I86" s="106">
        <v>1.9551449391454601</v>
      </c>
      <c r="J86" s="106">
        <v>3.89</v>
      </c>
      <c r="K86" s="106">
        <v>0.94437868185403395</v>
      </c>
      <c r="L86" s="106">
        <v>0.19372192743521699</v>
      </c>
      <c r="M86" s="106">
        <v>0.95315127362883201</v>
      </c>
      <c r="N86" s="106">
        <v>1.3555774744881101E-2</v>
      </c>
      <c r="P86" s="106">
        <v>0.77287633537647982</v>
      </c>
      <c r="Q86" s="106">
        <v>0.74155424748131016</v>
      </c>
      <c r="R86" s="106">
        <v>0.78853737932406454</v>
      </c>
      <c r="S86" s="106">
        <v>0.72589320353372544</v>
      </c>
      <c r="U86" s="106">
        <v>-21770</v>
      </c>
      <c r="V86" s="106">
        <v>16030</v>
      </c>
      <c r="W86" s="106">
        <v>-5740</v>
      </c>
      <c r="X86" s="106">
        <v>-0.26635730858468676</v>
      </c>
      <c r="Y86" s="14">
        <v>43812</v>
      </c>
      <c r="AA86" s="106">
        <v>1088</v>
      </c>
      <c r="AB86" s="106">
        <v>1032.3054489639294</v>
      </c>
    </row>
    <row r="87" spans="1:28">
      <c r="A87" s="14">
        <v>43811</v>
      </c>
      <c r="B87" s="106">
        <v>1066</v>
      </c>
      <c r="C87" s="106">
        <v>1056</v>
      </c>
      <c r="D87" s="106">
        <v>1347</v>
      </c>
      <c r="E87" s="106">
        <v>1335</v>
      </c>
      <c r="F87" s="106">
        <v>0.79101123595505596</v>
      </c>
      <c r="G87" s="106">
        <v>0.756526776985877</v>
      </c>
      <c r="H87" s="106">
        <v>1.5433213119297301E-2</v>
      </c>
      <c r="I87" s="106">
        <v>2.2344315926059801</v>
      </c>
      <c r="J87" s="106">
        <v>4.3600000000000003</v>
      </c>
      <c r="K87" s="106">
        <v>0.94843398751961305</v>
      </c>
      <c r="L87" s="106">
        <v>0.195049126974217</v>
      </c>
      <c r="M87" s="106">
        <v>0.953738043669627</v>
      </c>
      <c r="N87" s="106">
        <v>1.43170574651407E-2</v>
      </c>
      <c r="P87" s="106">
        <v>0.77195999010517435</v>
      </c>
      <c r="Q87" s="106">
        <v>0.74109356386657965</v>
      </c>
      <c r="R87" s="106">
        <v>0.78739320322447159</v>
      </c>
      <c r="S87" s="106">
        <v>0.72566035074728241</v>
      </c>
      <c r="U87" s="106">
        <v>10230</v>
      </c>
      <c r="V87" s="106">
        <v>-20770</v>
      </c>
      <c r="W87" s="106">
        <v>-10540</v>
      </c>
      <c r="X87" s="106">
        <v>-0.48909512761020885</v>
      </c>
      <c r="Y87" s="14">
        <v>43811</v>
      </c>
      <c r="AA87" s="106">
        <v>1056</v>
      </c>
      <c r="AB87" s="106">
        <v>997.92018419033002</v>
      </c>
    </row>
    <row r="88" spans="1:28">
      <c r="A88" s="14">
        <v>43810</v>
      </c>
      <c r="B88" s="106">
        <v>1065</v>
      </c>
      <c r="C88" s="106">
        <v>1062</v>
      </c>
      <c r="D88" s="106">
        <v>1354</v>
      </c>
      <c r="E88" s="106">
        <v>1347</v>
      </c>
      <c r="F88" s="106">
        <v>0.78841870824053395</v>
      </c>
      <c r="G88" s="106">
        <v>0.75575540524255003</v>
      </c>
      <c r="H88" s="106">
        <v>1.51332235770826E-2</v>
      </c>
      <c r="I88" s="106">
        <v>2.1583836934417602</v>
      </c>
      <c r="J88" s="106">
        <v>4.1399999999999997</v>
      </c>
      <c r="K88" s="106">
        <v>0.95117363762021201</v>
      </c>
      <c r="L88" s="106">
        <v>0.13285971785505399</v>
      </c>
      <c r="M88" s="106">
        <v>0.954126044500758</v>
      </c>
      <c r="N88" s="106">
        <v>1.3729168981960299E-2</v>
      </c>
      <c r="P88" s="106">
        <v>0.7708886288196326</v>
      </c>
      <c r="Q88" s="106">
        <v>0.74062218166546745</v>
      </c>
      <c r="R88" s="106">
        <v>0.78602185239671518</v>
      </c>
      <c r="S88" s="106">
        <v>0.72548895808838487</v>
      </c>
      <c r="U88" s="106">
        <v>4230</v>
      </c>
      <c r="V88" s="106">
        <v>-11170</v>
      </c>
      <c r="W88" s="106">
        <v>-6940</v>
      </c>
      <c r="X88" s="106">
        <v>-0.32204176334106732</v>
      </c>
      <c r="Y88" s="14">
        <v>43810</v>
      </c>
      <c r="AA88" s="106">
        <v>1062</v>
      </c>
      <c r="AB88" s="106">
        <v>1006.8902532617038</v>
      </c>
    </row>
    <row r="89" spans="1:28">
      <c r="A89" s="14">
        <v>43809</v>
      </c>
      <c r="B89" s="106">
        <v>1067</v>
      </c>
      <c r="C89" s="106">
        <v>1067</v>
      </c>
      <c r="D89" s="106">
        <v>1360</v>
      </c>
      <c r="E89" s="106">
        <v>1353</v>
      </c>
      <c r="F89" s="106">
        <v>0.78861788617886097</v>
      </c>
      <c r="G89" s="106">
        <v>0.75506155064409997</v>
      </c>
      <c r="H89" s="106">
        <v>1.48092343131919E-2</v>
      </c>
      <c r="I89" s="106">
        <v>2.2659061788811998</v>
      </c>
      <c r="J89" s="106">
        <v>4.26</v>
      </c>
      <c r="K89" s="106">
        <v>0.95466661244137196</v>
      </c>
      <c r="L89" s="106">
        <v>0.119120453695296</v>
      </c>
      <c r="M89" s="106">
        <v>0.95453192704729195</v>
      </c>
      <c r="N89" s="106">
        <v>1.5091566622096E-2</v>
      </c>
      <c r="P89" s="106">
        <v>0.76987078495729189</v>
      </c>
      <c r="Q89" s="106">
        <v>0.74025231633090804</v>
      </c>
      <c r="R89" s="106">
        <v>0.78468001927048381</v>
      </c>
      <c r="S89" s="106">
        <v>0.72544308201771612</v>
      </c>
      <c r="U89" s="106">
        <v>-770</v>
      </c>
      <c r="V89" s="106">
        <v>-6370</v>
      </c>
      <c r="W89" s="106">
        <v>-7140</v>
      </c>
      <c r="X89" s="106">
        <v>-0.33132250580046407</v>
      </c>
      <c r="Y89" s="14">
        <v>43809</v>
      </c>
      <c r="AA89" s="106">
        <v>1067</v>
      </c>
      <c r="AB89" s="106">
        <v>1011.3752877973907</v>
      </c>
    </row>
    <row r="90" spans="1:28">
      <c r="A90" s="14">
        <v>43808</v>
      </c>
      <c r="B90" s="106">
        <v>1088</v>
      </c>
      <c r="C90" s="106">
        <v>1076</v>
      </c>
      <c r="D90" s="106">
        <v>1370</v>
      </c>
      <c r="E90" s="106">
        <v>1372</v>
      </c>
      <c r="F90" s="106">
        <v>0.78425655976676301</v>
      </c>
      <c r="G90" s="106">
        <v>0.75444403628953705</v>
      </c>
      <c r="H90" s="106">
        <v>1.4355777845985501E-2</v>
      </c>
      <c r="I90" s="106">
        <v>2.07669161483738</v>
      </c>
      <c r="J90" s="106">
        <v>3.8</v>
      </c>
      <c r="K90" s="106">
        <v>0.95641362595729396</v>
      </c>
      <c r="L90" s="106">
        <v>0.13755907760876199</v>
      </c>
      <c r="M90" s="106">
        <v>0.95468523033998498</v>
      </c>
      <c r="N90" s="106">
        <v>1.7349569165271899E-2</v>
      </c>
      <c r="P90" s="106">
        <v>0.76879981413552256</v>
      </c>
      <c r="Q90" s="106">
        <v>0.74008825844355153</v>
      </c>
      <c r="R90" s="106">
        <v>0.78315559198150808</v>
      </c>
      <c r="S90" s="106">
        <v>0.72573248059756601</v>
      </c>
      <c r="U90" s="106">
        <v>-9770</v>
      </c>
      <c r="V90" s="106">
        <v>8830</v>
      </c>
      <c r="W90" s="106">
        <v>-940</v>
      </c>
      <c r="X90" s="106">
        <v>-4.3619489559164733E-2</v>
      </c>
      <c r="Y90" s="14">
        <v>43808</v>
      </c>
      <c r="AA90" s="106">
        <v>1076</v>
      </c>
      <c r="AB90" s="106">
        <v>1025.5778971603991</v>
      </c>
    </row>
    <row r="91" spans="1:28">
      <c r="A91" s="14">
        <v>43805</v>
      </c>
      <c r="B91" s="106">
        <v>1077</v>
      </c>
      <c r="C91" s="106">
        <v>1063</v>
      </c>
      <c r="D91" s="106">
        <v>1379</v>
      </c>
      <c r="E91" s="106">
        <v>1362</v>
      </c>
      <c r="F91" s="106">
        <v>0.78046989720998505</v>
      </c>
      <c r="G91" s="106">
        <v>0.75366048477369296</v>
      </c>
      <c r="H91" s="106">
        <v>1.43108903290644E-2</v>
      </c>
      <c r="I91" s="106">
        <v>1.8733574096256</v>
      </c>
      <c r="J91" s="106">
        <v>3.44</v>
      </c>
      <c r="K91" s="106">
        <v>0.960047561155148</v>
      </c>
      <c r="L91" s="106">
        <v>9.8702192179849699E-2</v>
      </c>
      <c r="M91" s="106">
        <v>0.95488906990385303</v>
      </c>
      <c r="N91" s="106">
        <v>1.5688943964152501E-2</v>
      </c>
      <c r="P91" s="106">
        <v>0.76797137510275737</v>
      </c>
      <c r="Q91" s="106">
        <v>0.73934959444462856</v>
      </c>
      <c r="R91" s="106">
        <v>0.78228226543182178</v>
      </c>
      <c r="S91" s="106">
        <v>0.72503870411556415</v>
      </c>
      <c r="Y91" s="14"/>
      <c r="AA91" s="106">
        <v>1063</v>
      </c>
      <c r="AB91" s="106">
        <v>1018.102839600921</v>
      </c>
    </row>
    <row r="92" spans="1:28">
      <c r="A92" s="14">
        <v>43804</v>
      </c>
      <c r="B92" s="106">
        <v>1061</v>
      </c>
      <c r="C92" s="106">
        <v>1065</v>
      </c>
      <c r="D92" s="106">
        <v>1362</v>
      </c>
      <c r="E92" s="106">
        <v>1365</v>
      </c>
      <c r="F92" s="106">
        <v>0.78021978021978</v>
      </c>
      <c r="G92" s="106">
        <v>0.75291937784859997</v>
      </c>
      <c r="H92" s="106">
        <v>1.43425249063473E-2</v>
      </c>
      <c r="I92" s="106">
        <v>1.9034585994755699</v>
      </c>
      <c r="J92" s="106">
        <v>3.5</v>
      </c>
      <c r="K92" s="106">
        <v>0.96287467619415801</v>
      </c>
      <c r="L92" s="106">
        <v>8.0787798708938596E-2</v>
      </c>
      <c r="M92" s="106">
        <v>0.95498476587494197</v>
      </c>
      <c r="N92" s="106">
        <v>1.5716833742103101E-2</v>
      </c>
      <c r="P92" s="106">
        <v>0.76726190275494732</v>
      </c>
      <c r="Q92" s="106">
        <v>0.73857685294225262</v>
      </c>
      <c r="R92" s="106">
        <v>0.78160442766129457</v>
      </c>
      <c r="S92" s="106">
        <v>0.72423432803590537</v>
      </c>
      <c r="Y92" s="14"/>
      <c r="AA92" s="106">
        <v>1065</v>
      </c>
      <c r="AB92" s="106">
        <v>1020.3453568687644</v>
      </c>
    </row>
    <row r="93" spans="1:28">
      <c r="A93" s="14">
        <v>43803</v>
      </c>
      <c r="B93" s="106">
        <v>1045</v>
      </c>
      <c r="C93" s="106">
        <v>1047</v>
      </c>
      <c r="D93" s="106">
        <v>1347</v>
      </c>
      <c r="E93" s="106">
        <v>1341</v>
      </c>
      <c r="F93" s="106">
        <v>0.78076062639820998</v>
      </c>
      <c r="G93" s="106">
        <v>0.75208633991878804</v>
      </c>
      <c r="H93" s="106">
        <v>1.4545650263428E-2</v>
      </c>
      <c r="I93" s="106">
        <v>1.9713306700022299</v>
      </c>
      <c r="J93" s="106">
        <v>3.67</v>
      </c>
      <c r="K93" s="106">
        <v>0.96658870953604703</v>
      </c>
      <c r="L93" s="106">
        <v>5.6106746051920897E-2</v>
      </c>
      <c r="M93" s="106">
        <v>0.95531524561992798</v>
      </c>
      <c r="N93" s="106">
        <v>1.3856549914536199E-2</v>
      </c>
      <c r="P93" s="106">
        <v>0.76663199018221606</v>
      </c>
      <c r="Q93" s="106">
        <v>0.73754068965536002</v>
      </c>
      <c r="R93" s="106">
        <v>0.78117764044564408</v>
      </c>
      <c r="S93" s="106">
        <v>0.72299503939193199</v>
      </c>
      <c r="Y93" s="14"/>
      <c r="AA93" s="106">
        <v>1047</v>
      </c>
      <c r="AB93" s="106">
        <v>1002.4052187260169</v>
      </c>
    </row>
    <row r="94" spans="1:28">
      <c r="A94" s="14">
        <v>43802</v>
      </c>
      <c r="B94" s="106">
        <v>1049</v>
      </c>
      <c r="C94" s="106">
        <v>1062</v>
      </c>
      <c r="D94" s="106">
        <v>1354</v>
      </c>
      <c r="E94" s="106">
        <v>1360</v>
      </c>
      <c r="F94" s="106">
        <v>0.78088235294117603</v>
      </c>
      <c r="G94" s="106">
        <v>0.75129600371535299</v>
      </c>
      <c r="H94" s="106">
        <v>1.45764881034939E-2</v>
      </c>
      <c r="I94" s="106">
        <v>2.0297309623386601</v>
      </c>
      <c r="J94" s="106">
        <v>3.79</v>
      </c>
      <c r="K94" s="106">
        <v>0.97115697838773596</v>
      </c>
      <c r="L94" s="106">
        <v>4.4588630193645902E-2</v>
      </c>
      <c r="M94" s="106">
        <v>0.95559066268659998</v>
      </c>
      <c r="N94" s="106">
        <v>1.5975997900293099E-2</v>
      </c>
      <c r="P94" s="106">
        <v>0.76587249181884687</v>
      </c>
      <c r="Q94" s="106">
        <v>0.73671951561185911</v>
      </c>
      <c r="R94" s="106">
        <v>0.78044897992234075</v>
      </c>
      <c r="S94" s="106">
        <v>0.72214302750836523</v>
      </c>
      <c r="AA94" s="106">
        <v>1062</v>
      </c>
      <c r="AB94" s="106">
        <v>1016.6078280890254</v>
      </c>
    </row>
    <row r="95" spans="1:28">
      <c r="A95" s="14">
        <v>43801</v>
      </c>
      <c r="B95" s="106">
        <v>1064</v>
      </c>
      <c r="C95" s="106">
        <v>1077</v>
      </c>
      <c r="D95" s="106">
        <v>1363</v>
      </c>
      <c r="E95" s="106">
        <v>1384</v>
      </c>
      <c r="F95" s="106">
        <v>0.77817919075144504</v>
      </c>
      <c r="G95" s="106">
        <v>0.75051188273899105</v>
      </c>
      <c r="H95" s="106">
        <v>1.4545584675758699E-2</v>
      </c>
      <c r="I95" s="106">
        <v>1.9021104087045</v>
      </c>
      <c r="J95" s="106">
        <v>3.56</v>
      </c>
      <c r="K95" s="106">
        <v>0.97358589952230201</v>
      </c>
      <c r="L95" s="106">
        <v>2.8916309340581901E-2</v>
      </c>
      <c r="M95" s="106">
        <v>0.955929798758686</v>
      </c>
      <c r="N95" s="106">
        <v>1.43603452633735E-2</v>
      </c>
      <c r="P95" s="106">
        <v>0.76505746741474978</v>
      </c>
      <c r="Q95" s="106">
        <v>0.73596629806323233</v>
      </c>
      <c r="R95" s="106">
        <v>0.7796030520905084</v>
      </c>
      <c r="S95" s="106">
        <v>0.72142071338747371</v>
      </c>
      <c r="AA95" s="106">
        <v>1077</v>
      </c>
      <c r="AB95" s="106">
        <v>1034.5479662317728</v>
      </c>
    </row>
    <row r="96" spans="1:28">
      <c r="A96" s="14">
        <v>43798</v>
      </c>
      <c r="B96" s="106">
        <v>1071</v>
      </c>
      <c r="C96" s="106">
        <v>1058</v>
      </c>
      <c r="D96" s="106">
        <v>1377</v>
      </c>
      <c r="E96" s="106">
        <v>1360</v>
      </c>
      <c r="F96" s="106">
        <v>0.77794117647058803</v>
      </c>
      <c r="G96" s="106">
        <v>0.74973802012007895</v>
      </c>
      <c r="H96" s="106">
        <v>1.45968671571812E-2</v>
      </c>
      <c r="I96" s="106">
        <v>1.93213763246681</v>
      </c>
      <c r="J96" s="106">
        <v>3.63</v>
      </c>
      <c r="K96" s="106">
        <v>0.97767102357580804</v>
      </c>
      <c r="L96" s="106">
        <v>1.5230820633318799E-2</v>
      </c>
      <c r="M96" s="106">
        <v>0.95603424643843005</v>
      </c>
      <c r="N96" s="106">
        <v>1.7297843380179301E-2</v>
      </c>
      <c r="P96" s="106">
        <v>0.76433488727726018</v>
      </c>
      <c r="Q96" s="106">
        <v>0.73514115296289773</v>
      </c>
      <c r="R96" s="106">
        <v>0.7789317544344414</v>
      </c>
      <c r="S96" s="106">
        <v>0.7205442858057165</v>
      </c>
      <c r="AA96" s="106">
        <v>1058</v>
      </c>
      <c r="AB96" s="106">
        <v>1016.6078280890254</v>
      </c>
    </row>
    <row r="97" spans="1:28">
      <c r="A97" s="14">
        <v>43797</v>
      </c>
      <c r="B97" s="106">
        <v>1080</v>
      </c>
      <c r="C97" s="106">
        <v>1069</v>
      </c>
      <c r="D97" s="106">
        <v>1394</v>
      </c>
      <c r="E97" s="106">
        <v>1374</v>
      </c>
      <c r="F97" s="106">
        <v>0.77802037845705896</v>
      </c>
      <c r="G97" s="106">
        <v>0.74896178021235105</v>
      </c>
      <c r="H97" s="106">
        <v>1.46243728419354E-2</v>
      </c>
      <c r="I97" s="106">
        <v>1.98699790813471</v>
      </c>
      <c r="J97" s="106">
        <v>3.73</v>
      </c>
      <c r="K97" s="106">
        <v>0.98012139249109298</v>
      </c>
      <c r="L97" s="106">
        <v>1.10713211575052E-2</v>
      </c>
      <c r="M97" s="106">
        <v>0.956008378777365</v>
      </c>
      <c r="N97" s="106">
        <v>1.9535587947675001E-2</v>
      </c>
      <c r="P97" s="106">
        <v>0.76358615305428645</v>
      </c>
      <c r="Q97" s="106">
        <v>0.73433740737041564</v>
      </c>
      <c r="R97" s="106">
        <v>0.77821052589622186</v>
      </c>
      <c r="S97" s="106">
        <v>0.71971303452848023</v>
      </c>
      <c r="AA97" s="106">
        <v>1069</v>
      </c>
      <c r="AB97" s="106">
        <v>1027.0729086722947</v>
      </c>
    </row>
    <row r="98" spans="1:28">
      <c r="A98" s="14">
        <v>43796</v>
      </c>
      <c r="B98" s="106">
        <v>1097</v>
      </c>
      <c r="C98" s="106">
        <v>1080</v>
      </c>
      <c r="D98" s="106">
        <v>1382</v>
      </c>
      <c r="E98" s="106">
        <v>1389</v>
      </c>
      <c r="F98" s="106">
        <v>0.77753779697624104</v>
      </c>
      <c r="G98" s="106">
        <v>0.74821206261960205</v>
      </c>
      <c r="H98" s="106">
        <v>1.45565948994781E-2</v>
      </c>
      <c r="I98" s="106">
        <v>2.0146012552489698</v>
      </c>
      <c r="J98" s="106">
        <v>3.77</v>
      </c>
      <c r="K98" s="106">
        <v>0.98197415095493901</v>
      </c>
      <c r="L98" s="106">
        <v>3.0117426764576698E-3</v>
      </c>
      <c r="M98" s="106">
        <v>0.95620727737203504</v>
      </c>
      <c r="N98" s="106">
        <v>1.14164629154979E-2</v>
      </c>
      <c r="P98" s="106">
        <v>0.76276865751908018</v>
      </c>
      <c r="Q98" s="106">
        <v>0.73365546772012391</v>
      </c>
      <c r="R98" s="106">
        <v>0.77732525241855821</v>
      </c>
      <c r="S98" s="106">
        <v>0.71909887282064588</v>
      </c>
      <c r="AA98" s="106">
        <v>1080</v>
      </c>
      <c r="AB98" s="106">
        <v>1038.285495011512</v>
      </c>
    </row>
    <row r="99" spans="1:28">
      <c r="A99" s="14">
        <v>43795</v>
      </c>
      <c r="B99" s="106">
        <v>1081</v>
      </c>
      <c r="C99" s="106">
        <v>1076</v>
      </c>
      <c r="D99" s="106">
        <v>1397</v>
      </c>
      <c r="E99" s="106">
        <v>1375</v>
      </c>
      <c r="F99" s="106">
        <v>0.78254545454545399</v>
      </c>
      <c r="G99" s="106">
        <v>0.74750395088307997</v>
      </c>
      <c r="H99" s="106">
        <v>1.4403746277652601E-2</v>
      </c>
      <c r="I99" s="106">
        <v>2.43280484027551</v>
      </c>
      <c r="J99" s="106">
        <v>4.4800000000000004</v>
      </c>
      <c r="K99" s="106">
        <v>0.98454393154286302</v>
      </c>
      <c r="L99" s="106">
        <v>6.4816631440062803E-3</v>
      </c>
      <c r="M99" s="106">
        <v>0.95664412463969695</v>
      </c>
      <c r="N99" s="106">
        <v>1.5982896642243401E-2</v>
      </c>
      <c r="P99" s="106">
        <v>0.76190769716073259</v>
      </c>
      <c r="Q99" s="106">
        <v>0.73310020460542735</v>
      </c>
      <c r="R99" s="106">
        <v>0.77631144343838521</v>
      </c>
      <c r="S99" s="106">
        <v>0.71869645832777473</v>
      </c>
      <c r="AA99" s="106">
        <v>1076</v>
      </c>
      <c r="AB99" s="106">
        <v>1027.8204144282427</v>
      </c>
    </row>
    <row r="100" spans="1:28">
      <c r="A100" s="14">
        <v>43794</v>
      </c>
      <c r="B100" s="106">
        <v>1057</v>
      </c>
      <c r="C100" s="106">
        <v>1065</v>
      </c>
      <c r="D100" s="106">
        <v>1377</v>
      </c>
      <c r="E100" s="106">
        <v>1382</v>
      </c>
      <c r="F100" s="106">
        <v>0.77062228654124398</v>
      </c>
      <c r="G100" s="106">
        <v>0.74684254729369004</v>
      </c>
      <c r="H100" s="106">
        <v>1.39099389871937E-2</v>
      </c>
      <c r="I100" s="106">
        <v>1.70955021941123</v>
      </c>
      <c r="J100" s="106">
        <v>3.09</v>
      </c>
      <c r="K100" s="106">
        <v>0.985705490089967</v>
      </c>
      <c r="L100" s="106">
        <v>1.5502707489919399E-2</v>
      </c>
      <c r="M100" s="106">
        <v>0.95675389043868198</v>
      </c>
      <c r="N100" s="106">
        <v>2.0141774456120101E-2</v>
      </c>
      <c r="P100" s="106">
        <v>0.76075248628088377</v>
      </c>
      <c r="Q100" s="106">
        <v>0.73293260830649631</v>
      </c>
      <c r="R100" s="106">
        <v>0.77466242526807749</v>
      </c>
      <c r="S100" s="106">
        <v>0.71902266931930259</v>
      </c>
      <c r="AA100" s="106">
        <v>1065</v>
      </c>
      <c r="AB100" s="106">
        <v>1033.0529547198773</v>
      </c>
    </row>
    <row r="101" spans="1:28">
      <c r="A101" s="14">
        <v>43791</v>
      </c>
      <c r="B101" s="106">
        <v>1031</v>
      </c>
      <c r="C101" s="106">
        <v>1033</v>
      </c>
      <c r="D101" s="106">
        <v>1360</v>
      </c>
      <c r="E101" s="106">
        <v>1365</v>
      </c>
      <c r="F101" s="106">
        <v>0.75677655677655598</v>
      </c>
      <c r="G101" s="106">
        <v>0.74639967816072605</v>
      </c>
      <c r="H101" s="106">
        <v>1.36725134749647E-2</v>
      </c>
      <c r="I101" s="106">
        <v>0.75895910688483603</v>
      </c>
      <c r="J101" s="106">
        <v>1.37</v>
      </c>
      <c r="K101" s="106">
        <v>0.98603817052809595</v>
      </c>
      <c r="L101" s="106">
        <v>1.8497577278871202E-2</v>
      </c>
      <c r="M101" s="106">
        <v>0.95669301904526305</v>
      </c>
      <c r="N101" s="106">
        <v>2.0779544258998799E-2</v>
      </c>
      <c r="P101" s="106">
        <v>0.76007219163569073</v>
      </c>
      <c r="Q101" s="106">
        <v>0.73272716468576138</v>
      </c>
      <c r="R101" s="106">
        <v>0.77374470511065541</v>
      </c>
      <c r="S101" s="106">
        <v>0.7190546512107967</v>
      </c>
      <c r="AA101" s="106">
        <v>1033</v>
      </c>
      <c r="AB101" s="106">
        <v>1020.3453568687644</v>
      </c>
    </row>
    <row r="102" spans="1:28">
      <c r="A102" s="14">
        <v>43790</v>
      </c>
      <c r="B102" s="106">
        <v>1020</v>
      </c>
      <c r="C102" s="106">
        <v>1022</v>
      </c>
      <c r="D102" s="106">
        <v>1370</v>
      </c>
      <c r="E102" s="106">
        <v>1366</v>
      </c>
      <c r="F102" s="106">
        <v>0.748169838945827</v>
      </c>
      <c r="G102" s="106">
        <v>0.74617262585796396</v>
      </c>
      <c r="H102" s="106">
        <v>1.3639660542649401E-2</v>
      </c>
      <c r="I102" s="106">
        <v>0.14642689102252099</v>
      </c>
      <c r="J102" s="106">
        <v>0.27</v>
      </c>
      <c r="K102" s="106">
        <v>0.98630682813620096</v>
      </c>
      <c r="L102" s="106">
        <v>2.2794375818497501E-2</v>
      </c>
      <c r="M102" s="106">
        <v>0.95676079963119398</v>
      </c>
      <c r="N102" s="106">
        <v>2.0303710682716501E-2</v>
      </c>
      <c r="P102" s="106">
        <v>0.75981228640061338</v>
      </c>
      <c r="Q102" s="106">
        <v>0.73253296531531453</v>
      </c>
      <c r="R102" s="106">
        <v>0.7734519469432628</v>
      </c>
      <c r="S102" s="106">
        <v>0.71889330477266511</v>
      </c>
      <c r="AA102" s="106">
        <v>1022</v>
      </c>
      <c r="AB102" s="106">
        <v>1021.0928626247122</v>
      </c>
    </row>
    <row r="103" spans="1:28">
      <c r="A103" s="14">
        <v>43789</v>
      </c>
      <c r="B103" s="106">
        <v>1046</v>
      </c>
      <c r="C103" s="106">
        <v>1030</v>
      </c>
      <c r="D103" s="106">
        <v>1383</v>
      </c>
      <c r="E103" s="106">
        <v>1372</v>
      </c>
      <c r="F103" s="106">
        <v>0.75072886297376096</v>
      </c>
      <c r="G103" s="106">
        <v>0.74571937007006805</v>
      </c>
      <c r="H103" s="106">
        <v>1.4122055899215599E-2</v>
      </c>
      <c r="I103" s="106">
        <v>0.35472830156201202</v>
      </c>
      <c r="J103" s="106">
        <v>0.67</v>
      </c>
      <c r="K103" s="106">
        <v>0.98658389482817799</v>
      </c>
      <c r="L103" s="106">
        <v>2.0984119695450498E-2</v>
      </c>
      <c r="M103" s="106">
        <v>0.95680807628321196</v>
      </c>
      <c r="N103" s="106">
        <v>2.0110298531043801E-2</v>
      </c>
      <c r="P103" s="106">
        <v>0.75984142596928361</v>
      </c>
      <c r="Q103" s="106">
        <v>0.7315973141708525</v>
      </c>
      <c r="R103" s="106">
        <v>0.77396348186849928</v>
      </c>
      <c r="S103" s="106">
        <v>0.71747525827163683</v>
      </c>
      <c r="AA103" s="106">
        <v>1030</v>
      </c>
      <c r="AB103" s="106">
        <v>1025.5778971603991</v>
      </c>
    </row>
    <row r="104" spans="1:28">
      <c r="A104" s="14">
        <v>43788</v>
      </c>
      <c r="B104" s="106">
        <v>1065</v>
      </c>
      <c r="C104" s="106">
        <v>1049</v>
      </c>
      <c r="D104" s="106">
        <v>1409</v>
      </c>
      <c r="E104" s="106">
        <v>1395</v>
      </c>
      <c r="F104" s="106">
        <v>0.75197132616487405</v>
      </c>
      <c r="G104" s="106">
        <v>0.74513685351202297</v>
      </c>
      <c r="H104" s="106">
        <v>1.47887229902491E-2</v>
      </c>
      <c r="I104" s="106">
        <v>0.46214082563839798</v>
      </c>
      <c r="J104" s="106">
        <v>0.91</v>
      </c>
      <c r="K104" s="106">
        <v>0.98676120000780698</v>
      </c>
      <c r="L104" s="106">
        <v>9.0232195687692696E-2</v>
      </c>
      <c r="M104" s="106">
        <v>0.95673238450009501</v>
      </c>
      <c r="N104" s="106">
        <v>2.17368439481768E-2</v>
      </c>
      <c r="P104" s="106">
        <v>0.7599255765022721</v>
      </c>
      <c r="Q104" s="106">
        <v>0.73034813052177383</v>
      </c>
      <c r="R104" s="106">
        <v>0.77471429949252113</v>
      </c>
      <c r="S104" s="106">
        <v>0.7155594075315248</v>
      </c>
      <c r="AA104" s="106">
        <v>1049</v>
      </c>
      <c r="AB104" s="106">
        <v>1042.7705295471987</v>
      </c>
    </row>
    <row r="105" spans="1:28">
      <c r="A105" s="14">
        <v>43787</v>
      </c>
      <c r="B105" s="106">
        <v>1092</v>
      </c>
      <c r="C105" s="106">
        <v>1085</v>
      </c>
      <c r="D105" s="106">
        <v>1444</v>
      </c>
      <c r="E105" s="106">
        <v>1424</v>
      </c>
      <c r="F105" s="106">
        <v>0.761938202247191</v>
      </c>
      <c r="G105" s="106">
        <v>0.74467244464355697</v>
      </c>
      <c r="H105" s="106">
        <v>1.51102065652945E-2</v>
      </c>
      <c r="I105" s="106">
        <v>1.14265529918627</v>
      </c>
      <c r="J105" s="106">
        <v>2.27</v>
      </c>
      <c r="K105" s="106">
        <v>0.98644934274719198</v>
      </c>
      <c r="L105" s="106">
        <v>3.2462348375624402E-2</v>
      </c>
      <c r="M105" s="106">
        <v>0.956388099774093</v>
      </c>
      <c r="N105" s="106">
        <v>2.5927565453494901E-2</v>
      </c>
      <c r="P105" s="106">
        <v>0.75978265120885147</v>
      </c>
      <c r="Q105" s="106">
        <v>0.72956223807826248</v>
      </c>
      <c r="R105" s="106">
        <v>0.77489285777414596</v>
      </c>
      <c r="S105" s="106">
        <v>0.71445203151296799</v>
      </c>
      <c r="AA105" s="106">
        <v>1085</v>
      </c>
      <c r="AB105" s="106">
        <v>1064.4481964696854</v>
      </c>
    </row>
    <row r="106" spans="1:28">
      <c r="A106" s="14">
        <v>43784</v>
      </c>
      <c r="B106" s="106">
        <v>1058</v>
      </c>
      <c r="C106" s="106">
        <v>1086</v>
      </c>
      <c r="D106" s="106">
        <v>1430</v>
      </c>
      <c r="E106" s="106">
        <v>1442</v>
      </c>
      <c r="F106" s="106">
        <v>0.75312066574202496</v>
      </c>
      <c r="G106" s="106">
        <v>0.744160150657171</v>
      </c>
      <c r="H106" s="106">
        <v>1.51673660987153E-2</v>
      </c>
      <c r="I106" s="106">
        <v>0.59077594794868904</v>
      </c>
      <c r="J106" s="106">
        <v>1.19</v>
      </c>
      <c r="K106" s="106">
        <v>0.98617185430957</v>
      </c>
      <c r="L106" s="106">
        <v>0.231321079031717</v>
      </c>
      <c r="M106" s="106">
        <v>0.95585994070750402</v>
      </c>
      <c r="N106" s="106">
        <v>2.9490243506352602E-2</v>
      </c>
      <c r="P106" s="106">
        <v>0.75932751675588628</v>
      </c>
      <c r="Q106" s="106">
        <v>0.72899278455845573</v>
      </c>
      <c r="R106" s="106">
        <v>0.77449488285460155</v>
      </c>
      <c r="S106" s="106">
        <v>0.71382541845974046</v>
      </c>
      <c r="AA106" s="106">
        <v>1086</v>
      </c>
      <c r="AB106" s="106">
        <v>1077.9033000767461</v>
      </c>
    </row>
    <row r="107" spans="1:28">
      <c r="A107" s="14">
        <v>43783</v>
      </c>
      <c r="B107" s="106">
        <v>1087</v>
      </c>
      <c r="C107" s="106">
        <v>1066</v>
      </c>
      <c r="D107" s="106">
        <v>1443</v>
      </c>
      <c r="E107" s="106">
        <v>1427</v>
      </c>
      <c r="F107" s="106">
        <v>0.74702172389628596</v>
      </c>
      <c r="G107" s="106">
        <v>0.74382449680902696</v>
      </c>
      <c r="H107" s="106">
        <v>1.524371447714E-2</v>
      </c>
      <c r="I107" s="106">
        <v>0.20974068308962501</v>
      </c>
      <c r="J107" s="106">
        <v>0.43</v>
      </c>
      <c r="K107" s="106">
        <v>0.98578475548233302</v>
      </c>
      <c r="L107" s="106">
        <v>0.25409542369518401</v>
      </c>
      <c r="M107" s="106">
        <v>0.95527555449780599</v>
      </c>
      <c r="N107" s="106">
        <v>4.1772794419665901E-2</v>
      </c>
      <c r="P107" s="106">
        <v>0.75906821128616697</v>
      </c>
      <c r="Q107" s="106">
        <v>0.72858078233188694</v>
      </c>
      <c r="R107" s="106">
        <v>0.77431192576330699</v>
      </c>
      <c r="S107" s="106">
        <v>0.71333706785474693</v>
      </c>
      <c r="AA107" s="106">
        <v>1066</v>
      </c>
      <c r="AB107" s="106">
        <v>1066.6907137375288</v>
      </c>
    </row>
    <row r="108" spans="1:28">
      <c r="A108" s="14">
        <v>43782</v>
      </c>
      <c r="B108" s="106">
        <v>1102</v>
      </c>
      <c r="C108" s="106">
        <v>1098</v>
      </c>
      <c r="D108" s="106">
        <v>1470</v>
      </c>
      <c r="E108" s="106">
        <v>1457</v>
      </c>
      <c r="F108" s="106">
        <v>0.75360329444063101</v>
      </c>
      <c r="G108" s="106">
        <v>0.74365911696681197</v>
      </c>
      <c r="H108" s="106">
        <v>1.52753806388499E-2</v>
      </c>
      <c r="I108" s="106">
        <v>0.65099375975797102</v>
      </c>
      <c r="J108" s="106">
        <v>1.32</v>
      </c>
      <c r="K108" s="106">
        <v>0.98492575280664396</v>
      </c>
      <c r="L108" s="106">
        <v>0.26572450940787201</v>
      </c>
      <c r="M108" s="106">
        <v>0.95470000871675698</v>
      </c>
      <c r="N108" s="106">
        <v>3.1418818930420901E-2</v>
      </c>
      <c r="P108" s="106">
        <v>0.7589344976056619</v>
      </c>
      <c r="Q108" s="106">
        <v>0.72838373632796205</v>
      </c>
      <c r="R108" s="106">
        <v>0.77420987824451182</v>
      </c>
      <c r="S108" s="106">
        <v>0.71310835568911213</v>
      </c>
      <c r="AA108" s="106">
        <v>1098</v>
      </c>
      <c r="AB108" s="106">
        <v>1089.1158864159631</v>
      </c>
    </row>
    <row r="109" spans="1:28">
      <c r="A109" s="14">
        <v>43781</v>
      </c>
      <c r="B109" s="106">
        <v>1090</v>
      </c>
      <c r="C109" s="106">
        <v>1113</v>
      </c>
      <c r="D109" s="106">
        <v>1454</v>
      </c>
      <c r="E109" s="106">
        <v>1487</v>
      </c>
      <c r="F109" s="106">
        <v>0.74848688634835203</v>
      </c>
      <c r="G109" s="106">
        <v>0.74357811993574097</v>
      </c>
      <c r="H109" s="106">
        <v>1.52384984288883E-2</v>
      </c>
      <c r="I109" s="106">
        <v>0.32212927248170298</v>
      </c>
      <c r="J109" s="106">
        <v>0.66</v>
      </c>
      <c r="K109" s="106">
        <v>0.98437411513607898</v>
      </c>
      <c r="L109" s="106">
        <v>0.23456267096156999</v>
      </c>
      <c r="M109" s="106">
        <v>0.95326943664749197</v>
      </c>
      <c r="N109" s="106">
        <v>6.5926149166746995E-2</v>
      </c>
      <c r="P109" s="106">
        <v>0.75881661836462921</v>
      </c>
      <c r="Q109" s="106">
        <v>0.72833962150685272</v>
      </c>
      <c r="R109" s="106">
        <v>0.77405511679351757</v>
      </c>
      <c r="S109" s="106">
        <v>0.71310112307796436</v>
      </c>
      <c r="AA109" s="106">
        <v>1113</v>
      </c>
      <c r="AB109" s="106">
        <v>1111.5410590943975</v>
      </c>
    </row>
    <row r="110" spans="1:28">
      <c r="A110" s="14">
        <v>43780</v>
      </c>
      <c r="B110" s="106">
        <v>1108</v>
      </c>
      <c r="C110" s="106">
        <v>1101</v>
      </c>
      <c r="D110" s="106">
        <v>1470</v>
      </c>
      <c r="E110" s="106">
        <v>1464</v>
      </c>
      <c r="F110" s="106">
        <v>0.75204918032786805</v>
      </c>
      <c r="G110" s="106">
        <v>0.743567430586898</v>
      </c>
      <c r="H110" s="106">
        <v>1.5235332183294001E-2</v>
      </c>
      <c r="I110" s="106">
        <v>0.55671577350119095</v>
      </c>
      <c r="J110" s="106">
        <v>1.1299999999999999</v>
      </c>
      <c r="K110" s="106">
        <v>0.98339429037555703</v>
      </c>
      <c r="L110" s="106">
        <v>0.25491425628043102</v>
      </c>
      <c r="M110" s="106">
        <v>0.95241780343163696</v>
      </c>
      <c r="N110" s="106">
        <v>4.86382595589911E-2</v>
      </c>
      <c r="P110" s="106">
        <v>0.75880276277019199</v>
      </c>
      <c r="Q110" s="106">
        <v>0.72833209840360402</v>
      </c>
      <c r="R110" s="106">
        <v>0.77403809495348597</v>
      </c>
      <c r="S110" s="106">
        <v>0.71309676622031004</v>
      </c>
      <c r="AA110" s="106">
        <v>1101</v>
      </c>
      <c r="AB110" s="106">
        <v>1094.3484267075978</v>
      </c>
    </row>
    <row r="111" spans="1:28">
      <c r="A111" s="14">
        <v>43777</v>
      </c>
      <c r="B111" s="106">
        <v>1105</v>
      </c>
      <c r="C111" s="106">
        <v>1108</v>
      </c>
      <c r="D111" s="106">
        <v>1464</v>
      </c>
      <c r="E111" s="106">
        <v>1471</v>
      </c>
      <c r="F111" s="106">
        <v>0.753229095853161</v>
      </c>
      <c r="G111" s="106">
        <v>0.74342623654691598</v>
      </c>
      <c r="H111" s="106">
        <v>1.52051125521577E-2</v>
      </c>
      <c r="I111" s="106">
        <v>0.64470810542297796</v>
      </c>
      <c r="J111" s="106">
        <v>1.3</v>
      </c>
      <c r="K111" s="106">
        <v>0.98190647397347197</v>
      </c>
      <c r="L111" s="106">
        <v>0.50526172957039295</v>
      </c>
      <c r="M111" s="106">
        <v>0.95156855629506698</v>
      </c>
      <c r="N111" s="106">
        <v>4.8986302344365899E-2</v>
      </c>
      <c r="P111" s="106">
        <v>0.7586313490990737</v>
      </c>
      <c r="Q111" s="106">
        <v>0.72822112399475825</v>
      </c>
      <c r="R111" s="106">
        <v>0.77383646165123132</v>
      </c>
      <c r="S111" s="106">
        <v>0.71301601144260063</v>
      </c>
      <c r="AA111" s="106">
        <v>1108</v>
      </c>
      <c r="AB111" s="106">
        <v>1099.5809669992325</v>
      </c>
    </row>
    <row r="112" spans="1:28">
      <c r="A112" s="14">
        <v>43776</v>
      </c>
      <c r="B112" s="106">
        <v>1061</v>
      </c>
      <c r="C112" s="106">
        <v>1084</v>
      </c>
      <c r="D112" s="106">
        <v>1403</v>
      </c>
      <c r="E112" s="106">
        <v>1434</v>
      </c>
      <c r="F112" s="106">
        <v>0.75592747559274698</v>
      </c>
      <c r="G112" s="106">
        <v>0.74323456197800297</v>
      </c>
      <c r="H112" s="106">
        <v>1.5170900647217199E-2</v>
      </c>
      <c r="I112" s="106">
        <v>0.83666183767883495</v>
      </c>
      <c r="J112" s="106">
        <v>1.68</v>
      </c>
      <c r="K112" s="106">
        <v>0.98022803739940401</v>
      </c>
      <c r="L112" s="106">
        <v>0.58146511319258398</v>
      </c>
      <c r="M112" s="106">
        <v>0.95047121940575297</v>
      </c>
      <c r="N112" s="106">
        <v>7.4507546184151605E-2</v>
      </c>
      <c r="P112" s="106">
        <v>0.75840546262522013</v>
      </c>
      <c r="Q112" s="106">
        <v>0.72806366133078582</v>
      </c>
      <c r="R112" s="106">
        <v>0.7735763632724374</v>
      </c>
      <c r="S112" s="106">
        <v>0.71289276068356855</v>
      </c>
      <c r="AA112" s="106">
        <v>1084</v>
      </c>
      <c r="AB112" s="106">
        <v>1071.9232540291634</v>
      </c>
    </row>
    <row r="113" spans="1:28">
      <c r="A113" s="14">
        <v>43775</v>
      </c>
      <c r="B113" s="106">
        <v>1076</v>
      </c>
      <c r="C113" s="106">
        <v>1066</v>
      </c>
      <c r="D113" s="106">
        <v>1398</v>
      </c>
      <c r="E113" s="106">
        <v>1410</v>
      </c>
      <c r="F113" s="106">
        <v>0.756028368794326</v>
      </c>
      <c r="G113" s="106">
        <v>0.74285906080820296</v>
      </c>
      <c r="H113" s="106">
        <v>1.5200588874688699E-2</v>
      </c>
      <c r="I113" s="106">
        <v>0.866368276564077</v>
      </c>
      <c r="J113" s="106">
        <v>1.74</v>
      </c>
      <c r="K113" s="106">
        <v>0.97867416641300498</v>
      </c>
      <c r="L113" s="106">
        <v>0.56889051964925996</v>
      </c>
      <c r="M113" s="106">
        <v>0.94942973584129797</v>
      </c>
      <c r="N113" s="106">
        <v>8.3334271702496604E-2</v>
      </c>
      <c r="P113" s="106">
        <v>0.75805964968289163</v>
      </c>
      <c r="Q113" s="106">
        <v>0.72765847193351429</v>
      </c>
      <c r="R113" s="106">
        <v>0.77326023855758041</v>
      </c>
      <c r="S113" s="106">
        <v>0.71245788305882551</v>
      </c>
      <c r="AA113" s="106">
        <v>1066</v>
      </c>
      <c r="AB113" s="106">
        <v>1053.983115886416</v>
      </c>
    </row>
    <row r="114" spans="1:28">
      <c r="A114" s="14">
        <v>43774</v>
      </c>
      <c r="B114" s="106">
        <v>1029</v>
      </c>
      <c r="C114" s="106">
        <v>1057</v>
      </c>
      <c r="D114" s="106">
        <v>1378</v>
      </c>
      <c r="E114" s="106">
        <v>1393</v>
      </c>
      <c r="F114" s="106">
        <v>0.75879396984924596</v>
      </c>
      <c r="G114" s="106">
        <v>0.74242646203693796</v>
      </c>
      <c r="H114" s="106">
        <v>1.528111039164E-2</v>
      </c>
      <c r="I114" s="106">
        <v>1.07109414125182</v>
      </c>
      <c r="J114" s="106">
        <v>2.16</v>
      </c>
      <c r="K114" s="106">
        <v>0.97674216900150501</v>
      </c>
      <c r="L114" s="106">
        <v>0.56910014693048805</v>
      </c>
      <c r="M114" s="106">
        <v>0.948766904254429</v>
      </c>
      <c r="N114" s="106">
        <v>6.9741366986573405E-2</v>
      </c>
      <c r="P114" s="106">
        <v>0.757707572428578</v>
      </c>
      <c r="Q114" s="106">
        <v>0.72714535164529792</v>
      </c>
      <c r="R114" s="106">
        <v>0.77298868282021793</v>
      </c>
      <c r="S114" s="106">
        <v>0.71186424125365799</v>
      </c>
      <c r="AA114" s="106">
        <v>1057</v>
      </c>
      <c r="AB114" s="106">
        <v>1041.2755180353031</v>
      </c>
    </row>
    <row r="115" spans="1:28">
      <c r="A115" s="14">
        <v>43770</v>
      </c>
      <c r="B115" s="106">
        <v>992</v>
      </c>
      <c r="C115" s="106">
        <v>997</v>
      </c>
      <c r="D115" s="106">
        <v>1346</v>
      </c>
      <c r="E115" s="106">
        <v>1337</v>
      </c>
      <c r="F115" s="106">
        <v>0.74569932685115903</v>
      </c>
      <c r="G115" s="106">
        <v>0.74190431987719596</v>
      </c>
      <c r="H115" s="106">
        <v>1.5381638509358499E-2</v>
      </c>
      <c r="I115" s="106">
        <v>0.246723193478638</v>
      </c>
      <c r="J115" s="106">
        <v>0.51</v>
      </c>
      <c r="K115" s="106">
        <v>0.976443693549362</v>
      </c>
      <c r="L115" s="106">
        <v>0.39139377114104301</v>
      </c>
      <c r="M115" s="106">
        <v>0.94632893618261205</v>
      </c>
      <c r="N115" s="106">
        <v>0.11722513195052101</v>
      </c>
      <c r="P115" s="106">
        <v>0.75728595838655444</v>
      </c>
      <c r="Q115" s="106">
        <v>0.72652268136783749</v>
      </c>
      <c r="R115" s="106">
        <v>0.77266759689591291</v>
      </c>
      <c r="S115" s="106">
        <v>0.71114104285847901</v>
      </c>
      <c r="AA115" s="106">
        <v>997</v>
      </c>
      <c r="AB115" s="106">
        <v>999.41519570222567</v>
      </c>
    </row>
    <row r="116" spans="1:28">
      <c r="A116" s="14">
        <v>43769</v>
      </c>
      <c r="B116" s="106">
        <v>1031</v>
      </c>
      <c r="C116" s="106">
        <v>1016</v>
      </c>
      <c r="D116" s="106">
        <v>1347</v>
      </c>
      <c r="E116" s="106">
        <v>1394</v>
      </c>
      <c r="F116" s="106">
        <v>0.72883787661405997</v>
      </c>
      <c r="G116" s="106">
        <v>0.74142662073897503</v>
      </c>
      <c r="H116" s="106">
        <v>1.5806821269414802E-2</v>
      </c>
      <c r="I116" s="106">
        <v>-0.79641212552160101</v>
      </c>
      <c r="J116" s="106">
        <v>-1.73</v>
      </c>
      <c r="K116" s="106">
        <v>0.97967516034194202</v>
      </c>
      <c r="L116" s="106">
        <v>0.235131682032898</v>
      </c>
      <c r="M116" s="106">
        <v>0.94491185431649105</v>
      </c>
      <c r="N116" s="106">
        <v>0.32764095932250598</v>
      </c>
      <c r="P116" s="106">
        <v>0.75723344200838982</v>
      </c>
      <c r="Q116" s="106">
        <v>0.72561979946956023</v>
      </c>
      <c r="R116" s="106">
        <v>0.77304026327780462</v>
      </c>
      <c r="S116" s="106">
        <v>0.70981297820014544</v>
      </c>
      <c r="AA116" s="106">
        <v>1016</v>
      </c>
      <c r="AB116" s="106">
        <v>1042.023023791251</v>
      </c>
    </row>
    <row r="117" spans="1:28">
      <c r="A117" s="14">
        <v>43768</v>
      </c>
      <c r="B117" s="106">
        <v>1032</v>
      </c>
      <c r="C117" s="106">
        <v>1026</v>
      </c>
      <c r="D117" s="106">
        <v>1347</v>
      </c>
      <c r="E117" s="106">
        <v>1342</v>
      </c>
      <c r="F117" s="106">
        <v>0.76453055141579696</v>
      </c>
      <c r="G117" s="106">
        <v>0.74123983434863205</v>
      </c>
      <c r="H117" s="106">
        <v>1.60355919225625E-2</v>
      </c>
      <c r="I117" s="106">
        <v>1.45243887345335</v>
      </c>
      <c r="J117" s="106">
        <v>3.05</v>
      </c>
      <c r="K117" s="106">
        <v>0.973299020450894</v>
      </c>
      <c r="L117" s="106">
        <v>0.90911065270498403</v>
      </c>
      <c r="M117" s="106">
        <v>0.94480368019883298</v>
      </c>
      <c r="N117" s="106">
        <v>9.3304637069525007E-2</v>
      </c>
      <c r="P117" s="106">
        <v>0.7572754262711946</v>
      </c>
      <c r="Q117" s="106">
        <v>0.72520424242606951</v>
      </c>
      <c r="R117" s="106">
        <v>0.77331101819375703</v>
      </c>
      <c r="S117" s="106">
        <v>0.70916865050350708</v>
      </c>
      <c r="AA117" s="106">
        <v>1026</v>
      </c>
      <c r="AB117" s="106">
        <v>1003.1527244819647</v>
      </c>
    </row>
    <row r="118" spans="1:28">
      <c r="A118" s="14">
        <v>43767</v>
      </c>
      <c r="B118" s="106">
        <v>1035</v>
      </c>
      <c r="C118" s="106">
        <v>1042</v>
      </c>
      <c r="D118" s="106">
        <v>1349</v>
      </c>
      <c r="E118" s="106">
        <v>1350</v>
      </c>
      <c r="F118" s="106">
        <v>0.77185185185185101</v>
      </c>
      <c r="G118" s="106">
        <v>0.74062753592229202</v>
      </c>
      <c r="H118" s="106">
        <v>1.60113010821843E-2</v>
      </c>
      <c r="I118" s="106">
        <v>1.9501423256791199</v>
      </c>
      <c r="J118" s="106">
        <v>4.05</v>
      </c>
      <c r="K118" s="106">
        <v>0.96384007827399798</v>
      </c>
      <c r="L118" s="106">
        <v>0.90484539004331299</v>
      </c>
      <c r="M118" s="106">
        <v>0.94527665571804198</v>
      </c>
      <c r="N118" s="106">
        <v>4.1525187630120801E-2</v>
      </c>
      <c r="P118" s="106">
        <v>0.75663883700447632</v>
      </c>
      <c r="Q118" s="106">
        <v>0.72461623484010773</v>
      </c>
      <c r="R118" s="106">
        <v>0.77265013808666061</v>
      </c>
      <c r="S118" s="106">
        <v>0.70860493375792344</v>
      </c>
      <c r="AA118" s="106">
        <v>1042</v>
      </c>
      <c r="AB118" s="106">
        <v>1009.1327705295472</v>
      </c>
    </row>
    <row r="119" spans="1:28">
      <c r="A119" s="14">
        <v>43766</v>
      </c>
      <c r="B119" s="106">
        <v>1020</v>
      </c>
      <c r="C119" s="106">
        <v>1019</v>
      </c>
      <c r="D119" s="106">
        <v>1329</v>
      </c>
      <c r="E119" s="106">
        <v>1333</v>
      </c>
      <c r="F119" s="106">
        <v>0.764441110277569</v>
      </c>
      <c r="G119" s="106">
        <v>0.73995858349900101</v>
      </c>
      <c r="H119" s="106">
        <v>1.5738532404051601E-2</v>
      </c>
      <c r="I119" s="106">
        <v>1.5555787636378</v>
      </c>
      <c r="J119" s="106">
        <v>3.2</v>
      </c>
      <c r="K119" s="106">
        <v>0.95831716405985401</v>
      </c>
      <c r="L119" s="106">
        <v>0.64327991064898304</v>
      </c>
      <c r="M119" s="106">
        <v>0.94571655291987999</v>
      </c>
      <c r="N119" s="106">
        <v>4.0097559835641103E-2</v>
      </c>
      <c r="P119" s="106">
        <v>0.75569711590305266</v>
      </c>
      <c r="Q119" s="106">
        <v>0.72422005109494936</v>
      </c>
      <c r="R119" s="106">
        <v>0.7714356483071042</v>
      </c>
      <c r="S119" s="106">
        <v>0.70848151869089782</v>
      </c>
      <c r="AA119" s="106">
        <v>1019</v>
      </c>
      <c r="AB119" s="106">
        <v>996.42517267843436</v>
      </c>
    </row>
    <row r="120" spans="1:28">
      <c r="A120" s="14">
        <v>43763</v>
      </c>
      <c r="B120" s="106">
        <v>1016</v>
      </c>
      <c r="C120" s="106">
        <v>1005</v>
      </c>
      <c r="D120" s="106">
        <v>1325</v>
      </c>
      <c r="E120" s="106">
        <v>1314</v>
      </c>
      <c r="F120" s="106">
        <v>0.76484018264840103</v>
      </c>
      <c r="G120" s="106">
        <v>0.73944940609245802</v>
      </c>
      <c r="H120" s="106">
        <v>1.5554898391523801E-2</v>
      </c>
      <c r="I120" s="106">
        <v>1.63233316713785</v>
      </c>
      <c r="J120" s="106">
        <v>3.32</v>
      </c>
      <c r="K120" s="106">
        <v>0.95518170392517399</v>
      </c>
      <c r="L120" s="106">
        <v>0.59598357049054995</v>
      </c>
      <c r="M120" s="106">
        <v>0.94615391045790598</v>
      </c>
      <c r="N120" s="106">
        <v>4.2373622930390299E-2</v>
      </c>
      <c r="P120" s="106">
        <v>0.75500430448398181</v>
      </c>
      <c r="Q120" s="106">
        <v>0.72389450770093422</v>
      </c>
      <c r="R120" s="106">
        <v>0.77055920287550561</v>
      </c>
      <c r="S120" s="106">
        <v>0.70833960930941042</v>
      </c>
      <c r="AA120" s="106">
        <v>1005</v>
      </c>
      <c r="AB120" s="106">
        <v>982.22256331542599</v>
      </c>
    </row>
    <row r="121" spans="1:28">
      <c r="A121" s="14">
        <v>43762</v>
      </c>
      <c r="B121" s="106">
        <v>1000</v>
      </c>
      <c r="C121" s="106">
        <v>1017</v>
      </c>
      <c r="D121" s="106">
        <v>1313</v>
      </c>
      <c r="E121" s="106">
        <v>1336</v>
      </c>
      <c r="F121" s="106">
        <v>0.76122754491017897</v>
      </c>
      <c r="G121" s="106">
        <v>0.73892395509500497</v>
      </c>
      <c r="H121" s="106">
        <v>1.53526204209368E-2</v>
      </c>
      <c r="I121" s="106">
        <v>1.45275459196254</v>
      </c>
      <c r="J121" s="106">
        <v>2.93</v>
      </c>
      <c r="K121" s="106">
        <v>0.95266608372750405</v>
      </c>
      <c r="L121" s="106">
        <v>0.55506007346253505</v>
      </c>
      <c r="M121" s="106">
        <v>0.94656188251130402</v>
      </c>
      <c r="N121" s="106">
        <v>4.3404120859019402E-2</v>
      </c>
      <c r="P121" s="106">
        <v>0.75427657551594174</v>
      </c>
      <c r="Q121" s="106">
        <v>0.7235713346740682</v>
      </c>
      <c r="R121" s="106">
        <v>0.76962919593687862</v>
      </c>
      <c r="S121" s="106">
        <v>0.70821871425313132</v>
      </c>
      <c r="AA121" s="106">
        <v>1017</v>
      </c>
      <c r="AB121" s="106">
        <v>998.66768994627785</v>
      </c>
    </row>
    <row r="122" spans="1:28">
      <c r="A122" s="14">
        <v>43761</v>
      </c>
      <c r="B122" s="106">
        <v>999</v>
      </c>
      <c r="C122" s="106">
        <v>995</v>
      </c>
      <c r="D122" s="106">
        <v>1309</v>
      </c>
      <c r="E122" s="106">
        <v>1316</v>
      </c>
      <c r="F122" s="106">
        <v>0.75607902735562305</v>
      </c>
      <c r="G122" s="106">
        <v>0.73846214463353099</v>
      </c>
      <c r="H122" s="106">
        <v>1.51948935617005E-2</v>
      </c>
      <c r="I122" s="106">
        <v>1.15939494084351</v>
      </c>
      <c r="J122" s="106">
        <v>2.33</v>
      </c>
      <c r="K122" s="106">
        <v>0.952381670804615</v>
      </c>
      <c r="L122" s="106">
        <v>0.33364676971205798</v>
      </c>
      <c r="M122" s="106">
        <v>0.94740822286605997</v>
      </c>
      <c r="N122" s="106">
        <v>4.0134307639103001E-2</v>
      </c>
      <c r="P122" s="106">
        <v>0.75365703819523144</v>
      </c>
      <c r="Q122" s="106">
        <v>0.72326725107183054</v>
      </c>
      <c r="R122" s="106">
        <v>0.76885193175693201</v>
      </c>
      <c r="S122" s="106">
        <v>0.70807235751012998</v>
      </c>
      <c r="AA122" s="106">
        <v>995</v>
      </c>
      <c r="AB122" s="106">
        <v>983.71757482732164</v>
      </c>
    </row>
    <row r="123" spans="1:28">
      <c r="A123" s="14">
        <v>43759</v>
      </c>
      <c r="B123" s="106">
        <v>987</v>
      </c>
      <c r="C123" s="106">
        <v>989</v>
      </c>
      <c r="D123" s="106">
        <v>1286</v>
      </c>
      <c r="E123" s="106">
        <v>1289</v>
      </c>
      <c r="F123" s="106">
        <v>0.76726144297905297</v>
      </c>
      <c r="G123" s="106">
        <v>0.73812543705148403</v>
      </c>
      <c r="H123" s="106">
        <v>1.50801472828378E-2</v>
      </c>
      <c r="I123" s="106">
        <v>1.93207701364614</v>
      </c>
      <c r="J123" s="106">
        <v>3.8</v>
      </c>
      <c r="K123" s="106">
        <v>0.95531037301996502</v>
      </c>
      <c r="L123" s="106">
        <v>0.29418938574410403</v>
      </c>
      <c r="M123" s="106">
        <v>0.94935446211005203</v>
      </c>
      <c r="N123" s="106">
        <v>3.8802875548367699E-2</v>
      </c>
      <c r="P123" s="106">
        <v>0.75320558433432183</v>
      </c>
      <c r="Q123" s="106">
        <v>0.72304528976864624</v>
      </c>
      <c r="R123" s="106">
        <v>0.76828573161715963</v>
      </c>
      <c r="S123" s="106">
        <v>0.70796514248580844</v>
      </c>
      <c r="AA123" s="106">
        <v>989</v>
      </c>
      <c r="AB123" s="106">
        <v>963.53491941673065</v>
      </c>
    </row>
    <row r="124" spans="1:28">
      <c r="A124" s="14">
        <v>43756</v>
      </c>
      <c r="B124" s="106">
        <v>979</v>
      </c>
      <c r="C124" s="106">
        <v>983</v>
      </c>
      <c r="D124" s="106">
        <v>1290</v>
      </c>
      <c r="E124" s="106">
        <v>1289</v>
      </c>
      <c r="F124" s="106">
        <v>0.76260667183863395</v>
      </c>
      <c r="G124" s="106">
        <v>0.73769602248581001</v>
      </c>
      <c r="H124" s="106">
        <v>1.46980733340161E-2</v>
      </c>
      <c r="I124" s="106">
        <v>1.69482413012411</v>
      </c>
      <c r="J124" s="106">
        <v>3.27</v>
      </c>
      <c r="K124" s="106">
        <v>0.95615110126206504</v>
      </c>
      <c r="L124" s="106">
        <v>0.229131915054479</v>
      </c>
      <c r="M124" s="106">
        <v>0.95040629507093799</v>
      </c>
      <c r="N124" s="106">
        <v>3.7141321810859801E-2</v>
      </c>
      <c r="P124" s="106">
        <v>0.75239409581982608</v>
      </c>
      <c r="Q124" s="106">
        <v>0.72299794915179394</v>
      </c>
      <c r="R124" s="106">
        <v>0.76709216915384226</v>
      </c>
      <c r="S124" s="106">
        <v>0.70829987581777776</v>
      </c>
      <c r="AA124" s="106">
        <v>983</v>
      </c>
      <c r="AB124" s="106">
        <v>963.53491941673065</v>
      </c>
    </row>
    <row r="125" spans="1:28">
      <c r="A125" s="14">
        <v>43755</v>
      </c>
      <c r="B125" s="106">
        <v>983</v>
      </c>
      <c r="C125" s="106">
        <v>978</v>
      </c>
      <c r="D125" s="106">
        <v>1293</v>
      </c>
      <c r="E125" s="106">
        <v>1279</v>
      </c>
      <c r="F125" s="106">
        <v>0.76465989053948402</v>
      </c>
      <c r="G125" s="106">
        <v>0.73732885236410195</v>
      </c>
      <c r="H125" s="106">
        <v>1.4412379952494499E-2</v>
      </c>
      <c r="I125" s="106">
        <v>1.8963584269543701</v>
      </c>
      <c r="J125" s="106">
        <v>3.57</v>
      </c>
      <c r="K125" s="106">
        <v>0.95724271468843503</v>
      </c>
      <c r="L125" s="106">
        <v>0.25311327576041498</v>
      </c>
      <c r="M125" s="106">
        <v>0.95151861995361198</v>
      </c>
      <c r="N125" s="106">
        <v>4.43955508096033E-2</v>
      </c>
      <c r="P125" s="106">
        <v>0.7517412323165964</v>
      </c>
      <c r="Q125" s="106">
        <v>0.7229164724116075</v>
      </c>
      <c r="R125" s="106">
        <v>0.76615361226909096</v>
      </c>
      <c r="S125" s="106">
        <v>0.70850409245911294</v>
      </c>
      <c r="AA125" s="106">
        <v>978</v>
      </c>
      <c r="AB125" s="106">
        <v>956.05986185725249</v>
      </c>
    </row>
    <row r="126" spans="1:28">
      <c r="A126" s="14">
        <v>43754</v>
      </c>
      <c r="B126" s="106">
        <v>989</v>
      </c>
      <c r="C126" s="106">
        <v>979</v>
      </c>
      <c r="D126" s="106">
        <v>1305</v>
      </c>
      <c r="E126" s="106">
        <v>1288</v>
      </c>
      <c r="F126" s="106">
        <v>0.76009316770186297</v>
      </c>
      <c r="G126" s="106">
        <v>0.73692888817940405</v>
      </c>
      <c r="H126" s="106">
        <v>1.40602881521887E-2</v>
      </c>
      <c r="I126" s="106">
        <v>1.64749678468381</v>
      </c>
      <c r="J126" s="106">
        <v>3.05</v>
      </c>
      <c r="K126" s="106">
        <v>0.95705036763578399</v>
      </c>
      <c r="L126" s="106">
        <v>0.26484909563821202</v>
      </c>
      <c r="M126" s="106">
        <v>0.95297448802393303</v>
      </c>
      <c r="N126" s="106">
        <v>3.1711873002755998E-2</v>
      </c>
      <c r="P126" s="106">
        <v>0.75098917633159279</v>
      </c>
      <c r="Q126" s="106">
        <v>0.72286860002721531</v>
      </c>
      <c r="R126" s="106">
        <v>0.76504946448378142</v>
      </c>
      <c r="S126" s="106">
        <v>0.70880831187502669</v>
      </c>
      <c r="AA126" s="106">
        <v>979</v>
      </c>
      <c r="AB126" s="106">
        <v>962.78741366078282</v>
      </c>
    </row>
    <row r="127" spans="1:28">
      <c r="A127" s="14">
        <v>43753</v>
      </c>
      <c r="B127" s="106">
        <v>975</v>
      </c>
      <c r="C127" s="106">
        <v>974</v>
      </c>
      <c r="D127" s="106">
        <v>1287</v>
      </c>
      <c r="E127" s="106">
        <v>1283</v>
      </c>
      <c r="F127" s="106">
        <v>0.75915822291504198</v>
      </c>
      <c r="G127" s="106">
        <v>0.73655677671863395</v>
      </c>
      <c r="H127" s="106">
        <v>1.38093761135143E-2</v>
      </c>
      <c r="I127" s="106">
        <v>1.6366739533070001</v>
      </c>
      <c r="J127" s="106">
        <v>2.98</v>
      </c>
      <c r="K127" s="106">
        <v>0.95663136185813402</v>
      </c>
      <c r="L127" s="106">
        <v>0.33500578141954601</v>
      </c>
      <c r="M127" s="106">
        <v>0.95415115619649704</v>
      </c>
      <c r="N127" s="106">
        <v>3.2219893789107099E-2</v>
      </c>
      <c r="P127" s="106">
        <v>0.75036615283214825</v>
      </c>
      <c r="Q127" s="106">
        <v>0.72274740060511966</v>
      </c>
      <c r="R127" s="106">
        <v>0.76417552894566254</v>
      </c>
      <c r="S127" s="106">
        <v>0.70893802449160537</v>
      </c>
      <c r="AA127" s="106">
        <v>974</v>
      </c>
      <c r="AB127" s="106">
        <v>959.04988488104379</v>
      </c>
    </row>
    <row r="128" spans="1:28">
      <c r="A128" s="14">
        <v>43749</v>
      </c>
      <c r="B128" s="106">
        <v>941</v>
      </c>
      <c r="C128" s="106">
        <v>950</v>
      </c>
      <c r="D128" s="106">
        <v>1245</v>
      </c>
      <c r="E128" s="106">
        <v>1260</v>
      </c>
      <c r="F128" s="106">
        <v>0.75396825396825395</v>
      </c>
      <c r="G128" s="106">
        <v>0.73625642818644399</v>
      </c>
      <c r="H128" s="106">
        <v>1.3557202148007401E-2</v>
      </c>
      <c r="I128" s="106">
        <v>1.30645140409099</v>
      </c>
      <c r="J128" s="106">
        <v>2.35</v>
      </c>
      <c r="K128" s="106">
        <v>0.95570060888457398</v>
      </c>
      <c r="L128" s="106">
        <v>0.32644542009644201</v>
      </c>
      <c r="M128" s="106">
        <v>0.95595334912738705</v>
      </c>
      <c r="N128" s="106">
        <v>3.5687448828649798E-2</v>
      </c>
      <c r="P128" s="106">
        <v>0.74981363033445136</v>
      </c>
      <c r="Q128" s="106">
        <v>0.72269922603843662</v>
      </c>
      <c r="R128" s="106">
        <v>0.76337083248245874</v>
      </c>
      <c r="S128" s="106">
        <v>0.70914202389042924</v>
      </c>
      <c r="AA128" s="106">
        <v>950</v>
      </c>
      <c r="AB128" s="106">
        <v>941.85725249424411</v>
      </c>
    </row>
    <row r="129" spans="1:28">
      <c r="A129" s="14">
        <v>43748</v>
      </c>
      <c r="B129" s="106">
        <v>914</v>
      </c>
      <c r="C129" s="106">
        <v>926</v>
      </c>
      <c r="D129" s="106">
        <v>1217</v>
      </c>
      <c r="E129" s="106">
        <v>1222</v>
      </c>
      <c r="F129" s="106">
        <v>0.75777414075286398</v>
      </c>
      <c r="G129" s="106">
        <v>0.73616887917803198</v>
      </c>
      <c r="H129" s="106">
        <v>1.34634179111351E-2</v>
      </c>
      <c r="I129" s="106">
        <v>1.6047382408714499</v>
      </c>
      <c r="J129" s="106">
        <v>2.85</v>
      </c>
      <c r="K129" s="106">
        <v>0.95386077222133203</v>
      </c>
      <c r="L129" s="106">
        <v>0.48900729336667398</v>
      </c>
      <c r="M129" s="106">
        <v>0.95683809370829298</v>
      </c>
      <c r="N129" s="106">
        <v>3.08912507906649E-2</v>
      </c>
      <c r="P129" s="106">
        <v>0.74963229708916712</v>
      </c>
      <c r="Q129" s="106">
        <v>0.72270546126689683</v>
      </c>
      <c r="R129" s="106">
        <v>0.76309571500030215</v>
      </c>
      <c r="S129" s="106">
        <v>0.7092420433557618</v>
      </c>
      <c r="AA129" s="106">
        <v>926</v>
      </c>
      <c r="AB129" s="106">
        <v>913.45203376822724</v>
      </c>
    </row>
    <row r="130" spans="1:28">
      <c r="A130" s="14">
        <v>43747</v>
      </c>
      <c r="B130" s="106">
        <v>912</v>
      </c>
      <c r="C130" s="106">
        <v>915</v>
      </c>
      <c r="D130" s="106">
        <v>1212</v>
      </c>
      <c r="E130" s="106">
        <v>1212</v>
      </c>
      <c r="F130" s="106">
        <v>0.75495049504950495</v>
      </c>
      <c r="G130" s="106">
        <v>0.73585920178098896</v>
      </c>
      <c r="H130" s="106">
        <v>1.32279592603594E-2</v>
      </c>
      <c r="I130" s="106">
        <v>1.44325310448508</v>
      </c>
      <c r="J130" s="106">
        <v>2.5299999999999998</v>
      </c>
      <c r="K130" s="106">
        <v>0.95324731670124097</v>
      </c>
      <c r="L130" s="106">
        <v>0.41836171435419001</v>
      </c>
      <c r="M130" s="106">
        <v>0.95815432864598105</v>
      </c>
      <c r="N130" s="106">
        <v>3.0904875268465099E-2</v>
      </c>
      <c r="P130" s="106">
        <v>0.74908716104134832</v>
      </c>
      <c r="Q130" s="106">
        <v>0.7226312425206296</v>
      </c>
      <c r="R130" s="106">
        <v>0.76231512030170778</v>
      </c>
      <c r="S130" s="106">
        <v>0.70940328326027013</v>
      </c>
      <c r="AA130" s="106">
        <v>915</v>
      </c>
      <c r="AB130" s="106">
        <v>905.97697620874908</v>
      </c>
    </row>
    <row r="131" spans="1:28">
      <c r="A131" s="14">
        <v>43746</v>
      </c>
      <c r="B131" s="106">
        <v>921</v>
      </c>
      <c r="C131" s="106">
        <v>926</v>
      </c>
      <c r="D131" s="106">
        <v>1225</v>
      </c>
      <c r="E131" s="106">
        <v>1231</v>
      </c>
      <c r="F131" s="106">
        <v>0.75223395613322497</v>
      </c>
      <c r="G131" s="106">
        <v>0.73558222471619295</v>
      </c>
      <c r="H131" s="106">
        <v>1.30414804081317E-2</v>
      </c>
      <c r="I131" s="106">
        <v>1.27682831211772</v>
      </c>
      <c r="J131" s="106">
        <v>2.21</v>
      </c>
      <c r="K131" s="106">
        <v>0.953344842442718</v>
      </c>
      <c r="L131" s="106">
        <v>0.389155472590135</v>
      </c>
      <c r="M131" s="106">
        <v>0.95957514796798005</v>
      </c>
      <c r="N131" s="106">
        <v>3.1889418667579203E-2</v>
      </c>
      <c r="P131" s="106">
        <v>0.74862370512432463</v>
      </c>
      <c r="Q131" s="106">
        <v>0.72254074430806126</v>
      </c>
      <c r="R131" s="106">
        <v>0.76166518553245632</v>
      </c>
      <c r="S131" s="106">
        <v>0.70949926389992957</v>
      </c>
      <c r="AA131" s="106">
        <v>926</v>
      </c>
      <c r="AB131" s="106">
        <v>920.17958557175757</v>
      </c>
    </row>
    <row r="132" spans="1:28">
      <c r="A132" s="14">
        <v>43745</v>
      </c>
      <c r="B132" s="106">
        <v>918</v>
      </c>
      <c r="C132" s="106">
        <v>910</v>
      </c>
      <c r="D132" s="106">
        <v>1220</v>
      </c>
      <c r="E132" s="106">
        <v>1214</v>
      </c>
      <c r="F132" s="106">
        <v>0.74958813838550198</v>
      </c>
      <c r="G132" s="106">
        <v>0.73537197154312195</v>
      </c>
      <c r="H132" s="106">
        <v>1.2897648074853101E-2</v>
      </c>
      <c r="I132" s="106">
        <v>1.1022293956134199</v>
      </c>
      <c r="J132" s="106">
        <v>1.9</v>
      </c>
      <c r="K132" s="106">
        <v>0.954063064151211</v>
      </c>
      <c r="L132" s="106">
        <v>0.33314986981839301</v>
      </c>
      <c r="M132" s="106">
        <v>0.95943492822600096</v>
      </c>
      <c r="N132" s="106">
        <v>3.2363582165005997E-2</v>
      </c>
      <c r="P132" s="106">
        <v>0.748269619617975</v>
      </c>
      <c r="Q132" s="106">
        <v>0.7224743234682689</v>
      </c>
      <c r="R132" s="106">
        <v>0.76116726769282816</v>
      </c>
      <c r="S132" s="106">
        <v>0.70957667539341573</v>
      </c>
      <c r="AA132" s="106">
        <v>910</v>
      </c>
      <c r="AB132" s="106">
        <v>907.47198772064473</v>
      </c>
    </row>
    <row r="133" spans="1:28">
      <c r="A133" s="14">
        <v>43742</v>
      </c>
      <c r="B133" s="106">
        <v>909</v>
      </c>
      <c r="C133" s="106">
        <v>914</v>
      </c>
      <c r="D133" s="106">
        <v>1220</v>
      </c>
      <c r="E133" s="106">
        <v>1216</v>
      </c>
      <c r="F133" s="106">
        <v>0.75164473684210498</v>
      </c>
      <c r="G133" s="106">
        <v>0.735128216249612</v>
      </c>
      <c r="H133" s="106">
        <v>1.2799047840003901E-2</v>
      </c>
      <c r="I133" s="106">
        <v>1.29044916457536</v>
      </c>
      <c r="J133" s="106">
        <v>2.2000000000000002</v>
      </c>
      <c r="K133" s="106">
        <v>0.95572415252194198</v>
      </c>
      <c r="L133" s="106">
        <v>0.34218934892872999</v>
      </c>
      <c r="M133" s="106">
        <v>0.96092572216935102</v>
      </c>
      <c r="N133" s="106">
        <v>3.3743296450458697E-2</v>
      </c>
      <c r="P133" s="106">
        <v>0.74792726408961585</v>
      </c>
      <c r="Q133" s="106">
        <v>0.72232916840960815</v>
      </c>
      <c r="R133" s="106">
        <v>0.76072631192961981</v>
      </c>
      <c r="S133" s="106">
        <v>0.70953012056960418</v>
      </c>
      <c r="AA133" s="106">
        <v>914</v>
      </c>
      <c r="AB133" s="106">
        <v>908.96699923254027</v>
      </c>
    </row>
    <row r="134" spans="1:28">
      <c r="A134" s="14">
        <v>43741</v>
      </c>
      <c r="B134" s="106">
        <v>899</v>
      </c>
      <c r="C134" s="106">
        <v>909</v>
      </c>
      <c r="D134" s="106">
        <v>1222</v>
      </c>
      <c r="E134" s="106">
        <v>1220</v>
      </c>
      <c r="F134" s="106">
        <v>0.74508196721311404</v>
      </c>
      <c r="G134" s="106">
        <v>0.73493373096079395</v>
      </c>
      <c r="H134" s="106">
        <v>1.2656626726550799E-2</v>
      </c>
      <c r="I134" s="106">
        <v>0.80181208402326398</v>
      </c>
      <c r="J134" s="106">
        <v>1.36</v>
      </c>
      <c r="K134" s="106">
        <v>0.95659531395221498</v>
      </c>
      <c r="L134" s="106">
        <v>0.35859916921566198</v>
      </c>
      <c r="M134" s="106">
        <v>0.96226219043167005</v>
      </c>
      <c r="N134" s="106">
        <v>3.8087775524745397E-2</v>
      </c>
      <c r="P134" s="106">
        <v>0.74759035768734472</v>
      </c>
      <c r="Q134" s="106">
        <v>0.72227710423424318</v>
      </c>
      <c r="R134" s="106">
        <v>0.7602469844138956</v>
      </c>
      <c r="S134" s="106">
        <v>0.7096204775076923</v>
      </c>
      <c r="AA134" s="106">
        <v>909</v>
      </c>
      <c r="AB134" s="106">
        <v>911.95702225633158</v>
      </c>
    </row>
    <row r="135" spans="1:28">
      <c r="A135" s="14">
        <v>43740</v>
      </c>
      <c r="B135" s="106">
        <v>919</v>
      </c>
      <c r="C135" s="106">
        <v>928</v>
      </c>
      <c r="D135" s="106">
        <v>1252</v>
      </c>
      <c r="E135" s="106">
        <v>1252</v>
      </c>
      <c r="F135" s="106">
        <v>0.74121405750798697</v>
      </c>
      <c r="G135" s="106">
        <v>0.73493671969727203</v>
      </c>
      <c r="H135" s="106">
        <v>1.26590490129148E-2</v>
      </c>
      <c r="I135" s="106">
        <v>0.49587751847002298</v>
      </c>
      <c r="J135" s="106">
        <v>0.85</v>
      </c>
      <c r="K135" s="106">
        <v>0.95732514349604203</v>
      </c>
      <c r="L135" s="106">
        <v>0.35129848646529399</v>
      </c>
      <c r="M135" s="106">
        <v>0.96354879141650396</v>
      </c>
      <c r="N135" s="106">
        <v>3.8658199646975602E-2</v>
      </c>
      <c r="P135" s="106">
        <v>0.74759576871018685</v>
      </c>
      <c r="Q135" s="106">
        <v>0.72227767068435722</v>
      </c>
      <c r="R135" s="106">
        <v>0.76025481772310166</v>
      </c>
      <c r="S135" s="106">
        <v>0.70961862167144241</v>
      </c>
      <c r="AA135" s="106">
        <v>928</v>
      </c>
      <c r="AB135" s="106">
        <v>935.8772064466616</v>
      </c>
    </row>
    <row r="136" spans="1:28">
      <c r="A136" s="14">
        <v>43739</v>
      </c>
      <c r="B136" s="106">
        <v>917</v>
      </c>
      <c r="C136" s="106">
        <v>949</v>
      </c>
      <c r="D136" s="106">
        <v>1251</v>
      </c>
      <c r="E136" s="106">
        <v>1282</v>
      </c>
      <c r="F136" s="106">
        <v>0.74024960998439904</v>
      </c>
      <c r="G136" s="106">
        <v>0.73486477861715505</v>
      </c>
      <c r="H136" s="106">
        <v>1.26384854074084E-2</v>
      </c>
      <c r="I136" s="106">
        <v>0.42606619335000401</v>
      </c>
      <c r="J136" s="106">
        <v>0.73</v>
      </c>
      <c r="K136" s="106">
        <v>0.95852014182723699</v>
      </c>
      <c r="L136" s="106">
        <v>0.355758888420527</v>
      </c>
      <c r="M136" s="106">
        <v>0.964852810212256</v>
      </c>
      <c r="N136" s="106">
        <v>4.3551909528023798E-2</v>
      </c>
      <c r="P136" s="106">
        <v>0.74750326402456346</v>
      </c>
      <c r="Q136" s="106">
        <v>0.72222629320974663</v>
      </c>
      <c r="R136" s="106">
        <v>0.76014174943197188</v>
      </c>
      <c r="S136" s="106">
        <v>0.70958780780233821</v>
      </c>
      <c r="AA136" s="106">
        <v>949</v>
      </c>
      <c r="AB136" s="106">
        <v>958.30237912509597</v>
      </c>
    </row>
    <row r="137" spans="1:28">
      <c r="A137" s="14">
        <v>43738</v>
      </c>
      <c r="B137" s="106">
        <v>919</v>
      </c>
      <c r="C137" s="106">
        <v>910</v>
      </c>
      <c r="D137" s="106">
        <v>1257</v>
      </c>
      <c r="E137" s="106">
        <v>1239</v>
      </c>
      <c r="F137" s="106">
        <v>0.73446327683615797</v>
      </c>
      <c r="G137" s="106">
        <v>0.73492500389251003</v>
      </c>
      <c r="H137" s="106">
        <v>1.2674711969016501E-2</v>
      </c>
      <c r="I137" s="106">
        <v>-3.6428997951299197E-2</v>
      </c>
      <c r="J137" s="106">
        <v>-0.06</v>
      </c>
      <c r="K137" s="106">
        <v>0.95989742002359801</v>
      </c>
      <c r="L137" s="106">
        <v>0.35346412846104702</v>
      </c>
      <c r="M137" s="106">
        <v>0.96600144328929805</v>
      </c>
      <c r="N137" s="106">
        <v>3.5460382249917502E-2</v>
      </c>
      <c r="P137" s="106">
        <v>0.74759971586152651</v>
      </c>
      <c r="Q137" s="106">
        <v>0.72225029192349355</v>
      </c>
      <c r="R137" s="106">
        <v>0.760274427830543</v>
      </c>
      <c r="S137" s="106">
        <v>0.70957557995447706</v>
      </c>
      <c r="AA137" s="106">
        <v>910</v>
      </c>
      <c r="AB137" s="106">
        <v>926.15963161933996</v>
      </c>
    </row>
    <row r="138" spans="1:28">
      <c r="A138" s="14">
        <v>43735</v>
      </c>
      <c r="B138" s="106">
        <v>922</v>
      </c>
      <c r="C138" s="106">
        <v>921</v>
      </c>
      <c r="D138" s="106">
        <v>1268</v>
      </c>
      <c r="E138" s="106">
        <v>1260</v>
      </c>
      <c r="F138" s="106">
        <v>0.73095238095238002</v>
      </c>
      <c r="G138" s="106">
        <v>0.73503631355599397</v>
      </c>
      <c r="H138" s="106">
        <v>1.2706784895428201E-2</v>
      </c>
      <c r="I138" s="106">
        <v>-0.321397791591094</v>
      </c>
      <c r="J138" s="106">
        <v>-0.56000000000000005</v>
      </c>
      <c r="K138" s="106">
        <v>0.96034155059384796</v>
      </c>
      <c r="L138" s="106">
        <v>0.356842657081621</v>
      </c>
      <c r="M138" s="106">
        <v>0.96699564610771305</v>
      </c>
      <c r="N138" s="106">
        <v>2.3183588329296199E-2</v>
      </c>
      <c r="P138" s="106">
        <v>0.74774309845142217</v>
      </c>
      <c r="Q138" s="106">
        <v>0.72232952866056577</v>
      </c>
      <c r="R138" s="106">
        <v>0.76044988334685037</v>
      </c>
      <c r="S138" s="106">
        <v>0.70962274376513756</v>
      </c>
      <c r="AA138" s="106">
        <v>921</v>
      </c>
      <c r="AB138" s="106">
        <v>941.85725249424411</v>
      </c>
    </row>
    <row r="139" spans="1:28">
      <c r="A139" s="14">
        <v>43734</v>
      </c>
      <c r="B139" s="106">
        <v>959</v>
      </c>
      <c r="C139" s="106">
        <v>945</v>
      </c>
      <c r="D139" s="106">
        <v>1291</v>
      </c>
      <c r="E139" s="106">
        <v>1287</v>
      </c>
      <c r="F139" s="106">
        <v>0.73426573426573405</v>
      </c>
      <c r="G139" s="106">
        <v>0.73519566164234995</v>
      </c>
      <c r="H139" s="106">
        <v>1.27294871390234E-2</v>
      </c>
      <c r="I139" s="106">
        <v>-7.3053011991732197E-2</v>
      </c>
      <c r="J139" s="106">
        <v>-0.13</v>
      </c>
      <c r="K139" s="106">
        <v>0.96052338703539697</v>
      </c>
      <c r="L139" s="106">
        <v>0.45648706100228498</v>
      </c>
      <c r="M139" s="106">
        <v>0.96781923217257004</v>
      </c>
      <c r="N139" s="106">
        <v>2.1873106761591599E-2</v>
      </c>
      <c r="P139" s="106">
        <v>0.74792514878137339</v>
      </c>
      <c r="Q139" s="106">
        <v>0.72246617450332651</v>
      </c>
      <c r="R139" s="106">
        <v>0.76065463592039673</v>
      </c>
      <c r="S139" s="106">
        <v>0.70973668736430318</v>
      </c>
      <c r="AA139" s="106">
        <v>945</v>
      </c>
      <c r="AB139" s="106">
        <v>962.03990790483499</v>
      </c>
    </row>
    <row r="140" spans="1:28">
      <c r="A140" s="14">
        <v>43733</v>
      </c>
      <c r="B140" s="106">
        <v>934</v>
      </c>
      <c r="C140" s="106">
        <v>939</v>
      </c>
      <c r="D140" s="106">
        <v>1264</v>
      </c>
      <c r="E140" s="106">
        <v>1270</v>
      </c>
      <c r="F140" s="106">
        <v>0.73937007874015703</v>
      </c>
      <c r="G140" s="106">
        <v>0.73530644195115002</v>
      </c>
      <c r="H140" s="106">
        <v>1.2757035549969899E-2</v>
      </c>
      <c r="I140" s="106">
        <v>0.31854083757075502</v>
      </c>
      <c r="J140" s="106">
        <v>0.55000000000000004</v>
      </c>
      <c r="K140" s="106">
        <v>0.96059013730256804</v>
      </c>
      <c r="L140" s="106">
        <v>0.43378732621143701</v>
      </c>
      <c r="M140" s="106">
        <v>0.96854487123071498</v>
      </c>
      <c r="N140" s="106">
        <v>2.35130391750056E-2</v>
      </c>
      <c r="P140" s="106">
        <v>0.7480634775011199</v>
      </c>
      <c r="Q140" s="106">
        <v>0.72254940640118015</v>
      </c>
      <c r="R140" s="106">
        <v>0.76082051305108978</v>
      </c>
      <c r="S140" s="106">
        <v>0.70979237085121027</v>
      </c>
      <c r="AA140" s="106">
        <v>939</v>
      </c>
      <c r="AB140" s="106">
        <v>949.33231005372227</v>
      </c>
    </row>
    <row r="141" spans="1:28">
      <c r="A141" s="14">
        <v>43732</v>
      </c>
      <c r="B141" s="106">
        <v>949</v>
      </c>
      <c r="C141" s="106">
        <v>947</v>
      </c>
      <c r="D141" s="106">
        <v>1283</v>
      </c>
      <c r="E141" s="106">
        <v>1281</v>
      </c>
      <c r="F141" s="106">
        <v>0.73926619828259099</v>
      </c>
      <c r="G141" s="106">
        <v>0.73535388693566806</v>
      </c>
      <c r="H141" s="106">
        <v>1.27786591768238E-2</v>
      </c>
      <c r="I141" s="106">
        <v>0.306159769408271</v>
      </c>
      <c r="J141" s="106">
        <v>0.53</v>
      </c>
      <c r="K141" s="106">
        <v>0.96047911524538898</v>
      </c>
      <c r="L141" s="106">
        <v>0.46643325181538797</v>
      </c>
      <c r="M141" s="106">
        <v>0.969452408646992</v>
      </c>
      <c r="N141" s="106">
        <v>2.1558986248302901E-2</v>
      </c>
      <c r="P141" s="106">
        <v>0.7481325461124918</v>
      </c>
      <c r="Q141" s="106">
        <v>0.72257522775884431</v>
      </c>
      <c r="R141" s="106">
        <v>0.76091120528931566</v>
      </c>
      <c r="S141" s="106">
        <v>0.70979656858202045</v>
      </c>
      <c r="AA141" s="106">
        <v>947</v>
      </c>
      <c r="AB141" s="106">
        <v>957.55487336914814</v>
      </c>
    </row>
    <row r="142" spans="1:28">
      <c r="A142" s="14">
        <v>43728</v>
      </c>
      <c r="B142" s="106">
        <v>954</v>
      </c>
      <c r="C142" s="106">
        <v>949</v>
      </c>
      <c r="D142" s="106">
        <v>1288</v>
      </c>
      <c r="E142" s="106">
        <v>1277</v>
      </c>
      <c r="F142" s="106">
        <v>0.74314800313234097</v>
      </c>
      <c r="G142" s="106">
        <v>0.73544790445556596</v>
      </c>
      <c r="H142" s="106">
        <v>1.28329221043679E-2</v>
      </c>
      <c r="I142" s="106">
        <v>0.60002691625112203</v>
      </c>
      <c r="J142" s="106">
        <v>1.04</v>
      </c>
      <c r="K142" s="106">
        <v>0.960079475219208</v>
      </c>
      <c r="L142" s="106">
        <v>0.37608205464862998</v>
      </c>
      <c r="M142" s="106">
        <v>0.970274661369803</v>
      </c>
      <c r="N142" s="106">
        <v>2.0935175714211302E-2</v>
      </c>
      <c r="P142" s="106">
        <v>0.74828082655993389</v>
      </c>
      <c r="Q142" s="106">
        <v>0.72261498235119803</v>
      </c>
      <c r="R142" s="106">
        <v>0.76111374866430181</v>
      </c>
      <c r="S142" s="106">
        <v>0.7097820602468301</v>
      </c>
      <c r="AA142" s="106">
        <v>949</v>
      </c>
      <c r="AB142" s="106">
        <v>954.56485034535694</v>
      </c>
    </row>
    <row r="143" spans="1:28">
      <c r="A143" s="14">
        <v>43727</v>
      </c>
      <c r="B143" s="106">
        <v>957</v>
      </c>
      <c r="C143" s="106">
        <v>949</v>
      </c>
      <c r="D143" s="106">
        <v>1294</v>
      </c>
      <c r="E143" s="106">
        <v>1292</v>
      </c>
      <c r="F143" s="106">
        <v>0.734520123839009</v>
      </c>
      <c r="G143" s="106">
        <v>0.735604512640752</v>
      </c>
      <c r="H143" s="106">
        <v>1.2996561847165199E-2</v>
      </c>
      <c r="I143" s="106">
        <v>-8.3436589960877203E-2</v>
      </c>
      <c r="J143" s="106">
        <v>-0.15</v>
      </c>
      <c r="K143" s="106">
        <v>0.95986915109292903</v>
      </c>
      <c r="L143" s="106">
        <v>0.30127963173377498</v>
      </c>
      <c r="M143" s="106">
        <v>0.97090486192529202</v>
      </c>
      <c r="N143" s="106">
        <v>2.2825500176649301E-2</v>
      </c>
      <c r="P143" s="106">
        <v>0.74860107448791724</v>
      </c>
      <c r="Q143" s="106">
        <v>0.72260795079358675</v>
      </c>
      <c r="R143" s="106">
        <v>0.76159763633508237</v>
      </c>
      <c r="S143" s="106">
        <v>0.70961138894642162</v>
      </c>
      <c r="AA143" s="106">
        <v>949</v>
      </c>
      <c r="AB143" s="106">
        <v>965.77743668457413</v>
      </c>
    </row>
    <row r="144" spans="1:28">
      <c r="A144" s="14">
        <v>43726</v>
      </c>
      <c r="B144" s="106">
        <v>975</v>
      </c>
      <c r="C144" s="106">
        <v>963</v>
      </c>
      <c r="D144" s="106">
        <v>1301</v>
      </c>
      <c r="E144" s="106">
        <v>1290</v>
      </c>
      <c r="F144" s="106">
        <v>0.74651162790697601</v>
      </c>
      <c r="G144" s="106">
        <v>0.736001470942658</v>
      </c>
      <c r="H144" s="106">
        <v>1.34056078447776E-2</v>
      </c>
      <c r="I144" s="106">
        <v>0.78401196618716795</v>
      </c>
      <c r="J144" s="106">
        <v>1.41</v>
      </c>
      <c r="K144" s="106">
        <v>0.96004246993386499</v>
      </c>
      <c r="L144" s="106">
        <v>0.35983115152790601</v>
      </c>
      <c r="M144" s="106">
        <v>0.97143813442609295</v>
      </c>
      <c r="N144" s="106">
        <v>1.88132467242225E-2</v>
      </c>
      <c r="P144" s="106">
        <v>0.74940707878743562</v>
      </c>
      <c r="Q144" s="106">
        <v>0.72259586309788038</v>
      </c>
      <c r="R144" s="106">
        <v>0.76281268663221324</v>
      </c>
      <c r="S144" s="106">
        <v>0.70919025525310275</v>
      </c>
      <c r="AA144" s="106">
        <v>963</v>
      </c>
      <c r="AB144" s="106">
        <v>964.28242517267847</v>
      </c>
    </row>
    <row r="145" spans="1:28">
      <c r="A145" s="14">
        <v>43725</v>
      </c>
      <c r="B145" s="106">
        <v>976</v>
      </c>
      <c r="C145" s="106">
        <v>983</v>
      </c>
      <c r="D145" s="106">
        <v>1309</v>
      </c>
      <c r="E145" s="106">
        <v>1303</v>
      </c>
      <c r="F145" s="106">
        <v>0.75441289332310002</v>
      </c>
      <c r="G145" s="106">
        <v>0.73615214923723205</v>
      </c>
      <c r="H145" s="106">
        <v>1.35852022041576E-2</v>
      </c>
      <c r="I145" s="106">
        <v>1.3441643202248199</v>
      </c>
      <c r="J145" s="106">
        <v>2.42</v>
      </c>
      <c r="K145" s="106">
        <v>0.96094769063926999</v>
      </c>
      <c r="L145" s="106">
        <v>7.2829391538308294E-2</v>
      </c>
      <c r="M145" s="106">
        <v>0.97182079669463495</v>
      </c>
      <c r="N145" s="106">
        <v>1.96271055734125E-2</v>
      </c>
      <c r="P145" s="106">
        <v>0.74973735144138964</v>
      </c>
      <c r="Q145" s="106">
        <v>0.72256694703307445</v>
      </c>
      <c r="R145" s="106">
        <v>0.76332255364554724</v>
      </c>
      <c r="S145" s="106">
        <v>0.70898174482891685</v>
      </c>
      <c r="AA145" s="106">
        <v>983</v>
      </c>
      <c r="AB145" s="106">
        <v>974</v>
      </c>
    </row>
    <row r="146" spans="1:28">
      <c r="A146" s="14">
        <v>43721</v>
      </c>
      <c r="B146" s="106">
        <v>989</v>
      </c>
      <c r="C146" s="106">
        <v>969</v>
      </c>
      <c r="D146" s="106">
        <v>1300</v>
      </c>
      <c r="E146" s="106">
        <v>1298</v>
      </c>
      <c r="F146" s="106">
        <v>0.74653312788906001</v>
      </c>
      <c r="G146" s="106">
        <v>0.73623527545232204</v>
      </c>
      <c r="H146" s="106">
        <v>1.3715135785475299E-2</v>
      </c>
      <c r="I146" s="106">
        <v>0.75083853326799799</v>
      </c>
      <c r="J146" s="106">
        <v>1.38</v>
      </c>
      <c r="K146" s="106">
        <v>0.960604214364422</v>
      </c>
      <c r="L146" s="106">
        <v>0.14889525588129901</v>
      </c>
      <c r="M146" s="106">
        <v>0.97176058016373501</v>
      </c>
      <c r="N146" s="106">
        <v>3.2104371695903099E-2</v>
      </c>
      <c r="P146" s="106">
        <v>0.74995041123779738</v>
      </c>
      <c r="Q146" s="106">
        <v>0.72252013966684669</v>
      </c>
      <c r="R146" s="106">
        <v>0.76366554702327261</v>
      </c>
      <c r="S146" s="106">
        <v>0.70880500388137146</v>
      </c>
      <c r="AA146" s="106">
        <v>969</v>
      </c>
      <c r="AB146" s="106">
        <v>970.26247122026098</v>
      </c>
    </row>
    <row r="147" spans="1:28">
      <c r="A147" s="14">
        <v>43720</v>
      </c>
      <c r="B147" s="106">
        <v>988</v>
      </c>
      <c r="C147" s="106">
        <v>996</v>
      </c>
      <c r="D147" s="106">
        <v>1300</v>
      </c>
      <c r="E147" s="106">
        <v>1298</v>
      </c>
      <c r="F147" s="106">
        <v>0.76733436055469895</v>
      </c>
      <c r="G147" s="106">
        <v>0.73645214887796495</v>
      </c>
      <c r="H147" s="106">
        <v>1.4001861762172199E-2</v>
      </c>
      <c r="I147" s="106">
        <v>2.2055789580901499</v>
      </c>
      <c r="J147" s="106">
        <v>4.0199999999999996</v>
      </c>
      <c r="K147" s="106">
        <v>0.96431883757140302</v>
      </c>
      <c r="L147" s="106">
        <v>2.29388874202942E-2</v>
      </c>
      <c r="M147" s="106">
        <v>0.97159196768036604</v>
      </c>
      <c r="N147" s="106">
        <v>2.8078323914055799E-2</v>
      </c>
      <c r="P147" s="106">
        <v>0.75045401064013717</v>
      </c>
      <c r="Q147" s="106">
        <v>0.72245028711579273</v>
      </c>
      <c r="R147" s="106">
        <v>0.76445587240230939</v>
      </c>
      <c r="S147" s="106">
        <v>0.70844842535362051</v>
      </c>
      <c r="AA147" s="106">
        <v>996</v>
      </c>
      <c r="AB147" s="106">
        <v>970.26247122026098</v>
      </c>
    </row>
    <row r="148" spans="1:28">
      <c r="A148" s="14">
        <v>43719</v>
      </c>
      <c r="B148" s="106">
        <v>960</v>
      </c>
      <c r="C148" s="106">
        <v>975</v>
      </c>
      <c r="D148" s="106">
        <v>1277</v>
      </c>
      <c r="E148" s="106">
        <v>1289</v>
      </c>
      <c r="F148" s="106">
        <v>0.75640031031807597</v>
      </c>
      <c r="G148" s="106">
        <v>0.73637279472824202</v>
      </c>
      <c r="H148" s="106">
        <v>1.3842573948092801E-2</v>
      </c>
      <c r="I148" s="106">
        <v>1.44680575050084</v>
      </c>
      <c r="J148" s="106">
        <v>2.65</v>
      </c>
      <c r="K148" s="106">
        <v>0.96559721669064802</v>
      </c>
      <c r="L148" s="106">
        <v>0.11955539088938499</v>
      </c>
      <c r="M148" s="106">
        <v>0.97149800154787802</v>
      </c>
      <c r="N148" s="106">
        <v>2.1995388996558202E-2</v>
      </c>
      <c r="P148" s="106">
        <v>0.75021536867633487</v>
      </c>
      <c r="Q148" s="106">
        <v>0.72253022078014917</v>
      </c>
      <c r="R148" s="106">
        <v>0.76405794262442761</v>
      </c>
      <c r="S148" s="106">
        <v>0.70868764683205643</v>
      </c>
      <c r="AA148" s="106">
        <v>975</v>
      </c>
      <c r="AB148" s="106">
        <v>963.53491941673065</v>
      </c>
    </row>
    <row r="149" spans="1:28">
      <c r="A149" s="14">
        <v>43718</v>
      </c>
      <c r="B149" s="106">
        <v>922</v>
      </c>
      <c r="C149" s="106">
        <v>966</v>
      </c>
      <c r="D149" s="106">
        <v>1224</v>
      </c>
      <c r="E149" s="106">
        <v>1262</v>
      </c>
      <c r="F149" s="106">
        <v>0.76545166402535603</v>
      </c>
      <c r="G149" s="106">
        <v>0.73658997351404898</v>
      </c>
      <c r="H149" s="106">
        <v>1.4276073927933499E-2</v>
      </c>
      <c r="I149" s="106">
        <v>2.0216826178543701</v>
      </c>
      <c r="J149" s="106">
        <v>3.77</v>
      </c>
      <c r="K149" s="106">
        <v>0.96920063645516197</v>
      </c>
      <c r="L149" s="106">
        <v>3.2466701394239898E-2</v>
      </c>
      <c r="M149" s="106">
        <v>0.97131512652541696</v>
      </c>
      <c r="N149" s="106">
        <v>3.1679528822498401E-2</v>
      </c>
      <c r="P149" s="106">
        <v>0.75086604744198249</v>
      </c>
      <c r="Q149" s="106">
        <v>0.72231389958611547</v>
      </c>
      <c r="R149" s="106">
        <v>0.765142121369916</v>
      </c>
      <c r="S149" s="106">
        <v>0.70803782565818196</v>
      </c>
      <c r="AA149" s="106">
        <v>966</v>
      </c>
      <c r="AB149" s="106">
        <v>943.35226400613976</v>
      </c>
    </row>
    <row r="150" spans="1:28">
      <c r="A150" s="14">
        <v>43717</v>
      </c>
      <c r="B150" s="106">
        <v>902</v>
      </c>
      <c r="C150" s="106">
        <v>901</v>
      </c>
      <c r="D150" s="106">
        <v>1197</v>
      </c>
      <c r="E150" s="106">
        <v>1194</v>
      </c>
      <c r="F150" s="106">
        <v>0.75460636515912805</v>
      </c>
      <c r="G150" s="106">
        <v>0.73674676311842702</v>
      </c>
      <c r="H150" s="106">
        <v>1.4651820821754299E-2</v>
      </c>
      <c r="I150" s="106">
        <v>1.2189339644519901</v>
      </c>
      <c r="J150" s="106">
        <v>2.37</v>
      </c>
      <c r="K150" s="106">
        <v>0.97034625139813402</v>
      </c>
      <c r="L150" s="106">
        <v>3.8166793921628403E-2</v>
      </c>
      <c r="M150" s="106">
        <v>0.97077506643075295</v>
      </c>
      <c r="N150" s="106">
        <v>4.5563276103370798E-2</v>
      </c>
      <c r="P150" s="106">
        <v>0.75139858394018133</v>
      </c>
      <c r="Q150" s="106">
        <v>0.7220949422966727</v>
      </c>
      <c r="R150" s="106">
        <v>0.76605040476193564</v>
      </c>
      <c r="S150" s="106">
        <v>0.70744312147491839</v>
      </c>
      <c r="AA150" s="106">
        <v>901</v>
      </c>
      <c r="AB150" s="106">
        <v>892.52187260168841</v>
      </c>
    </row>
    <row r="151" spans="1:28">
      <c r="A151" s="14">
        <v>43714</v>
      </c>
      <c r="B151" s="106">
        <v>900</v>
      </c>
      <c r="C151" s="106">
        <v>903</v>
      </c>
      <c r="D151" s="106">
        <v>1196</v>
      </c>
      <c r="E151" s="106">
        <v>1186</v>
      </c>
      <c r="F151" s="106">
        <v>0.76138279932546304</v>
      </c>
      <c r="G151" s="106">
        <v>0.73690194125948405</v>
      </c>
      <c r="H151" s="106">
        <v>1.48996856338097E-2</v>
      </c>
      <c r="I151" s="106">
        <v>1.6430452740847199</v>
      </c>
      <c r="J151" s="106">
        <v>3.22</v>
      </c>
      <c r="K151" s="106">
        <v>0.97269036998820901</v>
      </c>
      <c r="L151" s="106">
        <v>0.112456651637033</v>
      </c>
      <c r="M151" s="106">
        <v>0.97004761305052201</v>
      </c>
      <c r="N151" s="106">
        <v>6.7992070286492401E-2</v>
      </c>
      <c r="P151" s="106">
        <v>0.75180162689329377</v>
      </c>
      <c r="Q151" s="106">
        <v>0.72200225562567433</v>
      </c>
      <c r="R151" s="106">
        <v>0.7667013125271035</v>
      </c>
      <c r="S151" s="106">
        <v>0.7071025699918646</v>
      </c>
      <c r="AA151" s="106">
        <v>903</v>
      </c>
      <c r="AB151" s="106">
        <v>886.54182655410591</v>
      </c>
    </row>
    <row r="152" spans="1:28">
      <c r="A152" s="14">
        <v>43713</v>
      </c>
      <c r="B152" s="106">
        <v>856</v>
      </c>
      <c r="C152" s="106">
        <v>890</v>
      </c>
      <c r="D152" s="106">
        <v>1151</v>
      </c>
      <c r="E152" s="106">
        <v>1175</v>
      </c>
      <c r="F152" s="106">
        <v>0.75744680851063795</v>
      </c>
      <c r="G152" s="106">
        <v>0.73687647483025698</v>
      </c>
      <c r="H152" s="106">
        <v>1.48593991734172E-2</v>
      </c>
      <c r="I152" s="106">
        <v>1.38433145514926</v>
      </c>
      <c r="J152" s="106">
        <v>2.72</v>
      </c>
      <c r="K152" s="106">
        <v>0.97425102206700098</v>
      </c>
      <c r="L152" s="106">
        <v>2.1608883444904199E-2</v>
      </c>
      <c r="M152" s="106">
        <v>0.96938560215884995</v>
      </c>
      <c r="N152" s="106">
        <v>6.2258289092704297E-2</v>
      </c>
      <c r="P152" s="106">
        <v>0.75173587400367414</v>
      </c>
      <c r="Q152" s="106">
        <v>0.72201707565683981</v>
      </c>
      <c r="R152" s="106">
        <v>0.76659527317709142</v>
      </c>
      <c r="S152" s="106">
        <v>0.70715767648342254</v>
      </c>
      <c r="AA152" s="106">
        <v>890</v>
      </c>
      <c r="AB152" s="106">
        <v>878.31926323868004</v>
      </c>
    </row>
    <row r="153" spans="1:28">
      <c r="A153" s="14">
        <v>43712</v>
      </c>
      <c r="B153" s="106">
        <v>860</v>
      </c>
      <c r="C153" s="106">
        <v>846</v>
      </c>
      <c r="D153" s="106">
        <v>1139</v>
      </c>
      <c r="E153" s="106">
        <v>1137</v>
      </c>
      <c r="F153" s="106">
        <v>0.74406332453825796</v>
      </c>
      <c r="G153" s="106">
        <v>0.73704296478101206</v>
      </c>
      <c r="H153" s="106">
        <v>1.5155937791897301E-2</v>
      </c>
      <c r="I153" s="106">
        <v>0.46320853606293499</v>
      </c>
      <c r="J153" s="106">
        <v>0.94</v>
      </c>
      <c r="K153" s="106">
        <v>0.97333474456991997</v>
      </c>
      <c r="L153" s="106">
        <v>4.2584749335844899E-2</v>
      </c>
      <c r="M153" s="106">
        <v>0.96860518344747504</v>
      </c>
      <c r="N153" s="106">
        <v>6.8560306068798704E-2</v>
      </c>
      <c r="P153" s="106">
        <v>0.75219890257290933</v>
      </c>
      <c r="Q153" s="106">
        <v>0.72188702698911478</v>
      </c>
      <c r="R153" s="106">
        <v>0.76735484036480661</v>
      </c>
      <c r="S153" s="106">
        <v>0.7067310891972175</v>
      </c>
      <c r="AA153" s="106">
        <v>846</v>
      </c>
      <c r="AB153" s="106">
        <v>849.91404451266317</v>
      </c>
    </row>
    <row r="154" spans="1:28">
      <c r="A154" s="14">
        <v>43711</v>
      </c>
      <c r="B154" s="106">
        <v>861</v>
      </c>
      <c r="C154" s="106">
        <v>871</v>
      </c>
      <c r="D154" s="106">
        <v>1142</v>
      </c>
      <c r="E154" s="106">
        <v>1150</v>
      </c>
      <c r="F154" s="106">
        <v>0.75739130434782598</v>
      </c>
      <c r="G154" s="106">
        <v>0.73733253019912903</v>
      </c>
      <c r="H154" s="106">
        <v>1.54910593211067E-2</v>
      </c>
      <c r="I154" s="106">
        <v>1.2948613605375701</v>
      </c>
      <c r="J154" s="106">
        <v>2.65</v>
      </c>
      <c r="K154" s="106">
        <v>0.97341480974553796</v>
      </c>
      <c r="L154" s="106">
        <v>0.157238708708653</v>
      </c>
      <c r="M154" s="106">
        <v>0.96823643170052498</v>
      </c>
      <c r="N154" s="106">
        <v>5.0661930003946601E-2</v>
      </c>
      <c r="P154" s="106">
        <v>0.75282358952023576</v>
      </c>
      <c r="Q154" s="106">
        <v>0.72184147087802231</v>
      </c>
      <c r="R154" s="106">
        <v>0.76831464884134248</v>
      </c>
      <c r="S154" s="106">
        <v>0.70635041155691558</v>
      </c>
      <c r="AA154" s="106">
        <v>871</v>
      </c>
      <c r="AB154" s="106">
        <v>859.6316193399847</v>
      </c>
    </row>
    <row r="155" spans="1:28">
      <c r="A155" s="14">
        <v>43710</v>
      </c>
      <c r="B155" s="106">
        <v>852</v>
      </c>
      <c r="C155" s="106">
        <v>860</v>
      </c>
      <c r="D155" s="106">
        <v>1140</v>
      </c>
      <c r="E155" s="106">
        <v>1142</v>
      </c>
      <c r="F155" s="106">
        <v>0.75306479859894904</v>
      </c>
      <c r="G155" s="106">
        <v>0.73723672748218605</v>
      </c>
      <c r="H155" s="106">
        <v>1.5388590989707501E-2</v>
      </c>
      <c r="I155" s="106">
        <v>1.0285588282481</v>
      </c>
      <c r="J155" s="106">
        <v>2.1</v>
      </c>
      <c r="K155" s="106">
        <v>0.97156074472153198</v>
      </c>
      <c r="L155" s="106">
        <v>0.31797922078198598</v>
      </c>
      <c r="M155" s="106">
        <v>0.96787229479125403</v>
      </c>
      <c r="N155" s="106">
        <v>5.0923302269729097E-2</v>
      </c>
      <c r="P155" s="106">
        <v>0.75262531847189351</v>
      </c>
      <c r="Q155" s="106">
        <v>0.72184813649247859</v>
      </c>
      <c r="R155" s="106">
        <v>0.76801390946160109</v>
      </c>
      <c r="S155" s="106">
        <v>0.70645954550277101</v>
      </c>
      <c r="AA155" s="106">
        <v>860</v>
      </c>
      <c r="AB155" s="106">
        <v>853.65157329240219</v>
      </c>
    </row>
    <row r="156" spans="1:28">
      <c r="A156" s="14">
        <v>43707</v>
      </c>
      <c r="B156" s="106">
        <v>839</v>
      </c>
      <c r="C156" s="106">
        <v>852</v>
      </c>
      <c r="D156" s="106">
        <v>1142</v>
      </c>
      <c r="E156" s="106">
        <v>1152</v>
      </c>
      <c r="F156" s="106">
        <v>0.73958333333333304</v>
      </c>
      <c r="G156" s="106">
        <v>0.73728358279911199</v>
      </c>
      <c r="H156" s="106">
        <v>1.5441970481746101E-2</v>
      </c>
      <c r="I156" s="106">
        <v>0.148928566916983</v>
      </c>
      <c r="J156" s="106">
        <v>0.31</v>
      </c>
      <c r="K156" s="106">
        <v>0.96956625733253499</v>
      </c>
      <c r="L156" s="106">
        <v>0.24880936656091299</v>
      </c>
      <c r="M156" s="106">
        <v>0.96759255824369705</v>
      </c>
      <c r="N156" s="106">
        <v>4.7984468196358501E-2</v>
      </c>
      <c r="P156" s="106">
        <v>0.75272555328085811</v>
      </c>
      <c r="Q156" s="106">
        <v>0.72184161231736588</v>
      </c>
      <c r="R156" s="106">
        <v>0.76816752376260422</v>
      </c>
      <c r="S156" s="106">
        <v>0.70639964183561976</v>
      </c>
      <c r="AA156" s="106">
        <v>852</v>
      </c>
      <c r="AB156" s="106">
        <v>861.12663085188035</v>
      </c>
    </row>
    <row r="157" spans="1:28">
      <c r="A157" s="14">
        <v>43706</v>
      </c>
      <c r="B157" s="106">
        <v>824</v>
      </c>
      <c r="C157" s="106">
        <v>825</v>
      </c>
      <c r="D157" s="106">
        <v>1122</v>
      </c>
      <c r="E157" s="106">
        <v>1124</v>
      </c>
      <c r="F157" s="106">
        <v>0.73398576512455505</v>
      </c>
      <c r="G157" s="106">
        <v>0.73754075125789298</v>
      </c>
      <c r="H157" s="106">
        <v>1.5637497707698001E-2</v>
      </c>
      <c r="I157" s="106">
        <v>-0.227337276064869</v>
      </c>
      <c r="J157" s="106">
        <v>-0.48</v>
      </c>
      <c r="K157" s="106">
        <v>0.96607621949285605</v>
      </c>
      <c r="L157" s="106">
        <v>0.40936412463448302</v>
      </c>
      <c r="M157" s="106">
        <v>0.967261801058517</v>
      </c>
      <c r="N157" s="106">
        <v>4.88918606477447E-2</v>
      </c>
      <c r="P157" s="106">
        <v>0.75317824896559094</v>
      </c>
      <c r="Q157" s="106">
        <v>0.72190325355019502</v>
      </c>
      <c r="R157" s="106">
        <v>0.768815746673289</v>
      </c>
      <c r="S157" s="106">
        <v>0.70626575584249696</v>
      </c>
      <c r="AA157" s="106">
        <v>825</v>
      </c>
      <c r="AB157" s="106">
        <v>840.19646968534153</v>
      </c>
    </row>
    <row r="158" spans="1:28">
      <c r="A158" s="14">
        <v>43705</v>
      </c>
      <c r="B158" s="106">
        <v>829</v>
      </c>
      <c r="C158" s="106">
        <v>821</v>
      </c>
      <c r="D158" s="106">
        <v>1131</v>
      </c>
      <c r="E158" s="106">
        <v>1124</v>
      </c>
      <c r="F158" s="106">
        <v>0.73042704626334498</v>
      </c>
      <c r="G158" s="106">
        <v>0.73807615109442104</v>
      </c>
      <c r="H158" s="106">
        <v>1.6184467166254699E-2</v>
      </c>
      <c r="I158" s="106">
        <v>-0.472620121039591</v>
      </c>
      <c r="J158" s="106">
        <v>-1.05</v>
      </c>
      <c r="K158" s="106">
        <v>0.96210501526648895</v>
      </c>
      <c r="L158" s="106">
        <v>0.47251032341695898</v>
      </c>
      <c r="M158" s="106">
        <v>0.96680745168424198</v>
      </c>
      <c r="N158" s="106">
        <v>5.9399350722047002E-2</v>
      </c>
      <c r="P158" s="106">
        <v>0.7542606182606757</v>
      </c>
      <c r="Q158" s="106">
        <v>0.72189168392816638</v>
      </c>
      <c r="R158" s="106">
        <v>0.77044508542693046</v>
      </c>
      <c r="S158" s="106">
        <v>0.70570721676191162</v>
      </c>
      <c r="AA158" s="106">
        <v>821</v>
      </c>
      <c r="AB158" s="106">
        <v>840.19646968534153</v>
      </c>
    </row>
    <row r="159" spans="1:28">
      <c r="A159" s="14">
        <v>43704</v>
      </c>
      <c r="B159" s="106">
        <v>836</v>
      </c>
      <c r="C159" s="106">
        <v>834</v>
      </c>
      <c r="D159" s="106">
        <v>1137</v>
      </c>
      <c r="E159" s="106">
        <v>1133</v>
      </c>
      <c r="F159" s="106">
        <v>0.736098852603707</v>
      </c>
      <c r="G159" s="106">
        <v>0.73869311086592604</v>
      </c>
      <c r="H159" s="106">
        <v>1.67530865852379E-2</v>
      </c>
      <c r="I159" s="106">
        <v>-0.154852555021458</v>
      </c>
      <c r="J159" s="106">
        <v>-0.35</v>
      </c>
      <c r="K159" s="106">
        <v>0.95828137600500296</v>
      </c>
      <c r="L159" s="106">
        <v>0.49393974554410802</v>
      </c>
      <c r="M159" s="106">
        <v>0.96616807787110703</v>
      </c>
      <c r="N159" s="106">
        <v>7.5799299899751094E-2</v>
      </c>
      <c r="P159" s="106">
        <v>0.75544619745116393</v>
      </c>
      <c r="Q159" s="106">
        <v>0.72194002428068815</v>
      </c>
      <c r="R159" s="106">
        <v>0.77219928403640181</v>
      </c>
      <c r="S159" s="106">
        <v>0.70518693769545027</v>
      </c>
      <c r="AA159" s="106">
        <v>834</v>
      </c>
      <c r="AB159" s="106">
        <v>846.92402148887186</v>
      </c>
    </row>
    <row r="160" spans="1:28">
      <c r="A160" s="14">
        <v>43703</v>
      </c>
      <c r="B160" s="106">
        <v>810</v>
      </c>
      <c r="C160" s="106">
        <v>828</v>
      </c>
      <c r="D160" s="106">
        <v>1100</v>
      </c>
      <c r="E160" s="106">
        <v>1123</v>
      </c>
      <c r="F160" s="106">
        <v>0.73731077471059603</v>
      </c>
      <c r="G160" s="106">
        <v>0.73933145766493602</v>
      </c>
      <c r="H160" s="106">
        <v>1.7535901695298201E-2</v>
      </c>
      <c r="I160" s="106">
        <v>-0.115231197656741</v>
      </c>
      <c r="J160" s="106">
        <v>-0.27</v>
      </c>
      <c r="K160" s="106">
        <v>0.95130324235237296</v>
      </c>
      <c r="L160" s="106">
        <v>0.81126188588909598</v>
      </c>
      <c r="M160" s="106">
        <v>0.96520741755884099</v>
      </c>
      <c r="N160" s="106">
        <v>0.101977995776281</v>
      </c>
      <c r="P160" s="106">
        <v>0.75686735936023419</v>
      </c>
      <c r="Q160" s="106">
        <v>0.72179555596963785</v>
      </c>
      <c r="R160" s="106">
        <v>0.77440326105553248</v>
      </c>
      <c r="S160" s="106">
        <v>0.70425965427433956</v>
      </c>
      <c r="AA160" s="106">
        <v>828</v>
      </c>
      <c r="AB160" s="106">
        <v>839.4489639293937</v>
      </c>
    </row>
    <row r="161" spans="1:28">
      <c r="A161" s="14">
        <v>43700</v>
      </c>
      <c r="B161" s="106">
        <v>830</v>
      </c>
      <c r="C161" s="106">
        <v>840</v>
      </c>
      <c r="D161" s="106">
        <v>1126</v>
      </c>
      <c r="E161" s="106">
        <v>1141</v>
      </c>
      <c r="F161" s="106">
        <v>0.73619631901840399</v>
      </c>
      <c r="G161" s="106">
        <v>0.74042128225609705</v>
      </c>
      <c r="H161" s="106">
        <v>1.9773582721419901E-2</v>
      </c>
      <c r="I161" s="106">
        <v>-0.213667057569462</v>
      </c>
      <c r="J161" s="106">
        <v>-0.56999999999999995</v>
      </c>
      <c r="K161" s="106">
        <v>0.94330874735509396</v>
      </c>
      <c r="L161" s="106">
        <v>0.86466219998441696</v>
      </c>
      <c r="M161" s="106">
        <v>0.96393544885939297</v>
      </c>
      <c r="N161" s="106">
        <v>0.14360757215047801</v>
      </c>
      <c r="P161" s="106">
        <v>0.76019486497751698</v>
      </c>
      <c r="Q161" s="106">
        <v>0.72064769953467711</v>
      </c>
      <c r="R161" s="106">
        <v>0.77996844769893681</v>
      </c>
      <c r="S161" s="106">
        <v>0.70087411681325729</v>
      </c>
      <c r="AA161" s="106">
        <v>840</v>
      </c>
      <c r="AB161" s="106">
        <v>852.90406753645436</v>
      </c>
    </row>
    <row r="162" spans="1:28">
      <c r="A162" s="14">
        <v>43699</v>
      </c>
      <c r="B162" s="106">
        <v>841</v>
      </c>
      <c r="C162" s="106">
        <v>838</v>
      </c>
      <c r="D162" s="106">
        <v>1136</v>
      </c>
      <c r="E162" s="106">
        <v>1143</v>
      </c>
      <c r="F162" s="106">
        <v>0.73315835520559902</v>
      </c>
      <c r="G162" s="106">
        <v>0.74148090737271799</v>
      </c>
      <c r="H162" s="106">
        <v>2.1566836068584401E-2</v>
      </c>
      <c r="I162" s="106">
        <v>-0.38589583287285001</v>
      </c>
      <c r="J162" s="106">
        <v>-1.1399999999999999</v>
      </c>
      <c r="K162" s="106">
        <v>0.93823869964379403</v>
      </c>
      <c r="L162" s="106">
        <v>0.72826063898862503</v>
      </c>
      <c r="M162" s="106">
        <v>0.96280332191548501</v>
      </c>
      <c r="N162" s="106">
        <v>0.121473348814401</v>
      </c>
      <c r="P162" s="106">
        <v>0.76304774344130244</v>
      </c>
      <c r="Q162" s="106">
        <v>0.71991407130413354</v>
      </c>
      <c r="R162" s="106">
        <v>0.78461457950988678</v>
      </c>
      <c r="S162" s="106">
        <v>0.6983472352355492</v>
      </c>
      <c r="AA162" s="106">
        <v>838</v>
      </c>
      <c r="AB162" s="106">
        <v>854.39907904835002</v>
      </c>
    </row>
    <row r="163" spans="1:28">
      <c r="A163" s="14">
        <v>43698</v>
      </c>
      <c r="B163" s="106">
        <v>833</v>
      </c>
      <c r="C163" s="106">
        <v>838</v>
      </c>
      <c r="D163" s="106">
        <v>1120</v>
      </c>
      <c r="E163" s="106">
        <v>1138</v>
      </c>
      <c r="F163" s="106">
        <v>0.73637961335676605</v>
      </c>
      <c r="G163" s="106">
        <v>0.74267592677166405</v>
      </c>
      <c r="H163" s="106">
        <v>2.3471567403090299E-2</v>
      </c>
      <c r="I163" s="106">
        <v>-0.268252788864421</v>
      </c>
      <c r="J163" s="106">
        <v>-0.86</v>
      </c>
      <c r="K163" s="106">
        <v>0.93374274777347599</v>
      </c>
      <c r="L163" s="106">
        <v>0.70042977257341699</v>
      </c>
      <c r="M163" s="106">
        <v>0.96146111690205605</v>
      </c>
      <c r="N163" s="106">
        <v>0.29488108863350498</v>
      </c>
      <c r="P163" s="106">
        <v>0.76614749417475436</v>
      </c>
      <c r="Q163" s="106">
        <v>0.71920435936857374</v>
      </c>
      <c r="R163" s="106">
        <v>0.78961906157784467</v>
      </c>
      <c r="S163" s="106">
        <v>0.69573279196548343</v>
      </c>
      <c r="AA163" s="106">
        <v>838</v>
      </c>
      <c r="AB163" s="106">
        <v>850.66155026861088</v>
      </c>
    </row>
    <row r="164" spans="1:28">
      <c r="A164" s="14">
        <v>43697</v>
      </c>
      <c r="B164" s="106">
        <v>820</v>
      </c>
      <c r="C164" s="106">
        <v>844</v>
      </c>
      <c r="D164" s="106">
        <v>1123</v>
      </c>
      <c r="E164" s="106">
        <v>1137</v>
      </c>
      <c r="F164" s="106">
        <v>0.74230430958663096</v>
      </c>
      <c r="G164" s="106">
        <v>0.74358764622595097</v>
      </c>
      <c r="H164" s="106">
        <v>2.45141740301923E-2</v>
      </c>
      <c r="I164" s="106">
        <v>-5.2350800713867898E-2</v>
      </c>
      <c r="J164" s="106">
        <v>-0.17</v>
      </c>
      <c r="K164" s="106">
        <v>0.92657630842740901</v>
      </c>
      <c r="L164" s="106">
        <v>0.75967888954398799</v>
      </c>
      <c r="M164" s="106">
        <v>0.96000043327352602</v>
      </c>
      <c r="N164" s="106">
        <v>0.31594844805801198</v>
      </c>
      <c r="P164" s="106">
        <v>0.76810182025614326</v>
      </c>
      <c r="Q164" s="106">
        <v>0.71907347219575868</v>
      </c>
      <c r="R164" s="106">
        <v>0.79261599428633556</v>
      </c>
      <c r="S164" s="106">
        <v>0.69455929816556639</v>
      </c>
      <c r="AA164" s="106">
        <v>844</v>
      </c>
      <c r="AB164" s="106">
        <v>849.91404451266317</v>
      </c>
    </row>
    <row r="165" spans="1:28">
      <c r="A165" s="14">
        <v>43696</v>
      </c>
      <c r="B165" s="106">
        <v>802</v>
      </c>
      <c r="C165" s="106">
        <v>814</v>
      </c>
      <c r="D165" s="106">
        <v>1120</v>
      </c>
      <c r="E165" s="106">
        <v>1122</v>
      </c>
      <c r="F165" s="106">
        <v>0.72549019607843102</v>
      </c>
      <c r="G165" s="106">
        <v>0.744260907605375</v>
      </c>
      <c r="H165" s="106">
        <v>2.51547107294494E-2</v>
      </c>
      <c r="I165" s="106">
        <v>-0.74621058969161302</v>
      </c>
      <c r="J165" s="106">
        <v>-2.59</v>
      </c>
      <c r="K165" s="106">
        <v>0.91964285355152098</v>
      </c>
      <c r="L165" s="106">
        <v>0.63289698189566801</v>
      </c>
      <c r="M165" s="106">
        <v>0.95846416009886704</v>
      </c>
      <c r="N165" s="106">
        <v>0.31146269154695599</v>
      </c>
      <c r="P165" s="106">
        <v>0.76941561833482441</v>
      </c>
      <c r="Q165" s="106">
        <v>0.71910619687592559</v>
      </c>
      <c r="R165" s="106">
        <v>0.79457032906427383</v>
      </c>
      <c r="S165" s="106">
        <v>0.69395148614647617</v>
      </c>
      <c r="AA165" s="106">
        <v>814</v>
      </c>
      <c r="AB165" s="106">
        <v>838.70145817344587</v>
      </c>
    </row>
    <row r="166" spans="1:28">
      <c r="A166" s="14">
        <v>43693</v>
      </c>
      <c r="B166" s="106">
        <v>791</v>
      </c>
      <c r="C166" s="106">
        <v>801</v>
      </c>
      <c r="D166" s="106">
        <v>1103</v>
      </c>
      <c r="E166" s="106">
        <v>1105</v>
      </c>
      <c r="F166" s="106">
        <v>0.72488687782805405</v>
      </c>
      <c r="G166" s="106">
        <v>0.74519066289770797</v>
      </c>
      <c r="H166" s="106">
        <v>2.5725941343013901E-2</v>
      </c>
      <c r="I166" s="106">
        <v>-0.78923390203438304</v>
      </c>
      <c r="J166" s="106">
        <v>-2.8</v>
      </c>
      <c r="K166" s="106">
        <v>0.91400314877018096</v>
      </c>
      <c r="L166" s="106">
        <v>0.24209139800370499</v>
      </c>
      <c r="M166" s="106">
        <v>0.95707971782869905</v>
      </c>
      <c r="N166" s="106">
        <v>0.24961545419162701</v>
      </c>
      <c r="P166" s="106">
        <v>0.77091660424072184</v>
      </c>
      <c r="Q166" s="106">
        <v>0.7194647215546941</v>
      </c>
      <c r="R166" s="106">
        <v>0.79664254558373582</v>
      </c>
      <c r="S166" s="106">
        <v>0.69373878021168012</v>
      </c>
      <c r="AA166" s="106">
        <v>801</v>
      </c>
      <c r="AB166" s="106">
        <v>825.99386032233315</v>
      </c>
    </row>
    <row r="167" spans="1:28">
      <c r="A167" s="14">
        <v>43692</v>
      </c>
      <c r="B167" s="106">
        <v>797</v>
      </c>
      <c r="C167" s="106">
        <v>801</v>
      </c>
      <c r="D167" s="106">
        <v>1100</v>
      </c>
      <c r="E167" s="106">
        <v>1116</v>
      </c>
      <c r="F167" s="106">
        <v>0.717741935483871</v>
      </c>
      <c r="G167" s="106">
        <v>0.74604521778831601</v>
      </c>
      <c r="H167" s="106">
        <v>2.60990842913029E-2</v>
      </c>
      <c r="I167" s="106">
        <v>-1.0844549942266499</v>
      </c>
      <c r="J167" s="106">
        <v>-3.94</v>
      </c>
      <c r="K167" s="106">
        <v>0.90901430303873398</v>
      </c>
      <c r="L167" s="106">
        <v>0.306563857913347</v>
      </c>
      <c r="M167" s="106">
        <v>0.95541468973601695</v>
      </c>
      <c r="N167" s="106">
        <v>0.305682876486504</v>
      </c>
      <c r="P167" s="106">
        <v>0.77214430207961893</v>
      </c>
      <c r="Q167" s="106">
        <v>0.71994613349701309</v>
      </c>
      <c r="R167" s="106">
        <v>0.79824338637092185</v>
      </c>
      <c r="S167" s="106">
        <v>0.69384704920571016</v>
      </c>
      <c r="AA167" s="106">
        <v>801</v>
      </c>
      <c r="AB167" s="106">
        <v>834.21642363775902</v>
      </c>
    </row>
    <row r="168" spans="1:28">
      <c r="A168" s="14">
        <v>43691</v>
      </c>
      <c r="B168" s="106">
        <v>822</v>
      </c>
      <c r="C168" s="106">
        <v>816</v>
      </c>
      <c r="D168" s="106">
        <v>1140</v>
      </c>
      <c r="E168" s="106">
        <v>1131</v>
      </c>
      <c r="F168" s="106">
        <v>0.72148541114058296</v>
      </c>
      <c r="G168" s="106">
        <v>0.74702126406353397</v>
      </c>
      <c r="H168" s="106">
        <v>2.63895601105101E-2</v>
      </c>
      <c r="I168" s="106">
        <v>-0.96764981363901303</v>
      </c>
      <c r="J168" s="106">
        <v>-3.54</v>
      </c>
      <c r="K168" s="106">
        <v>0.90335114960709995</v>
      </c>
      <c r="L168" s="106">
        <v>0.15870331722438699</v>
      </c>
      <c r="M168" s="106">
        <v>0.95402883072570799</v>
      </c>
      <c r="N168" s="106">
        <v>0.26001426795349603</v>
      </c>
      <c r="P168" s="106">
        <v>0.77341082417404405</v>
      </c>
      <c r="Q168" s="106">
        <v>0.72063170395302389</v>
      </c>
      <c r="R168" s="106">
        <v>0.79980038428455413</v>
      </c>
      <c r="S168" s="106">
        <v>0.69424214384251381</v>
      </c>
      <c r="AA168" s="106">
        <v>816</v>
      </c>
      <c r="AB168" s="106">
        <v>845.4290099769762</v>
      </c>
    </row>
    <row r="169" spans="1:28">
      <c r="A169" s="14">
        <v>43690</v>
      </c>
      <c r="B169" s="106">
        <v>814</v>
      </c>
      <c r="C169" s="106">
        <v>808</v>
      </c>
      <c r="D169" s="106">
        <v>1141</v>
      </c>
      <c r="E169" s="106">
        <v>1119</v>
      </c>
      <c r="F169" s="106">
        <v>0.72207327971403001</v>
      </c>
      <c r="G169" s="106">
        <v>0.74785932188623805</v>
      </c>
      <c r="H169" s="106">
        <v>2.65627759820713E-2</v>
      </c>
      <c r="I169" s="106">
        <v>-0.97075856038587005</v>
      </c>
      <c r="J169" s="106">
        <v>-3.57</v>
      </c>
      <c r="K169" s="106">
        <v>0.890851697082234</v>
      </c>
      <c r="L169" s="106">
        <v>0.316485422944355</v>
      </c>
      <c r="M169" s="106">
        <v>0.952599057008642</v>
      </c>
      <c r="N169" s="106">
        <v>0.261386929171053</v>
      </c>
      <c r="P169" s="106">
        <v>0.7744220978683094</v>
      </c>
      <c r="Q169" s="106">
        <v>0.7212965459041667</v>
      </c>
      <c r="R169" s="106">
        <v>0.80098487385038064</v>
      </c>
      <c r="S169" s="106">
        <v>0.69473376992209546</v>
      </c>
      <c r="AA169" s="106">
        <v>808</v>
      </c>
      <c r="AB169" s="106">
        <v>836.4589409056025</v>
      </c>
    </row>
    <row r="170" spans="1:28">
      <c r="A170" s="14">
        <v>43686</v>
      </c>
      <c r="B170" s="106">
        <v>837</v>
      </c>
      <c r="C170" s="106">
        <v>826</v>
      </c>
      <c r="D170" s="106">
        <v>1175</v>
      </c>
      <c r="E170" s="106">
        <v>1147</v>
      </c>
      <c r="F170" s="106">
        <v>0.72013949433304203</v>
      </c>
      <c r="G170" s="106">
        <v>0.748501335985859</v>
      </c>
      <c r="H170" s="106">
        <v>2.6513629292913399E-2</v>
      </c>
      <c r="I170" s="106">
        <v>-1.0697080109057999</v>
      </c>
      <c r="J170" s="106">
        <v>-3.94</v>
      </c>
      <c r="K170" s="106">
        <v>0.86193464579602197</v>
      </c>
      <c r="L170" s="106">
        <v>0.72761732971956194</v>
      </c>
      <c r="M170" s="106">
        <v>0.95093672350734604</v>
      </c>
      <c r="N170" s="106">
        <v>0.20842532918179499</v>
      </c>
      <c r="P170" s="106">
        <v>0.77501496527877234</v>
      </c>
      <c r="Q170" s="106">
        <v>0.72198770669294565</v>
      </c>
      <c r="R170" s="106">
        <v>0.80152859457168579</v>
      </c>
      <c r="S170" s="106">
        <v>0.6954740774000322</v>
      </c>
      <c r="AA170" s="106">
        <v>826</v>
      </c>
      <c r="AB170" s="106">
        <v>857.38910207214121</v>
      </c>
    </row>
    <row r="171" spans="1:28">
      <c r="A171" s="14">
        <v>43685</v>
      </c>
      <c r="B171" s="106">
        <v>835</v>
      </c>
      <c r="C171" s="106">
        <v>832</v>
      </c>
      <c r="D171" s="106">
        <v>1162</v>
      </c>
      <c r="E171" s="106">
        <v>1156</v>
      </c>
      <c r="F171" s="106">
        <v>0.71972318339100305</v>
      </c>
      <c r="G171" s="106">
        <v>0.74902425324501898</v>
      </c>
      <c r="H171" s="106">
        <v>2.63352517989296E-2</v>
      </c>
      <c r="I171" s="106">
        <v>-1.1126177975335101</v>
      </c>
      <c r="J171" s="106">
        <v>-4.07</v>
      </c>
      <c r="K171" s="106">
        <v>0.809961156435547</v>
      </c>
      <c r="L171" s="106">
        <v>0.98737658107195703</v>
      </c>
      <c r="M171" s="106">
        <v>0.95008009836437501</v>
      </c>
      <c r="N171" s="106">
        <v>0.22988726849125601</v>
      </c>
      <c r="P171" s="106">
        <v>0.77535950504394857</v>
      </c>
      <c r="Q171" s="106">
        <v>0.72268900144608939</v>
      </c>
      <c r="R171" s="106">
        <v>0.80169475684287816</v>
      </c>
      <c r="S171" s="106">
        <v>0.69635374964715979</v>
      </c>
      <c r="AA171" s="106">
        <v>832</v>
      </c>
      <c r="AB171" s="106">
        <v>864.11665387567155</v>
      </c>
    </row>
    <row r="172" spans="1:28">
      <c r="A172" s="14">
        <v>43684</v>
      </c>
      <c r="B172" s="106">
        <v>846</v>
      </c>
      <c r="C172" s="106">
        <v>838</v>
      </c>
      <c r="D172" s="106">
        <v>1169</v>
      </c>
      <c r="E172" s="106">
        <v>1161</v>
      </c>
      <c r="F172" s="106">
        <v>0.721791559000861</v>
      </c>
      <c r="G172" s="106">
        <v>0.74960481488143804</v>
      </c>
      <c r="H172" s="106">
        <v>2.61622852097999E-2</v>
      </c>
      <c r="I172" s="15">
        <v>-1.0631049871040601</v>
      </c>
      <c r="J172" s="106">
        <v>-3.85</v>
      </c>
      <c r="K172" s="106">
        <v>0.76649017559364196</v>
      </c>
      <c r="L172" s="106">
        <v>0.98246653055140598</v>
      </c>
      <c r="M172" s="106">
        <v>0.949297567105305</v>
      </c>
      <c r="N172" s="106">
        <v>0.224860998392481</v>
      </c>
      <c r="P172" s="106">
        <v>0.77576710009123795</v>
      </c>
      <c r="Q172" s="106">
        <v>0.72344252967163813</v>
      </c>
      <c r="R172" s="106">
        <v>0.80192938530103786</v>
      </c>
      <c r="S172" s="106">
        <v>0.69728024446183823</v>
      </c>
      <c r="AA172" s="106">
        <v>838</v>
      </c>
      <c r="AB172" s="106">
        <v>867.85418265541057</v>
      </c>
    </row>
    <row r="173" spans="1:28">
      <c r="A173" s="14">
        <v>43683</v>
      </c>
      <c r="B173" s="106">
        <v>831</v>
      </c>
      <c r="C173" s="106">
        <v>857</v>
      </c>
      <c r="D173" s="106">
        <v>1141</v>
      </c>
      <c r="E173" s="106">
        <v>1183</v>
      </c>
      <c r="F173" s="106">
        <v>0.72442941673710903</v>
      </c>
      <c r="G173" s="106">
        <v>0.75017332116411095</v>
      </c>
      <c r="H173" s="106">
        <v>2.6014570938110399E-2</v>
      </c>
      <c r="I173" s="15">
        <v>-0.98959558042483498</v>
      </c>
      <c r="J173" s="106">
        <v>-3.55</v>
      </c>
      <c r="K173" s="106">
        <v>0.73950518043691105</v>
      </c>
      <c r="L173" s="106">
        <v>1</v>
      </c>
      <c r="M173" s="106">
        <v>0.94876349494220702</v>
      </c>
      <c r="N173" s="106">
        <v>0.20856103841198301</v>
      </c>
      <c r="P173" s="106">
        <v>0.77618789210222139</v>
      </c>
      <c r="Q173" s="106">
        <v>0.72415875022600051</v>
      </c>
      <c r="R173" s="106">
        <v>0.80220246304033171</v>
      </c>
      <c r="S173" s="106">
        <v>0.69814417928789019</v>
      </c>
      <c r="AA173" s="106">
        <v>857</v>
      </c>
      <c r="AB173" s="106">
        <v>884.29930928626254</v>
      </c>
    </row>
    <row r="174" spans="1:28">
      <c r="A174" s="14">
        <v>43682</v>
      </c>
      <c r="B174" s="106">
        <v>885</v>
      </c>
      <c r="C174" s="106">
        <v>870</v>
      </c>
      <c r="D174" s="106">
        <v>1190</v>
      </c>
      <c r="E174" s="106">
        <v>1187</v>
      </c>
      <c r="F174" s="106">
        <v>0.73294018534119598</v>
      </c>
      <c r="G174" s="106">
        <v>0.75083833634835695</v>
      </c>
      <c r="H174" s="106">
        <v>2.5985454986454701E-2</v>
      </c>
      <c r="I174" s="106">
        <v>-0.68877574075539005</v>
      </c>
      <c r="J174" s="106">
        <v>-2.44</v>
      </c>
      <c r="K174" s="106">
        <v>0.73174042430465402</v>
      </c>
      <c r="L174" s="106">
        <v>0.98156270216080499</v>
      </c>
      <c r="M174" s="106">
        <v>0.94824099975629506</v>
      </c>
      <c r="N174" s="106">
        <v>0.198594343938198</v>
      </c>
      <c r="P174" s="106">
        <v>0.77682379133481161</v>
      </c>
      <c r="Q174" s="106">
        <v>0.72485288136190229</v>
      </c>
      <c r="R174" s="106">
        <v>0.80280924632126638</v>
      </c>
      <c r="S174" s="106">
        <v>0.69886742637544752</v>
      </c>
      <c r="AA174" s="106">
        <v>870</v>
      </c>
      <c r="AB174" s="106">
        <v>887.28933231005374</v>
      </c>
    </row>
    <row r="175" spans="1:28">
      <c r="A175" s="14">
        <v>43679</v>
      </c>
      <c r="B175" s="106">
        <v>908</v>
      </c>
      <c r="C175" s="106">
        <v>893</v>
      </c>
      <c r="D175" s="106">
        <v>1238</v>
      </c>
      <c r="E175" s="106">
        <v>1211</v>
      </c>
      <c r="F175" s="106">
        <v>0.73740710156895095</v>
      </c>
      <c r="G175" s="106">
        <v>0.751412541181811</v>
      </c>
      <c r="H175" s="106">
        <v>2.60593186659402E-2</v>
      </c>
      <c r="I175" s="106">
        <v>-0.53744458143354901</v>
      </c>
      <c r="J175" s="106">
        <v>-1.9</v>
      </c>
      <c r="K175" s="106">
        <v>0.72795577542922996</v>
      </c>
      <c r="L175" s="106">
        <v>0.98408165123297697</v>
      </c>
      <c r="M175" s="106">
        <v>0.94790563425470398</v>
      </c>
      <c r="N175" s="106">
        <v>0.17229727465460501</v>
      </c>
      <c r="P175" s="106">
        <v>0.77747185984775125</v>
      </c>
      <c r="Q175" s="106">
        <v>0.72535322251587075</v>
      </c>
      <c r="R175" s="106">
        <v>0.80353117851369138</v>
      </c>
      <c r="S175" s="106">
        <v>0.69929390384993062</v>
      </c>
      <c r="AA175" s="106">
        <v>893</v>
      </c>
      <c r="AB175" s="106">
        <v>905.22947045280125</v>
      </c>
    </row>
    <row r="176" spans="1:28">
      <c r="A176" s="14">
        <v>43678</v>
      </c>
      <c r="B176" s="106">
        <v>915</v>
      </c>
      <c r="C176" s="106">
        <v>938</v>
      </c>
      <c r="D176" s="106">
        <v>1248</v>
      </c>
      <c r="E176" s="106">
        <v>1268</v>
      </c>
      <c r="F176" s="106">
        <v>0.73974763406940003</v>
      </c>
      <c r="G176" s="106">
        <v>0.75186457677835505</v>
      </c>
      <c r="H176" s="106">
        <v>2.61064561400563E-2</v>
      </c>
      <c r="I176" s="106">
        <v>-0.464135869071989</v>
      </c>
      <c r="J176" s="106">
        <v>-1.64</v>
      </c>
      <c r="K176" s="106">
        <v>0.72816318671342695</v>
      </c>
      <c r="L176" s="106">
        <v>0.988791991084078</v>
      </c>
      <c r="M176" s="106">
        <v>0.94785120094616904</v>
      </c>
      <c r="N176" s="106">
        <v>0.13385391641393499</v>
      </c>
      <c r="P176" s="106">
        <v>0.7779710329184113</v>
      </c>
      <c r="Q176" s="106">
        <v>0.72575812063829881</v>
      </c>
      <c r="R176" s="106">
        <v>0.80407748905846765</v>
      </c>
      <c r="S176" s="106">
        <v>0.69965166449824245</v>
      </c>
      <c r="AA176" s="106">
        <v>938</v>
      </c>
      <c r="AB176" s="106">
        <v>947.83729854182661</v>
      </c>
    </row>
    <row r="177" spans="1:28">
      <c r="A177" s="14">
        <v>43677</v>
      </c>
      <c r="B177" s="106">
        <v>925</v>
      </c>
      <c r="C177" s="106">
        <v>927</v>
      </c>
      <c r="D177" s="106">
        <v>1305</v>
      </c>
      <c r="E177" s="106">
        <v>1298</v>
      </c>
      <c r="F177" s="106">
        <v>0.714175654853621</v>
      </c>
      <c r="G177" s="106">
        <v>0.75237469996212603</v>
      </c>
      <c r="H177" s="106">
        <v>2.62381684658455E-2</v>
      </c>
      <c r="I177" s="106">
        <v>-1.45585791013688</v>
      </c>
      <c r="J177" s="106">
        <v>-5.35</v>
      </c>
      <c r="K177" s="106">
        <v>0.73461198323310495</v>
      </c>
      <c r="L177" s="106">
        <v>0.99154986650299004</v>
      </c>
      <c r="M177" s="106">
        <v>0.94847423495581396</v>
      </c>
      <c r="N177" s="106">
        <v>7.5877515448984398E-2</v>
      </c>
      <c r="P177" s="106">
        <v>0.77861286842797151</v>
      </c>
      <c r="Q177" s="106">
        <v>0.72613653149628055</v>
      </c>
      <c r="R177" s="106">
        <v>0.80485103689381698</v>
      </c>
      <c r="S177" s="106">
        <v>0.69989836303043507</v>
      </c>
      <c r="AA177" s="106">
        <v>927</v>
      </c>
      <c r="AB177" s="106">
        <v>970.26247122026098</v>
      </c>
    </row>
    <row r="178" spans="1:28">
      <c r="A178" s="14">
        <v>43676</v>
      </c>
      <c r="B178" s="106">
        <v>922</v>
      </c>
      <c r="C178" s="106">
        <v>934</v>
      </c>
      <c r="D178" s="106">
        <v>1299</v>
      </c>
      <c r="E178" s="106">
        <v>1321</v>
      </c>
      <c r="F178" s="106">
        <v>0.70704012112036296</v>
      </c>
      <c r="G178" s="106">
        <v>0.75317256061567905</v>
      </c>
      <c r="H178" s="106">
        <v>2.59729377297881E-2</v>
      </c>
      <c r="I178" s="106">
        <v>-1.7761733376200599</v>
      </c>
      <c r="J178" s="106">
        <v>-6.52</v>
      </c>
      <c r="K178" s="106">
        <v>0.74427948972795699</v>
      </c>
      <c r="L178" s="106">
        <v>0.99211466087493905</v>
      </c>
      <c r="M178" s="106">
        <v>0.94895004585170994</v>
      </c>
      <c r="N178" s="106">
        <v>6.4638793622323595E-2</v>
      </c>
      <c r="P178" s="106">
        <v>0.7791454983454672</v>
      </c>
      <c r="Q178" s="106">
        <v>0.72719962288589091</v>
      </c>
      <c r="R178" s="106">
        <v>0.80511843607525524</v>
      </c>
      <c r="S178" s="106">
        <v>0.70122668515610287</v>
      </c>
      <c r="AA178" s="106">
        <v>934</v>
      </c>
      <c r="AB178" s="106">
        <v>987.45510360706066</v>
      </c>
    </row>
    <row r="179" spans="1:28">
      <c r="A179" s="14">
        <v>43675</v>
      </c>
      <c r="B179" s="106">
        <v>950</v>
      </c>
      <c r="C179" s="106">
        <v>933</v>
      </c>
      <c r="D179" s="106">
        <v>1313</v>
      </c>
      <c r="E179" s="106">
        <v>1301</v>
      </c>
      <c r="F179" s="106">
        <v>0.71714066102997698</v>
      </c>
      <c r="G179" s="106">
        <v>0.754196795389249</v>
      </c>
      <c r="H179" s="106">
        <v>2.56461070214744E-2</v>
      </c>
      <c r="I179" s="106">
        <v>-1.44490289805951</v>
      </c>
      <c r="J179" s="106">
        <v>-5.17</v>
      </c>
      <c r="K179" s="106">
        <v>0.74997509529980499</v>
      </c>
      <c r="L179" s="106">
        <v>0.99254606948565205</v>
      </c>
      <c r="M179" s="106">
        <v>0.94909242900459201</v>
      </c>
      <c r="N179" s="106">
        <v>6.5035506065868803E-2</v>
      </c>
      <c r="P179" s="106">
        <v>0.7798429024107234</v>
      </c>
      <c r="Q179" s="106">
        <v>0.72855068836777459</v>
      </c>
      <c r="R179" s="106">
        <v>0.80548900943219781</v>
      </c>
      <c r="S179" s="106">
        <v>0.70290458134630018</v>
      </c>
      <c r="AA179" s="106">
        <v>933</v>
      </c>
      <c r="AB179" s="106">
        <v>972.50498848810446</v>
      </c>
    </row>
    <row r="180" spans="1:28">
      <c r="A180" s="14">
        <v>43672</v>
      </c>
      <c r="B180" s="106">
        <v>983</v>
      </c>
      <c r="C180" s="106">
        <v>963</v>
      </c>
      <c r="D180" s="106">
        <v>1347</v>
      </c>
      <c r="E180" s="106">
        <v>1331</v>
      </c>
      <c r="F180" s="106">
        <v>0.72351615326821905</v>
      </c>
      <c r="G180" s="106">
        <v>0.75486172403256102</v>
      </c>
      <c r="H180" s="106">
        <v>2.5321158396026701E-2</v>
      </c>
      <c r="I180" s="106">
        <v>-1.2379200933106</v>
      </c>
      <c r="J180" s="106">
        <v>-4.33</v>
      </c>
      <c r="K180" s="106">
        <v>0.75059540646453404</v>
      </c>
      <c r="L180" s="106">
        <v>0.99101494935109102</v>
      </c>
      <c r="M180" s="106">
        <v>0.94927930710478603</v>
      </c>
      <c r="N180" s="106">
        <v>7.6064983398845806E-2</v>
      </c>
      <c r="P180" s="106">
        <v>0.78018288242858769</v>
      </c>
      <c r="Q180" s="106">
        <v>0.72954056563653435</v>
      </c>
      <c r="R180" s="106">
        <v>0.80550404082461446</v>
      </c>
      <c r="S180" s="106">
        <v>0.70421940724050758</v>
      </c>
      <c r="AA180" s="106">
        <v>963</v>
      </c>
      <c r="AB180" s="106">
        <v>994.93016116653882</v>
      </c>
    </row>
    <row r="181" spans="1:28">
      <c r="A181" s="14">
        <v>43671</v>
      </c>
      <c r="B181" s="106">
        <v>987</v>
      </c>
      <c r="C181" s="106">
        <v>982</v>
      </c>
      <c r="D181" s="106">
        <v>1347</v>
      </c>
      <c r="E181" s="106">
        <v>1349</v>
      </c>
      <c r="F181" s="106">
        <v>0.72794662713120795</v>
      </c>
      <c r="G181" s="106">
        <v>0.75533323907459504</v>
      </c>
      <c r="H181" s="106">
        <v>2.5060993644777398E-2</v>
      </c>
      <c r="I181" s="106">
        <v>-1.09279832761516</v>
      </c>
      <c r="J181" s="106">
        <v>-3.76</v>
      </c>
      <c r="K181" s="106">
        <v>0.78339093102216995</v>
      </c>
      <c r="L181" s="106">
        <v>0.99381513919072895</v>
      </c>
      <c r="M181" s="106">
        <v>0.94976851390545503</v>
      </c>
      <c r="N181" s="106">
        <v>6.7753429915710497E-2</v>
      </c>
      <c r="P181" s="106">
        <v>0.78039423271937247</v>
      </c>
      <c r="Q181" s="106">
        <v>0.73027224542981761</v>
      </c>
      <c r="R181" s="106">
        <v>0.80545522636414979</v>
      </c>
      <c r="S181" s="106">
        <v>0.70521125178504029</v>
      </c>
      <c r="AA181" s="106">
        <v>982</v>
      </c>
      <c r="AB181" s="106">
        <v>1008.3852647735994</v>
      </c>
    </row>
    <row r="182" spans="1:28">
      <c r="A182" s="14">
        <v>43670</v>
      </c>
      <c r="B182" s="106">
        <v>990</v>
      </c>
      <c r="C182" s="106">
        <v>991</v>
      </c>
      <c r="D182" s="106">
        <v>1330</v>
      </c>
      <c r="E182" s="106">
        <v>1349</v>
      </c>
      <c r="F182" s="106">
        <v>0.73461823573017004</v>
      </c>
      <c r="G182" s="106">
        <v>0.75565946795422501</v>
      </c>
      <c r="H182" s="106">
        <v>2.48608178840161E-2</v>
      </c>
      <c r="I182" s="106">
        <v>-0.84636122279721804</v>
      </c>
      <c r="J182" s="106">
        <v>-2.86</v>
      </c>
      <c r="K182" s="106">
        <v>0.82390998646724001</v>
      </c>
      <c r="L182" s="106">
        <v>0.97679730347693505</v>
      </c>
      <c r="M182" s="106">
        <v>0.95018960148206899</v>
      </c>
      <c r="N182" s="106">
        <v>6.4593864318936003E-2</v>
      </c>
      <c r="P182" s="106">
        <v>0.78052028583824107</v>
      </c>
      <c r="Q182" s="106">
        <v>0.73079865007020894</v>
      </c>
      <c r="R182" s="106">
        <v>0.80538110372225724</v>
      </c>
      <c r="S182" s="106">
        <v>0.70593783218619277</v>
      </c>
      <c r="AA182" s="106">
        <v>991</v>
      </c>
      <c r="AB182" s="106">
        <v>1008.3852647735994</v>
      </c>
    </row>
    <row r="183" spans="1:28">
      <c r="A183" s="14">
        <v>43669</v>
      </c>
      <c r="B183" s="106">
        <v>963</v>
      </c>
      <c r="C183" s="106">
        <v>983</v>
      </c>
      <c r="D183" s="106">
        <v>1285</v>
      </c>
      <c r="E183" s="106">
        <v>1315</v>
      </c>
      <c r="F183" s="106">
        <v>0.74752851711026602</v>
      </c>
      <c r="G183" s="106">
        <v>0.75599029954425201</v>
      </c>
      <c r="H183" s="106">
        <v>2.4743429901038699E-2</v>
      </c>
      <c r="I183" s="106">
        <v>-0.34198098112626901</v>
      </c>
      <c r="J183" s="106">
        <v>-1.1299999999999999</v>
      </c>
      <c r="K183" s="106">
        <v>0.85008091289460397</v>
      </c>
      <c r="L183" s="106">
        <v>0.96142648552155796</v>
      </c>
      <c r="M183" s="106">
        <v>0.95028349175790805</v>
      </c>
      <c r="N183" s="106">
        <v>6.4691208388223398E-2</v>
      </c>
      <c r="P183" s="106">
        <v>0.78073372944529074</v>
      </c>
      <c r="Q183" s="106">
        <v>0.73124686964321328</v>
      </c>
      <c r="R183" s="106">
        <v>0.80547715934632946</v>
      </c>
      <c r="S183" s="106">
        <v>0.70650343974217455</v>
      </c>
      <c r="AA183" s="106">
        <v>983</v>
      </c>
      <c r="AB183" s="106">
        <v>982.97006907137381</v>
      </c>
    </row>
    <row r="184" spans="1:28">
      <c r="A184" s="14">
        <v>43668</v>
      </c>
      <c r="B184" s="106">
        <v>961</v>
      </c>
      <c r="C184" s="106">
        <v>969</v>
      </c>
      <c r="D184" s="106">
        <v>1296</v>
      </c>
      <c r="E184" s="106">
        <v>1296</v>
      </c>
      <c r="F184" s="106">
        <v>0.74768518518518501</v>
      </c>
      <c r="G184" s="106">
        <v>0.75617499029017299</v>
      </c>
      <c r="H184" s="106">
        <v>2.4731273463957398E-2</v>
      </c>
      <c r="I184" s="106">
        <v>-0.34328216528602301</v>
      </c>
      <c r="J184" s="106">
        <v>-1.1399999999999999</v>
      </c>
      <c r="K184" s="106">
        <v>0.873211897865527</v>
      </c>
      <c r="L184" s="106">
        <v>0.91656864253583403</v>
      </c>
      <c r="M184" s="106">
        <v>0.95027441297030601</v>
      </c>
      <c r="N184" s="106">
        <v>6.5142472661525994E-2</v>
      </c>
      <c r="P184" s="106">
        <v>0.78090626375413041</v>
      </c>
      <c r="Q184" s="106">
        <v>0.73144371682621556</v>
      </c>
      <c r="R184" s="106">
        <v>0.80563753721808773</v>
      </c>
      <c r="S184" s="106">
        <v>0.70671244336225825</v>
      </c>
      <c r="AA184" s="106">
        <v>969</v>
      </c>
      <c r="AB184" s="106">
        <v>968.76745970836532</v>
      </c>
    </row>
    <row r="185" spans="1:28">
      <c r="A185" s="14">
        <v>43665</v>
      </c>
      <c r="B185" s="106">
        <v>932</v>
      </c>
      <c r="C185" s="106">
        <v>955</v>
      </c>
      <c r="D185" s="106">
        <v>1252</v>
      </c>
      <c r="E185" s="106">
        <v>1288</v>
      </c>
      <c r="F185" s="106">
        <v>0.74145962732919202</v>
      </c>
      <c r="G185" s="106">
        <v>0.75633482274167196</v>
      </c>
      <c r="H185" s="106">
        <v>2.4714619741208799E-2</v>
      </c>
      <c r="I185" s="106">
        <v>-0.60187838486858203</v>
      </c>
      <c r="J185" s="106">
        <v>-2.0099999999999998</v>
      </c>
      <c r="K185" s="106">
        <v>0.89202398541281802</v>
      </c>
      <c r="L185" s="106">
        <v>0.89821290892655004</v>
      </c>
      <c r="M185" s="106">
        <v>0.950292595601815</v>
      </c>
      <c r="N185" s="106">
        <v>5.3627848697244698E-2</v>
      </c>
      <c r="P185" s="106">
        <v>0.78104944248288077</v>
      </c>
      <c r="Q185" s="106">
        <v>0.73162020300046315</v>
      </c>
      <c r="R185" s="106">
        <v>0.80576406222408958</v>
      </c>
      <c r="S185" s="106">
        <v>0.70690558325925434</v>
      </c>
      <c r="AA185" s="106">
        <v>955</v>
      </c>
      <c r="AB185" s="106">
        <v>962.78741366078282</v>
      </c>
    </row>
    <row r="186" spans="1:28">
      <c r="A186" s="14">
        <v>43664</v>
      </c>
      <c r="B186" s="106">
        <v>932</v>
      </c>
      <c r="C186" s="106">
        <v>928</v>
      </c>
      <c r="D186" s="106">
        <v>1277</v>
      </c>
      <c r="E186" s="106">
        <v>1256</v>
      </c>
      <c r="F186" s="106">
        <v>0.73885350318471299</v>
      </c>
      <c r="G186" s="106">
        <v>0.75643886153559203</v>
      </c>
      <c r="H186" s="106">
        <v>2.4668161978547602E-2</v>
      </c>
      <c r="I186" s="106">
        <v>-0.71287671802105002</v>
      </c>
      <c r="J186" s="106">
        <v>-2.38</v>
      </c>
      <c r="K186" s="106">
        <v>0.90556462607856003</v>
      </c>
      <c r="L186" s="106">
        <v>0.82037323725038003</v>
      </c>
      <c r="M186" s="106">
        <v>0.95014638492501202</v>
      </c>
      <c r="N186" s="106">
        <v>5.2933285271562699E-2</v>
      </c>
      <c r="P186" s="106">
        <v>0.78110702351413963</v>
      </c>
      <c r="Q186" s="106">
        <v>0.73177069955704444</v>
      </c>
      <c r="R186" s="106">
        <v>0.80577518549268723</v>
      </c>
      <c r="S186" s="106">
        <v>0.70710253757849684</v>
      </c>
      <c r="AA186" s="106">
        <v>928</v>
      </c>
      <c r="AB186" s="106">
        <v>938.8672294704528</v>
      </c>
    </row>
    <row r="187" spans="1:28">
      <c r="A187" s="14">
        <v>43663</v>
      </c>
      <c r="B187" s="106">
        <v>940</v>
      </c>
      <c r="C187" s="106">
        <v>941</v>
      </c>
      <c r="D187" s="106">
        <v>1305</v>
      </c>
      <c r="E187" s="106">
        <v>1293</v>
      </c>
      <c r="F187" s="106">
        <v>0.727764887857695</v>
      </c>
      <c r="G187" s="106">
        <v>0.75651533142097904</v>
      </c>
      <c r="H187" s="106">
        <v>2.4622376821382599E-2</v>
      </c>
      <c r="I187" s="106">
        <v>-1.1676550875590599</v>
      </c>
      <c r="J187" s="106">
        <v>-3.95</v>
      </c>
      <c r="K187" s="106">
        <v>0.91389098559702797</v>
      </c>
      <c r="L187" s="106">
        <v>0.736517582570405</v>
      </c>
      <c r="M187" s="106">
        <v>0.950273832945144</v>
      </c>
      <c r="N187" s="106">
        <v>4.4888851535970498E-2</v>
      </c>
      <c r="P187" s="106">
        <v>0.78113770824236162</v>
      </c>
      <c r="Q187" s="106">
        <v>0.73189295459959647</v>
      </c>
      <c r="R187" s="106">
        <v>0.80576008506374419</v>
      </c>
      <c r="S187" s="106">
        <v>0.70727057777821389</v>
      </c>
      <c r="AA187" s="106">
        <v>941</v>
      </c>
      <c r="AB187" s="106">
        <v>966.52494244052195</v>
      </c>
    </row>
    <row r="188" spans="1:28">
      <c r="A188" s="14">
        <v>43662</v>
      </c>
      <c r="B188" s="106">
        <v>945</v>
      </c>
      <c r="C188" s="106">
        <v>945</v>
      </c>
      <c r="D188" s="106">
        <v>1309</v>
      </c>
      <c r="E188" s="106">
        <v>1306</v>
      </c>
      <c r="F188" s="106">
        <v>0.72358346094946402</v>
      </c>
      <c r="G188" s="106">
        <v>0.75675029896787005</v>
      </c>
      <c r="H188" s="106">
        <v>2.44302296203039E-2</v>
      </c>
      <c r="I188" s="106">
        <v>-1.3576146656780199</v>
      </c>
      <c r="J188" s="106">
        <v>-4.58</v>
      </c>
      <c r="K188" s="106">
        <v>0.92160212595916002</v>
      </c>
      <c r="L188" s="106">
        <v>0.69272267919684205</v>
      </c>
      <c r="M188" s="106">
        <v>0.950458041334034</v>
      </c>
      <c r="N188" s="106">
        <v>3.30252261188414E-2</v>
      </c>
      <c r="P188" s="106">
        <v>0.78118052858817399</v>
      </c>
      <c r="Q188" s="106">
        <v>0.7323200693475661</v>
      </c>
      <c r="R188" s="106">
        <v>0.80561075820847783</v>
      </c>
      <c r="S188" s="106">
        <v>0.70788983972726227</v>
      </c>
      <c r="AA188" s="106">
        <v>945</v>
      </c>
      <c r="AB188" s="106">
        <v>976.24251726784348</v>
      </c>
    </row>
    <row r="189" spans="1:28">
      <c r="A189" s="14">
        <v>43658</v>
      </c>
      <c r="B189" s="106">
        <v>952</v>
      </c>
      <c r="C189" s="106">
        <v>942</v>
      </c>
      <c r="D189" s="106">
        <v>1338</v>
      </c>
      <c r="E189" s="106">
        <v>1309</v>
      </c>
      <c r="F189" s="106">
        <v>0.71963330786860202</v>
      </c>
      <c r="G189" s="106">
        <v>0.75692757859019899</v>
      </c>
      <c r="H189" s="106">
        <v>2.42363814757438E-2</v>
      </c>
      <c r="I189" s="106">
        <v>-1.53877222797972</v>
      </c>
      <c r="J189" s="106">
        <v>-5.18</v>
      </c>
      <c r="K189" s="106">
        <v>0.93232505777087804</v>
      </c>
      <c r="L189" s="106">
        <v>0.49503510800182099</v>
      </c>
      <c r="M189" s="106">
        <v>0.95076044291386297</v>
      </c>
      <c r="N189" s="106">
        <v>3.6823486961755698E-2</v>
      </c>
      <c r="P189" s="106">
        <v>0.7811639600659428</v>
      </c>
      <c r="Q189" s="106">
        <v>0.73269119711445518</v>
      </c>
      <c r="R189" s="106">
        <v>0.8054003415416866</v>
      </c>
      <c r="S189" s="106">
        <v>0.70845481563871138</v>
      </c>
      <c r="AA189" s="106">
        <v>942</v>
      </c>
      <c r="AB189" s="106">
        <v>978.48503453568696</v>
      </c>
    </row>
    <row r="190" spans="1:28">
      <c r="A190" s="14">
        <v>43657</v>
      </c>
      <c r="B190" s="106">
        <v>935</v>
      </c>
      <c r="C190" s="106">
        <v>942</v>
      </c>
      <c r="D190" s="106">
        <v>1315</v>
      </c>
      <c r="E190" s="106">
        <v>1327</v>
      </c>
      <c r="F190" s="106">
        <v>0.70987189148455099</v>
      </c>
      <c r="G190" s="106">
        <v>0.75709731630346599</v>
      </c>
      <c r="H190" s="106">
        <v>2.4018195280533901E-2</v>
      </c>
      <c r="I190" s="106">
        <v>-1.96623535895676</v>
      </c>
      <c r="J190" s="106">
        <v>-6.65</v>
      </c>
      <c r="K190" s="106">
        <v>0.93920185606452999</v>
      </c>
      <c r="L190" s="106">
        <v>0.53264335267132001</v>
      </c>
      <c r="M190" s="106">
        <v>0.95135495170705697</v>
      </c>
      <c r="N190" s="106">
        <v>5.93530137170446E-2</v>
      </c>
      <c r="P190" s="106">
        <v>0.78111551158399994</v>
      </c>
      <c r="Q190" s="106">
        <v>0.73307912102293205</v>
      </c>
      <c r="R190" s="106">
        <v>0.80513370686453378</v>
      </c>
      <c r="S190" s="106">
        <v>0.70906092574239821</v>
      </c>
      <c r="AA190" s="106">
        <v>942</v>
      </c>
      <c r="AB190" s="106">
        <v>991.94013814274751</v>
      </c>
    </row>
    <row r="191" spans="1:28">
      <c r="A191" s="14">
        <v>43656</v>
      </c>
      <c r="B191" s="106">
        <v>942</v>
      </c>
      <c r="C191" s="106">
        <v>940</v>
      </c>
      <c r="D191" s="106">
        <v>1310</v>
      </c>
      <c r="E191" s="106">
        <v>1315</v>
      </c>
      <c r="F191" s="106">
        <v>0.71482889733840305</v>
      </c>
      <c r="G191" s="106">
        <v>0.75751690700113605</v>
      </c>
      <c r="H191" s="106">
        <v>2.3457859595518001E-2</v>
      </c>
      <c r="I191" s="106">
        <v>-1.8197742845596101</v>
      </c>
      <c r="J191" s="106">
        <v>-5.97</v>
      </c>
      <c r="K191" s="106">
        <v>0.94471160122244702</v>
      </c>
      <c r="L191" s="106">
        <v>0.52959009847159799</v>
      </c>
      <c r="M191" s="106">
        <v>0.951739739792413</v>
      </c>
      <c r="N191" s="106">
        <v>3.7766334510866403E-2</v>
      </c>
      <c r="P191" s="106">
        <v>0.7809747665966541</v>
      </c>
      <c r="Q191" s="106">
        <v>0.734059047405618</v>
      </c>
      <c r="R191" s="106">
        <v>0.80443262619217204</v>
      </c>
      <c r="S191" s="106">
        <v>0.71060118781010007</v>
      </c>
      <c r="AA191" s="106">
        <v>940</v>
      </c>
      <c r="AB191" s="106">
        <v>982.97006907137381</v>
      </c>
    </row>
    <row r="192" spans="1:28">
      <c r="A192" s="14">
        <v>43655</v>
      </c>
      <c r="B192" s="106">
        <v>957</v>
      </c>
      <c r="C192" s="106">
        <v>950</v>
      </c>
      <c r="D192" s="106">
        <v>1324</v>
      </c>
      <c r="E192" s="106">
        <v>1322</v>
      </c>
      <c r="F192" s="106">
        <v>0.71860816944024197</v>
      </c>
      <c r="G192" s="106">
        <v>0.75786350797045698</v>
      </c>
      <c r="H192" s="106">
        <v>2.3012378210676299E-2</v>
      </c>
      <c r="I192" s="106">
        <v>-1.70583579718864</v>
      </c>
      <c r="J192" s="106">
        <v>-5.46</v>
      </c>
      <c r="K192" s="106">
        <v>0.94945135042844697</v>
      </c>
      <c r="L192" s="106">
        <v>0.50162323417099097</v>
      </c>
      <c r="M192" s="106">
        <v>0.95192278634837302</v>
      </c>
      <c r="N192" s="106">
        <v>4.8575256898938303E-2</v>
      </c>
      <c r="P192" s="106">
        <v>0.78087588618113324</v>
      </c>
      <c r="Q192" s="106">
        <v>0.73485112975978073</v>
      </c>
      <c r="R192" s="106">
        <v>0.8038882643918096</v>
      </c>
      <c r="S192" s="106">
        <v>0.71183875154910436</v>
      </c>
      <c r="AA192" s="106">
        <v>950</v>
      </c>
      <c r="AB192" s="106">
        <v>988.20260936300849</v>
      </c>
    </row>
    <row r="193" spans="1:28">
      <c r="A193" s="14">
        <v>43654</v>
      </c>
      <c r="B193" s="106">
        <v>960</v>
      </c>
      <c r="C193" s="106">
        <v>962</v>
      </c>
      <c r="D193" s="106">
        <v>1331</v>
      </c>
      <c r="E193" s="106">
        <v>1333</v>
      </c>
      <c r="F193" s="106">
        <v>0.72168042010502598</v>
      </c>
      <c r="G193" s="106">
        <v>0.75814065156984001</v>
      </c>
      <c r="H193" s="106">
        <v>2.26604204243201E-2</v>
      </c>
      <c r="I193" s="106">
        <v>-1.60898301011588</v>
      </c>
      <c r="J193" s="106">
        <v>-5.05</v>
      </c>
      <c r="K193" s="106">
        <v>0.95410166527612095</v>
      </c>
      <c r="L193" s="106">
        <v>0.51752057577727195</v>
      </c>
      <c r="M193" s="106">
        <v>0.95213804842113003</v>
      </c>
      <c r="N193" s="106">
        <v>7.4673119710512395E-2</v>
      </c>
      <c r="P193" s="106">
        <v>0.78080107199416016</v>
      </c>
      <c r="Q193" s="106">
        <v>0.73548023114551986</v>
      </c>
      <c r="R193" s="106">
        <v>0.80346149241848019</v>
      </c>
      <c r="S193" s="106">
        <v>0.71281981072119982</v>
      </c>
      <c r="AA193" s="106">
        <v>962</v>
      </c>
      <c r="AB193" s="106">
        <v>996.42517267843436</v>
      </c>
    </row>
    <row r="194" spans="1:28">
      <c r="A194" s="14">
        <v>43651</v>
      </c>
      <c r="B194" s="106">
        <v>971</v>
      </c>
      <c r="C194" s="106">
        <v>971</v>
      </c>
      <c r="D194" s="106">
        <v>1327</v>
      </c>
      <c r="E194" s="106">
        <v>1337</v>
      </c>
      <c r="F194" s="106">
        <v>0.72625280478683596</v>
      </c>
      <c r="G194" s="106">
        <v>0.75843356544495999</v>
      </c>
      <c r="H194" s="106">
        <v>2.2326762646301401E-2</v>
      </c>
      <c r="I194" s="106">
        <v>-1.4413536421705599</v>
      </c>
      <c r="J194" s="106">
        <v>-4.43</v>
      </c>
      <c r="K194" s="106">
        <v>0.95778171738906104</v>
      </c>
      <c r="L194" s="106">
        <v>0.46040554029004699</v>
      </c>
      <c r="M194" s="106">
        <v>0.95237851328284095</v>
      </c>
      <c r="N194" s="106">
        <v>3.7226526814112197E-2</v>
      </c>
      <c r="P194" s="106">
        <v>0.78076032809126139</v>
      </c>
      <c r="Q194" s="106">
        <v>0.73610680279865859</v>
      </c>
      <c r="R194" s="106">
        <v>0.80308709073756279</v>
      </c>
      <c r="S194" s="106">
        <v>0.71378004015235719</v>
      </c>
      <c r="AA194" s="106">
        <v>971</v>
      </c>
      <c r="AB194" s="106">
        <v>999.41519570222567</v>
      </c>
    </row>
    <row r="195" spans="1:28">
      <c r="A195" s="14">
        <v>43650</v>
      </c>
      <c r="B195" s="106">
        <v>972</v>
      </c>
      <c r="C195" s="106">
        <v>967</v>
      </c>
      <c r="D195" s="106">
        <v>1335</v>
      </c>
      <c r="E195" s="106">
        <v>1333</v>
      </c>
      <c r="F195" s="106">
        <v>0.725431357839459</v>
      </c>
      <c r="G195" s="106">
        <v>0.75864299716469896</v>
      </c>
      <c r="H195" s="106">
        <v>2.2096396717954801E-2</v>
      </c>
      <c r="I195" s="106">
        <v>-1.5030341710986901</v>
      </c>
      <c r="J195" s="106">
        <v>-4.58</v>
      </c>
      <c r="K195" s="106">
        <v>0.96164990580676701</v>
      </c>
      <c r="L195" s="106">
        <v>0.43161871841531702</v>
      </c>
      <c r="M195" s="106">
        <v>0.95264433952071703</v>
      </c>
      <c r="N195" s="106">
        <v>3.5462971861243503E-2</v>
      </c>
      <c r="P195" s="106">
        <v>0.78073939388265379</v>
      </c>
      <c r="Q195" s="106">
        <v>0.73654660044674414</v>
      </c>
      <c r="R195" s="106">
        <v>0.80283579060060861</v>
      </c>
      <c r="S195" s="106">
        <v>0.71445020372878931</v>
      </c>
      <c r="AA195" s="106">
        <v>967</v>
      </c>
      <c r="AB195" s="106">
        <v>996.42517267843436</v>
      </c>
    </row>
    <row r="196" spans="1:28">
      <c r="A196" s="14">
        <v>43649</v>
      </c>
      <c r="B196" s="106">
        <v>978</v>
      </c>
      <c r="C196" s="106">
        <v>970</v>
      </c>
      <c r="D196" s="106">
        <v>1355</v>
      </c>
      <c r="E196" s="106">
        <v>1335</v>
      </c>
      <c r="F196" s="106">
        <v>0.72659176029962502</v>
      </c>
      <c r="G196" s="106">
        <v>0.75881565652144201</v>
      </c>
      <c r="H196" s="106">
        <v>2.18857985942832E-2</v>
      </c>
      <c r="I196" s="106">
        <v>-1.4723655654143599</v>
      </c>
      <c r="J196" s="106">
        <v>-4.43</v>
      </c>
      <c r="K196" s="106">
        <v>0.96472710951093399</v>
      </c>
      <c r="L196" s="106">
        <v>0.39279830246388397</v>
      </c>
      <c r="M196" s="106">
        <v>0.95289248480791999</v>
      </c>
      <c r="N196" s="106">
        <v>3.8987721557490598E-2</v>
      </c>
      <c r="P196" s="106">
        <v>0.7807014551157252</v>
      </c>
      <c r="Q196" s="106">
        <v>0.73692985792715882</v>
      </c>
      <c r="R196" s="106">
        <v>0.80258725371000839</v>
      </c>
      <c r="S196" s="106">
        <v>0.71504405933287563</v>
      </c>
      <c r="AA196" s="106">
        <v>970</v>
      </c>
      <c r="AB196" s="106">
        <v>997.92018419033002</v>
      </c>
    </row>
    <row r="197" spans="1:28">
      <c r="A197" s="14">
        <v>43648</v>
      </c>
      <c r="B197" s="106">
        <v>992</v>
      </c>
      <c r="C197" s="106">
        <v>991</v>
      </c>
      <c r="D197" s="106">
        <v>1351</v>
      </c>
      <c r="E197" s="106">
        <v>1356</v>
      </c>
      <c r="F197" s="106">
        <v>0.73082595870206402</v>
      </c>
      <c r="G197" s="106">
        <v>0.75898728107121405</v>
      </c>
      <c r="H197" s="106">
        <v>2.1681951612292999E-2</v>
      </c>
      <c r="I197" s="106">
        <v>-1.2988370637808699</v>
      </c>
      <c r="J197" s="106">
        <v>-3.85</v>
      </c>
      <c r="K197" s="106">
        <v>0.96702873780320298</v>
      </c>
      <c r="L197" s="106">
        <v>0.46472657375286602</v>
      </c>
      <c r="M197" s="106">
        <v>0.953181352816867</v>
      </c>
      <c r="N197" s="106">
        <v>4.1473829659372401E-2</v>
      </c>
      <c r="P197" s="106">
        <v>0.78066923268350707</v>
      </c>
      <c r="Q197" s="106">
        <v>0.73730532945892102</v>
      </c>
      <c r="R197" s="106">
        <v>0.80235118429579999</v>
      </c>
      <c r="S197" s="106">
        <v>0.71562337784662811</v>
      </c>
      <c r="AA197" s="106">
        <v>991</v>
      </c>
      <c r="AB197" s="106">
        <v>1013.6178050652342</v>
      </c>
    </row>
    <row r="198" spans="1:28">
      <c r="A198" s="14">
        <v>43647</v>
      </c>
      <c r="B198" s="106">
        <v>992</v>
      </c>
      <c r="C198" s="106">
        <v>996</v>
      </c>
      <c r="D198" s="106">
        <v>1340</v>
      </c>
      <c r="E198" s="106">
        <v>1355</v>
      </c>
      <c r="F198" s="106">
        <v>0.73505535055350502</v>
      </c>
      <c r="G198" s="106">
        <v>0.75912443933437301</v>
      </c>
      <c r="H198" s="106">
        <v>2.1535413308927099E-2</v>
      </c>
      <c r="I198" s="106">
        <v>-1.1176515832593701</v>
      </c>
      <c r="J198" s="106">
        <v>-3.27</v>
      </c>
      <c r="K198" s="106">
        <v>0.96823168464961296</v>
      </c>
      <c r="L198" s="106">
        <v>0.55696142957281702</v>
      </c>
      <c r="M198" s="106">
        <v>0.95337850790148804</v>
      </c>
      <c r="N198" s="106">
        <v>4.14280859215371E-2</v>
      </c>
      <c r="P198" s="106">
        <v>0.78065985264330007</v>
      </c>
      <c r="Q198" s="106">
        <v>0.73758902602544596</v>
      </c>
      <c r="R198" s="106">
        <v>0.80219526595222723</v>
      </c>
      <c r="S198" s="106">
        <v>0.71605361271651879</v>
      </c>
      <c r="AA198" s="106">
        <v>996</v>
      </c>
      <c r="AB198" s="106">
        <v>1012.8702993092863</v>
      </c>
    </row>
    <row r="199" spans="1:28">
      <c r="A199" s="14">
        <v>43644</v>
      </c>
      <c r="B199" s="106">
        <v>960</v>
      </c>
      <c r="C199" s="106">
        <v>960</v>
      </c>
      <c r="D199" s="106">
        <v>1297</v>
      </c>
      <c r="E199" s="106">
        <v>1306</v>
      </c>
      <c r="F199" s="106">
        <v>0.73506891271056596</v>
      </c>
      <c r="G199" s="106">
        <v>0.75918439784440594</v>
      </c>
      <c r="H199" s="106">
        <v>2.1474491022617798E-2</v>
      </c>
      <c r="I199" s="106">
        <v>-1.12298285013785</v>
      </c>
      <c r="J199" s="106">
        <v>-3.28</v>
      </c>
      <c r="K199" s="106">
        <v>0.96929344467526402</v>
      </c>
      <c r="L199" s="106">
        <v>0.42110405112682803</v>
      </c>
      <c r="M199" s="106">
        <v>0.95330302475239004</v>
      </c>
      <c r="N199" s="106">
        <v>4.4787127953800597E-2</v>
      </c>
      <c r="P199" s="106">
        <v>0.78065888886702373</v>
      </c>
      <c r="Q199" s="106">
        <v>0.73770990682178816</v>
      </c>
      <c r="R199" s="106">
        <v>0.80213337988964151</v>
      </c>
      <c r="S199" s="106">
        <v>0.71623541579917038</v>
      </c>
      <c r="AA199" s="106">
        <v>960</v>
      </c>
      <c r="AB199" s="106">
        <v>976.24251726784348</v>
      </c>
    </row>
    <row r="200" spans="1:28">
      <c r="A200" s="14">
        <v>43643</v>
      </c>
      <c r="B200" s="106">
        <v>935</v>
      </c>
      <c r="C200" s="106">
        <v>958</v>
      </c>
      <c r="D200" s="106">
        <v>1285</v>
      </c>
      <c r="E200" s="106">
        <v>1304</v>
      </c>
      <c r="F200" s="106">
        <v>0.73466257668711599</v>
      </c>
      <c r="G200" s="106">
        <v>0.75932003342505305</v>
      </c>
      <c r="H200" s="106">
        <v>2.13535315069339E-2</v>
      </c>
      <c r="I200" s="106">
        <v>-1.15472500321224</v>
      </c>
      <c r="J200" s="106">
        <v>-3.36</v>
      </c>
      <c r="K200" s="106">
        <v>0.97033018063829601</v>
      </c>
      <c r="L200" s="106">
        <v>0.40019297929160702</v>
      </c>
      <c r="M200" s="106">
        <v>0.95320218223447695</v>
      </c>
      <c r="N200" s="106">
        <v>5.02883683820112E-2</v>
      </c>
      <c r="P200" s="106">
        <v>0.78067356493198692</v>
      </c>
      <c r="Q200" s="106">
        <v>0.73796650191811919</v>
      </c>
      <c r="R200" s="106">
        <v>0.80202709643892089</v>
      </c>
      <c r="S200" s="106">
        <v>0.71661297041118521</v>
      </c>
      <c r="AA200" s="106">
        <v>958</v>
      </c>
      <c r="AB200" s="106">
        <v>974.74750575594783</v>
      </c>
    </row>
    <row r="201" spans="1:28">
      <c r="A201" s="14">
        <v>43642</v>
      </c>
      <c r="B201" s="106">
        <v>923</v>
      </c>
      <c r="C201" s="106">
        <v>935</v>
      </c>
      <c r="D201" s="106">
        <v>1252</v>
      </c>
      <c r="E201" s="106">
        <v>1277</v>
      </c>
      <c r="F201" s="106">
        <v>0.73218480814408704</v>
      </c>
      <c r="G201" s="106">
        <v>0.75940358416840303</v>
      </c>
      <c r="H201" s="106">
        <v>2.1268981731981301E-2</v>
      </c>
      <c r="I201" s="106">
        <v>-1.2797404392607801</v>
      </c>
      <c r="J201" s="106">
        <v>-3.72</v>
      </c>
      <c r="K201" s="106">
        <v>0.97078438018919999</v>
      </c>
      <c r="L201" s="106">
        <v>0.50701419064888198</v>
      </c>
      <c r="M201" s="106">
        <v>0.95295675461592899</v>
      </c>
      <c r="N201" s="106">
        <v>6.2600196011658102E-2</v>
      </c>
      <c r="P201" s="106">
        <v>0.78067256590038436</v>
      </c>
      <c r="Q201" s="106">
        <v>0.73813460243642171</v>
      </c>
      <c r="R201" s="106">
        <v>0.80194154763236569</v>
      </c>
      <c r="S201" s="106">
        <v>0.71686562070444038</v>
      </c>
      <c r="AA201" s="106">
        <v>935</v>
      </c>
      <c r="AB201" s="106">
        <v>954.56485034535694</v>
      </c>
    </row>
    <row r="202" spans="1:28">
      <c r="A202" s="14">
        <v>43641</v>
      </c>
      <c r="B202" s="106">
        <v>922</v>
      </c>
      <c r="C202" s="106">
        <v>923</v>
      </c>
      <c r="D202" s="106">
        <v>1255</v>
      </c>
      <c r="E202" s="106">
        <v>1253</v>
      </c>
      <c r="F202" s="106">
        <v>0.73663208300079797</v>
      </c>
      <c r="G202" s="106">
        <v>0.75950034220250195</v>
      </c>
      <c r="H202" s="106">
        <v>2.1161169865298399E-2</v>
      </c>
      <c r="I202" s="106">
        <v>-1.08067083943241</v>
      </c>
      <c r="J202" s="106">
        <v>-3.1</v>
      </c>
      <c r="K202" s="106">
        <v>0.97022882544102595</v>
      </c>
      <c r="L202" s="106">
        <v>0.65166376991293595</v>
      </c>
      <c r="M202" s="106">
        <v>0.95265190494709295</v>
      </c>
      <c r="N202" s="106">
        <v>5.0006523156445597E-2</v>
      </c>
      <c r="P202" s="106">
        <v>0.78066151206780032</v>
      </c>
      <c r="Q202" s="106">
        <v>0.73833917233720359</v>
      </c>
      <c r="R202" s="106">
        <v>0.8018226819330988</v>
      </c>
      <c r="S202" s="106">
        <v>0.71717800247190511</v>
      </c>
      <c r="AA202" s="106">
        <v>923</v>
      </c>
      <c r="AB202" s="106">
        <v>936.62471220260943</v>
      </c>
    </row>
    <row r="203" spans="1:28">
      <c r="A203" s="14">
        <v>43640</v>
      </c>
      <c r="B203" s="106">
        <v>924</v>
      </c>
      <c r="C203" s="106">
        <v>935</v>
      </c>
      <c r="D203" s="106">
        <v>1231</v>
      </c>
      <c r="E203" s="106">
        <v>1251</v>
      </c>
      <c r="F203" s="106">
        <v>0.74740207833732997</v>
      </c>
      <c r="G203" s="106">
        <v>0.75948278704216199</v>
      </c>
      <c r="H203" s="106">
        <v>2.1180671084089501E-2</v>
      </c>
      <c r="I203" s="106">
        <v>-0.57036477535912999</v>
      </c>
      <c r="J203" s="106">
        <v>-1.62</v>
      </c>
      <c r="K203" s="106">
        <v>0.96945194085025399</v>
      </c>
      <c r="L203" s="106">
        <v>0.54879133869699004</v>
      </c>
      <c r="M203" s="106">
        <v>0.952269778318794</v>
      </c>
      <c r="N203" s="106">
        <v>5.0121009570372001E-2</v>
      </c>
      <c r="P203" s="106">
        <v>0.78066345812625149</v>
      </c>
      <c r="Q203" s="106">
        <v>0.73830211595807249</v>
      </c>
      <c r="R203" s="106">
        <v>0.80184412921034098</v>
      </c>
      <c r="S203" s="106">
        <v>0.71712144487398299</v>
      </c>
      <c r="AA203" s="106">
        <v>935</v>
      </c>
      <c r="AB203" s="106">
        <v>935.12970069071378</v>
      </c>
    </row>
    <row r="204" spans="1:28">
      <c r="A204" s="14">
        <v>43637</v>
      </c>
      <c r="B204" s="106">
        <v>934</v>
      </c>
      <c r="C204" s="106">
        <v>927</v>
      </c>
      <c r="D204" s="106">
        <v>1274</v>
      </c>
      <c r="E204" s="106">
        <v>1262</v>
      </c>
      <c r="F204" s="106">
        <v>0.73454833597464297</v>
      </c>
      <c r="G204" s="106">
        <v>0.75940148396867901</v>
      </c>
      <c r="H204" s="106">
        <v>2.1238511697140701E-2</v>
      </c>
      <c r="I204" s="106">
        <v>-1.1701925421347601</v>
      </c>
      <c r="J204" s="106">
        <v>-3.38</v>
      </c>
      <c r="K204" s="106">
        <v>0.96824766077625402</v>
      </c>
      <c r="L204" s="106">
        <v>0.67614495284762899</v>
      </c>
      <c r="M204" s="106">
        <v>0.95207171117994605</v>
      </c>
      <c r="N204" s="106">
        <v>4.8394260126276803E-2</v>
      </c>
      <c r="P204" s="106">
        <v>0.78063999566581976</v>
      </c>
      <c r="Q204" s="106">
        <v>0.73816297227153826</v>
      </c>
      <c r="R204" s="106">
        <v>0.8018785073629604</v>
      </c>
      <c r="S204" s="106">
        <v>0.71692446057439763</v>
      </c>
      <c r="AA204" s="106">
        <v>927</v>
      </c>
      <c r="AB204" s="106">
        <v>943.35226400613976</v>
      </c>
    </row>
    <row r="205" spans="1:28">
      <c r="A205" s="14">
        <v>43636</v>
      </c>
      <c r="B205" s="106">
        <v>924</v>
      </c>
      <c r="C205" s="106">
        <v>928</v>
      </c>
      <c r="D205" s="106">
        <v>1274</v>
      </c>
      <c r="E205" s="106">
        <v>1264</v>
      </c>
      <c r="F205" s="106">
        <v>0.734177215189873</v>
      </c>
      <c r="G205" s="106">
        <v>0.75951391364308496</v>
      </c>
      <c r="H205" s="106">
        <v>2.1128684492427899E-2</v>
      </c>
      <c r="I205" s="106">
        <v>-1.1991611906691</v>
      </c>
      <c r="J205" s="106">
        <v>-3.45</v>
      </c>
      <c r="K205" s="106">
        <v>0.96894860579336595</v>
      </c>
      <c r="L205" s="106">
        <v>0.695895050953237</v>
      </c>
      <c r="M205" s="106">
        <v>0.95176524931824102</v>
      </c>
      <c r="N205" s="106">
        <v>5.5886477097936801E-2</v>
      </c>
      <c r="P205" s="106">
        <v>0.78064259813551284</v>
      </c>
      <c r="Q205" s="106">
        <v>0.73838522915065707</v>
      </c>
      <c r="R205" s="106">
        <v>0.80177128262794073</v>
      </c>
      <c r="S205" s="106">
        <v>0.71725654465822919</v>
      </c>
      <c r="AA205" s="106">
        <v>928</v>
      </c>
      <c r="AB205" s="106">
        <v>944.8472755180353</v>
      </c>
    </row>
    <row r="206" spans="1:28">
      <c r="A206" s="14">
        <v>43635</v>
      </c>
      <c r="B206" s="106">
        <v>920</v>
      </c>
      <c r="C206" s="106">
        <v>925</v>
      </c>
      <c r="D206" s="106">
        <v>1245</v>
      </c>
      <c r="E206" s="106">
        <v>1256</v>
      </c>
      <c r="F206" s="106">
        <v>0.736464968152866</v>
      </c>
      <c r="G206" s="106">
        <v>0.75965840737407597</v>
      </c>
      <c r="H206" s="106">
        <v>2.09915298307062E-2</v>
      </c>
      <c r="I206" s="106">
        <v>-1.10489513666999</v>
      </c>
      <c r="J206" s="106">
        <v>-3.15</v>
      </c>
      <c r="K206" s="106">
        <v>0.96733009898840505</v>
      </c>
      <c r="L206" s="106">
        <v>0.71684850241716802</v>
      </c>
      <c r="M206" s="106">
        <v>0.95144755158182903</v>
      </c>
      <c r="N206" s="106">
        <v>5.9279151375691001E-2</v>
      </c>
      <c r="P206" s="106">
        <v>0.78064993720478215</v>
      </c>
      <c r="Q206" s="106">
        <v>0.73866687754336979</v>
      </c>
      <c r="R206" s="106">
        <v>0.80164146703548833</v>
      </c>
      <c r="S206" s="106">
        <v>0.71767534771266361</v>
      </c>
      <c r="AA206" s="106">
        <v>925</v>
      </c>
      <c r="AB206" s="106">
        <v>938.8672294704528</v>
      </c>
    </row>
    <row r="207" spans="1:28">
      <c r="A207" s="14">
        <v>43634</v>
      </c>
      <c r="B207" s="106">
        <v>897</v>
      </c>
      <c r="C207" s="106">
        <v>890</v>
      </c>
      <c r="D207" s="106">
        <v>1213</v>
      </c>
      <c r="E207" s="106">
        <v>1217</v>
      </c>
      <c r="F207" s="106">
        <v>0.73130649137222603</v>
      </c>
      <c r="G207" s="106">
        <v>0.759898526099826</v>
      </c>
      <c r="H207" s="106">
        <v>2.08272077982634E-2</v>
      </c>
      <c r="I207" s="106">
        <v>-1.37282131164907</v>
      </c>
      <c r="J207" s="106">
        <v>-3.91</v>
      </c>
      <c r="K207" s="106">
        <v>0.96645306268002396</v>
      </c>
      <c r="L207" s="106">
        <v>0.64690266364119997</v>
      </c>
      <c r="M207" s="106">
        <v>0.95092353526358397</v>
      </c>
      <c r="N207" s="106">
        <v>6.5773762692666202E-2</v>
      </c>
      <c r="P207" s="106">
        <v>0.78072573389808941</v>
      </c>
      <c r="Q207" s="106">
        <v>0.73907131830156259</v>
      </c>
      <c r="R207" s="106">
        <v>0.80155294169635283</v>
      </c>
      <c r="S207" s="106">
        <v>0.71824411050329917</v>
      </c>
      <c r="AA207" s="106">
        <v>890</v>
      </c>
      <c r="AB207" s="106">
        <v>909.7145049884881</v>
      </c>
    </row>
    <row r="208" spans="1:28">
      <c r="A208" s="14">
        <v>43633</v>
      </c>
      <c r="B208" s="106">
        <v>902</v>
      </c>
      <c r="C208" s="106">
        <v>897</v>
      </c>
      <c r="D208" s="106">
        <v>1215</v>
      </c>
      <c r="E208" s="106">
        <v>1217</v>
      </c>
      <c r="F208" s="106">
        <v>0.73705834018077199</v>
      </c>
      <c r="G208" s="106">
        <v>0.76022205996516301</v>
      </c>
      <c r="H208" s="106">
        <v>2.05673889843845E-2</v>
      </c>
      <c r="I208" s="106">
        <v>-1.1262353136792</v>
      </c>
      <c r="J208" s="106">
        <v>-3.14</v>
      </c>
      <c r="K208" s="106">
        <v>0.96537269257287095</v>
      </c>
      <c r="L208" s="106">
        <v>0.69254104247588999</v>
      </c>
      <c r="M208" s="106">
        <v>0.95028248482586597</v>
      </c>
      <c r="N208" s="106">
        <v>0.11763152742774299</v>
      </c>
      <c r="P208" s="106">
        <v>0.78078944894954749</v>
      </c>
      <c r="Q208" s="106">
        <v>0.73965467098077853</v>
      </c>
      <c r="R208" s="106">
        <v>0.80135683793393198</v>
      </c>
      <c r="S208" s="106">
        <v>0.71908728199639405</v>
      </c>
      <c r="AA208" s="106">
        <v>897</v>
      </c>
      <c r="AB208" s="106">
        <v>909.7145049884881</v>
      </c>
    </row>
    <row r="209" spans="1:28">
      <c r="A209" s="14">
        <v>43630</v>
      </c>
      <c r="B209" s="106">
        <v>908</v>
      </c>
      <c r="C209" s="106">
        <v>913</v>
      </c>
      <c r="D209" s="106">
        <v>1226</v>
      </c>
      <c r="E209" s="106">
        <v>1225</v>
      </c>
      <c r="F209" s="106">
        <v>0.74530612244897898</v>
      </c>
      <c r="G209" s="106">
        <v>0.760394615429419</v>
      </c>
      <c r="H209" s="106">
        <v>2.0426130703647599E-2</v>
      </c>
      <c r="I209" s="106">
        <v>-0.73868581374275999</v>
      </c>
      <c r="J209" s="106">
        <v>-2.02</v>
      </c>
      <c r="K209" s="106">
        <v>0.96409071444936201</v>
      </c>
      <c r="L209" s="106">
        <v>0.65123410283274397</v>
      </c>
      <c r="M209" s="106">
        <v>0.949698744832571</v>
      </c>
      <c r="N209" s="106">
        <v>7.3926223025729501E-2</v>
      </c>
      <c r="P209" s="106">
        <v>0.78082074613306662</v>
      </c>
      <c r="Q209" s="106">
        <v>0.73996848472577137</v>
      </c>
      <c r="R209" s="106">
        <v>0.80124687683671425</v>
      </c>
      <c r="S209" s="106">
        <v>0.71954235402212374</v>
      </c>
      <c r="AA209" s="106">
        <v>913</v>
      </c>
      <c r="AB209" s="106">
        <v>915.69455103607061</v>
      </c>
    </row>
    <row r="210" spans="1:28">
      <c r="A210" s="14">
        <v>43629</v>
      </c>
      <c r="B210" s="106">
        <v>918</v>
      </c>
      <c r="C210" s="106">
        <v>908</v>
      </c>
      <c r="D210" s="106">
        <v>1231</v>
      </c>
      <c r="E210" s="106">
        <v>1234</v>
      </c>
      <c r="F210" s="106">
        <v>0.73581847649918897</v>
      </c>
      <c r="G210" s="106">
        <v>0.76023250738953896</v>
      </c>
      <c r="H210" s="106">
        <v>2.0592799586118701E-2</v>
      </c>
      <c r="I210" s="106">
        <v>-1.18556152543759</v>
      </c>
      <c r="J210" s="106">
        <v>-3.32</v>
      </c>
      <c r="K210" s="106">
        <v>0.96373754464495698</v>
      </c>
      <c r="L210" s="106">
        <v>0.66730489350310496</v>
      </c>
      <c r="M210" s="106">
        <v>0.94929348763779897</v>
      </c>
      <c r="N210" s="106">
        <v>0.120117026617805</v>
      </c>
      <c r="P210" s="106">
        <v>0.78082530697565766</v>
      </c>
      <c r="Q210" s="106">
        <v>0.73963970780342025</v>
      </c>
      <c r="R210" s="106">
        <v>0.80141810656177637</v>
      </c>
      <c r="S210" s="106">
        <v>0.71904690821730155</v>
      </c>
      <c r="AA210" s="106">
        <v>908</v>
      </c>
      <c r="AB210" s="106">
        <v>922.42210283960094</v>
      </c>
    </row>
    <row r="211" spans="1:28">
      <c r="A211" s="14">
        <v>43628</v>
      </c>
      <c r="B211" s="106">
        <v>921</v>
      </c>
      <c r="C211" s="106">
        <v>925</v>
      </c>
      <c r="D211" s="106">
        <v>1233</v>
      </c>
      <c r="E211" s="106">
        <v>1242</v>
      </c>
      <c r="F211" s="106">
        <v>0.74476650563607005</v>
      </c>
      <c r="G211" s="106">
        <v>0.76027339394612004</v>
      </c>
      <c r="H211" s="106">
        <v>2.0547279383436201E-2</v>
      </c>
      <c r="I211" s="106">
        <v>-0.75469301899646402</v>
      </c>
      <c r="J211" s="106">
        <v>-2.08</v>
      </c>
      <c r="K211" s="106">
        <v>0.96293003825904999</v>
      </c>
      <c r="L211" s="106">
        <v>0.67231283695396404</v>
      </c>
      <c r="M211" s="106">
        <v>0.94905908451588805</v>
      </c>
      <c r="N211" s="106">
        <v>6.4607686451906399E-2</v>
      </c>
      <c r="P211" s="106">
        <v>0.78082067332955618</v>
      </c>
      <c r="Q211" s="106">
        <v>0.73972611456268389</v>
      </c>
      <c r="R211" s="106">
        <v>0.80136795271299244</v>
      </c>
      <c r="S211" s="106">
        <v>0.71917883517924763</v>
      </c>
      <c r="AA211" s="106">
        <v>925</v>
      </c>
      <c r="AB211" s="106">
        <v>928.40214888718344</v>
      </c>
    </row>
    <row r="212" spans="1:28">
      <c r="A212" s="14">
        <v>43627</v>
      </c>
      <c r="B212" s="106">
        <v>915</v>
      </c>
      <c r="C212" s="106">
        <v>930</v>
      </c>
      <c r="D212" s="106">
        <v>1235</v>
      </c>
      <c r="E212" s="106">
        <v>1252</v>
      </c>
      <c r="F212" s="106">
        <v>0.74281150159744402</v>
      </c>
      <c r="G212" s="106">
        <v>0.76029835197901596</v>
      </c>
      <c r="H212" s="106">
        <v>2.0529557765716602E-2</v>
      </c>
      <c r="I212" s="106">
        <v>-0.85178894650984005</v>
      </c>
      <c r="J212" s="106">
        <v>-2.35</v>
      </c>
      <c r="K212" s="106">
        <v>0.96178310577714499</v>
      </c>
      <c r="L212" s="106">
        <v>0.72512066553093901</v>
      </c>
      <c r="M212" s="106">
        <v>0.94888865437904102</v>
      </c>
      <c r="N212" s="106">
        <v>6.5779921070428293E-2</v>
      </c>
      <c r="P212" s="106">
        <v>0.7808279097447326</v>
      </c>
      <c r="Q212" s="106">
        <v>0.73976879421329933</v>
      </c>
      <c r="R212" s="106">
        <v>0.80135746751044912</v>
      </c>
      <c r="S212" s="106">
        <v>0.71923923644758281</v>
      </c>
      <c r="AA212" s="106">
        <v>930</v>
      </c>
      <c r="AB212" s="106">
        <v>935.8772064466616</v>
      </c>
    </row>
    <row r="213" spans="1:28">
      <c r="A213" s="14">
        <v>43626</v>
      </c>
      <c r="B213" s="106">
        <v>915</v>
      </c>
      <c r="C213" s="106">
        <v>916</v>
      </c>
      <c r="D213" s="106">
        <v>1238</v>
      </c>
      <c r="E213" s="106">
        <v>1233</v>
      </c>
      <c r="F213" s="106">
        <v>0.742903487429034</v>
      </c>
      <c r="G213" s="106">
        <v>0.760486119282342</v>
      </c>
      <c r="H213" s="106">
        <v>2.0432934444933399E-2</v>
      </c>
      <c r="I213" s="106">
        <v>-0.86050449095762005</v>
      </c>
      <c r="J213" s="106">
        <v>-2.37</v>
      </c>
      <c r="K213" s="106">
        <v>0.96072113113534297</v>
      </c>
      <c r="L213" s="106">
        <v>0.71345106733364205</v>
      </c>
      <c r="M213" s="106">
        <v>0.94861384636716795</v>
      </c>
      <c r="N213" s="106">
        <v>6.9503814517121495E-2</v>
      </c>
      <c r="P213" s="106">
        <v>0.78091905372727544</v>
      </c>
      <c r="Q213" s="106">
        <v>0.74005318483740856</v>
      </c>
      <c r="R213" s="106">
        <v>0.80135198817220876</v>
      </c>
      <c r="S213" s="106">
        <v>0.71962025039247524</v>
      </c>
      <c r="AA213" s="106">
        <v>916</v>
      </c>
      <c r="AB213" s="106">
        <v>921.67459708365311</v>
      </c>
    </row>
    <row r="214" spans="1:28">
      <c r="A214" s="14">
        <v>43623</v>
      </c>
      <c r="B214" s="106">
        <v>888</v>
      </c>
      <c r="C214" s="106">
        <v>900</v>
      </c>
      <c r="D214" s="106">
        <v>1198</v>
      </c>
      <c r="E214" s="106">
        <v>1212</v>
      </c>
      <c r="F214" s="106">
        <v>0.74257425742574201</v>
      </c>
      <c r="G214" s="106">
        <v>0.760743574698997</v>
      </c>
      <c r="H214" s="106">
        <v>2.0331165386848499E-2</v>
      </c>
      <c r="I214" s="106">
        <v>-0.893668263847199</v>
      </c>
      <c r="J214" s="106">
        <v>-2.4500000000000002</v>
      </c>
      <c r="K214" s="106">
        <v>0.95954027925541197</v>
      </c>
      <c r="L214" s="106">
        <v>0.70664293978283199</v>
      </c>
      <c r="M214" s="106">
        <v>0.94814579862799697</v>
      </c>
      <c r="N214" s="106">
        <v>8.1548634146666105E-2</v>
      </c>
      <c r="P214" s="106">
        <v>0.78107474008584554</v>
      </c>
      <c r="Q214" s="106">
        <v>0.74041240931214847</v>
      </c>
      <c r="R214" s="106">
        <v>0.80140590547269397</v>
      </c>
      <c r="S214" s="106">
        <v>0.72008124392530004</v>
      </c>
      <c r="AA214" s="106">
        <v>900</v>
      </c>
      <c r="AB214" s="106">
        <v>905.97697620874908</v>
      </c>
    </row>
    <row r="215" spans="1:28">
      <c r="A215" s="14">
        <v>43622</v>
      </c>
      <c r="B215" s="106">
        <v>907</v>
      </c>
      <c r="C215" s="106">
        <v>893</v>
      </c>
      <c r="D215" s="106">
        <v>1215</v>
      </c>
      <c r="E215" s="106">
        <v>1202</v>
      </c>
      <c r="F215" s="106">
        <v>0.74292845257903495</v>
      </c>
      <c r="G215" s="106">
        <v>0.76107671445757896</v>
      </c>
      <c r="H215" s="106">
        <v>2.02351950164734E-2</v>
      </c>
      <c r="I215" s="106">
        <v>-0.89686617123133805</v>
      </c>
      <c r="J215" s="106">
        <v>-2.44</v>
      </c>
      <c r="K215" s="106">
        <v>0.95753343859486395</v>
      </c>
      <c r="L215" s="106">
        <v>0.75066355452389399</v>
      </c>
      <c r="M215" s="106">
        <v>0.94790640568235396</v>
      </c>
      <c r="N215" s="106">
        <v>0.11564440135468999</v>
      </c>
      <c r="P215" s="106">
        <v>0.78131190947405238</v>
      </c>
      <c r="Q215" s="106">
        <v>0.74084151944110554</v>
      </c>
      <c r="R215" s="106">
        <v>0.8015471044905258</v>
      </c>
      <c r="S215" s="106">
        <v>0.72060632442463213</v>
      </c>
      <c r="AA215" s="106">
        <v>893</v>
      </c>
      <c r="AB215" s="106">
        <v>898.50191864927092</v>
      </c>
    </row>
    <row r="216" spans="1:28">
      <c r="A216" s="14">
        <v>43621</v>
      </c>
      <c r="B216" s="106">
        <v>912</v>
      </c>
      <c r="C216" s="106">
        <v>912</v>
      </c>
      <c r="D216" s="106">
        <v>1216</v>
      </c>
      <c r="E216" s="106">
        <v>1222</v>
      </c>
      <c r="F216" s="106">
        <v>0.74631751227495902</v>
      </c>
      <c r="G216" s="106">
        <v>0.76132879268354603</v>
      </c>
      <c r="H216" s="106">
        <v>2.01250035529375E-2</v>
      </c>
      <c r="I216" s="106">
        <v>-0.74590200041959798</v>
      </c>
      <c r="J216" s="106">
        <v>-2.0099999999999998</v>
      </c>
      <c r="K216" s="106">
        <v>0.95599137838876402</v>
      </c>
      <c r="L216" s="106">
        <v>0.758496961265542</v>
      </c>
      <c r="M216" s="106">
        <v>0.94786452234994201</v>
      </c>
      <c r="N216" s="106">
        <v>7.6533899333824901E-2</v>
      </c>
      <c r="P216" s="106">
        <v>0.78145379623648348</v>
      </c>
      <c r="Q216" s="106">
        <v>0.74120378913060858</v>
      </c>
      <c r="R216" s="106">
        <v>0.80157879978942104</v>
      </c>
      <c r="S216" s="106">
        <v>0.72107878557767102</v>
      </c>
      <c r="AA216" s="106">
        <v>912</v>
      </c>
      <c r="AB216" s="106">
        <v>913.45203376822724</v>
      </c>
    </row>
    <row r="217" spans="1:28">
      <c r="A217" s="14">
        <v>43620</v>
      </c>
      <c r="B217" s="106">
        <v>865</v>
      </c>
      <c r="C217" s="106">
        <v>887</v>
      </c>
      <c r="D217" s="106">
        <v>1143</v>
      </c>
      <c r="E217" s="106">
        <v>1175</v>
      </c>
      <c r="F217" s="106">
        <v>0.754893617021276</v>
      </c>
      <c r="G217" s="106">
        <v>0.76183722020784495</v>
      </c>
      <c r="H217" s="106">
        <v>2.0220790396242E-2</v>
      </c>
      <c r="I217" s="106">
        <v>-0.34338930627853798</v>
      </c>
      <c r="J217" s="106">
        <v>-0.92</v>
      </c>
      <c r="K217" s="106">
        <v>0.95299171799257598</v>
      </c>
      <c r="L217" s="106">
        <v>0.79836513311443003</v>
      </c>
      <c r="M217" s="106">
        <v>0.94750836103869696</v>
      </c>
      <c r="N217" s="106">
        <v>7.17646552922412E-2</v>
      </c>
      <c r="P217" s="106">
        <v>0.78205801060408697</v>
      </c>
      <c r="Q217" s="106">
        <v>0.74161642981160292</v>
      </c>
      <c r="R217" s="106">
        <v>0.802278801000329</v>
      </c>
      <c r="S217" s="106">
        <v>0.72139563941536089</v>
      </c>
      <c r="AA217" s="106">
        <v>887</v>
      </c>
      <c r="AB217" s="106">
        <v>878.31926323868004</v>
      </c>
    </row>
    <row r="218" spans="1:28">
      <c r="A218" s="14">
        <v>43619</v>
      </c>
      <c r="B218" s="106">
        <v>862</v>
      </c>
      <c r="C218" s="106">
        <v>869</v>
      </c>
      <c r="D218" s="106">
        <v>1136</v>
      </c>
      <c r="E218" s="106">
        <v>1137</v>
      </c>
      <c r="F218" s="106">
        <v>0.76429199648196999</v>
      </c>
      <c r="G218" s="106">
        <v>0.76220207950777696</v>
      </c>
      <c r="H218" s="106">
        <v>2.03387447670863E-2</v>
      </c>
      <c r="I218" s="106">
        <v>0.102755455074831</v>
      </c>
      <c r="J218" s="106">
        <v>0.27</v>
      </c>
      <c r="K218" s="106">
        <v>0.94889538353888003</v>
      </c>
      <c r="L218" s="106">
        <v>0.82233513674802505</v>
      </c>
      <c r="M218" s="106">
        <v>0.94697589355516398</v>
      </c>
      <c r="N218" s="106">
        <v>0.114762525542636</v>
      </c>
      <c r="P218" s="106">
        <v>0.78254082427486327</v>
      </c>
      <c r="Q218" s="106">
        <v>0.74186333474069066</v>
      </c>
      <c r="R218" s="106">
        <v>0.80287956904194957</v>
      </c>
      <c r="S218" s="106">
        <v>0.72152458997360436</v>
      </c>
      <c r="AA218" s="106">
        <v>869</v>
      </c>
      <c r="AB218" s="106">
        <v>849.91404451266317</v>
      </c>
    </row>
    <row r="219" spans="1:28">
      <c r="A219" s="14">
        <v>43616</v>
      </c>
      <c r="B219" s="106">
        <v>883</v>
      </c>
      <c r="C219" s="106">
        <v>873</v>
      </c>
      <c r="D219" s="106">
        <v>1156</v>
      </c>
      <c r="E219" s="106">
        <v>1152</v>
      </c>
      <c r="F219" s="106">
        <v>0.7578125</v>
      </c>
      <c r="G219" s="106">
        <v>0.76237441308989196</v>
      </c>
      <c r="H219" s="106">
        <v>2.0410354733773499E-2</v>
      </c>
      <c r="I219" s="106">
        <v>-0.223509740491842</v>
      </c>
      <c r="J219" s="106">
        <v>-0.6</v>
      </c>
      <c r="K219" s="106">
        <v>0.94398820739190303</v>
      </c>
      <c r="L219" s="106">
        <v>0.84616912413899503</v>
      </c>
      <c r="M219" s="106">
        <v>0.94621570691765799</v>
      </c>
      <c r="N219" s="106">
        <v>0.115458419305504</v>
      </c>
      <c r="P219" s="106">
        <v>0.78278476782366546</v>
      </c>
      <c r="Q219" s="106">
        <v>0.74196405835611845</v>
      </c>
      <c r="R219" s="106">
        <v>0.80319512255743897</v>
      </c>
      <c r="S219" s="106">
        <v>0.72155370362234494</v>
      </c>
      <c r="AA219" s="106">
        <v>873</v>
      </c>
      <c r="AB219" s="106">
        <v>861.12663085188035</v>
      </c>
    </row>
    <row r="220" spans="1:28">
      <c r="A220" s="14">
        <v>43615</v>
      </c>
      <c r="B220" s="106">
        <v>883</v>
      </c>
      <c r="C220" s="106">
        <v>893</v>
      </c>
      <c r="D220" s="106">
        <v>1168</v>
      </c>
      <c r="E220" s="106">
        <v>1174</v>
      </c>
      <c r="F220" s="106">
        <v>0.76064735945485495</v>
      </c>
      <c r="G220" s="106">
        <v>0.76257415380383298</v>
      </c>
      <c r="H220" s="106">
        <v>2.04380163154614E-2</v>
      </c>
      <c r="I220" s="106">
        <v>-9.4275017655235993E-2</v>
      </c>
      <c r="J220" s="106">
        <v>-0.25</v>
      </c>
      <c r="K220" s="106">
        <v>0.94137016163477805</v>
      </c>
      <c r="L220" s="106">
        <v>0.84795200580555996</v>
      </c>
      <c r="M220" s="106">
        <v>0.94559844525209902</v>
      </c>
      <c r="N220" s="106">
        <v>0.115176922898512</v>
      </c>
      <c r="P220" s="106">
        <v>0.78301217011929436</v>
      </c>
      <c r="Q220" s="106">
        <v>0.74213613748837159</v>
      </c>
      <c r="R220" s="106">
        <v>0.80345018643475574</v>
      </c>
      <c r="S220" s="106">
        <v>0.72169812117291021</v>
      </c>
      <c r="AA220" s="106">
        <v>893</v>
      </c>
      <c r="AB220" s="106">
        <v>877.57175748273221</v>
      </c>
    </row>
    <row r="221" spans="1:28">
      <c r="A221" s="14">
        <v>43614</v>
      </c>
      <c r="B221" s="106">
        <v>894</v>
      </c>
      <c r="C221" s="106">
        <v>894</v>
      </c>
      <c r="D221" s="106">
        <v>1173</v>
      </c>
      <c r="E221" s="106">
        <v>1172</v>
      </c>
      <c r="F221" s="106">
        <v>0.76279863481228605</v>
      </c>
      <c r="G221" s="106">
        <v>0.76283490613870897</v>
      </c>
      <c r="H221" s="106">
        <v>2.0536286674836E-2</v>
      </c>
      <c r="I221" s="106">
        <v>-1.7662066661538901E-3</v>
      </c>
      <c r="J221" s="106">
        <v>0</v>
      </c>
      <c r="K221" s="106">
        <v>0.93845918204511902</v>
      </c>
      <c r="L221" s="106">
        <v>0.85096575087565496</v>
      </c>
      <c r="M221" s="106">
        <v>0.94496195723528997</v>
      </c>
      <c r="N221" s="106">
        <v>0.11515297731542901</v>
      </c>
      <c r="P221" s="106">
        <v>0.78337119281354495</v>
      </c>
      <c r="Q221" s="106">
        <v>0.74229861946387299</v>
      </c>
      <c r="R221" s="106">
        <v>0.80390747948838093</v>
      </c>
      <c r="S221" s="106">
        <v>0.72176233278903701</v>
      </c>
      <c r="AA221" s="106">
        <v>894</v>
      </c>
      <c r="AB221" s="106">
        <v>876.07674597083655</v>
      </c>
    </row>
    <row r="222" spans="1:28">
      <c r="A222" s="14">
        <v>43613</v>
      </c>
      <c r="B222" s="106">
        <v>907</v>
      </c>
      <c r="C222" s="106">
        <v>903</v>
      </c>
      <c r="D222" s="106">
        <v>1172</v>
      </c>
      <c r="E222" s="106">
        <v>1186</v>
      </c>
      <c r="F222" s="106">
        <v>0.76138279932546304</v>
      </c>
      <c r="G222" s="106">
        <v>0.76307935201416799</v>
      </c>
      <c r="H222" s="106">
        <v>2.0643234189557099E-2</v>
      </c>
      <c r="I222" s="106">
        <v>-8.2184442279068196E-2</v>
      </c>
      <c r="J222" s="106">
        <v>-0.22</v>
      </c>
      <c r="K222" s="106">
        <v>0.93552688059503997</v>
      </c>
      <c r="L222" s="106">
        <v>0.84427457588855304</v>
      </c>
      <c r="M222" s="106">
        <v>0.94445078710438601</v>
      </c>
      <c r="N222" s="106">
        <v>7.4442280534224498E-2</v>
      </c>
      <c r="P222" s="106">
        <v>0.78372258620372504</v>
      </c>
      <c r="Q222" s="106">
        <v>0.74243611782461094</v>
      </c>
      <c r="R222" s="106">
        <v>0.80436582039328219</v>
      </c>
      <c r="S222" s="106">
        <v>0.72179288363505378</v>
      </c>
      <c r="AA222" s="106">
        <v>903</v>
      </c>
      <c r="AB222" s="106">
        <v>886.54182655410591</v>
      </c>
    </row>
    <row r="223" spans="1:28">
      <c r="A223" s="14">
        <v>43612</v>
      </c>
      <c r="B223" s="106">
        <v>921</v>
      </c>
      <c r="C223" s="106">
        <v>911</v>
      </c>
      <c r="D223" s="106">
        <v>1183</v>
      </c>
      <c r="E223" s="106">
        <v>1179</v>
      </c>
      <c r="F223" s="106">
        <v>0.77268871925360405</v>
      </c>
      <c r="G223" s="106">
        <v>0.76294887305273396</v>
      </c>
      <c r="H223" s="106">
        <v>2.06844308325E-2</v>
      </c>
      <c r="I223" s="106">
        <v>0.47087813436794501</v>
      </c>
      <c r="J223" s="106">
        <v>1.26</v>
      </c>
      <c r="K223" s="106">
        <v>0.93157322374644003</v>
      </c>
      <c r="L223" s="106">
        <v>0.78690367636221004</v>
      </c>
      <c r="M223" s="106">
        <v>0.94415863958770896</v>
      </c>
      <c r="N223" s="106">
        <v>0.120963085052054</v>
      </c>
      <c r="P223" s="106">
        <v>0.783633303885234</v>
      </c>
      <c r="Q223" s="106">
        <v>0.74226444222023391</v>
      </c>
      <c r="R223" s="106">
        <v>0.80431773471773393</v>
      </c>
      <c r="S223" s="106">
        <v>0.72158001138773398</v>
      </c>
      <c r="AA223" s="106">
        <v>911</v>
      </c>
      <c r="AB223" s="106">
        <v>881.30928626247123</v>
      </c>
    </row>
    <row r="224" spans="1:28">
      <c r="A224" s="14">
        <v>43609</v>
      </c>
      <c r="B224" s="106">
        <v>902</v>
      </c>
      <c r="C224" s="106">
        <v>914</v>
      </c>
      <c r="D224" s="106">
        <v>1146</v>
      </c>
      <c r="E224" s="106">
        <v>1176</v>
      </c>
      <c r="F224" s="106">
        <v>0.77721088435374097</v>
      </c>
      <c r="G224" s="106">
        <v>0.762646356796019</v>
      </c>
      <c r="H224" s="106">
        <v>2.0705674236059599E-2</v>
      </c>
      <c r="I224" s="106">
        <v>0.70340754865916599</v>
      </c>
      <c r="J224" s="106">
        <v>1.87</v>
      </c>
      <c r="K224" s="106">
        <v>0.92660956020434404</v>
      </c>
      <c r="L224" s="106">
        <v>0.75224498427448605</v>
      </c>
      <c r="M224" s="106">
        <v>0.94395697792004896</v>
      </c>
      <c r="N224" s="106">
        <v>0.107211041991016</v>
      </c>
      <c r="P224" s="106">
        <v>0.78335203103207862</v>
      </c>
      <c r="Q224" s="106">
        <v>0.74194068255995937</v>
      </c>
      <c r="R224" s="106">
        <v>0.80405770526813825</v>
      </c>
      <c r="S224" s="106">
        <v>0.72123500832389975</v>
      </c>
      <c r="AA224" s="106">
        <v>914</v>
      </c>
      <c r="AB224" s="106">
        <v>879.06676899462786</v>
      </c>
    </row>
    <row r="225" spans="1:28">
      <c r="A225" s="14">
        <v>43608</v>
      </c>
      <c r="B225" s="106">
        <v>908</v>
      </c>
      <c r="C225" s="106">
        <v>908</v>
      </c>
      <c r="D225" s="106">
        <v>1197</v>
      </c>
      <c r="E225" s="106">
        <v>1185</v>
      </c>
      <c r="F225" s="106">
        <v>0.76624472573839597</v>
      </c>
      <c r="G225" s="106">
        <v>0.76212998960657297</v>
      </c>
      <c r="H225" s="106">
        <v>2.0818613132231802E-2</v>
      </c>
      <c r="I225" s="106">
        <v>0.197646985689578</v>
      </c>
      <c r="J225" s="106">
        <v>0.54</v>
      </c>
      <c r="K225" s="106">
        <v>0.92275590989917999</v>
      </c>
      <c r="L225" s="106">
        <v>0.76842641582767202</v>
      </c>
      <c r="M225" s="106">
        <v>0.94390276278840601</v>
      </c>
      <c r="N225" s="106">
        <v>0.111526359102466</v>
      </c>
      <c r="P225" s="106">
        <v>0.78294860273880473</v>
      </c>
      <c r="Q225" s="106">
        <v>0.7413113764743412</v>
      </c>
      <c r="R225" s="106">
        <v>0.80376721587103661</v>
      </c>
      <c r="S225" s="106">
        <v>0.72049276334210932</v>
      </c>
      <c r="AA225" s="106">
        <v>908</v>
      </c>
      <c r="AB225" s="106">
        <v>885.79432079815808</v>
      </c>
    </row>
    <row r="226" spans="1:28">
      <c r="A226" s="14">
        <v>43607</v>
      </c>
      <c r="B226" s="106">
        <v>935</v>
      </c>
      <c r="C226" s="106">
        <v>922</v>
      </c>
      <c r="D226" s="106">
        <v>1207</v>
      </c>
      <c r="E226" s="106">
        <v>1214</v>
      </c>
      <c r="F226" s="106">
        <v>0.75947281713344295</v>
      </c>
      <c r="G226" s="106">
        <v>0.76187820677500595</v>
      </c>
      <c r="H226" s="106">
        <v>2.08814226741574E-2</v>
      </c>
      <c r="I226" s="106">
        <v>-0.115192804585106</v>
      </c>
      <c r="J226" s="106">
        <v>-0.32</v>
      </c>
      <c r="K226" s="106">
        <v>0.91894034399381397</v>
      </c>
      <c r="L226" s="106">
        <v>0.75439376855487295</v>
      </c>
      <c r="M226" s="106">
        <v>0.94450017624350002</v>
      </c>
      <c r="N226" s="106">
        <v>0.106829417182254</v>
      </c>
      <c r="P226" s="106">
        <v>0.78275962944916333</v>
      </c>
      <c r="Q226" s="106">
        <v>0.74099678410084857</v>
      </c>
      <c r="R226" s="106">
        <v>0.80364105212332071</v>
      </c>
      <c r="S226" s="106">
        <v>0.72011536142669119</v>
      </c>
      <c r="AA226" s="106">
        <v>922</v>
      </c>
      <c r="AB226" s="106">
        <v>907.47198772064473</v>
      </c>
    </row>
    <row r="227" spans="1:28">
      <c r="A227" s="14">
        <v>43606</v>
      </c>
      <c r="B227" s="106">
        <v>928</v>
      </c>
      <c r="C227" s="106">
        <v>927</v>
      </c>
      <c r="D227" s="106">
        <v>1191</v>
      </c>
      <c r="E227" s="106">
        <v>1204</v>
      </c>
      <c r="F227" s="106">
        <v>0.76993355481727499</v>
      </c>
      <c r="G227" s="106">
        <v>0.76177319424279899</v>
      </c>
      <c r="H227" s="106">
        <v>2.0913035403148799E-2</v>
      </c>
      <c r="I227" s="106">
        <v>0.39020450246299898</v>
      </c>
      <c r="J227" s="106">
        <v>1.06</v>
      </c>
      <c r="K227" s="106">
        <v>0.91535482635478005</v>
      </c>
      <c r="L227" s="106">
        <v>0.752891765028185</v>
      </c>
      <c r="M227" s="106">
        <v>0.94557669876247596</v>
      </c>
      <c r="N227" s="106">
        <v>0.11404974167366499</v>
      </c>
      <c r="P227" s="106">
        <v>0.78268622964594781</v>
      </c>
      <c r="Q227" s="106">
        <v>0.74086015883965017</v>
      </c>
      <c r="R227" s="106">
        <v>0.80359926504909662</v>
      </c>
      <c r="S227" s="106">
        <v>0.71994712343650136</v>
      </c>
      <c r="AA227" s="106">
        <v>927</v>
      </c>
      <c r="AB227" s="106">
        <v>899.99693016116657</v>
      </c>
    </row>
    <row r="228" spans="1:28">
      <c r="A228" s="14">
        <v>43605</v>
      </c>
      <c r="B228" s="106">
        <v>910</v>
      </c>
      <c r="C228" s="106">
        <v>922</v>
      </c>
      <c r="D228" s="106">
        <v>1205</v>
      </c>
      <c r="E228" s="106">
        <v>1204</v>
      </c>
      <c r="F228" s="106">
        <v>0.76578073089700904</v>
      </c>
      <c r="G228" s="106">
        <v>0.76163571174477496</v>
      </c>
      <c r="H228" s="106">
        <v>2.08928203605377E-2</v>
      </c>
      <c r="I228" s="106">
        <v>0.19839442835892701</v>
      </c>
      <c r="J228" s="106">
        <v>0.54</v>
      </c>
      <c r="K228" s="106">
        <v>0.91008024037086799</v>
      </c>
      <c r="L228" s="106">
        <v>0.79632787381808501</v>
      </c>
      <c r="M228" s="106">
        <v>0.94652957303283802</v>
      </c>
      <c r="N228" s="106">
        <v>0.103972304930824</v>
      </c>
      <c r="P228" s="106">
        <v>0.7825285321053127</v>
      </c>
      <c r="Q228" s="106">
        <v>0.74074289138423721</v>
      </c>
      <c r="R228" s="106">
        <v>0.80342135246585034</v>
      </c>
      <c r="S228" s="106">
        <v>0.71985007102369958</v>
      </c>
      <c r="AA228" s="106">
        <v>922</v>
      </c>
      <c r="AB228" s="106">
        <v>899.99693016116657</v>
      </c>
    </row>
    <row r="229" spans="1:28">
      <c r="A229" s="14">
        <v>43602</v>
      </c>
      <c r="B229" s="106">
        <v>936</v>
      </c>
      <c r="C229" s="106">
        <v>910</v>
      </c>
      <c r="D229" s="106">
        <v>1219</v>
      </c>
      <c r="E229" s="106">
        <v>1213</v>
      </c>
      <c r="F229" s="106">
        <v>0.75020610057708104</v>
      </c>
      <c r="G229" s="106">
        <v>0.76154226106380896</v>
      </c>
      <c r="H229" s="106">
        <v>2.0889745740341401E-2</v>
      </c>
      <c r="I229" s="106">
        <v>-0.54266627404831103</v>
      </c>
      <c r="J229" s="106">
        <v>-1.51</v>
      </c>
      <c r="K229" s="106">
        <v>0.89513982289502902</v>
      </c>
      <c r="L229" s="106">
        <v>0.78889814385669799</v>
      </c>
      <c r="M229" s="106">
        <v>0.94729774879755702</v>
      </c>
      <c r="N229" s="106">
        <v>0.103837888455659</v>
      </c>
      <c r="P229" s="106">
        <v>0.78243200680415037</v>
      </c>
      <c r="Q229" s="106">
        <v>0.74065251532346754</v>
      </c>
      <c r="R229" s="106">
        <v>0.80332175254449179</v>
      </c>
      <c r="S229" s="106">
        <v>0.71976276958312613</v>
      </c>
      <c r="AA229" s="106">
        <v>910</v>
      </c>
      <c r="AB229" s="106">
        <v>906.72448196469691</v>
      </c>
    </row>
    <row r="230" spans="1:28">
      <c r="A230" s="14">
        <v>43601</v>
      </c>
      <c r="B230" s="106">
        <v>933</v>
      </c>
      <c r="C230" s="106">
        <v>920</v>
      </c>
      <c r="D230" s="106">
        <v>1230</v>
      </c>
      <c r="E230" s="106">
        <v>1216</v>
      </c>
      <c r="F230" s="106">
        <v>0.75657894736842102</v>
      </c>
      <c r="G230" s="106">
        <v>0.76153227192649797</v>
      </c>
      <c r="H230" s="106">
        <v>2.0895342494331601E-2</v>
      </c>
      <c r="I230" s="106">
        <v>-0.23705400183899</v>
      </c>
      <c r="J230" s="106">
        <v>-0.65</v>
      </c>
      <c r="K230" s="106">
        <v>0.88703697020152705</v>
      </c>
      <c r="L230" s="106">
        <v>0.790342479319737</v>
      </c>
      <c r="M230" s="106">
        <v>0.94792902376518395</v>
      </c>
      <c r="N230" s="106">
        <v>9.9921198635293806E-2</v>
      </c>
      <c r="P230" s="106">
        <v>0.78242761442082953</v>
      </c>
      <c r="Q230" s="106">
        <v>0.74063692943216641</v>
      </c>
      <c r="R230" s="106">
        <v>0.8033229569151612</v>
      </c>
      <c r="S230" s="106">
        <v>0.71974158693783474</v>
      </c>
      <c r="AA230" s="106">
        <v>920</v>
      </c>
      <c r="AB230" s="106">
        <v>908.96699923254027</v>
      </c>
    </row>
    <row r="231" spans="1:28">
      <c r="A231" s="14">
        <v>43600</v>
      </c>
      <c r="B231" s="106">
        <v>952</v>
      </c>
      <c r="C231" s="106">
        <v>941</v>
      </c>
      <c r="D231" s="106">
        <v>1224</v>
      </c>
      <c r="E231" s="106">
        <v>1240</v>
      </c>
      <c r="F231" s="106">
        <v>0.75887096774193497</v>
      </c>
      <c r="G231" s="106">
        <v>0.76148771809587801</v>
      </c>
      <c r="H231" s="106">
        <v>2.0909414395555E-2</v>
      </c>
      <c r="I231" s="106">
        <v>-0.125146993810579</v>
      </c>
      <c r="J231" s="106">
        <v>-0.34</v>
      </c>
      <c r="K231" s="106">
        <v>0.88021143091312004</v>
      </c>
      <c r="L231" s="106">
        <v>0.75869642100944901</v>
      </c>
      <c r="M231" s="106">
        <v>0.948616193842864</v>
      </c>
      <c r="N231" s="106">
        <v>0.102552055166238</v>
      </c>
      <c r="P231" s="106">
        <v>0.78239713249143306</v>
      </c>
      <c r="Q231" s="106">
        <v>0.74057830370032296</v>
      </c>
      <c r="R231" s="106">
        <v>0.80330654688698799</v>
      </c>
      <c r="S231" s="106">
        <v>0.71966888930476802</v>
      </c>
      <c r="AA231" s="106">
        <v>941</v>
      </c>
      <c r="AB231" s="106">
        <v>926.90713737528779</v>
      </c>
    </row>
    <row r="232" spans="1:28">
      <c r="A232" s="14">
        <v>43599</v>
      </c>
      <c r="B232" s="106">
        <v>937</v>
      </c>
      <c r="C232" s="106">
        <v>946</v>
      </c>
      <c r="D232" s="106">
        <v>1201</v>
      </c>
      <c r="E232" s="106">
        <v>1222</v>
      </c>
      <c r="F232" s="106">
        <v>0.77414075286415696</v>
      </c>
      <c r="G232" s="106">
        <v>0.76142519610174397</v>
      </c>
      <c r="H232" s="106">
        <v>2.0924150765255702E-2</v>
      </c>
      <c r="I232" s="106">
        <v>0.60769762677905004</v>
      </c>
      <c r="J232" s="106">
        <v>1.64</v>
      </c>
      <c r="K232" s="106">
        <v>0.87509411689668903</v>
      </c>
      <c r="L232" s="106">
        <v>0.66566648871362899</v>
      </c>
      <c r="M232" s="106">
        <v>0.94889063408077301</v>
      </c>
      <c r="N232" s="106">
        <v>0.145287678234791</v>
      </c>
      <c r="P232" s="106">
        <v>0.78234934686699964</v>
      </c>
      <c r="Q232" s="106">
        <v>0.74050104533648831</v>
      </c>
      <c r="R232" s="106">
        <v>0.80327349763225542</v>
      </c>
      <c r="S232" s="106">
        <v>0.71957689457123253</v>
      </c>
      <c r="AA232" s="106">
        <v>946</v>
      </c>
      <c r="AB232" s="106">
        <v>913.45203376822724</v>
      </c>
    </row>
    <row r="233" spans="1:28">
      <c r="A233" s="14">
        <v>43598</v>
      </c>
      <c r="B233" s="106">
        <v>975</v>
      </c>
      <c r="C233" s="106">
        <v>960</v>
      </c>
      <c r="D233" s="106">
        <v>1251</v>
      </c>
      <c r="E233" s="106">
        <v>1236</v>
      </c>
      <c r="F233" s="106">
        <v>0.77669902912621303</v>
      </c>
      <c r="G233" s="106">
        <v>0.76126204955561805</v>
      </c>
      <c r="H233" s="106">
        <v>2.0872008283329802E-2</v>
      </c>
      <c r="I233" s="106">
        <v>0.73960202396642405</v>
      </c>
      <c r="J233" s="106">
        <v>1.99</v>
      </c>
      <c r="K233" s="106">
        <v>0.87201474624369901</v>
      </c>
      <c r="L233" s="106">
        <v>0.56273629740159004</v>
      </c>
      <c r="M233" s="106">
        <v>0.94892367967159497</v>
      </c>
      <c r="N233" s="106">
        <v>0.16784380518624101</v>
      </c>
      <c r="P233" s="106">
        <v>0.78213405783894785</v>
      </c>
      <c r="Q233" s="106">
        <v>0.74039004127228825</v>
      </c>
      <c r="R233" s="106">
        <v>0.80300606612227765</v>
      </c>
      <c r="S233" s="106">
        <v>0.71951803298895844</v>
      </c>
      <c r="AA233" s="106">
        <v>960</v>
      </c>
      <c r="AB233" s="106">
        <v>923.91711435149659</v>
      </c>
    </row>
    <row r="234" spans="1:28">
      <c r="A234" s="14">
        <v>43595</v>
      </c>
      <c r="B234" s="106">
        <v>994</v>
      </c>
      <c r="C234" s="106">
        <v>998</v>
      </c>
      <c r="D234" s="106">
        <v>1260</v>
      </c>
      <c r="E234" s="106">
        <v>1273</v>
      </c>
      <c r="F234" s="106">
        <v>0.78397486252945803</v>
      </c>
      <c r="G234" s="106">
        <v>0.76105099003683396</v>
      </c>
      <c r="H234" s="106">
        <v>2.0794732499717899E-2</v>
      </c>
      <c r="I234" s="106">
        <v>1.1023884290377099</v>
      </c>
      <c r="J234" s="106">
        <v>2.92</v>
      </c>
      <c r="K234" s="106">
        <v>0.87506546981021105</v>
      </c>
      <c r="L234" s="106">
        <v>4.6853480059243502E-2</v>
      </c>
      <c r="M234" s="106">
        <v>0.94897418735837002</v>
      </c>
      <c r="N234" s="106">
        <v>8.2033964787084607E-2</v>
      </c>
      <c r="P234" s="106">
        <v>0.78184572253655182</v>
      </c>
      <c r="Q234" s="106">
        <v>0.7402562575371161</v>
      </c>
      <c r="R234" s="106">
        <v>0.8026404550362698</v>
      </c>
      <c r="S234" s="106">
        <v>0.71946152503739813</v>
      </c>
      <c r="AA234" s="106">
        <v>998</v>
      </c>
      <c r="AB234" s="106">
        <v>951.57482732156564</v>
      </c>
    </row>
    <row r="235" spans="1:28">
      <c r="A235" s="14">
        <v>43594</v>
      </c>
      <c r="B235" s="106">
        <v>1048</v>
      </c>
      <c r="C235" s="106">
        <v>1032</v>
      </c>
      <c r="D235" s="106">
        <v>1300</v>
      </c>
      <c r="E235" s="106">
        <v>1260</v>
      </c>
      <c r="F235" s="106">
        <v>0.81904761904761902</v>
      </c>
      <c r="G235" s="106">
        <v>0.76081118474662401</v>
      </c>
      <c r="H235" s="106">
        <v>2.0632058904939798E-2</v>
      </c>
      <c r="I235" s="106">
        <v>2.8226186523270802</v>
      </c>
      <c r="J235" s="106">
        <v>7.11</v>
      </c>
      <c r="K235" s="106">
        <v>0.90043043230725495</v>
      </c>
      <c r="L235" s="106">
        <v>4.0593698661183598E-4</v>
      </c>
      <c r="M235" s="106">
        <v>0.95030366631782104</v>
      </c>
      <c r="N235" s="106">
        <v>2.8971358953673601E-2</v>
      </c>
      <c r="P235" s="106">
        <v>0.78144324365156381</v>
      </c>
      <c r="Q235" s="106">
        <v>0.74017912584168422</v>
      </c>
      <c r="R235" s="106">
        <v>0.80207530255650361</v>
      </c>
      <c r="S235" s="106">
        <v>0.71954706693674442</v>
      </c>
      <c r="AA235" s="106">
        <v>1032</v>
      </c>
      <c r="AB235" s="106">
        <v>941.85725249424411</v>
      </c>
    </row>
    <row r="236" spans="1:28">
      <c r="A236" s="14">
        <v>43593</v>
      </c>
      <c r="B236" s="106">
        <v>1077</v>
      </c>
      <c r="C236" s="106">
        <v>1062</v>
      </c>
      <c r="D236" s="106">
        <v>1324</v>
      </c>
      <c r="E236" s="106">
        <v>1302</v>
      </c>
      <c r="F236" s="106">
        <v>0.81566820276497698</v>
      </c>
      <c r="G236" s="106">
        <v>0.76008058577873705</v>
      </c>
      <c r="H236" s="106">
        <v>1.9495800473650501E-2</v>
      </c>
      <c r="I236" s="106">
        <v>2.85126107344853</v>
      </c>
      <c r="J236" s="106">
        <v>6.81</v>
      </c>
      <c r="K236" s="106">
        <v>0.92510655623948201</v>
      </c>
      <c r="L236" s="106">
        <v>1.3448658832064499E-2</v>
      </c>
      <c r="M236" s="106">
        <v>0.95076910558306404</v>
      </c>
      <c r="N236" s="106">
        <v>0.122707293327373</v>
      </c>
      <c r="P236" s="106">
        <v>0.77957638625238757</v>
      </c>
      <c r="Q236" s="106">
        <v>0.74058478530508653</v>
      </c>
      <c r="R236" s="106">
        <v>0.79907218672603808</v>
      </c>
      <c r="S236" s="106">
        <v>0.72108898483143602</v>
      </c>
      <c r="AA236" s="106">
        <v>1062</v>
      </c>
      <c r="AB236" s="106">
        <v>973.25249424405217</v>
      </c>
    </row>
    <row r="237" spans="1:28">
      <c r="A237" s="14">
        <v>43592</v>
      </c>
      <c r="B237" s="106">
        <v>1137</v>
      </c>
      <c r="C237" s="106">
        <v>1105</v>
      </c>
      <c r="D237" s="106">
        <v>1428</v>
      </c>
      <c r="E237" s="106">
        <v>1343</v>
      </c>
      <c r="F237" s="106">
        <v>0.822784810126582</v>
      </c>
      <c r="G237" s="106">
        <v>0.75940047494906404</v>
      </c>
      <c r="H237" s="106">
        <v>1.84038993232283E-2</v>
      </c>
      <c r="I237" s="106">
        <v>3.4440709582407698</v>
      </c>
      <c r="J237" s="106">
        <v>7.7</v>
      </c>
      <c r="K237" s="106">
        <v>0.94211706335002099</v>
      </c>
      <c r="L237" s="106">
        <v>0.15267848609137499</v>
      </c>
      <c r="M237" s="106">
        <v>0.94998751187527697</v>
      </c>
      <c r="N237" s="106">
        <v>0.34798966493000899</v>
      </c>
      <c r="P237" s="106">
        <v>0.77780437427229232</v>
      </c>
      <c r="Q237" s="106">
        <v>0.74099657562583576</v>
      </c>
      <c r="R237" s="106">
        <v>0.7962082735955206</v>
      </c>
      <c r="S237" s="106">
        <v>0.72259267630260748</v>
      </c>
      <c r="AA237" s="106">
        <v>1105</v>
      </c>
      <c r="AB237" s="106">
        <v>1003.9002302379125</v>
      </c>
    </row>
    <row r="238" spans="1:28">
      <c r="A238" s="14">
        <v>43581</v>
      </c>
      <c r="B238" s="106">
        <v>1150</v>
      </c>
      <c r="C238" s="106">
        <v>1150</v>
      </c>
      <c r="D238" s="106">
        <v>1412</v>
      </c>
      <c r="E238" s="106">
        <v>1429</v>
      </c>
      <c r="F238" s="106">
        <v>0.80475857242827098</v>
      </c>
      <c r="G238" s="106">
        <v>0.75854172814321896</v>
      </c>
      <c r="H238" s="106">
        <v>1.6864528727940899E-2</v>
      </c>
      <c r="I238" s="106">
        <v>2.7404764776189801</v>
      </c>
      <c r="J238" s="106">
        <v>5.74</v>
      </c>
      <c r="K238" s="106">
        <v>0.92742227774319297</v>
      </c>
      <c r="L238" s="106">
        <v>9.2413185581701099E-2</v>
      </c>
      <c r="M238" s="106">
        <v>0.95055916682893105</v>
      </c>
      <c r="N238" s="106">
        <v>4.7316513432344602E-2</v>
      </c>
      <c r="P238" s="106">
        <v>0.77540625687115983</v>
      </c>
      <c r="Q238" s="106">
        <v>0.7416771994152781</v>
      </c>
      <c r="R238" s="106">
        <v>0.7922707855991008</v>
      </c>
      <c r="S238" s="106">
        <v>0.72481267068733712</v>
      </c>
      <c r="AA238" s="106">
        <v>1150</v>
      </c>
      <c r="AB238" s="106">
        <v>1068.1857252494244</v>
      </c>
    </row>
    <row r="239" spans="1:28">
      <c r="A239" s="14">
        <v>43580</v>
      </c>
      <c r="B239" s="106">
        <v>1156</v>
      </c>
      <c r="C239" s="106">
        <v>1167</v>
      </c>
      <c r="D239" s="106">
        <v>1468</v>
      </c>
      <c r="E239" s="106">
        <v>1472</v>
      </c>
      <c r="F239" s="106">
        <v>0.79279891304347805</v>
      </c>
      <c r="G239" s="106">
        <v>0.75805667313271297</v>
      </c>
      <c r="H239" s="106">
        <v>1.6030829807378001E-2</v>
      </c>
      <c r="I239" s="106">
        <v>2.1672140699026499</v>
      </c>
      <c r="J239" s="106">
        <v>4.38</v>
      </c>
      <c r="K239" s="106">
        <v>0.92655899204404202</v>
      </c>
      <c r="L239" s="106">
        <v>6.9095223188665705E-2</v>
      </c>
      <c r="M239" s="106">
        <v>0.94921616449545498</v>
      </c>
      <c r="N239" s="106">
        <v>0.33567737376420198</v>
      </c>
      <c r="P239" s="106">
        <v>0.77408750294009099</v>
      </c>
      <c r="Q239" s="106">
        <v>0.74202584332533494</v>
      </c>
      <c r="R239" s="106">
        <v>0.79011833274746901</v>
      </c>
      <c r="S239" s="106">
        <v>0.72599501351795692</v>
      </c>
      <c r="AA239" s="106">
        <v>1167</v>
      </c>
      <c r="AB239" s="106">
        <v>1100.3284727551804</v>
      </c>
    </row>
    <row r="240" spans="1:28">
      <c r="A240" s="14">
        <v>43579</v>
      </c>
      <c r="B240" s="106">
        <v>1185</v>
      </c>
      <c r="C240" s="106">
        <v>1165</v>
      </c>
      <c r="D240" s="106">
        <v>1499</v>
      </c>
      <c r="E240" s="106">
        <v>1465</v>
      </c>
      <c r="F240" s="106">
        <v>0.79522184300341203</v>
      </c>
      <c r="G240" s="106">
        <v>0.757716090514713</v>
      </c>
      <c r="H240" s="106">
        <v>1.55533289273298E-2</v>
      </c>
      <c r="I240" s="106">
        <v>2.4114292614744199</v>
      </c>
      <c r="J240" s="106">
        <v>4.72</v>
      </c>
      <c r="K240" s="106">
        <v>0.92683003355542604</v>
      </c>
      <c r="L240" s="106">
        <v>9.0070941363756193E-2</v>
      </c>
      <c r="M240" s="106">
        <v>0.94743907847546105</v>
      </c>
      <c r="N240" s="106">
        <v>0.465308783840786</v>
      </c>
      <c r="P240" s="106">
        <v>0.77326941944204275</v>
      </c>
      <c r="Q240" s="106">
        <v>0.74216276158738326</v>
      </c>
      <c r="R240" s="106">
        <v>0.78882274836937261</v>
      </c>
      <c r="S240" s="106">
        <v>0.7266094326600534</v>
      </c>
      <c r="AA240" s="106">
        <v>1165</v>
      </c>
      <c r="AB240" s="106">
        <v>1095.0959324635458</v>
      </c>
    </row>
    <row r="241" spans="1:28">
      <c r="A241" s="14">
        <v>43578</v>
      </c>
      <c r="B241" s="106">
        <v>1191</v>
      </c>
      <c r="C241" s="106">
        <v>1174</v>
      </c>
      <c r="D241" s="106">
        <v>1504</v>
      </c>
      <c r="E241" s="106">
        <v>1488</v>
      </c>
      <c r="F241" s="106">
        <v>0.78897849462365499</v>
      </c>
      <c r="G241" s="106">
        <v>0.75739948234389198</v>
      </c>
      <c r="H241" s="106">
        <v>1.5019141108723599E-2</v>
      </c>
      <c r="I241" s="106">
        <v>2.1025844321698002</v>
      </c>
      <c r="J241" s="106">
        <v>4</v>
      </c>
      <c r="K241" s="106">
        <v>0.92367184260465796</v>
      </c>
      <c r="L241" s="106">
        <v>7.2994240636082494E-2</v>
      </c>
      <c r="M241" s="106">
        <v>0.94628160529687999</v>
      </c>
      <c r="N241" s="106">
        <v>0.36864176620815198</v>
      </c>
      <c r="P241" s="106">
        <v>0.77241862345261558</v>
      </c>
      <c r="Q241" s="106">
        <v>0.74238034123516838</v>
      </c>
      <c r="R241" s="106">
        <v>0.78743776456133918</v>
      </c>
      <c r="S241" s="106">
        <v>0.72736120012644478</v>
      </c>
      <c r="AA241" s="106">
        <v>1174</v>
      </c>
      <c r="AB241" s="106">
        <v>1112.2885648503454</v>
      </c>
    </row>
    <row r="242" spans="1:28">
      <c r="A242" s="14">
        <v>43577</v>
      </c>
      <c r="B242" s="106">
        <v>1205</v>
      </c>
      <c r="C242" s="106">
        <v>1188</v>
      </c>
      <c r="D242" s="106">
        <v>1512</v>
      </c>
      <c r="E242" s="106">
        <v>1502</v>
      </c>
      <c r="F242" s="106">
        <v>0.79094540612516595</v>
      </c>
      <c r="G242" s="106">
        <v>0.75720059561840403</v>
      </c>
      <c r="H242" s="106">
        <v>1.4694912239935199E-2</v>
      </c>
      <c r="I242" s="106">
        <v>2.2963601249047501</v>
      </c>
      <c r="J242" s="106">
        <v>4.2699999999999996</v>
      </c>
      <c r="K242" s="106">
        <v>0.91861199703608598</v>
      </c>
      <c r="L242" s="106">
        <v>0.104989535291695</v>
      </c>
      <c r="M242" s="106">
        <v>0.94524358457180602</v>
      </c>
      <c r="N242" s="106">
        <v>0.31725740855656898</v>
      </c>
      <c r="P242" s="106">
        <v>0.77189550785833927</v>
      </c>
      <c r="Q242" s="106">
        <v>0.74250568337846878</v>
      </c>
      <c r="R242" s="106">
        <v>0.7865904200982744</v>
      </c>
      <c r="S242" s="106">
        <v>0.72781077113853365</v>
      </c>
      <c r="AA242" s="106">
        <v>1188</v>
      </c>
      <c r="AB242" s="106">
        <v>1122.7536454336148</v>
      </c>
    </row>
    <row r="243" spans="1:28">
      <c r="A243" s="14">
        <v>43574</v>
      </c>
      <c r="B243" s="106">
        <v>1146</v>
      </c>
      <c r="C243" s="106">
        <v>1182</v>
      </c>
      <c r="D243" s="106">
        <v>1498</v>
      </c>
      <c r="E243" s="106">
        <v>1507</v>
      </c>
      <c r="F243" s="106">
        <v>0.78433974784339699</v>
      </c>
      <c r="G243" s="106">
        <v>0.75713718598820501</v>
      </c>
      <c r="H243" s="106">
        <v>1.45587943057658E-2</v>
      </c>
      <c r="I243" s="106">
        <v>1.86846254462287</v>
      </c>
      <c r="J243" s="106">
        <v>3.47</v>
      </c>
      <c r="K243" s="106">
        <v>0.91094720202947499</v>
      </c>
      <c r="L243" s="106">
        <v>0.15131673923907199</v>
      </c>
      <c r="M243" s="106">
        <v>0.94445494045838896</v>
      </c>
      <c r="N243" s="106">
        <v>0.26479837505620801</v>
      </c>
      <c r="P243" s="106">
        <v>0.7716959802939708</v>
      </c>
      <c r="Q243" s="106">
        <v>0.74257839168243922</v>
      </c>
      <c r="R243" s="106">
        <v>0.78625477459973658</v>
      </c>
      <c r="S243" s="106">
        <v>0.72801959737667343</v>
      </c>
      <c r="AA243" s="106">
        <v>1182</v>
      </c>
      <c r="AB243" s="106">
        <v>1126.4911742133538</v>
      </c>
    </row>
    <row r="244" spans="1:28">
      <c r="A244" s="14">
        <v>43573</v>
      </c>
      <c r="B244" s="106">
        <v>1142</v>
      </c>
      <c r="C244" s="106">
        <v>1133</v>
      </c>
      <c r="D244" s="106">
        <v>1506</v>
      </c>
      <c r="E244" s="106">
        <v>1471</v>
      </c>
      <c r="F244" s="106">
        <v>0.77022433718558803</v>
      </c>
      <c r="G244" s="106">
        <v>0.75721173009103304</v>
      </c>
      <c r="H244" s="106">
        <v>1.47113995831669E-2</v>
      </c>
      <c r="I244" s="106">
        <v>0.88452543355857505</v>
      </c>
      <c r="J244" s="106">
        <v>1.69</v>
      </c>
      <c r="K244" s="106">
        <v>0.90651036209656199</v>
      </c>
      <c r="L244" s="106">
        <v>0.19526311312644201</v>
      </c>
      <c r="M244" s="106">
        <v>0.94392507223877598</v>
      </c>
      <c r="N244" s="106">
        <v>0.234272823570328</v>
      </c>
      <c r="P244" s="106">
        <v>0.77192312967419996</v>
      </c>
      <c r="Q244" s="106">
        <v>0.74250033050786612</v>
      </c>
      <c r="R244" s="106">
        <v>0.78663452925736688</v>
      </c>
      <c r="S244" s="106">
        <v>0.72778893092469921</v>
      </c>
      <c r="AA244" s="106">
        <v>1133</v>
      </c>
      <c r="AB244" s="106">
        <v>1099.5809669992325</v>
      </c>
    </row>
    <row r="245" spans="1:28">
      <c r="A245" s="14">
        <v>43572</v>
      </c>
      <c r="B245" s="106">
        <v>1134</v>
      </c>
      <c r="C245" s="106">
        <v>1136</v>
      </c>
      <c r="D245" s="106">
        <v>1475</v>
      </c>
      <c r="E245" s="106">
        <v>1496</v>
      </c>
      <c r="F245" s="106">
        <v>0.75935828877005296</v>
      </c>
      <c r="G245" s="106">
        <v>0.75728006759988797</v>
      </c>
      <c r="H245" s="106">
        <v>1.47834149342869E-2</v>
      </c>
      <c r="I245" s="106">
        <v>0.14057788267483101</v>
      </c>
      <c r="J245" s="106">
        <v>0.27</v>
      </c>
      <c r="K245" s="106">
        <v>0.90037831795971501</v>
      </c>
      <c r="L245" s="106">
        <v>0.19296959119587401</v>
      </c>
      <c r="M245" s="106">
        <v>0.94349925834336501</v>
      </c>
      <c r="N245" s="106">
        <v>0.21871700553909701</v>
      </c>
      <c r="P245" s="106">
        <v>0.77206348253417489</v>
      </c>
      <c r="Q245" s="106">
        <v>0.74249665266560105</v>
      </c>
      <c r="R245" s="106">
        <v>0.78684689746846181</v>
      </c>
      <c r="S245" s="106">
        <v>0.72771323773131413</v>
      </c>
      <c r="AA245" s="106">
        <v>1136</v>
      </c>
      <c r="AB245" s="106">
        <v>1118.2686108979278</v>
      </c>
    </row>
    <row r="246" spans="1:28">
      <c r="A246" s="14">
        <v>43571</v>
      </c>
      <c r="B246" s="106">
        <v>1131</v>
      </c>
      <c r="C246" s="106">
        <v>1122</v>
      </c>
      <c r="D246" s="106">
        <v>1473</v>
      </c>
      <c r="E246" s="106">
        <v>1470</v>
      </c>
      <c r="F246" s="106">
        <v>0.76326530612244903</v>
      </c>
      <c r="G246" s="106">
        <v>0.75738151009467303</v>
      </c>
      <c r="H246" s="106">
        <v>1.48233768049359E-2</v>
      </c>
      <c r="I246" s="106">
        <v>0.39692683422956698</v>
      </c>
      <c r="J246" s="106">
        <v>0.77</v>
      </c>
      <c r="K246" s="106">
        <v>0.89452972418101495</v>
      </c>
      <c r="L246" s="106">
        <v>0.21639130997025099</v>
      </c>
      <c r="M246" s="106">
        <v>0.94286543902539</v>
      </c>
      <c r="N246" s="106">
        <v>0.22917733905302801</v>
      </c>
      <c r="P246" s="106">
        <v>0.77220488689960898</v>
      </c>
      <c r="Q246" s="106">
        <v>0.74255813328973708</v>
      </c>
      <c r="R246" s="106">
        <v>0.78702826370454482</v>
      </c>
      <c r="S246" s="106">
        <v>0.72773475648480124</v>
      </c>
      <c r="AA246" s="106">
        <v>1122</v>
      </c>
      <c r="AB246" s="106">
        <v>1098.8334612432848</v>
      </c>
    </row>
    <row r="247" spans="1:28">
      <c r="A247" s="14">
        <v>43570</v>
      </c>
      <c r="B247" s="106">
        <v>1132</v>
      </c>
      <c r="C247" s="106">
        <v>1139</v>
      </c>
      <c r="D247" s="106">
        <v>1469</v>
      </c>
      <c r="E247" s="106">
        <v>1490</v>
      </c>
      <c r="F247" s="106">
        <v>0.76442953020134197</v>
      </c>
      <c r="G247" s="106">
        <v>0.75730018074764804</v>
      </c>
      <c r="H247" s="106">
        <v>1.4807596684204101E-2</v>
      </c>
      <c r="I247" s="106">
        <v>0.48146566966529197</v>
      </c>
      <c r="J247" s="106">
        <v>0.93</v>
      </c>
      <c r="K247" s="106">
        <v>0.88503915517491705</v>
      </c>
      <c r="L247" s="106">
        <v>0.19769767450987999</v>
      </c>
      <c r="M247" s="106">
        <v>0.94277099378957496</v>
      </c>
      <c r="N247" s="106">
        <v>0.176374952080775</v>
      </c>
      <c r="P247" s="106">
        <v>0.7721077774318521</v>
      </c>
      <c r="Q247" s="106">
        <v>0.74249258406344398</v>
      </c>
      <c r="R247" s="106">
        <v>0.78691537411605628</v>
      </c>
      <c r="S247" s="106">
        <v>0.72768498737923981</v>
      </c>
      <c r="AA247" s="106">
        <v>1139</v>
      </c>
      <c r="AB247" s="106">
        <v>1113.7835763622411</v>
      </c>
    </row>
    <row r="248" spans="1:28">
      <c r="A248" s="14">
        <v>43567</v>
      </c>
      <c r="B248" s="106">
        <v>1119</v>
      </c>
      <c r="C248" s="106">
        <v>1115</v>
      </c>
      <c r="D248" s="106">
        <v>1436</v>
      </c>
      <c r="E248" s="106">
        <v>1440</v>
      </c>
      <c r="F248" s="106">
        <v>0.77430555555555503</v>
      </c>
      <c r="G248" s="106">
        <v>0.757174762797308</v>
      </c>
      <c r="H248" s="106">
        <v>1.4786501201378499E-2</v>
      </c>
      <c r="I248" s="106">
        <v>1.15854268193278</v>
      </c>
      <c r="J248" s="106">
        <v>2.21</v>
      </c>
      <c r="K248" s="106">
        <v>0.88007397877485305</v>
      </c>
      <c r="L248" s="106">
        <v>0.22259660028567901</v>
      </c>
      <c r="M248" s="106">
        <v>0.94246345874943704</v>
      </c>
      <c r="N248" s="106">
        <v>0.19834644247701499</v>
      </c>
      <c r="P248" s="106">
        <v>0.77196126399868648</v>
      </c>
      <c r="Q248" s="106">
        <v>0.74238826159592952</v>
      </c>
      <c r="R248" s="106">
        <v>0.78674776520006495</v>
      </c>
      <c r="S248" s="106">
        <v>0.72760176039455104</v>
      </c>
      <c r="AA248" s="106">
        <v>1115</v>
      </c>
      <c r="AB248" s="106">
        <v>1076.4082885648504</v>
      </c>
    </row>
    <row r="249" spans="1:28">
      <c r="A249" s="14">
        <v>43566</v>
      </c>
      <c r="B249" s="106">
        <v>1116</v>
      </c>
      <c r="C249" s="106">
        <v>1119</v>
      </c>
      <c r="D249" s="106">
        <v>1450</v>
      </c>
      <c r="E249" s="106">
        <v>1442</v>
      </c>
      <c r="F249" s="106">
        <v>0.77600554785020803</v>
      </c>
      <c r="G249" s="106">
        <v>0.75681743213587105</v>
      </c>
      <c r="H249" s="106">
        <v>1.46917190172727E-2</v>
      </c>
      <c r="I249" s="106">
        <v>1.3060497339880599</v>
      </c>
      <c r="J249" s="106">
        <v>2.4700000000000002</v>
      </c>
      <c r="K249" s="106">
        <v>0.87615936931336402</v>
      </c>
      <c r="L249" s="106">
        <v>0.27077712818148603</v>
      </c>
      <c r="M249" s="106">
        <v>0.94181718651897195</v>
      </c>
      <c r="N249" s="106">
        <v>0.22154892881412899</v>
      </c>
      <c r="P249" s="106">
        <v>0.77150915115314378</v>
      </c>
      <c r="Q249" s="106">
        <v>0.74212571311859832</v>
      </c>
      <c r="R249" s="106">
        <v>0.7862008701704164</v>
      </c>
      <c r="S249" s="106">
        <v>0.7274339941013257</v>
      </c>
      <c r="AA249" s="106">
        <v>1119</v>
      </c>
      <c r="AB249" s="106">
        <v>1077.9033000767461</v>
      </c>
    </row>
    <row r="250" spans="1:28">
      <c r="A250" s="14">
        <v>43565</v>
      </c>
      <c r="B250" s="106">
        <v>1105</v>
      </c>
      <c r="C250" s="106">
        <v>1113</v>
      </c>
      <c r="D250" s="106">
        <v>1428</v>
      </c>
      <c r="E250" s="106">
        <v>1443</v>
      </c>
      <c r="F250" s="106">
        <v>0.77130977130977096</v>
      </c>
      <c r="G250" s="106">
        <v>0.75659830762854696</v>
      </c>
      <c r="H250" s="106">
        <v>1.45255149842019E-2</v>
      </c>
      <c r="I250" s="106">
        <v>1.0128015218203199</v>
      </c>
      <c r="J250" s="106">
        <v>1.91</v>
      </c>
      <c r="K250" s="106">
        <v>0.87244853864181304</v>
      </c>
      <c r="L250" s="106">
        <v>0.22275201108857701</v>
      </c>
      <c r="M250" s="106">
        <v>0.94168978085567001</v>
      </c>
      <c r="N250" s="106">
        <v>0.17285416900210299</v>
      </c>
      <c r="P250" s="106">
        <v>0.77112382261274881</v>
      </c>
      <c r="Q250" s="106">
        <v>0.74207279264434511</v>
      </c>
      <c r="R250" s="106">
        <v>0.78564933759695077</v>
      </c>
      <c r="S250" s="106">
        <v>0.72754727766014315</v>
      </c>
      <c r="AA250" s="106">
        <v>1113</v>
      </c>
      <c r="AB250" s="106">
        <v>1078.6508058326938</v>
      </c>
    </row>
    <row r="251" spans="1:28">
      <c r="A251" s="14">
        <v>43564</v>
      </c>
      <c r="B251" s="106">
        <v>1121</v>
      </c>
      <c r="C251" s="106">
        <v>1132</v>
      </c>
      <c r="D251" s="106">
        <v>1446</v>
      </c>
      <c r="E251" s="106">
        <v>1455</v>
      </c>
      <c r="F251" s="106">
        <v>0.77800687285223302</v>
      </c>
      <c r="G251" s="106">
        <v>0.75640481178550401</v>
      </c>
      <c r="H251" s="106">
        <v>1.44245616528138E-2</v>
      </c>
      <c r="I251" s="106">
        <v>1.49758873695234</v>
      </c>
      <c r="J251" s="106">
        <v>2.78</v>
      </c>
      <c r="K251" s="106">
        <v>0.86930006259876602</v>
      </c>
      <c r="L251" s="106">
        <v>0.265978900176571</v>
      </c>
      <c r="M251" s="106">
        <v>0.94125546121714998</v>
      </c>
      <c r="N251" s="106">
        <v>0.213300296137372</v>
      </c>
      <c r="P251" s="106">
        <v>0.77082937343831781</v>
      </c>
      <c r="Q251" s="106">
        <v>0.7419802501326902</v>
      </c>
      <c r="R251" s="106">
        <v>0.78525393509113162</v>
      </c>
      <c r="S251" s="106">
        <v>0.72755568847987639</v>
      </c>
      <c r="AA251" s="106">
        <v>1132</v>
      </c>
      <c r="AB251" s="106">
        <v>1087.6208749040675</v>
      </c>
    </row>
    <row r="252" spans="1:28">
      <c r="A252" s="14">
        <v>43563</v>
      </c>
      <c r="B252" s="106">
        <v>1145</v>
      </c>
      <c r="C252" s="106">
        <v>1120</v>
      </c>
      <c r="D252" s="106">
        <v>1466</v>
      </c>
      <c r="E252" s="106">
        <v>1447</v>
      </c>
      <c r="F252" s="106">
        <v>0.77401520387007605</v>
      </c>
      <c r="G252" s="106">
        <v>0.75602166864115805</v>
      </c>
      <c r="H252" s="106">
        <v>1.42259522417062E-2</v>
      </c>
      <c r="I252" s="106">
        <v>1.2648387203329701</v>
      </c>
      <c r="J252" s="106">
        <v>2.3199999999999998</v>
      </c>
      <c r="K252" s="106">
        <v>0.86943040458901399</v>
      </c>
      <c r="L252" s="106">
        <v>9.58875193497086E-2</v>
      </c>
      <c r="M252" s="106">
        <v>0.94045713901253203</v>
      </c>
      <c r="N252" s="106">
        <v>0.24649794823257101</v>
      </c>
      <c r="P252" s="106">
        <v>0.77024762088286425</v>
      </c>
      <c r="Q252" s="106">
        <v>0.74179571639945185</v>
      </c>
      <c r="R252" s="106">
        <v>0.78447357312457044</v>
      </c>
      <c r="S252" s="106">
        <v>0.72756976415774566</v>
      </c>
      <c r="AA252" s="106">
        <v>1120</v>
      </c>
      <c r="AB252" s="106">
        <v>1081.6408288564851</v>
      </c>
    </row>
    <row r="253" spans="1:28">
      <c r="A253" s="14">
        <v>43560</v>
      </c>
      <c r="B253" s="106">
        <v>1117</v>
      </c>
      <c r="C253" s="106">
        <v>1146</v>
      </c>
      <c r="D253" s="106">
        <v>1435</v>
      </c>
      <c r="E253" s="106">
        <v>1462</v>
      </c>
      <c r="F253" s="106">
        <v>0.78385772913816598</v>
      </c>
      <c r="G253" s="106">
        <v>0.75563474983690104</v>
      </c>
      <c r="H253" s="106">
        <v>1.4125576053157601E-2</v>
      </c>
      <c r="I253" s="106">
        <v>1.9980055464680799</v>
      </c>
      <c r="J253" s="106">
        <v>3.6</v>
      </c>
      <c r="K253" s="106">
        <v>0.87738177019778896</v>
      </c>
      <c r="L253" s="106">
        <v>0.32239403499996799</v>
      </c>
      <c r="M253" s="106">
        <v>0.93915614099886002</v>
      </c>
      <c r="N253" s="106">
        <v>0.360295254474994</v>
      </c>
      <c r="P253" s="106">
        <v>0.76976032589005861</v>
      </c>
      <c r="Q253" s="106">
        <v>0.74150917378374348</v>
      </c>
      <c r="R253" s="106">
        <v>0.78388590194321628</v>
      </c>
      <c r="S253" s="106">
        <v>0.72738359773058581</v>
      </c>
      <c r="AA253" s="106">
        <v>1146</v>
      </c>
      <c r="AB253" s="106">
        <v>1092.8534151957022</v>
      </c>
    </row>
    <row r="254" spans="1:28">
      <c r="A254" s="14">
        <v>43559</v>
      </c>
      <c r="B254" s="106">
        <v>1119</v>
      </c>
      <c r="C254" s="106">
        <v>1116</v>
      </c>
      <c r="D254" s="106">
        <v>1462</v>
      </c>
      <c r="E254" s="106">
        <v>1455</v>
      </c>
      <c r="F254" s="106">
        <v>0.76701030927835001</v>
      </c>
      <c r="G254" s="106">
        <v>0.75513493045883195</v>
      </c>
      <c r="H254" s="106">
        <v>1.37770008093781E-2</v>
      </c>
      <c r="I254" s="106">
        <v>0.86197126528687196</v>
      </c>
      <c r="J254" s="106">
        <v>1.55</v>
      </c>
      <c r="K254" s="106">
        <v>0.86956312702097305</v>
      </c>
      <c r="L254" s="106">
        <v>0.42408458169543101</v>
      </c>
      <c r="M254" s="106">
        <v>0.93718943074746797</v>
      </c>
      <c r="N254" s="106">
        <v>0.50301760315616595</v>
      </c>
      <c r="P254" s="106">
        <v>0.76891193126821</v>
      </c>
      <c r="Q254" s="106">
        <v>0.74135792964945391</v>
      </c>
      <c r="R254" s="106">
        <v>0.78268893207758816</v>
      </c>
      <c r="S254" s="106">
        <v>0.72758092884007575</v>
      </c>
      <c r="AA254" s="106">
        <v>1116</v>
      </c>
      <c r="AB254" s="106">
        <v>1087.6208749040675</v>
      </c>
    </row>
    <row r="255" spans="1:28">
      <c r="A255" s="14">
        <v>43558</v>
      </c>
      <c r="B255" s="106">
        <v>1095</v>
      </c>
      <c r="C255" s="106">
        <v>1111</v>
      </c>
      <c r="D255" s="106">
        <v>1451</v>
      </c>
      <c r="E255" s="106">
        <v>1464</v>
      </c>
      <c r="F255" s="106">
        <v>0.75887978142076495</v>
      </c>
      <c r="G255" s="106">
        <v>0.75482442372556902</v>
      </c>
      <c r="H255" s="106">
        <v>1.3768284172630801E-2</v>
      </c>
      <c r="I255" s="106">
        <v>0.29454343361514301</v>
      </c>
      <c r="J255" s="106">
        <v>0.53</v>
      </c>
      <c r="K255" s="106">
        <v>0.877925736332547</v>
      </c>
      <c r="L255" s="106">
        <v>0.50086887691653303</v>
      </c>
      <c r="M255" s="106">
        <v>0.93491096801192497</v>
      </c>
      <c r="N255" s="106">
        <v>0.57235909986716405</v>
      </c>
      <c r="P255" s="106">
        <v>0.76859270789819978</v>
      </c>
      <c r="Q255" s="106">
        <v>0.74105613955293825</v>
      </c>
      <c r="R255" s="106">
        <v>0.78236099207083065</v>
      </c>
      <c r="S255" s="106">
        <v>0.72728785538030738</v>
      </c>
      <c r="AA255" s="106">
        <v>1111</v>
      </c>
      <c r="AB255" s="106">
        <v>1094.3484267075978</v>
      </c>
    </row>
    <row r="256" spans="1:28">
      <c r="A256" s="14">
        <v>43557</v>
      </c>
      <c r="B256" s="106">
        <v>1085</v>
      </c>
      <c r="C256" s="106">
        <v>1091</v>
      </c>
      <c r="D256" s="106">
        <v>1433</v>
      </c>
      <c r="E256" s="106">
        <v>1450</v>
      </c>
      <c r="F256" s="106">
        <v>0.75241379310344803</v>
      </c>
      <c r="G256" s="106">
        <v>0.754706026639959</v>
      </c>
      <c r="H256" s="106">
        <v>1.37710815248866E-2</v>
      </c>
      <c r="I256" s="106">
        <v>-0.16645268800191301</v>
      </c>
      <c r="J256" s="106">
        <v>-0.3</v>
      </c>
      <c r="K256" s="106">
        <v>0.87042686307093997</v>
      </c>
      <c r="L256" s="106">
        <v>0.48450573210972803</v>
      </c>
      <c r="M256" s="106">
        <v>0.93225135496979805</v>
      </c>
      <c r="N256" s="106">
        <v>0.68684725706267402</v>
      </c>
      <c r="P256" s="106">
        <v>0.7684771081648456</v>
      </c>
      <c r="Q256" s="106">
        <v>0.74093494511507241</v>
      </c>
      <c r="R256" s="106">
        <v>0.7822481896897322</v>
      </c>
      <c r="S256" s="106">
        <v>0.72716386359018581</v>
      </c>
      <c r="AA256" s="106">
        <v>1091</v>
      </c>
      <c r="AB256" s="106">
        <v>1083.8833461243285</v>
      </c>
    </row>
    <row r="257" spans="1:28">
      <c r="A257" s="14">
        <v>43556</v>
      </c>
      <c r="B257" s="106">
        <v>1060</v>
      </c>
      <c r="C257" s="106">
        <v>1067</v>
      </c>
      <c r="D257" s="106">
        <v>1394</v>
      </c>
      <c r="E257" s="106">
        <v>1405</v>
      </c>
      <c r="F257" s="106">
        <v>0.75943060498220605</v>
      </c>
      <c r="G257" s="106">
        <v>0.75457666100207799</v>
      </c>
      <c r="H257" s="106">
        <v>1.38374196844598E-2</v>
      </c>
      <c r="I257" s="106">
        <v>0.35078389546710798</v>
      </c>
      <c r="J257" s="106">
        <v>0.64</v>
      </c>
      <c r="K257" s="106">
        <v>0.86834214650055097</v>
      </c>
      <c r="L257" s="106">
        <v>0.50859062038138103</v>
      </c>
      <c r="M257" s="106">
        <v>0.92974684838236199</v>
      </c>
      <c r="N257" s="106">
        <v>0.68478290631425998</v>
      </c>
      <c r="P257" s="106">
        <v>0.76841408068653783</v>
      </c>
      <c r="Q257" s="106">
        <v>0.74073924131761815</v>
      </c>
      <c r="R257" s="106">
        <v>0.78225150037099755</v>
      </c>
      <c r="S257" s="106">
        <v>0.72690182163315842</v>
      </c>
      <c r="AA257" s="106">
        <v>1067</v>
      </c>
      <c r="AB257" s="106">
        <v>1050.245587106677</v>
      </c>
    </row>
    <row r="258" spans="1:28">
      <c r="A258" s="14">
        <v>43553</v>
      </c>
      <c r="B258" s="106">
        <v>1036</v>
      </c>
      <c r="C258" s="106">
        <v>1037</v>
      </c>
      <c r="D258" s="106">
        <v>1366</v>
      </c>
      <c r="E258" s="106">
        <v>1362</v>
      </c>
      <c r="F258" s="106">
        <v>0.76138032305433101</v>
      </c>
      <c r="G258" s="106">
        <v>0.754443678472699</v>
      </c>
      <c r="H258" s="106">
        <v>1.38380578897067E-2</v>
      </c>
      <c r="I258" s="106">
        <v>0.50127298475838</v>
      </c>
      <c r="J258" s="106">
        <v>0.91</v>
      </c>
      <c r="K258" s="106">
        <v>0.869106570268107</v>
      </c>
      <c r="L258" s="106">
        <v>0.53785277855176405</v>
      </c>
      <c r="M258" s="106">
        <v>0.92726054899686605</v>
      </c>
      <c r="N258" s="106">
        <v>0.68795490271135196</v>
      </c>
      <c r="P258" s="106">
        <v>0.76828173636240571</v>
      </c>
      <c r="Q258" s="106">
        <v>0.74060562058299229</v>
      </c>
      <c r="R258" s="106">
        <v>0.78211979425211242</v>
      </c>
      <c r="S258" s="106">
        <v>0.72676756269328557</v>
      </c>
      <c r="AA258" s="106">
        <v>1037</v>
      </c>
      <c r="AB258" s="106">
        <v>1018.102839600921</v>
      </c>
    </row>
    <row r="259" spans="1:28">
      <c r="A259" s="14">
        <v>43552</v>
      </c>
      <c r="B259" s="106">
        <v>1016</v>
      </c>
      <c r="C259" s="106">
        <v>1021</v>
      </c>
      <c r="D259" s="106">
        <v>1345</v>
      </c>
      <c r="E259" s="106">
        <v>1344</v>
      </c>
      <c r="F259" s="106">
        <v>0.75967261904761896</v>
      </c>
      <c r="G259" s="106">
        <v>0.75424007850288399</v>
      </c>
      <c r="H259" s="106">
        <v>1.38468322382569E-2</v>
      </c>
      <c r="I259" s="106">
        <v>0.39233092820499299</v>
      </c>
      <c r="J259" s="106">
        <v>0.72</v>
      </c>
      <c r="K259" s="106">
        <v>0.86954738300130796</v>
      </c>
      <c r="L259" s="106">
        <v>0.570492929447032</v>
      </c>
      <c r="M259" s="106">
        <v>0.92389449823909797</v>
      </c>
      <c r="N259" s="106">
        <v>0.77921113972656697</v>
      </c>
      <c r="P259" s="106">
        <v>0.76808691074114088</v>
      </c>
      <c r="Q259" s="106">
        <v>0.7403932462646271</v>
      </c>
      <c r="R259" s="106">
        <v>0.78193374297939777</v>
      </c>
      <c r="S259" s="106">
        <v>0.72654641402637021</v>
      </c>
      <c r="AA259" s="106">
        <v>1021</v>
      </c>
      <c r="AB259" s="106">
        <v>1004.6477359938604</v>
      </c>
    </row>
    <row r="260" spans="1:28">
      <c r="A260" s="14">
        <v>43551</v>
      </c>
      <c r="B260" s="106">
        <v>1013</v>
      </c>
      <c r="C260" s="106">
        <v>1016</v>
      </c>
      <c r="D260" s="106">
        <v>1355</v>
      </c>
      <c r="E260" s="106">
        <v>1356</v>
      </c>
      <c r="F260" s="106">
        <v>0.74926253687315603</v>
      </c>
      <c r="G260" s="106">
        <v>0.75414101593099603</v>
      </c>
      <c r="H260" s="106">
        <v>1.38341834327499E-2</v>
      </c>
      <c r="I260" s="106">
        <v>-0.35263946596883899</v>
      </c>
      <c r="J260" s="106">
        <v>-0.65</v>
      </c>
      <c r="K260" s="106">
        <v>0.87916804248493696</v>
      </c>
      <c r="L260" s="106">
        <v>0.57726927815012596</v>
      </c>
      <c r="M260" s="106">
        <v>0.919798424235579</v>
      </c>
      <c r="N260" s="106">
        <v>0.86101205106245005</v>
      </c>
      <c r="P260" s="106">
        <v>0.76797519936374592</v>
      </c>
      <c r="Q260" s="106">
        <v>0.74030683249824614</v>
      </c>
      <c r="R260" s="106">
        <v>0.78180938279649581</v>
      </c>
      <c r="S260" s="106">
        <v>0.72647264906549625</v>
      </c>
      <c r="AA260" s="106">
        <v>1016</v>
      </c>
      <c r="AB260" s="106">
        <v>1013.6178050652342</v>
      </c>
    </row>
    <row r="261" spans="1:28">
      <c r="A261" s="14">
        <v>43550</v>
      </c>
      <c r="B261" s="106">
        <v>1024</v>
      </c>
      <c r="C261" s="106">
        <v>1032</v>
      </c>
      <c r="D261" s="106">
        <v>1380</v>
      </c>
      <c r="E261" s="106">
        <v>1386</v>
      </c>
      <c r="F261" s="106">
        <v>0.74458874458874402</v>
      </c>
      <c r="G261" s="106">
        <v>0.75400311100722095</v>
      </c>
      <c r="H261" s="106">
        <v>1.3933322599017599E-2</v>
      </c>
      <c r="I261" s="106">
        <v>-0.67567275153310302</v>
      </c>
      <c r="J261" s="106">
        <v>-1.26</v>
      </c>
      <c r="K261" s="106">
        <v>0.88649187902126503</v>
      </c>
      <c r="L261" s="106">
        <v>0.60921868304756099</v>
      </c>
      <c r="M261" s="106">
        <v>0.91688067520547401</v>
      </c>
      <c r="N261" s="106">
        <v>0.79513386303000499</v>
      </c>
      <c r="P261" s="106">
        <v>0.76793643360623853</v>
      </c>
      <c r="Q261" s="106">
        <v>0.74006978840820337</v>
      </c>
      <c r="R261" s="106">
        <v>0.78186975620525612</v>
      </c>
      <c r="S261" s="106">
        <v>0.72613646580918578</v>
      </c>
      <c r="AA261" s="106">
        <v>1032</v>
      </c>
      <c r="AB261" s="106">
        <v>1036.0429777436684</v>
      </c>
    </row>
    <row r="262" spans="1:28">
      <c r="A262" s="14">
        <v>43549</v>
      </c>
      <c r="B262" s="106">
        <v>1013</v>
      </c>
      <c r="C262" s="106">
        <v>1010</v>
      </c>
      <c r="D262" s="106">
        <v>1372</v>
      </c>
      <c r="E262" s="106">
        <v>1355</v>
      </c>
      <c r="F262" s="106">
        <v>0.74538745387453798</v>
      </c>
      <c r="G262" s="106">
        <v>0.75388866812843802</v>
      </c>
      <c r="H262" s="106">
        <v>1.4044980733461099E-2</v>
      </c>
      <c r="I262" s="106">
        <v>-0.60528486405438597</v>
      </c>
      <c r="J262" s="106">
        <v>-1.1399999999999999</v>
      </c>
      <c r="K262" s="106">
        <v>0.90211575616303596</v>
      </c>
      <c r="L262" s="106">
        <v>0.54844631391659104</v>
      </c>
      <c r="M262" s="106">
        <v>0.91376585589876502</v>
      </c>
      <c r="N262" s="106">
        <v>0.73603776951423705</v>
      </c>
      <c r="P262" s="106">
        <v>0.76793364886189908</v>
      </c>
      <c r="Q262" s="106">
        <v>0.73984368739497697</v>
      </c>
      <c r="R262" s="106">
        <v>0.78197862959536024</v>
      </c>
      <c r="S262" s="106">
        <v>0.7257987066615158</v>
      </c>
      <c r="AA262" s="106">
        <v>1010</v>
      </c>
      <c r="AB262" s="106">
        <v>1012.8702993092863</v>
      </c>
    </row>
    <row r="263" spans="1:28">
      <c r="A263" s="14">
        <v>43546</v>
      </c>
      <c r="B263" s="106">
        <v>1030</v>
      </c>
      <c r="C263" s="106">
        <v>1039</v>
      </c>
      <c r="D263" s="106">
        <v>1400</v>
      </c>
      <c r="E263" s="106">
        <v>1410</v>
      </c>
      <c r="F263" s="106">
        <v>0.73687943262411304</v>
      </c>
      <c r="G263" s="106">
        <v>0.75391302853917297</v>
      </c>
      <c r="H263" s="106">
        <v>1.40317928809036E-2</v>
      </c>
      <c r="I263" s="106">
        <v>-1.2139286874909201</v>
      </c>
      <c r="J263" s="106">
        <v>-2.31</v>
      </c>
      <c r="K263" s="106">
        <v>0.91855052205978205</v>
      </c>
      <c r="L263" s="106">
        <v>0.38226137413659</v>
      </c>
      <c r="M263" s="106">
        <v>0.91099883858881603</v>
      </c>
      <c r="N263" s="106">
        <v>0.73902095393582801</v>
      </c>
      <c r="P263" s="106">
        <v>0.76794482142007658</v>
      </c>
      <c r="Q263" s="106">
        <v>0.73988123565826935</v>
      </c>
      <c r="R263" s="106">
        <v>0.7819766143009802</v>
      </c>
      <c r="S263" s="106">
        <v>0.72584944277736574</v>
      </c>
      <c r="AA263" s="106">
        <v>1039</v>
      </c>
      <c r="AB263" s="106">
        <v>1053.983115886416</v>
      </c>
    </row>
    <row r="264" spans="1:28">
      <c r="A264" s="14">
        <v>43544</v>
      </c>
      <c r="B264" s="106">
        <v>1003</v>
      </c>
      <c r="C264" s="106">
        <v>1007</v>
      </c>
      <c r="D264" s="106">
        <v>1355</v>
      </c>
      <c r="E264" s="106">
        <v>1375</v>
      </c>
      <c r="F264" s="106">
        <v>0.73236363636363599</v>
      </c>
      <c r="G264" s="106">
        <v>0.75410664357383905</v>
      </c>
      <c r="H264" s="106">
        <v>1.3894938386600299E-2</v>
      </c>
      <c r="I264" s="106">
        <v>-1.56481494233694</v>
      </c>
      <c r="J264" s="106">
        <v>-2.97</v>
      </c>
      <c r="K264" s="106">
        <v>0.92636494497668198</v>
      </c>
      <c r="L264" s="106">
        <v>0.459616966520629</v>
      </c>
      <c r="M264" s="106">
        <v>0.90790329309347395</v>
      </c>
      <c r="N264" s="106">
        <v>0.84689300883062302</v>
      </c>
      <c r="P264" s="106">
        <v>0.76800158196043933</v>
      </c>
      <c r="Q264" s="106">
        <v>0.74021170518723878</v>
      </c>
      <c r="R264" s="106">
        <v>0.7818965203470396</v>
      </c>
      <c r="S264" s="106">
        <v>0.7263167668006385</v>
      </c>
      <c r="AA264" s="106">
        <v>1007</v>
      </c>
      <c r="AB264" s="106">
        <v>1027.8204144282427</v>
      </c>
    </row>
    <row r="265" spans="1:28">
      <c r="A265" s="14">
        <v>43543</v>
      </c>
      <c r="B265" s="106">
        <v>1001</v>
      </c>
      <c r="C265" s="106">
        <v>1006</v>
      </c>
      <c r="D265" s="106">
        <v>1341</v>
      </c>
      <c r="E265" s="106">
        <v>1357</v>
      </c>
      <c r="F265" s="106">
        <v>0.74134119380987396</v>
      </c>
      <c r="G265" s="106">
        <v>0.75435362380912296</v>
      </c>
      <c r="H265" s="106">
        <v>1.3669055205253E-2</v>
      </c>
      <c r="I265" s="106">
        <v>-0.95196264876070902</v>
      </c>
      <c r="J265" s="106">
        <v>-1.76</v>
      </c>
      <c r="K265" s="106">
        <v>0.92978184978036504</v>
      </c>
      <c r="L265" s="106">
        <v>0.42966521021575799</v>
      </c>
      <c r="M265" s="106">
        <v>0.90488243196360096</v>
      </c>
      <c r="N265" s="106">
        <v>0.83503892361828702</v>
      </c>
      <c r="P265" s="106">
        <v>0.76802267901437593</v>
      </c>
      <c r="Q265" s="106">
        <v>0.74068456860387</v>
      </c>
      <c r="R265" s="106">
        <v>0.78169173421962901</v>
      </c>
      <c r="S265" s="106">
        <v>0.72701551339861692</v>
      </c>
      <c r="AA265" s="106">
        <v>1006</v>
      </c>
      <c r="AB265" s="106">
        <v>1014.3653108211819</v>
      </c>
    </row>
    <row r="266" spans="1:28">
      <c r="A266" s="14">
        <v>43542</v>
      </c>
      <c r="B266" s="106">
        <v>991</v>
      </c>
      <c r="C266" s="106">
        <v>989</v>
      </c>
      <c r="D266" s="106">
        <v>1328</v>
      </c>
      <c r="E266" s="106">
        <v>1335</v>
      </c>
      <c r="F266" s="106">
        <v>0.74082397003745304</v>
      </c>
      <c r="G266" s="106">
        <v>0.75460705567669795</v>
      </c>
      <c r="H266" s="106">
        <v>1.3601484918296399E-2</v>
      </c>
      <c r="I266" s="106">
        <v>-1.0133515363976799</v>
      </c>
      <c r="J266" s="106">
        <v>-1.86</v>
      </c>
      <c r="K266" s="106">
        <v>0.93198972919276701</v>
      </c>
      <c r="L266" s="106">
        <v>0.35752482359903498</v>
      </c>
      <c r="M266" s="106">
        <v>0.90119549437338398</v>
      </c>
      <c r="N266" s="106">
        <v>0.87169225142784801</v>
      </c>
      <c r="P266" s="106">
        <v>0.76820854059499433</v>
      </c>
      <c r="Q266" s="106">
        <v>0.74100557075840157</v>
      </c>
      <c r="R266" s="106">
        <v>0.78181002551329071</v>
      </c>
      <c r="S266" s="106">
        <v>0.72740408584010519</v>
      </c>
      <c r="AA266" s="106">
        <v>989</v>
      </c>
      <c r="AB266" s="106">
        <v>997.92018419033002</v>
      </c>
    </row>
    <row r="267" spans="1:28">
      <c r="A267" s="14">
        <v>43539</v>
      </c>
      <c r="B267" s="106">
        <v>965</v>
      </c>
      <c r="C267" s="106">
        <v>976</v>
      </c>
      <c r="D267" s="106">
        <v>1315</v>
      </c>
      <c r="E267" s="106">
        <v>1320</v>
      </c>
      <c r="F267" s="106">
        <v>0.73939393939393905</v>
      </c>
      <c r="G267" s="106">
        <v>0.75485500660759997</v>
      </c>
      <c r="H267" s="106">
        <v>1.35172049366257E-2</v>
      </c>
      <c r="I267" s="106">
        <v>-1.14380652554643</v>
      </c>
      <c r="J267" s="106">
        <v>-2.09</v>
      </c>
      <c r="K267" s="106">
        <v>0.93393910886536502</v>
      </c>
      <c r="L267" s="106">
        <v>0.31637467809550102</v>
      </c>
      <c r="M267" s="106">
        <v>0.89648924287318998</v>
      </c>
      <c r="N267" s="106">
        <v>0.93724558366567101</v>
      </c>
      <c r="P267" s="106">
        <v>0.76837221154422564</v>
      </c>
      <c r="Q267" s="106">
        <v>0.74133780167097429</v>
      </c>
      <c r="R267" s="106">
        <v>0.78188941648085142</v>
      </c>
      <c r="S267" s="106">
        <v>0.72782059673434851</v>
      </c>
      <c r="AA267" s="106">
        <v>976</v>
      </c>
      <c r="AB267" s="106">
        <v>986.70759785111284</v>
      </c>
    </row>
    <row r="268" spans="1:28">
      <c r="A268" s="14">
        <v>43538</v>
      </c>
      <c r="B268" s="106">
        <v>979</v>
      </c>
      <c r="C268" s="106">
        <v>966</v>
      </c>
      <c r="D268" s="106">
        <v>1324</v>
      </c>
      <c r="E268" s="106">
        <v>1299</v>
      </c>
      <c r="F268" s="106">
        <v>0.74364896073902997</v>
      </c>
      <c r="G268" s="106">
        <v>0.75521767044510002</v>
      </c>
      <c r="H268" s="106">
        <v>1.3462293405355E-2</v>
      </c>
      <c r="I268" s="106">
        <v>-0.85934167067464295</v>
      </c>
      <c r="J268" s="106">
        <v>-1.56</v>
      </c>
      <c r="K268" s="106">
        <v>0.934981734385399</v>
      </c>
      <c r="L268" s="106">
        <v>0.28781266719887</v>
      </c>
      <c r="M268" s="106">
        <v>0.89168070409716504</v>
      </c>
      <c r="N268" s="106">
        <v>0.94353321312196303</v>
      </c>
      <c r="P268" s="106">
        <v>0.76867996385045501</v>
      </c>
      <c r="Q268" s="106">
        <v>0.74175537703974503</v>
      </c>
      <c r="R268" s="106">
        <v>0.78214225725580999</v>
      </c>
      <c r="S268" s="106">
        <v>0.72829308363439005</v>
      </c>
      <c r="AA268" s="106">
        <v>966</v>
      </c>
      <c r="AB268" s="106">
        <v>971.0099769762088</v>
      </c>
    </row>
    <row r="269" spans="1:28">
      <c r="A269" s="14">
        <v>43537</v>
      </c>
      <c r="B269" s="106">
        <v>978</v>
      </c>
      <c r="C269" s="106">
        <v>969</v>
      </c>
      <c r="D269" s="106">
        <v>1316</v>
      </c>
      <c r="E269" s="106">
        <v>1306</v>
      </c>
      <c r="F269" s="106">
        <v>0.74196018376722805</v>
      </c>
      <c r="G269" s="106">
        <v>0.75560849840918698</v>
      </c>
      <c r="H269" s="106">
        <v>1.35459895919312E-2</v>
      </c>
      <c r="I269" s="106">
        <v>-1.0075538999445599</v>
      </c>
      <c r="J269" s="106">
        <v>-1.84</v>
      </c>
      <c r="K269" s="106">
        <v>0.93663179913657102</v>
      </c>
      <c r="L269" s="106">
        <v>0.247554561528123</v>
      </c>
      <c r="M269" s="106">
        <v>0.88780416556198904</v>
      </c>
      <c r="N269" s="106">
        <v>0.93387169470251996</v>
      </c>
      <c r="P269" s="106">
        <v>0.76915448800111819</v>
      </c>
      <c r="Q269" s="106">
        <v>0.74206250881725577</v>
      </c>
      <c r="R269" s="106">
        <v>0.78270047759304939</v>
      </c>
      <c r="S269" s="106">
        <v>0.72851651922532457</v>
      </c>
      <c r="AA269" s="106">
        <v>969</v>
      </c>
      <c r="AB269" s="106">
        <v>976.24251726784348</v>
      </c>
    </row>
    <row r="270" spans="1:28">
      <c r="A270" s="14">
        <v>43536</v>
      </c>
      <c r="B270" s="106">
        <v>976</v>
      </c>
      <c r="C270" s="106">
        <v>985</v>
      </c>
      <c r="D270" s="106">
        <v>1320</v>
      </c>
      <c r="E270" s="106">
        <v>1334</v>
      </c>
      <c r="F270" s="106">
        <v>0.73838080959520203</v>
      </c>
      <c r="G270" s="106">
        <v>0.75609926438261399</v>
      </c>
      <c r="H270" s="106">
        <v>1.37084123439881E-2</v>
      </c>
      <c r="I270" s="106">
        <v>-1.2925242065090601</v>
      </c>
      <c r="J270" s="106">
        <v>-2.4</v>
      </c>
      <c r="K270" s="106">
        <v>0.93920159141786796</v>
      </c>
      <c r="L270" s="106">
        <v>0.19685594251028399</v>
      </c>
      <c r="M270" s="106">
        <v>0.88493432136712202</v>
      </c>
      <c r="N270" s="106">
        <v>0.92168765554520904</v>
      </c>
      <c r="P270" s="106">
        <v>0.76980767672660211</v>
      </c>
      <c r="Q270" s="106">
        <v>0.74239085203862587</v>
      </c>
      <c r="R270" s="106">
        <v>0.78351608907059023</v>
      </c>
      <c r="S270" s="106">
        <v>0.72868243969463775</v>
      </c>
      <c r="AA270" s="106">
        <v>985</v>
      </c>
      <c r="AB270" s="106">
        <v>997.17267843438219</v>
      </c>
    </row>
    <row r="271" spans="1:28">
      <c r="A271" s="14">
        <v>43535</v>
      </c>
      <c r="B271" s="106">
        <v>972</v>
      </c>
      <c r="C271" s="106">
        <v>965</v>
      </c>
      <c r="D271" s="106">
        <v>1310</v>
      </c>
      <c r="E271" s="106">
        <v>1305</v>
      </c>
      <c r="F271" s="106">
        <v>0.73946360153256696</v>
      </c>
      <c r="G271" s="106">
        <v>0.75674938278239501</v>
      </c>
      <c r="H271" s="106">
        <v>1.4005669321495801E-2</v>
      </c>
      <c r="I271" s="106">
        <v>-1.2341988699745901</v>
      </c>
      <c r="J271" s="106">
        <v>-2.34</v>
      </c>
      <c r="K271" s="106">
        <v>0.94062484412633096</v>
      </c>
      <c r="L271" s="106">
        <v>0.201965932632825</v>
      </c>
      <c r="M271" s="106">
        <v>0.88142997026096104</v>
      </c>
      <c r="N271" s="106">
        <v>0.93507699044963</v>
      </c>
      <c r="P271" s="106">
        <v>0.77075505210389084</v>
      </c>
      <c r="Q271" s="106">
        <v>0.74274371346089918</v>
      </c>
      <c r="R271" s="106">
        <v>0.78476072142538666</v>
      </c>
      <c r="S271" s="106">
        <v>0.72873804413940335</v>
      </c>
      <c r="AA271" s="106">
        <v>965</v>
      </c>
      <c r="AB271" s="106">
        <v>975.49501151189565</v>
      </c>
    </row>
    <row r="272" spans="1:28">
      <c r="A272" s="14">
        <v>43532</v>
      </c>
      <c r="B272" s="106">
        <v>982</v>
      </c>
      <c r="C272" s="106">
        <v>959</v>
      </c>
      <c r="D272" s="106">
        <v>1321</v>
      </c>
      <c r="E272" s="106">
        <v>1294</v>
      </c>
      <c r="F272" s="106">
        <v>0.74111282843894899</v>
      </c>
      <c r="G272" s="106">
        <v>0.75729613339142698</v>
      </c>
      <c r="H272" s="106">
        <v>1.41201285829313E-2</v>
      </c>
      <c r="I272" s="106">
        <v>-1.14611597602878</v>
      </c>
      <c r="J272" s="106">
        <v>-2.1800000000000002</v>
      </c>
      <c r="K272" s="106">
        <v>0.940464226768847</v>
      </c>
      <c r="L272" s="106">
        <v>0.23923961389252299</v>
      </c>
      <c r="M272" s="106">
        <v>0.87681848863727596</v>
      </c>
      <c r="N272" s="106">
        <v>0.94210624685983502</v>
      </c>
      <c r="P272" s="106">
        <v>0.77141626197435831</v>
      </c>
      <c r="Q272" s="106">
        <v>0.74317600480849566</v>
      </c>
      <c r="R272" s="106">
        <v>0.78553639055728963</v>
      </c>
      <c r="S272" s="106">
        <v>0.72905587622556434</v>
      </c>
      <c r="AA272" s="106">
        <v>959</v>
      </c>
      <c r="AB272" s="106">
        <v>967.27244819646967</v>
      </c>
    </row>
    <row r="273" spans="1:28">
      <c r="A273" s="14">
        <v>43531</v>
      </c>
      <c r="B273" s="106">
        <v>999</v>
      </c>
      <c r="C273" s="106">
        <v>991</v>
      </c>
      <c r="D273" s="106">
        <v>1369</v>
      </c>
      <c r="E273" s="106">
        <v>1340</v>
      </c>
      <c r="F273" s="106">
        <v>0.73955223880596999</v>
      </c>
      <c r="G273" s="106">
        <v>0.75806718633146497</v>
      </c>
      <c r="H273" s="106">
        <v>1.4778915270123399E-2</v>
      </c>
      <c r="I273" s="106">
        <v>-1.2527947543568501</v>
      </c>
      <c r="J273" s="106">
        <v>-2.5</v>
      </c>
      <c r="K273" s="106">
        <v>0.94292832613731803</v>
      </c>
      <c r="L273" s="106">
        <v>0.34176083486305697</v>
      </c>
      <c r="M273" s="106">
        <v>0.87321160859574598</v>
      </c>
      <c r="N273" s="106">
        <v>0.91337504007864001</v>
      </c>
      <c r="P273" s="106">
        <v>0.7728461016015884</v>
      </c>
      <c r="Q273" s="106">
        <v>0.74328827106134154</v>
      </c>
      <c r="R273" s="106">
        <v>0.78762501687171182</v>
      </c>
      <c r="S273" s="106">
        <v>0.72850935579121812</v>
      </c>
      <c r="AA273" s="106">
        <v>991</v>
      </c>
      <c r="AB273" s="106">
        <v>1001.6577129700692</v>
      </c>
    </row>
    <row r="274" spans="1:28">
      <c r="A274" s="14">
        <v>43530</v>
      </c>
      <c r="B274" s="106">
        <v>1021</v>
      </c>
      <c r="C274" s="106">
        <v>1018</v>
      </c>
      <c r="D274" s="106">
        <v>1368</v>
      </c>
      <c r="E274" s="106">
        <v>1366</v>
      </c>
      <c r="F274" s="106">
        <v>0.74524158125914997</v>
      </c>
      <c r="G274" s="106">
        <v>0.75876447137640002</v>
      </c>
      <c r="H274" s="106">
        <v>1.51187043305572E-2</v>
      </c>
      <c r="I274" s="106">
        <v>-0.89444768689059295</v>
      </c>
      <c r="J274" s="106">
        <v>-1.81</v>
      </c>
      <c r="K274" s="106">
        <v>0.94354572152528904</v>
      </c>
      <c r="L274" s="106">
        <v>0.24263829722047101</v>
      </c>
      <c r="M274" s="106">
        <v>0.86839255036934504</v>
      </c>
      <c r="N274" s="106">
        <v>0.95270094010678197</v>
      </c>
      <c r="P274" s="106">
        <v>0.77388317570695719</v>
      </c>
      <c r="Q274" s="106">
        <v>0.74364576704584284</v>
      </c>
      <c r="R274" s="106">
        <v>0.78900188003751437</v>
      </c>
      <c r="S274" s="106">
        <v>0.72852706271528567</v>
      </c>
      <c r="AA274" s="106">
        <v>1018</v>
      </c>
      <c r="AB274" s="106">
        <v>1021.0928626247122</v>
      </c>
    </row>
    <row r="275" spans="1:28">
      <c r="A275" s="14">
        <v>43529</v>
      </c>
      <c r="B275" s="106">
        <v>1019</v>
      </c>
      <c r="C275" s="106">
        <v>1021</v>
      </c>
      <c r="D275" s="106">
        <v>1378</v>
      </c>
      <c r="E275" s="106">
        <v>1378</v>
      </c>
      <c r="F275" s="106">
        <v>0.74092888243831601</v>
      </c>
      <c r="G275" s="106">
        <v>0.75936649046761695</v>
      </c>
      <c r="H275" s="106">
        <v>1.5463270726946201E-2</v>
      </c>
      <c r="I275" s="106">
        <v>-1.1923485241173399</v>
      </c>
      <c r="J275" s="106">
        <v>-2.4900000000000002</v>
      </c>
      <c r="K275" s="106">
        <v>0.94379564915749903</v>
      </c>
      <c r="L275" s="106">
        <v>0.27330592756148903</v>
      </c>
      <c r="M275" s="106">
        <v>0.86388878683473302</v>
      </c>
      <c r="N275" s="106">
        <v>0.95871518391052701</v>
      </c>
      <c r="P275" s="106">
        <v>0.77482976119456315</v>
      </c>
      <c r="Q275" s="106">
        <v>0.74390321974067075</v>
      </c>
      <c r="R275" s="106">
        <v>0.79029303192150935</v>
      </c>
      <c r="S275" s="106">
        <v>0.72843994901372455</v>
      </c>
      <c r="AA275" s="106">
        <v>1021</v>
      </c>
      <c r="AB275" s="106">
        <v>1030.062931696086</v>
      </c>
    </row>
    <row r="276" spans="1:28">
      <c r="A276" s="14">
        <v>43528</v>
      </c>
      <c r="B276" s="106">
        <v>1026</v>
      </c>
      <c r="C276" s="106">
        <v>1033</v>
      </c>
      <c r="D276" s="106">
        <v>1407</v>
      </c>
      <c r="E276" s="106">
        <v>1397</v>
      </c>
      <c r="F276" s="106">
        <v>0.73944166070150297</v>
      </c>
      <c r="G276" s="106">
        <v>0.76015410536843997</v>
      </c>
      <c r="H276" s="106">
        <v>1.5999194576723198E-2</v>
      </c>
      <c r="I276" s="106">
        <v>-1.2945929601400501</v>
      </c>
      <c r="J276" s="106">
        <v>-2.8</v>
      </c>
      <c r="K276" s="106">
        <v>0.94508856942723596</v>
      </c>
      <c r="L276" s="106">
        <v>0.14381043577525199</v>
      </c>
      <c r="M276" s="106">
        <v>0.85928347821698803</v>
      </c>
      <c r="N276" s="106">
        <v>0.95876271222873199</v>
      </c>
      <c r="P276" s="106">
        <v>0.77615329994516313</v>
      </c>
      <c r="Q276" s="106">
        <v>0.74415491079171681</v>
      </c>
      <c r="R276" s="106">
        <v>0.79215249452188641</v>
      </c>
      <c r="S276" s="106">
        <v>0.72815571621499353</v>
      </c>
      <c r="AA276" s="106">
        <v>1033</v>
      </c>
      <c r="AB276" s="106">
        <v>1044.2655410590944</v>
      </c>
    </row>
    <row r="277" spans="1:28">
      <c r="A277" s="14">
        <v>43525</v>
      </c>
      <c r="B277" s="106">
        <v>1012</v>
      </c>
      <c r="C277" s="106">
        <v>1014</v>
      </c>
      <c r="D277" s="106">
        <v>1373</v>
      </c>
      <c r="E277" s="106">
        <v>1379</v>
      </c>
      <c r="F277" s="106">
        <v>0.73531544597534404</v>
      </c>
      <c r="G277" s="106">
        <v>0.76097520509846694</v>
      </c>
      <c r="H277" s="106">
        <v>1.64879172240632E-2</v>
      </c>
      <c r="I277" s="106">
        <v>-1.5562765614612499</v>
      </c>
      <c r="J277" s="106">
        <v>-3.49</v>
      </c>
      <c r="K277" s="106">
        <v>0.95086450965717395</v>
      </c>
      <c r="L277" s="106">
        <v>0.163473287884704</v>
      </c>
      <c r="M277" s="106">
        <v>0.85503614948148798</v>
      </c>
      <c r="N277" s="106">
        <v>0.96000849063319404</v>
      </c>
      <c r="P277" s="106">
        <v>0.77746312232253012</v>
      </c>
      <c r="Q277" s="106">
        <v>0.74448728787440377</v>
      </c>
      <c r="R277" s="106">
        <v>0.7939510395465933</v>
      </c>
      <c r="S277" s="106">
        <v>0.72799937065034059</v>
      </c>
      <c r="AA277" s="106">
        <v>1014</v>
      </c>
      <c r="AB277" s="106">
        <v>1030.8104374520337</v>
      </c>
    </row>
    <row r="278" spans="1:28">
      <c r="A278" s="14">
        <v>43524</v>
      </c>
      <c r="B278" s="106">
        <v>1028</v>
      </c>
      <c r="C278" s="106">
        <v>1023</v>
      </c>
      <c r="D278" s="106">
        <v>1391</v>
      </c>
      <c r="E278" s="106">
        <v>1380</v>
      </c>
      <c r="F278" s="106">
        <v>0.74130434782608701</v>
      </c>
      <c r="G278" s="106">
        <v>0.76178756947968196</v>
      </c>
      <c r="H278" s="106">
        <v>1.6703188959158299E-2</v>
      </c>
      <c r="I278" s="106">
        <v>-1.2263060487239701</v>
      </c>
      <c r="J278" s="106">
        <v>-2.76</v>
      </c>
      <c r="K278" s="106">
        <v>0.95225206645982796</v>
      </c>
      <c r="L278" s="106">
        <v>0.176536887853258</v>
      </c>
      <c r="M278" s="106">
        <v>0.85306241393256499</v>
      </c>
      <c r="N278" s="106">
        <v>0.91832685909670497</v>
      </c>
      <c r="P278" s="106">
        <v>0.7784907584388403</v>
      </c>
      <c r="Q278" s="106">
        <v>0.74508438052052361</v>
      </c>
      <c r="R278" s="106">
        <v>0.79519394739799854</v>
      </c>
      <c r="S278" s="106">
        <v>0.72838119156136538</v>
      </c>
      <c r="AA278" s="106">
        <v>1023</v>
      </c>
      <c r="AB278" s="106">
        <v>1031.5579432079817</v>
      </c>
    </row>
    <row r="279" spans="1:28">
      <c r="A279" s="14">
        <v>43523</v>
      </c>
      <c r="B279" s="106">
        <v>1043</v>
      </c>
      <c r="C279" s="106">
        <v>1032</v>
      </c>
      <c r="D279" s="106">
        <v>1400</v>
      </c>
      <c r="E279" s="106">
        <v>1389</v>
      </c>
      <c r="F279" s="106">
        <v>0.74298056155507497</v>
      </c>
      <c r="G279" s="106">
        <v>0.76273256506699505</v>
      </c>
      <c r="H279" s="106">
        <v>1.7503332428287902E-2</v>
      </c>
      <c r="I279" s="106">
        <v>-1.1284710264656399</v>
      </c>
      <c r="J279" s="106">
        <v>-2.66</v>
      </c>
      <c r="K279" s="106">
        <v>0.95408908722833696</v>
      </c>
      <c r="L279" s="106">
        <v>0.13734971336726101</v>
      </c>
      <c r="M279" s="106">
        <v>0.85122273352189504</v>
      </c>
      <c r="N279" s="106">
        <v>0.93637036997171197</v>
      </c>
      <c r="P279" s="106">
        <v>0.78023589749528299</v>
      </c>
      <c r="Q279" s="106">
        <v>0.74522923263870711</v>
      </c>
      <c r="R279" s="106">
        <v>0.79773922992357083</v>
      </c>
      <c r="S279" s="106">
        <v>0.72772590021041927</v>
      </c>
      <c r="AA279" s="106">
        <v>1032</v>
      </c>
      <c r="AB279" s="106">
        <v>1038.285495011512</v>
      </c>
    </row>
    <row r="280" spans="1:28">
      <c r="A280" s="14">
        <v>43522</v>
      </c>
      <c r="B280" s="106">
        <v>1048</v>
      </c>
      <c r="C280" s="106">
        <v>1046</v>
      </c>
      <c r="D280" s="106">
        <v>1394</v>
      </c>
      <c r="E280" s="106">
        <v>1404</v>
      </c>
      <c r="F280" s="106">
        <v>0.74501424501424496</v>
      </c>
      <c r="G280" s="106">
        <v>0.76367620533508596</v>
      </c>
      <c r="H280" s="106">
        <v>1.83025377756241E-2</v>
      </c>
      <c r="I280" s="106">
        <v>-1.01963785293728</v>
      </c>
      <c r="J280" s="106">
        <v>-2.5</v>
      </c>
      <c r="K280" s="106">
        <v>0.95516384290723599</v>
      </c>
      <c r="L280" s="106">
        <v>0.15717932035795401</v>
      </c>
      <c r="M280" s="106">
        <v>0.85136121128757603</v>
      </c>
      <c r="N280" s="106">
        <v>0.90299687407411</v>
      </c>
      <c r="P280" s="106">
        <v>0.78197874311071003</v>
      </c>
      <c r="Q280" s="106">
        <v>0.74537366755946188</v>
      </c>
      <c r="R280" s="106">
        <v>0.80028128088633421</v>
      </c>
      <c r="S280" s="106">
        <v>0.7270711297838377</v>
      </c>
      <c r="AA280" s="106">
        <v>1046</v>
      </c>
      <c r="AB280" s="106">
        <v>1049.4980813507291</v>
      </c>
    </row>
    <row r="281" spans="1:28">
      <c r="A281" s="14">
        <v>43521</v>
      </c>
      <c r="B281" s="106">
        <v>1053</v>
      </c>
      <c r="C281" s="106">
        <v>1054</v>
      </c>
      <c r="D281" s="106">
        <v>1409</v>
      </c>
      <c r="E281" s="106">
        <v>1397</v>
      </c>
      <c r="F281" s="106">
        <v>0.75447387258410803</v>
      </c>
      <c r="G281" s="106">
        <v>0.76469506302060997</v>
      </c>
      <c r="H281" s="106">
        <v>1.9333193693658601E-2</v>
      </c>
      <c r="I281" s="106">
        <v>-0.52868608252003702</v>
      </c>
      <c r="J281" s="106">
        <v>-1.35</v>
      </c>
      <c r="K281" s="106">
        <v>0.95530465728795799</v>
      </c>
      <c r="L281" s="106">
        <v>0.15367263709215501</v>
      </c>
      <c r="M281" s="106">
        <v>0.85035197240827498</v>
      </c>
      <c r="N281" s="106">
        <v>0.91875913602215498</v>
      </c>
      <c r="P281" s="106">
        <v>0.78402825671426857</v>
      </c>
      <c r="Q281" s="106">
        <v>0.74536186932695137</v>
      </c>
      <c r="R281" s="106">
        <v>0.80336145040792717</v>
      </c>
      <c r="S281" s="106">
        <v>0.72602867563329276</v>
      </c>
      <c r="AA281" s="106">
        <v>1054</v>
      </c>
      <c r="AB281" s="106">
        <v>1044.2655410590944</v>
      </c>
    </row>
    <row r="282" spans="1:28">
      <c r="A282" s="14">
        <v>43518</v>
      </c>
      <c r="B282" s="106">
        <v>1047</v>
      </c>
      <c r="C282" s="106">
        <v>1051</v>
      </c>
      <c r="D282" s="106">
        <v>1392</v>
      </c>
      <c r="E282" s="106">
        <v>1391</v>
      </c>
      <c r="F282" s="106">
        <v>0.75557153127246501</v>
      </c>
      <c r="G282" s="106">
        <v>0.76521501867264696</v>
      </c>
      <c r="H282" s="106">
        <v>1.9574203280001101E-2</v>
      </c>
      <c r="I282" s="106">
        <v>-0.49266308632004202</v>
      </c>
      <c r="J282" s="106">
        <v>-1.28</v>
      </c>
      <c r="K282" s="106">
        <v>0.955031994953492</v>
      </c>
      <c r="L282" s="106">
        <v>0.1655320014694</v>
      </c>
      <c r="M282" s="106">
        <v>0.84896798304799204</v>
      </c>
      <c r="N282" s="106">
        <v>0.92521981059910197</v>
      </c>
      <c r="P282" s="106">
        <v>0.78478922195264811</v>
      </c>
      <c r="Q282" s="106">
        <v>0.74564081539264582</v>
      </c>
      <c r="R282" s="106">
        <v>0.80436342523264914</v>
      </c>
      <c r="S282" s="106">
        <v>0.72606661211264478</v>
      </c>
      <c r="AA282" s="106">
        <v>1051</v>
      </c>
      <c r="AB282" s="106">
        <v>1039.7805065234077</v>
      </c>
    </row>
    <row r="283" spans="1:28">
      <c r="A283" s="14">
        <v>43517</v>
      </c>
      <c r="B283" s="106">
        <v>1052</v>
      </c>
      <c r="C283" s="106">
        <v>1059</v>
      </c>
      <c r="D283" s="106">
        <v>1428</v>
      </c>
      <c r="E283" s="106">
        <v>1412</v>
      </c>
      <c r="F283" s="106">
        <v>0.75</v>
      </c>
      <c r="G283" s="106">
        <v>0.76525062169890401</v>
      </c>
      <c r="H283" s="106">
        <v>1.9559053145844999E-2</v>
      </c>
      <c r="I283" s="106">
        <v>-0.77972188046046298</v>
      </c>
      <c r="J283" s="106">
        <v>-2.0299999999999998</v>
      </c>
      <c r="K283" s="106">
        <v>0.95446166105835095</v>
      </c>
      <c r="L283" s="106">
        <v>0.12536549600741601</v>
      </c>
      <c r="M283" s="106">
        <v>0.84661437679777496</v>
      </c>
      <c r="N283" s="106">
        <v>0.94401508528211697</v>
      </c>
      <c r="P283" s="106">
        <v>0.78480967484474906</v>
      </c>
      <c r="Q283" s="106">
        <v>0.74569156855305896</v>
      </c>
      <c r="R283" s="106">
        <v>0.804368727990594</v>
      </c>
      <c r="S283" s="106">
        <v>0.72613251540721402</v>
      </c>
      <c r="AA283" s="106">
        <v>1059</v>
      </c>
      <c r="AB283" s="106">
        <v>1055.4781273983117</v>
      </c>
    </row>
    <row r="284" spans="1:28">
      <c r="A284" s="14">
        <v>43516</v>
      </c>
      <c r="B284" s="106">
        <v>1045</v>
      </c>
      <c r="C284" s="106">
        <v>1055</v>
      </c>
      <c r="D284" s="106">
        <v>1423</v>
      </c>
      <c r="E284" s="106">
        <v>1439</v>
      </c>
      <c r="F284" s="106">
        <v>0.73314801945795605</v>
      </c>
      <c r="G284" s="106">
        <v>0.76542387187215399</v>
      </c>
      <c r="H284" s="106">
        <v>1.9480589578508199E-2</v>
      </c>
      <c r="I284" s="106">
        <v>-1.65682112875093</v>
      </c>
      <c r="J284" s="106">
        <v>-4.4000000000000004</v>
      </c>
      <c r="K284" s="106">
        <v>0.956162285826758</v>
      </c>
      <c r="L284" s="106">
        <v>0.13145026938525201</v>
      </c>
      <c r="M284" s="106">
        <v>0.84703900794799403</v>
      </c>
      <c r="N284" s="106">
        <v>0.85173866502252105</v>
      </c>
      <c r="P284" s="106">
        <v>0.78490446145066217</v>
      </c>
      <c r="Q284" s="106">
        <v>0.74594328229364582</v>
      </c>
      <c r="R284" s="106">
        <v>0.80438505102917035</v>
      </c>
      <c r="S284" s="106">
        <v>0.72646269271513764</v>
      </c>
      <c r="AA284" s="106">
        <v>1055</v>
      </c>
      <c r="AB284" s="106">
        <v>1075.6607828089025</v>
      </c>
    </row>
    <row r="285" spans="1:28">
      <c r="A285" s="14">
        <v>43515</v>
      </c>
      <c r="B285" s="106">
        <v>1040</v>
      </c>
      <c r="C285" s="106">
        <v>1047</v>
      </c>
      <c r="D285" s="106">
        <v>1407</v>
      </c>
      <c r="E285" s="106">
        <v>1417</v>
      </c>
      <c r="F285" s="106">
        <v>0.73888496824276595</v>
      </c>
      <c r="G285" s="106">
        <v>0.765918583568022</v>
      </c>
      <c r="H285" s="106">
        <v>1.9122489951613801E-2</v>
      </c>
      <c r="I285" s="106">
        <v>-1.4137079111381301</v>
      </c>
      <c r="J285" s="106">
        <v>-3.66</v>
      </c>
      <c r="K285" s="106">
        <v>0.95665106216608398</v>
      </c>
      <c r="L285" s="106">
        <v>0.19777845526971699</v>
      </c>
      <c r="M285" s="106">
        <v>0.84712205199022494</v>
      </c>
      <c r="N285" s="106">
        <v>0.83857013618086995</v>
      </c>
      <c r="P285" s="106">
        <v>0.78504107351963581</v>
      </c>
      <c r="Q285" s="106">
        <v>0.7467960936164082</v>
      </c>
      <c r="R285" s="106">
        <v>0.80416356347124962</v>
      </c>
      <c r="S285" s="106">
        <v>0.72767360366479439</v>
      </c>
      <c r="AA285" s="106">
        <v>1047</v>
      </c>
      <c r="AB285" s="106">
        <v>1059.2156561780507</v>
      </c>
    </row>
    <row r="286" spans="1:28">
      <c r="A286" s="14">
        <v>43514</v>
      </c>
      <c r="B286" s="106">
        <v>1071</v>
      </c>
      <c r="C286" s="106">
        <v>1055</v>
      </c>
      <c r="D286" s="106">
        <v>1425</v>
      </c>
      <c r="E286" s="106">
        <v>1413</v>
      </c>
      <c r="F286" s="106">
        <v>0.74663835810332602</v>
      </c>
      <c r="G286" s="106">
        <v>0.76635885631412204</v>
      </c>
      <c r="H286" s="106">
        <v>1.8873512141834501E-2</v>
      </c>
      <c r="I286" s="106">
        <v>-1.04487697163075</v>
      </c>
      <c r="J286" s="106">
        <v>-2.64</v>
      </c>
      <c r="K286" s="106">
        <v>0.95493997815933696</v>
      </c>
      <c r="L286" s="106">
        <v>0.28004148361473702</v>
      </c>
      <c r="M286" s="106">
        <v>0.847670246438608</v>
      </c>
      <c r="N286" s="106">
        <v>0.83117634694836795</v>
      </c>
      <c r="P286" s="106">
        <v>0.78523236845595656</v>
      </c>
      <c r="Q286" s="106">
        <v>0.74748534417228751</v>
      </c>
      <c r="R286" s="106">
        <v>0.80410588059779109</v>
      </c>
      <c r="S286" s="106">
        <v>0.72861183203045299</v>
      </c>
      <c r="AA286" s="106">
        <v>1055</v>
      </c>
      <c r="AB286" s="106">
        <v>1056.2256331542594</v>
      </c>
    </row>
    <row r="287" spans="1:28">
      <c r="A287" s="14">
        <v>43511</v>
      </c>
      <c r="B287" s="106">
        <v>1051</v>
      </c>
      <c r="C287" s="106">
        <v>1043</v>
      </c>
      <c r="D287" s="106">
        <v>1365</v>
      </c>
      <c r="E287" s="106">
        <v>1378</v>
      </c>
      <c r="F287" s="106">
        <v>0.75689404934687898</v>
      </c>
      <c r="G287" s="106">
        <v>0.76670670850910805</v>
      </c>
      <c r="H287" s="106">
        <v>1.8746837292126801E-2</v>
      </c>
      <c r="I287" s="106">
        <v>-0.52343011300098596</v>
      </c>
      <c r="J287" s="106">
        <v>-1.3</v>
      </c>
      <c r="K287" s="106">
        <v>0.95209361721049901</v>
      </c>
      <c r="L287" s="106">
        <v>0.35459945405408699</v>
      </c>
      <c r="M287" s="106">
        <v>0.84696564860252699</v>
      </c>
      <c r="N287" s="106">
        <v>0.83189806974191705</v>
      </c>
      <c r="P287" s="106">
        <v>0.78545354580123483</v>
      </c>
      <c r="Q287" s="106">
        <v>0.74795987121698126</v>
      </c>
      <c r="R287" s="106">
        <v>0.80420038309336161</v>
      </c>
      <c r="S287" s="106">
        <v>0.72921303392485448</v>
      </c>
      <c r="AA287" s="106">
        <v>1043</v>
      </c>
      <c r="AB287" s="106">
        <v>1030.062931696086</v>
      </c>
    </row>
    <row r="288" spans="1:28">
      <c r="A288" s="14">
        <v>43510</v>
      </c>
      <c r="B288" s="106">
        <v>1061</v>
      </c>
      <c r="C288" s="106">
        <v>1061</v>
      </c>
      <c r="D288" s="106">
        <v>1388</v>
      </c>
      <c r="E288" s="106">
        <v>1392</v>
      </c>
      <c r="F288" s="106">
        <v>0.76221264367816</v>
      </c>
      <c r="G288" s="106">
        <v>0.767011026937785</v>
      </c>
      <c r="H288" s="106">
        <v>1.8770313813814901E-2</v>
      </c>
      <c r="I288" s="106">
        <v>-0.25563681605008898</v>
      </c>
      <c r="J288" s="106">
        <v>-0.63</v>
      </c>
      <c r="K288" s="106">
        <v>0.94644301955196997</v>
      </c>
      <c r="L288" s="106">
        <v>0.54417715548268997</v>
      </c>
      <c r="M288" s="106">
        <v>0.84630417148298998</v>
      </c>
      <c r="N288" s="106">
        <v>0.828141458549006</v>
      </c>
      <c r="P288" s="106">
        <v>0.78578134075159989</v>
      </c>
      <c r="Q288" s="106">
        <v>0.74824071312397011</v>
      </c>
      <c r="R288" s="106">
        <v>0.80455165456541478</v>
      </c>
      <c r="S288" s="106">
        <v>0.72947039931015523</v>
      </c>
      <c r="AA288" s="106">
        <v>1061</v>
      </c>
      <c r="AB288" s="106">
        <v>1040.5280122793554</v>
      </c>
    </row>
    <row r="289" spans="1:28">
      <c r="A289" s="14">
        <v>43509</v>
      </c>
      <c r="B289" s="106">
        <v>1044</v>
      </c>
      <c r="C289" s="106">
        <v>1060</v>
      </c>
      <c r="D289" s="106">
        <v>1371</v>
      </c>
      <c r="E289" s="106">
        <v>1381</v>
      </c>
      <c r="F289" s="106">
        <v>0.76755973931933297</v>
      </c>
      <c r="G289" s="106">
        <v>0.76716150761563595</v>
      </c>
      <c r="H289" s="106">
        <v>1.87764810570079E-2</v>
      </c>
      <c r="I289" s="106">
        <v>2.1209070138774901E-2</v>
      </c>
      <c r="J289" s="106">
        <v>0.05</v>
      </c>
      <c r="K289" s="106">
        <v>0.94366916880146001</v>
      </c>
      <c r="L289" s="106">
        <v>0.53070107323339899</v>
      </c>
      <c r="M289" s="106">
        <v>0.84552850239335797</v>
      </c>
      <c r="N289" s="106">
        <v>0.80343485317074903</v>
      </c>
      <c r="P289" s="106">
        <v>0.78593798867264386</v>
      </c>
      <c r="Q289" s="106">
        <v>0.74838502655862804</v>
      </c>
      <c r="R289" s="106">
        <v>0.80471446972965177</v>
      </c>
      <c r="S289" s="106">
        <v>0.72960854550162013</v>
      </c>
      <c r="AA289" s="106">
        <v>1060</v>
      </c>
      <c r="AB289" s="106">
        <v>1032.3054489639294</v>
      </c>
    </row>
    <row r="290" spans="1:28">
      <c r="A290" s="14">
        <v>43508</v>
      </c>
      <c r="B290" s="106">
        <v>1014</v>
      </c>
      <c r="C290" s="106">
        <v>1030</v>
      </c>
      <c r="D290" s="106">
        <v>1300</v>
      </c>
      <c r="E290" s="106">
        <v>1352</v>
      </c>
      <c r="F290" s="106">
        <v>0.76183431952662695</v>
      </c>
      <c r="G290" s="106">
        <v>0.76722803135281603</v>
      </c>
      <c r="H290" s="106">
        <v>1.87866097199464E-2</v>
      </c>
      <c r="I290" s="106">
        <v>-0.28710405478124101</v>
      </c>
      <c r="J290" s="106">
        <v>-0.71</v>
      </c>
      <c r="K290" s="106">
        <v>0.93451339347870099</v>
      </c>
      <c r="L290" s="106">
        <v>0.77975617829337296</v>
      </c>
      <c r="M290" s="106">
        <v>0.84461850041044595</v>
      </c>
      <c r="N290" s="106">
        <v>0.82025972559188498</v>
      </c>
      <c r="P290" s="106">
        <v>0.78601464107276242</v>
      </c>
      <c r="Q290" s="106">
        <v>0.74844142163286964</v>
      </c>
      <c r="R290" s="106">
        <v>0.80480125079270881</v>
      </c>
      <c r="S290" s="106">
        <v>0.72965481191292325</v>
      </c>
      <c r="AA290" s="106">
        <v>1030</v>
      </c>
      <c r="AB290" s="106">
        <v>1010.6277820414429</v>
      </c>
    </row>
    <row r="291" spans="1:28">
      <c r="A291" s="14">
        <v>43504</v>
      </c>
      <c r="B291" s="106">
        <v>1049</v>
      </c>
      <c r="C291" s="106">
        <v>1019</v>
      </c>
      <c r="D291" s="106">
        <v>1339</v>
      </c>
      <c r="E291" s="106">
        <v>1299</v>
      </c>
      <c r="F291" s="106">
        <v>0.78444957659738201</v>
      </c>
      <c r="G291" s="106">
        <v>0.76757922894647901</v>
      </c>
      <c r="H291" s="106">
        <v>1.8928162325641699E-2</v>
      </c>
      <c r="I291" s="106">
        <v>0.89128291276587801</v>
      </c>
      <c r="J291" s="106">
        <v>2.15</v>
      </c>
      <c r="K291" s="106">
        <v>0.92473494411718204</v>
      </c>
      <c r="L291" s="106">
        <v>0.70138401394009098</v>
      </c>
      <c r="M291" s="106">
        <v>0.84443743800266202</v>
      </c>
      <c r="N291" s="106">
        <v>0.80353816148131596</v>
      </c>
      <c r="P291" s="106">
        <v>0.78650739127212066</v>
      </c>
      <c r="Q291" s="106">
        <v>0.74865106662083736</v>
      </c>
      <c r="R291" s="106">
        <v>0.80543555359776242</v>
      </c>
      <c r="S291" s="106">
        <v>0.7297229042951956</v>
      </c>
      <c r="AA291" s="106">
        <v>1019</v>
      </c>
      <c r="AB291" s="106">
        <v>971.0099769762088</v>
      </c>
    </row>
    <row r="292" spans="1:28">
      <c r="A292" s="14">
        <v>43503</v>
      </c>
      <c r="B292" s="106">
        <v>1075</v>
      </c>
      <c r="C292" s="106">
        <v>1067</v>
      </c>
      <c r="D292" s="106">
        <v>1376</v>
      </c>
      <c r="E292" s="106">
        <v>1364</v>
      </c>
      <c r="F292" s="106">
        <v>0.782258064516129</v>
      </c>
      <c r="G292" s="106">
        <v>0.76742978400558204</v>
      </c>
      <c r="H292" s="106">
        <v>1.8838408990603898E-2</v>
      </c>
      <c r="I292" s="106">
        <v>0.78713019331633205</v>
      </c>
      <c r="J292" s="106">
        <v>1.9</v>
      </c>
      <c r="K292" s="106">
        <v>0.91808812821513397</v>
      </c>
      <c r="L292" s="106">
        <v>0.95322515370274297</v>
      </c>
      <c r="M292" s="106">
        <v>0.84614715117151196</v>
      </c>
      <c r="N292" s="106">
        <v>0.79792979092665195</v>
      </c>
      <c r="P292" s="106">
        <v>0.78626819299618589</v>
      </c>
      <c r="Q292" s="106">
        <v>0.74859137501497819</v>
      </c>
      <c r="R292" s="106">
        <v>0.80510660198678985</v>
      </c>
      <c r="S292" s="106">
        <v>0.72975296602437423</v>
      </c>
      <c r="AA292" s="106">
        <v>1067</v>
      </c>
      <c r="AB292" s="106">
        <v>1019.5978511128167</v>
      </c>
    </row>
    <row r="293" spans="1:28">
      <c r="A293" s="14">
        <v>43502</v>
      </c>
      <c r="B293" s="106">
        <v>1076</v>
      </c>
      <c r="C293" s="106">
        <v>1078</v>
      </c>
      <c r="D293" s="106">
        <v>1408</v>
      </c>
      <c r="E293" s="106">
        <v>1387</v>
      </c>
      <c r="F293" s="106">
        <v>0.77721701514059105</v>
      </c>
      <c r="G293" s="106">
        <v>0.76722049666797498</v>
      </c>
      <c r="H293" s="106">
        <v>1.8759536205223599E-2</v>
      </c>
      <c r="I293" s="106">
        <v>0.53287663209029401</v>
      </c>
      <c r="J293" s="106">
        <v>1.29</v>
      </c>
      <c r="K293" s="106">
        <v>0.90979661052449201</v>
      </c>
      <c r="L293" s="106">
        <v>0.94790414490074104</v>
      </c>
      <c r="M293" s="106">
        <v>0.84704847244368997</v>
      </c>
      <c r="N293" s="106">
        <v>0.80408166571113004</v>
      </c>
      <c r="P293" s="106">
        <v>0.78598003287319862</v>
      </c>
      <c r="Q293" s="106">
        <v>0.74846096046275135</v>
      </c>
      <c r="R293" s="106">
        <v>0.80473956907842215</v>
      </c>
      <c r="S293" s="106">
        <v>0.72970142425752782</v>
      </c>
      <c r="AA293" s="106">
        <v>1078</v>
      </c>
      <c r="AB293" s="106">
        <v>1036.7904834996164</v>
      </c>
    </row>
    <row r="294" spans="1:28">
      <c r="A294" s="14">
        <v>43501</v>
      </c>
      <c r="B294" s="106">
        <v>1075</v>
      </c>
      <c r="C294" s="106">
        <v>1068</v>
      </c>
      <c r="D294" s="106">
        <v>1377</v>
      </c>
      <c r="E294" s="106">
        <v>1382</v>
      </c>
      <c r="F294" s="106">
        <v>0.77279305354558603</v>
      </c>
      <c r="G294" s="106">
        <v>0.76703818524451595</v>
      </c>
      <c r="H294" s="106">
        <v>1.87279152948077E-2</v>
      </c>
      <c r="I294" s="106">
        <v>0.30728824914460501</v>
      </c>
      <c r="J294" s="106">
        <v>0.74</v>
      </c>
      <c r="K294" s="106">
        <v>0.90367036010278401</v>
      </c>
      <c r="L294" s="106">
        <v>0.94070475988935598</v>
      </c>
      <c r="M294" s="106">
        <v>0.84871252060523805</v>
      </c>
      <c r="N294" s="106">
        <v>0.70924160192569496</v>
      </c>
      <c r="P294" s="106">
        <v>0.78576610053932361</v>
      </c>
      <c r="Q294" s="106">
        <v>0.74831026994970828</v>
      </c>
      <c r="R294" s="106">
        <v>0.80449401583413138</v>
      </c>
      <c r="S294" s="106">
        <v>0.72958235465490051</v>
      </c>
      <c r="AA294" s="106">
        <v>1068</v>
      </c>
      <c r="AB294" s="106">
        <v>1033.0529547198773</v>
      </c>
    </row>
    <row r="295" spans="1:28">
      <c r="A295" s="14">
        <v>43500</v>
      </c>
      <c r="B295" s="106">
        <v>1054</v>
      </c>
      <c r="C295" s="106">
        <v>1072</v>
      </c>
      <c r="D295" s="106">
        <v>1347</v>
      </c>
      <c r="E295" s="106">
        <v>1374</v>
      </c>
      <c r="F295" s="106">
        <v>0.78020378457059603</v>
      </c>
      <c r="G295" s="106">
        <v>0.76681942843504003</v>
      </c>
      <c r="H295" s="106">
        <v>1.87552183169836E-2</v>
      </c>
      <c r="I295" s="106">
        <v>0.71363371565962896</v>
      </c>
      <c r="J295" s="106">
        <v>1.72</v>
      </c>
      <c r="K295" s="106">
        <v>0.89151897123605395</v>
      </c>
      <c r="L295" s="106">
        <v>0.99269184658472298</v>
      </c>
      <c r="M295" s="106">
        <v>0.85270895215626197</v>
      </c>
      <c r="N295" s="106">
        <v>0.67466692965555297</v>
      </c>
      <c r="P295" s="106">
        <v>0.7855746467520236</v>
      </c>
      <c r="Q295" s="106">
        <v>0.74806421011805646</v>
      </c>
      <c r="R295" s="106">
        <v>0.80432986506900728</v>
      </c>
      <c r="S295" s="106">
        <v>0.72930899180107278</v>
      </c>
      <c r="AA295" s="106">
        <v>1072</v>
      </c>
      <c r="AB295" s="106">
        <v>1027.0729086722947</v>
      </c>
    </row>
    <row r="296" spans="1:28">
      <c r="A296" s="14">
        <v>43497</v>
      </c>
      <c r="B296" s="106">
        <v>1055</v>
      </c>
      <c r="C296" s="106">
        <v>1035</v>
      </c>
      <c r="D296" s="106">
        <v>1409</v>
      </c>
      <c r="E296" s="106">
        <v>1325</v>
      </c>
      <c r="F296" s="106">
        <v>0.78113207547169805</v>
      </c>
      <c r="G296" s="106">
        <v>0.76662122321972404</v>
      </c>
      <c r="H296" s="106">
        <v>1.8691164449661599E-2</v>
      </c>
      <c r="I296" s="106">
        <v>0.77634822009372895</v>
      </c>
      <c r="J296" s="106">
        <v>1.86</v>
      </c>
      <c r="K296" s="106">
        <v>0.88149635229946899</v>
      </c>
      <c r="L296" s="106">
        <v>0.99389460604442004</v>
      </c>
      <c r="M296" s="106">
        <v>0.85747136253327005</v>
      </c>
      <c r="N296" s="106">
        <v>0.61471662769483704</v>
      </c>
      <c r="P296" s="106">
        <v>0.7853123876693856</v>
      </c>
      <c r="Q296" s="106">
        <v>0.74793005877006247</v>
      </c>
      <c r="R296" s="106">
        <v>0.80400355211904728</v>
      </c>
      <c r="S296" s="106">
        <v>0.72923889432040079</v>
      </c>
      <c r="AA296" s="106">
        <v>1035</v>
      </c>
      <c r="AB296" s="106">
        <v>990.44512663085186</v>
      </c>
    </row>
    <row r="297" spans="1:28">
      <c r="A297" s="14">
        <v>43496</v>
      </c>
      <c r="B297" s="106">
        <v>1075</v>
      </c>
      <c r="C297" s="106">
        <v>1059</v>
      </c>
      <c r="D297" s="106">
        <v>1431</v>
      </c>
      <c r="E297" s="106">
        <v>1409</v>
      </c>
      <c r="F297" s="106">
        <v>0.75159687721788504</v>
      </c>
      <c r="G297" s="106">
        <v>0.76649695662059303</v>
      </c>
      <c r="H297" s="106">
        <v>1.86251421968107E-2</v>
      </c>
      <c r="I297" s="106">
        <v>-0.79999815546428099</v>
      </c>
      <c r="J297" s="106">
        <v>-1.98</v>
      </c>
      <c r="K297" s="106">
        <v>0.86544327402628296</v>
      </c>
      <c r="L297" s="106">
        <v>0.99359282282612504</v>
      </c>
      <c r="M297" s="106">
        <v>0.86265804049140105</v>
      </c>
      <c r="N297" s="106">
        <v>0.62317544927523105</v>
      </c>
      <c r="P297" s="106">
        <v>0.78512209881740369</v>
      </c>
      <c r="Q297" s="106">
        <v>0.74787181442378237</v>
      </c>
      <c r="R297" s="106">
        <v>0.80374724101421446</v>
      </c>
      <c r="S297" s="106">
        <v>0.72924667222697159</v>
      </c>
      <c r="AA297" s="106">
        <v>1059</v>
      </c>
      <c r="AB297" s="106">
        <v>1053.2356101304681</v>
      </c>
    </row>
    <row r="298" spans="1:28">
      <c r="A298" s="14">
        <v>43495</v>
      </c>
      <c r="B298" s="106">
        <v>1055</v>
      </c>
      <c r="C298" s="106">
        <v>1047</v>
      </c>
      <c r="D298" s="106">
        <v>1423</v>
      </c>
      <c r="E298" s="106">
        <v>1396</v>
      </c>
      <c r="F298" s="106">
        <v>0.75</v>
      </c>
      <c r="G298" s="106">
        <v>0.76670637295935895</v>
      </c>
      <c r="H298" s="106">
        <v>1.8544556255609398E-2</v>
      </c>
      <c r="I298" s="106">
        <v>-0.90087747202393897</v>
      </c>
      <c r="J298" s="106">
        <v>-2.23</v>
      </c>
      <c r="K298" s="106">
        <v>0.86581017871959498</v>
      </c>
      <c r="L298" s="106">
        <v>0.87817816869741006</v>
      </c>
      <c r="M298" s="106">
        <v>0.86656098037493101</v>
      </c>
      <c r="N298" s="106">
        <v>0.61987408147601397</v>
      </c>
      <c r="P298" s="106">
        <v>0.78525092921496831</v>
      </c>
      <c r="Q298" s="106">
        <v>0.74816181670374959</v>
      </c>
      <c r="R298" s="106">
        <v>0.80379548547057778</v>
      </c>
      <c r="S298" s="106">
        <v>0.72961726044814013</v>
      </c>
      <c r="AA298" s="106">
        <v>1047</v>
      </c>
      <c r="AB298" s="106">
        <v>1043.5180353031467</v>
      </c>
    </row>
    <row r="299" spans="1:28">
      <c r="A299" s="14">
        <v>43494</v>
      </c>
      <c r="B299" s="106">
        <v>1026</v>
      </c>
      <c r="C299" s="106">
        <v>1042</v>
      </c>
      <c r="D299" s="106">
        <v>1400</v>
      </c>
      <c r="E299" s="106">
        <v>1411</v>
      </c>
      <c r="F299" s="106">
        <v>0.73848334514528702</v>
      </c>
      <c r="G299" s="106">
        <v>0.76693511196229103</v>
      </c>
      <c r="H299" s="106">
        <v>1.8442601819130801E-2</v>
      </c>
      <c r="I299" s="106">
        <v>-1.5427197906257999</v>
      </c>
      <c r="J299" s="106">
        <v>-3.85</v>
      </c>
      <c r="K299" s="106">
        <v>0.87368476293451003</v>
      </c>
      <c r="L299" s="106">
        <v>0.68169755480213001</v>
      </c>
      <c r="M299" s="106">
        <v>0.87051259457214702</v>
      </c>
      <c r="N299" s="106">
        <v>0.63048918963146305</v>
      </c>
      <c r="P299" s="106">
        <v>0.78537771378142185</v>
      </c>
      <c r="Q299" s="106">
        <v>0.74849251014316021</v>
      </c>
      <c r="R299" s="106">
        <v>0.80382031560055267</v>
      </c>
      <c r="S299" s="106">
        <v>0.73004990832402938</v>
      </c>
      <c r="AA299" s="106">
        <v>1042</v>
      </c>
      <c r="AB299" s="106">
        <v>1054.7306216423638</v>
      </c>
    </row>
    <row r="300" spans="1:28">
      <c r="A300" s="14">
        <v>43493</v>
      </c>
      <c r="B300" s="106">
        <v>1065</v>
      </c>
      <c r="C300" s="106">
        <v>1062</v>
      </c>
      <c r="D300" s="106">
        <v>1419</v>
      </c>
      <c r="E300" s="106">
        <v>1421</v>
      </c>
      <c r="F300" s="106">
        <v>0.74736101337086502</v>
      </c>
      <c r="G300" s="106">
        <v>0.767223230989727</v>
      </c>
      <c r="H300" s="106">
        <v>1.8162530153162298E-2</v>
      </c>
      <c r="I300" s="106">
        <v>-1.0935820863815</v>
      </c>
      <c r="J300" s="106">
        <v>-2.66</v>
      </c>
      <c r="K300" s="106">
        <v>0.87797496886519999</v>
      </c>
      <c r="L300" s="106">
        <v>0.68897058274791501</v>
      </c>
      <c r="M300" s="106">
        <v>0.874695032659074</v>
      </c>
      <c r="N300" s="106">
        <v>0.61837845659392499</v>
      </c>
      <c r="P300" s="106">
        <v>0.78538576114288927</v>
      </c>
      <c r="Q300" s="106">
        <v>0.74906070083656473</v>
      </c>
      <c r="R300" s="106">
        <v>0.80354829129605165</v>
      </c>
      <c r="S300" s="106">
        <v>0.73089817068340235</v>
      </c>
      <c r="AA300" s="106">
        <v>1062</v>
      </c>
      <c r="AB300" s="106">
        <v>1062.205679201842</v>
      </c>
    </row>
    <row r="301" spans="1:28">
      <c r="A301" s="14">
        <v>43490</v>
      </c>
      <c r="B301" s="106">
        <v>1044</v>
      </c>
      <c r="C301" s="106">
        <v>1059</v>
      </c>
      <c r="D301" s="106">
        <v>1387</v>
      </c>
      <c r="E301" s="106">
        <v>1409</v>
      </c>
      <c r="F301" s="106">
        <v>0.75159687721788504</v>
      </c>
      <c r="G301" s="106">
        <v>0.76738529175723902</v>
      </c>
      <c r="H301" s="106">
        <v>1.8038382475600599E-2</v>
      </c>
      <c r="I301" s="106">
        <v>-0.87526775533840795</v>
      </c>
      <c r="J301" s="106">
        <v>-2.1</v>
      </c>
      <c r="K301" s="106">
        <v>0.88146342042746295</v>
      </c>
      <c r="L301" s="106">
        <v>0.71213681439278598</v>
      </c>
      <c r="M301" s="106">
        <v>0.87839498688136997</v>
      </c>
      <c r="N301" s="106">
        <v>0.63052991012902804</v>
      </c>
      <c r="P301" s="106">
        <v>0.78542367423283965</v>
      </c>
      <c r="Q301" s="106">
        <v>0.74934690928163838</v>
      </c>
      <c r="R301" s="106">
        <v>0.80346205670844018</v>
      </c>
      <c r="S301" s="106">
        <v>0.73130852680603786</v>
      </c>
      <c r="AA301" s="106">
        <v>1059</v>
      </c>
      <c r="AB301" s="106">
        <v>1053.2356101304681</v>
      </c>
    </row>
    <row r="302" spans="1:28">
      <c r="A302" s="14">
        <v>43489</v>
      </c>
      <c r="B302" s="106">
        <v>1037</v>
      </c>
      <c r="C302" s="106">
        <v>1046</v>
      </c>
      <c r="D302" s="106">
        <v>1360</v>
      </c>
      <c r="E302" s="106">
        <v>1377</v>
      </c>
      <c r="F302" s="106">
        <v>0.75962236746550404</v>
      </c>
      <c r="G302" s="106">
        <v>0.76744143160018896</v>
      </c>
      <c r="H302" s="106">
        <v>1.79956591592597E-2</v>
      </c>
      <c r="I302" s="106">
        <v>-0.434497234332266</v>
      </c>
      <c r="J302" s="106">
        <v>-1.03</v>
      </c>
      <c r="K302" s="106">
        <v>0.88497813362280298</v>
      </c>
      <c r="L302" s="106">
        <v>0.70951318069565805</v>
      </c>
      <c r="M302" s="106">
        <v>0.88160574134858605</v>
      </c>
      <c r="N302" s="106">
        <v>0.63776774050757301</v>
      </c>
      <c r="P302" s="106">
        <v>0.78543709075944868</v>
      </c>
      <c r="Q302" s="106">
        <v>0.74944577244092925</v>
      </c>
      <c r="R302" s="106">
        <v>0.80343274991870839</v>
      </c>
      <c r="S302" s="106">
        <v>0.73145011328166953</v>
      </c>
      <c r="AA302" s="106">
        <v>1046</v>
      </c>
      <c r="AB302" s="106">
        <v>1029.3154259401381</v>
      </c>
    </row>
    <row r="303" spans="1:28">
      <c r="A303" s="14">
        <v>43488</v>
      </c>
      <c r="B303" s="106">
        <v>1020</v>
      </c>
      <c r="C303" s="106">
        <v>1038</v>
      </c>
      <c r="D303" s="106">
        <v>1351</v>
      </c>
      <c r="E303" s="106">
        <v>1368</v>
      </c>
      <c r="F303" s="106">
        <v>0.75877192982456099</v>
      </c>
      <c r="G303" s="106">
        <v>0.76745322164211904</v>
      </c>
      <c r="H303" s="106">
        <v>1.7990821570034302E-2</v>
      </c>
      <c r="I303" s="106">
        <v>-0.482540043197213</v>
      </c>
      <c r="J303" s="106">
        <v>-1.1399999999999999</v>
      </c>
      <c r="K303" s="106">
        <v>0.89322602063661904</v>
      </c>
      <c r="L303" s="106">
        <v>0.677655952034249</v>
      </c>
      <c r="M303" s="106">
        <v>0.88515887679154504</v>
      </c>
      <c r="N303" s="106">
        <v>0.58626297504609004</v>
      </c>
      <c r="P303" s="106">
        <v>0.78544404321215333</v>
      </c>
      <c r="Q303" s="106">
        <v>0.74946240007208476</v>
      </c>
      <c r="R303" s="106">
        <v>0.80343486478218762</v>
      </c>
      <c r="S303" s="106">
        <v>0.73147157850205047</v>
      </c>
      <c r="AA303" s="106">
        <v>1038</v>
      </c>
      <c r="AB303" s="106">
        <v>1022.5878741366079</v>
      </c>
    </row>
    <row r="304" spans="1:28">
      <c r="A304" s="14">
        <v>43487</v>
      </c>
      <c r="B304" s="106">
        <v>1050</v>
      </c>
      <c r="C304" s="106">
        <v>1035</v>
      </c>
      <c r="D304" s="106">
        <v>1395</v>
      </c>
      <c r="E304" s="106">
        <v>1381</v>
      </c>
      <c r="F304" s="106">
        <v>0.749456915278783</v>
      </c>
      <c r="G304" s="106">
        <v>0.76777522830238498</v>
      </c>
      <c r="H304" s="106">
        <v>1.80485934798204E-2</v>
      </c>
      <c r="I304" s="106">
        <v>-1.0149440755083401</v>
      </c>
      <c r="J304" s="106">
        <v>-2.44</v>
      </c>
      <c r="K304" s="106">
        <v>0.90093301199699405</v>
      </c>
      <c r="L304" s="106">
        <v>0.70889047442434105</v>
      </c>
      <c r="M304" s="106">
        <v>0.88920320687977705</v>
      </c>
      <c r="N304" s="106">
        <v>0.58378285891123705</v>
      </c>
      <c r="P304" s="106">
        <v>0.78582382178220533</v>
      </c>
      <c r="Q304" s="106">
        <v>0.74972663482256463</v>
      </c>
      <c r="R304" s="106">
        <v>0.8038724152620258</v>
      </c>
      <c r="S304" s="106">
        <v>0.73167804134274417</v>
      </c>
      <c r="AA304" s="106">
        <v>1035</v>
      </c>
      <c r="AB304" s="106">
        <v>1032.3054489639294</v>
      </c>
    </row>
    <row r="305" spans="1:28">
      <c r="A305" s="14">
        <v>43486</v>
      </c>
      <c r="B305" s="106">
        <v>1058</v>
      </c>
      <c r="C305" s="106">
        <v>1047</v>
      </c>
      <c r="D305" s="106">
        <v>1382</v>
      </c>
      <c r="E305" s="106">
        <v>1390</v>
      </c>
      <c r="F305" s="106">
        <v>0.753237410071942</v>
      </c>
      <c r="G305" s="106">
        <v>0.76825226808972003</v>
      </c>
      <c r="H305" s="106">
        <v>1.8030933232792201E-2</v>
      </c>
      <c r="I305" s="106">
        <v>-0.83272772539974105</v>
      </c>
      <c r="J305" s="106">
        <v>-1.99</v>
      </c>
      <c r="K305" s="106">
        <v>0.91034449460417599</v>
      </c>
      <c r="L305" s="106">
        <v>0.66381624020906904</v>
      </c>
      <c r="M305" s="106">
        <v>0.89249735562062504</v>
      </c>
      <c r="N305" s="106">
        <v>0.59196111371890203</v>
      </c>
      <c r="P305" s="106">
        <v>0.78628320132251228</v>
      </c>
      <c r="Q305" s="106">
        <v>0.75022133485692777</v>
      </c>
      <c r="R305" s="106">
        <v>0.80431413455530443</v>
      </c>
      <c r="S305" s="106">
        <v>0.73219040162413562</v>
      </c>
      <c r="AA305" s="106">
        <v>1047</v>
      </c>
      <c r="AB305" s="106">
        <v>1039.0330007674597</v>
      </c>
    </row>
    <row r="306" spans="1:28">
      <c r="A306" s="14">
        <v>43483</v>
      </c>
      <c r="B306" s="106">
        <v>1026</v>
      </c>
      <c r="C306" s="106">
        <v>1037</v>
      </c>
      <c r="D306" s="106">
        <v>1356</v>
      </c>
      <c r="E306" s="106">
        <v>1375</v>
      </c>
      <c r="F306" s="106">
        <v>0.75418181818181795</v>
      </c>
      <c r="G306" s="106">
        <v>0.76871194122712205</v>
      </c>
      <c r="H306" s="106">
        <v>1.8081671785554001E-2</v>
      </c>
      <c r="I306" s="106">
        <v>-0.80358294396831997</v>
      </c>
      <c r="J306" s="106">
        <v>-1.93</v>
      </c>
      <c r="K306" s="106">
        <v>0.91786661905092903</v>
      </c>
      <c r="L306" s="106">
        <v>0.67864583014741497</v>
      </c>
      <c r="M306" s="106">
        <v>0.89529363736010203</v>
      </c>
      <c r="N306" s="106">
        <v>0.61459769103842798</v>
      </c>
      <c r="P306" s="106">
        <v>0.78679361301267603</v>
      </c>
      <c r="Q306" s="106">
        <v>0.75063026944156808</v>
      </c>
      <c r="R306" s="106">
        <v>0.80487528479823001</v>
      </c>
      <c r="S306" s="106">
        <v>0.7325485976560141</v>
      </c>
      <c r="AA306" s="106">
        <v>1037</v>
      </c>
      <c r="AB306" s="106">
        <v>1027.8204144282427</v>
      </c>
    </row>
    <row r="307" spans="1:28">
      <c r="A307" s="14">
        <v>43482</v>
      </c>
      <c r="B307" s="106">
        <v>1025</v>
      </c>
      <c r="C307" s="106">
        <v>1024</v>
      </c>
      <c r="D307" s="106">
        <v>1342</v>
      </c>
      <c r="E307" s="106">
        <v>1344</v>
      </c>
      <c r="F307" s="106">
        <v>0.76190476190476097</v>
      </c>
      <c r="G307" s="106">
        <v>0.76921700513635705</v>
      </c>
      <c r="H307" s="106">
        <v>1.8197422892956401E-2</v>
      </c>
      <c r="I307" s="106">
        <v>-0.40182850476181903</v>
      </c>
      <c r="J307" s="106">
        <v>-0.96</v>
      </c>
      <c r="K307" s="106">
        <v>0.92419066809975403</v>
      </c>
      <c r="L307" s="106">
        <v>0.71894367913925505</v>
      </c>
      <c r="M307" s="106">
        <v>0.897517385129734</v>
      </c>
      <c r="N307" s="106">
        <v>0.62240535240941497</v>
      </c>
      <c r="P307" s="106">
        <v>0.7874144280293135</v>
      </c>
      <c r="Q307" s="106">
        <v>0.7510195822434006</v>
      </c>
      <c r="R307" s="106">
        <v>0.80561185092226983</v>
      </c>
      <c r="S307" s="106">
        <v>0.73282215935044426</v>
      </c>
      <c r="AA307" s="106">
        <v>1024</v>
      </c>
      <c r="AB307" s="106">
        <v>1004.6477359938604</v>
      </c>
    </row>
    <row r="308" spans="1:28">
      <c r="A308" s="14">
        <v>43481</v>
      </c>
      <c r="B308" s="106">
        <v>1023</v>
      </c>
      <c r="C308" s="106">
        <v>1015</v>
      </c>
      <c r="D308" s="106">
        <v>1348</v>
      </c>
      <c r="E308" s="106">
        <v>1334</v>
      </c>
      <c r="F308" s="106">
        <v>0.76086956521739102</v>
      </c>
      <c r="G308" s="106">
        <v>0.76954578984088495</v>
      </c>
      <c r="H308" s="106">
        <v>1.82848912150811E-2</v>
      </c>
      <c r="I308" s="106">
        <v>-0.47450239224488999</v>
      </c>
      <c r="J308" s="106">
        <v>-1.1399999999999999</v>
      </c>
      <c r="K308" s="106">
        <v>0.93218460513548196</v>
      </c>
      <c r="L308" s="106">
        <v>0.62211232681708895</v>
      </c>
      <c r="M308" s="106">
        <v>0.89979279968926595</v>
      </c>
      <c r="N308" s="106">
        <v>0.60864926371857397</v>
      </c>
      <c r="P308" s="106">
        <v>0.7878306810559661</v>
      </c>
      <c r="Q308" s="106">
        <v>0.75126089862580381</v>
      </c>
      <c r="R308" s="106">
        <v>0.80611557227104713</v>
      </c>
      <c r="S308" s="106">
        <v>0.73297600741072277</v>
      </c>
      <c r="AA308" s="106">
        <v>1015</v>
      </c>
      <c r="AB308" s="106">
        <v>997.17267843438219</v>
      </c>
    </row>
    <row r="309" spans="1:28">
      <c r="A309" s="14">
        <v>43480</v>
      </c>
      <c r="B309" s="106">
        <v>979</v>
      </c>
      <c r="C309" s="106">
        <v>1018</v>
      </c>
      <c r="D309" s="106">
        <v>1288</v>
      </c>
      <c r="E309" s="106">
        <v>1329</v>
      </c>
      <c r="F309" s="106">
        <v>0.76598946576373195</v>
      </c>
      <c r="G309" s="106">
        <v>0.76987646957144196</v>
      </c>
      <c r="H309" s="106">
        <v>1.8349141008144099E-2</v>
      </c>
      <c r="I309" s="106">
        <v>-0.21183573694184299</v>
      </c>
      <c r="J309" s="106">
        <v>-0.51</v>
      </c>
      <c r="K309" s="106">
        <v>0.93740392876855805</v>
      </c>
      <c r="L309" s="106">
        <v>0.60710693118341896</v>
      </c>
      <c r="M309" s="106">
        <v>0.90189153069671701</v>
      </c>
      <c r="N309" s="106">
        <v>0.58207209959886996</v>
      </c>
      <c r="P309" s="106">
        <v>0.78822561057958607</v>
      </c>
      <c r="Q309" s="106">
        <v>0.75152732856329785</v>
      </c>
      <c r="R309" s="106">
        <v>0.80657475158773018</v>
      </c>
      <c r="S309" s="106">
        <v>0.73317818755515374</v>
      </c>
      <c r="AA309" s="106">
        <v>1018</v>
      </c>
      <c r="AB309" s="106">
        <v>993.43514965464317</v>
      </c>
    </row>
    <row r="310" spans="1:28">
      <c r="A310" s="14">
        <v>43476</v>
      </c>
      <c r="B310" s="106">
        <v>989</v>
      </c>
      <c r="C310" s="106">
        <v>992</v>
      </c>
      <c r="D310" s="106">
        <v>1291</v>
      </c>
      <c r="E310" s="106">
        <v>1298</v>
      </c>
      <c r="F310" s="106">
        <v>0.76425269645608596</v>
      </c>
      <c r="G310" s="106">
        <v>0.77002910542951897</v>
      </c>
      <c r="H310" s="106">
        <v>1.8363779937592799E-2</v>
      </c>
      <c r="I310" s="106">
        <v>-0.31455446498836398</v>
      </c>
      <c r="J310" s="106">
        <v>-0.76</v>
      </c>
      <c r="K310" s="106">
        <v>0.94390402573960996</v>
      </c>
      <c r="L310" s="106">
        <v>0.62442531379847399</v>
      </c>
      <c r="M310" s="106">
        <v>0.90631906257134298</v>
      </c>
      <c r="N310" s="106">
        <v>0.56663670167098601</v>
      </c>
      <c r="P310" s="106">
        <v>0.78839288536711172</v>
      </c>
      <c r="Q310" s="106">
        <v>0.75166532549192622</v>
      </c>
      <c r="R310" s="106">
        <v>0.80675666530470458</v>
      </c>
      <c r="S310" s="106">
        <v>0.73330154555433336</v>
      </c>
      <c r="AA310" s="106">
        <v>992</v>
      </c>
      <c r="AB310" s="106">
        <v>970.26247122026098</v>
      </c>
    </row>
    <row r="311" spans="1:28">
      <c r="A311" s="14">
        <v>43475</v>
      </c>
      <c r="B311" s="106">
        <v>969</v>
      </c>
      <c r="C311" s="106">
        <v>978</v>
      </c>
      <c r="D311" s="106">
        <v>1267</v>
      </c>
      <c r="E311" s="106">
        <v>1279</v>
      </c>
      <c r="F311" s="106">
        <v>0.76465989053948402</v>
      </c>
      <c r="G311" s="106">
        <v>0.77024291965463298</v>
      </c>
      <c r="H311" s="106">
        <v>1.8388618204499701E-2</v>
      </c>
      <c r="I311" s="106">
        <v>-0.30361330324338598</v>
      </c>
      <c r="J311" s="106">
        <v>-0.73</v>
      </c>
      <c r="K311" s="106">
        <v>0.94618957574815499</v>
      </c>
      <c r="L311" s="106">
        <v>0.578616484722004</v>
      </c>
      <c r="M311" s="106">
        <v>0.90794934576552</v>
      </c>
      <c r="N311" s="106">
        <v>0.56893083396673705</v>
      </c>
      <c r="P311" s="106">
        <v>0.78863153785913265</v>
      </c>
      <c r="Q311" s="106">
        <v>0.75185430145013332</v>
      </c>
      <c r="R311" s="106">
        <v>0.80702015606363242</v>
      </c>
      <c r="S311" s="106">
        <v>0.73346568324563355</v>
      </c>
      <c r="AA311" s="106">
        <v>978</v>
      </c>
      <c r="AB311" s="106">
        <v>956.05986185725249</v>
      </c>
    </row>
    <row r="312" spans="1:28">
      <c r="A312" s="14">
        <v>43474</v>
      </c>
      <c r="B312" s="106">
        <v>977</v>
      </c>
      <c r="C312" s="106">
        <v>973</v>
      </c>
      <c r="D312" s="106">
        <v>1281</v>
      </c>
      <c r="E312" s="106">
        <v>1283</v>
      </c>
      <c r="F312" s="106">
        <v>0.75837879968822997</v>
      </c>
      <c r="G312" s="106">
        <v>0.77078293831840805</v>
      </c>
      <c r="H312" s="106">
        <v>1.8806682090691799E-2</v>
      </c>
      <c r="I312" s="106">
        <v>-0.65956018027852104</v>
      </c>
      <c r="J312" s="106">
        <v>-1.64</v>
      </c>
      <c r="K312" s="106">
        <v>0.95034514567253003</v>
      </c>
      <c r="L312" s="106">
        <v>0.60956472096113701</v>
      </c>
      <c r="M312" s="106">
        <v>0.90935032952171202</v>
      </c>
      <c r="N312" s="106">
        <v>0.56491729548211</v>
      </c>
      <c r="P312" s="106">
        <v>0.78958962040909986</v>
      </c>
      <c r="Q312" s="106">
        <v>0.75197625622771624</v>
      </c>
      <c r="R312" s="106">
        <v>0.80839630249979166</v>
      </c>
      <c r="S312" s="106">
        <v>0.73316957413702444</v>
      </c>
      <c r="AA312" s="106">
        <v>973</v>
      </c>
      <c r="AB312" s="106">
        <v>959.04988488104379</v>
      </c>
    </row>
    <row r="313" spans="1:28">
      <c r="A313" s="14">
        <v>43473</v>
      </c>
      <c r="B313" s="106">
        <v>964</v>
      </c>
      <c r="C313" s="106">
        <v>972</v>
      </c>
      <c r="D313" s="106">
        <v>1260</v>
      </c>
      <c r="E313" s="106">
        <v>1265</v>
      </c>
      <c r="F313" s="106">
        <v>0.76837944664031599</v>
      </c>
      <c r="G313" s="106">
        <v>0.77140010987812002</v>
      </c>
      <c r="H313" s="106">
        <v>1.91459390580489E-2</v>
      </c>
      <c r="I313" s="106">
        <v>-0.15777044043889299</v>
      </c>
      <c r="J313" s="106">
        <v>-0.39</v>
      </c>
      <c r="K313" s="106">
        <v>0.95430053238882495</v>
      </c>
      <c r="L313" s="106">
        <v>0.59699315535261199</v>
      </c>
      <c r="M313" s="106">
        <v>0.91056885699072798</v>
      </c>
      <c r="N313" s="106">
        <v>0.56177648898938404</v>
      </c>
      <c r="P313" s="106">
        <v>0.79054604893616887</v>
      </c>
      <c r="Q313" s="106">
        <v>0.75225417082007118</v>
      </c>
      <c r="R313" s="106">
        <v>0.80969198799421782</v>
      </c>
      <c r="S313" s="106">
        <v>0.73310823176202222</v>
      </c>
      <c r="AA313" s="106">
        <v>972</v>
      </c>
      <c r="AB313" s="106">
        <v>945.59478127398313</v>
      </c>
    </row>
    <row r="314" spans="1:28">
      <c r="A314" s="14">
        <v>43472</v>
      </c>
      <c r="B314" s="106">
        <v>955</v>
      </c>
      <c r="C314" s="106">
        <v>956</v>
      </c>
      <c r="D314" s="106">
        <v>1245</v>
      </c>
      <c r="E314" s="106">
        <v>1246</v>
      </c>
      <c r="F314" s="106">
        <v>0.76725521669341801</v>
      </c>
      <c r="G314" s="106">
        <v>0.77178242277087294</v>
      </c>
      <c r="H314" s="106">
        <v>1.93668112595488E-2</v>
      </c>
      <c r="I314" s="106">
        <v>-0.233761047019172</v>
      </c>
      <c r="J314" s="106">
        <v>-0.59</v>
      </c>
      <c r="K314" s="106">
        <v>0.95294787225914002</v>
      </c>
      <c r="L314" s="106">
        <v>0.60994314385230697</v>
      </c>
      <c r="M314" s="106">
        <v>0.90971395166689795</v>
      </c>
      <c r="N314" s="106">
        <v>0.54557396334382902</v>
      </c>
      <c r="P314" s="106">
        <v>0.7911492340304217</v>
      </c>
      <c r="Q314" s="106">
        <v>0.75241561151132419</v>
      </c>
      <c r="R314" s="106">
        <v>0.81051604528997057</v>
      </c>
      <c r="S314" s="106">
        <v>0.73304880025177532</v>
      </c>
      <c r="AA314" s="106">
        <v>956</v>
      </c>
      <c r="AB314" s="106">
        <v>931.39217191097475</v>
      </c>
    </row>
    <row r="315" spans="1:28">
      <c r="A315" s="14">
        <v>43469</v>
      </c>
      <c r="B315" s="106">
        <v>921</v>
      </c>
      <c r="C315" s="106">
        <v>925</v>
      </c>
      <c r="D315" s="106">
        <v>1196</v>
      </c>
      <c r="E315" s="106">
        <v>1199</v>
      </c>
      <c r="F315" s="106">
        <v>0.77147623019182598</v>
      </c>
      <c r="G315" s="106">
        <v>0.77230390051823194</v>
      </c>
      <c r="H315" s="106">
        <v>1.9760445160524599E-2</v>
      </c>
      <c r="I315" s="106">
        <v>-4.1885206516487E-2</v>
      </c>
      <c r="J315" s="106">
        <v>-0.11</v>
      </c>
      <c r="K315" s="106">
        <v>0.95582571367402402</v>
      </c>
      <c r="L315" s="106">
        <v>0.60998630435244405</v>
      </c>
      <c r="M315" s="106">
        <v>0.910787763007053</v>
      </c>
      <c r="N315" s="106">
        <v>0.54350760102470996</v>
      </c>
      <c r="P315" s="106">
        <v>0.7920643456787565</v>
      </c>
      <c r="Q315" s="106">
        <v>0.75254345535770739</v>
      </c>
      <c r="R315" s="106">
        <v>0.81182479083928116</v>
      </c>
      <c r="S315" s="106">
        <v>0.73278301019718273</v>
      </c>
      <c r="AA315" s="106">
        <v>925</v>
      </c>
      <c r="AB315" s="106">
        <v>896.25940138142755</v>
      </c>
    </row>
    <row r="316" spans="1:28">
      <c r="A316" s="14">
        <v>43462</v>
      </c>
      <c r="B316" s="106">
        <v>940</v>
      </c>
      <c r="C316" s="106">
        <v>949</v>
      </c>
      <c r="D316" s="106">
        <v>1187</v>
      </c>
      <c r="E316" s="106">
        <v>1226</v>
      </c>
      <c r="F316" s="106">
        <v>0.774061990212071</v>
      </c>
      <c r="G316" s="106">
        <v>0.772872136912095</v>
      </c>
      <c r="H316" s="106">
        <v>2.0332944215924499E-2</v>
      </c>
      <c r="I316" s="106">
        <v>5.85184952725262E-2</v>
      </c>
      <c r="J316" s="106">
        <v>0.15</v>
      </c>
      <c r="K316" s="106">
        <v>0.96836366012202202</v>
      </c>
      <c r="L316" s="106">
        <v>0.57844706431510096</v>
      </c>
      <c r="M316" s="106">
        <v>0.91299931130058698</v>
      </c>
      <c r="N316" s="106">
        <v>0.51922365930456804</v>
      </c>
      <c r="P316" s="106">
        <v>0.79320508112801946</v>
      </c>
      <c r="Q316" s="106">
        <v>0.75253919269617053</v>
      </c>
      <c r="R316" s="106">
        <v>0.81353802534394404</v>
      </c>
      <c r="S316" s="106">
        <v>0.73220624848024596</v>
      </c>
      <c r="AA316" s="106">
        <v>949</v>
      </c>
      <c r="AB316" s="106">
        <v>916.44205679201843</v>
      </c>
    </row>
    <row r="317" spans="1:28">
      <c r="A317" s="14">
        <v>43461</v>
      </c>
      <c r="B317" s="106">
        <v>955</v>
      </c>
      <c r="C317" s="106">
        <v>945</v>
      </c>
      <c r="D317" s="106">
        <v>1200</v>
      </c>
      <c r="E317" s="106">
        <v>1202</v>
      </c>
      <c r="F317" s="106">
        <v>0.78618968386023202</v>
      </c>
      <c r="G317" s="106">
        <v>0.77349008588613799</v>
      </c>
      <c r="H317" s="106">
        <v>2.10512913355549E-2</v>
      </c>
      <c r="I317" s="106">
        <v>0.60326930883545304</v>
      </c>
      <c r="J317" s="106">
        <v>1.62</v>
      </c>
      <c r="K317" s="106">
        <v>0.96853737101449699</v>
      </c>
      <c r="L317" s="106">
        <v>0.57397477746782599</v>
      </c>
      <c r="M317" s="106">
        <v>0.91351696749468303</v>
      </c>
      <c r="N317" s="106">
        <v>0.48810814185978302</v>
      </c>
      <c r="P317" s="106">
        <v>0.79454137722169293</v>
      </c>
      <c r="Q317" s="106">
        <v>0.75243879455058305</v>
      </c>
      <c r="R317" s="106">
        <v>0.81559266855724777</v>
      </c>
      <c r="S317" s="106">
        <v>0.73138750321502821</v>
      </c>
      <c r="AA317" s="106">
        <v>945</v>
      </c>
      <c r="AB317" s="106">
        <v>898.50191864927092</v>
      </c>
    </row>
    <row r="318" spans="1:28">
      <c r="A318" s="14">
        <v>43460</v>
      </c>
      <c r="B318" s="106">
        <v>902</v>
      </c>
      <c r="C318" s="106">
        <v>910</v>
      </c>
      <c r="D318" s="106">
        <v>1151</v>
      </c>
      <c r="E318" s="106">
        <v>1152</v>
      </c>
      <c r="F318" s="106">
        <v>0.78993055555555503</v>
      </c>
      <c r="G318" s="106">
        <v>0.77394658658553594</v>
      </c>
      <c r="H318" s="106">
        <v>2.1683465852157399E-2</v>
      </c>
      <c r="I318" s="106">
        <v>0.73715009763664696</v>
      </c>
      <c r="J318" s="106">
        <v>2.02</v>
      </c>
      <c r="K318" s="106">
        <v>0.96776055357822099</v>
      </c>
      <c r="L318" s="106">
        <v>0.61434637594236097</v>
      </c>
      <c r="M318" s="106">
        <v>0.91416790643146595</v>
      </c>
      <c r="N318" s="106">
        <v>0.47459590969447402</v>
      </c>
      <c r="P318" s="106">
        <v>0.79563005243769336</v>
      </c>
      <c r="Q318" s="106">
        <v>0.75226312073337853</v>
      </c>
      <c r="R318" s="106">
        <v>0.81731351828985077</v>
      </c>
      <c r="S318" s="106">
        <v>0.73057965488122112</v>
      </c>
      <c r="AA318" s="106">
        <v>910</v>
      </c>
      <c r="AB318" s="106">
        <v>861.12663085188035</v>
      </c>
    </row>
    <row r="319" spans="1:28">
      <c r="A319" s="14">
        <v>43459</v>
      </c>
      <c r="B319" s="106">
        <v>926</v>
      </c>
      <c r="C319" s="106">
        <v>887</v>
      </c>
      <c r="D319" s="106">
        <v>1164</v>
      </c>
      <c r="E319" s="106">
        <v>1144</v>
      </c>
      <c r="F319" s="106">
        <v>0.77534965034964998</v>
      </c>
      <c r="G319" s="106">
        <v>0.77435866048757396</v>
      </c>
      <c r="H319" s="106">
        <v>2.2269068389663301E-2</v>
      </c>
      <c r="I319" s="106">
        <v>4.45007327983293E-2</v>
      </c>
      <c r="J319" s="106">
        <v>0.13</v>
      </c>
      <c r="K319" s="106">
        <v>0.96599400588607998</v>
      </c>
      <c r="L319" s="106">
        <v>0.63139839433756595</v>
      </c>
      <c r="M319" s="106">
        <v>0.91455986312670201</v>
      </c>
      <c r="N319" s="106">
        <v>0.51126574247536205</v>
      </c>
      <c r="P319" s="106">
        <v>0.79662772887723721</v>
      </c>
      <c r="Q319" s="106">
        <v>0.75208959209791071</v>
      </c>
      <c r="R319" s="106">
        <v>0.81889679726690057</v>
      </c>
      <c r="S319" s="106">
        <v>0.72982052370824735</v>
      </c>
      <c r="AA319" s="106">
        <v>887</v>
      </c>
      <c r="AB319" s="106">
        <v>855.14658480429785</v>
      </c>
    </row>
    <row r="320" spans="1:28">
      <c r="A320" s="14">
        <v>43455</v>
      </c>
      <c r="B320" s="106">
        <v>945</v>
      </c>
      <c r="C320" s="106">
        <v>938</v>
      </c>
      <c r="D320" s="106">
        <v>1250</v>
      </c>
      <c r="E320" s="106">
        <v>1223</v>
      </c>
      <c r="F320" s="106">
        <v>0.76696647587898603</v>
      </c>
      <c r="G320" s="106">
        <v>0.77485181125631497</v>
      </c>
      <c r="H320" s="106">
        <v>2.2691087460512901E-2</v>
      </c>
      <c r="I320" s="106">
        <v>-0.34750804213554398</v>
      </c>
      <c r="J320" s="106">
        <v>-1.03</v>
      </c>
      <c r="K320" s="106">
        <v>0.96546782158064204</v>
      </c>
      <c r="L320" s="106">
        <v>0.65548422564183595</v>
      </c>
      <c r="M320" s="106">
        <v>0.91611062474946703</v>
      </c>
      <c r="N320" s="106">
        <v>0.521579013935356</v>
      </c>
      <c r="P320" s="106">
        <v>0.79754289871682782</v>
      </c>
      <c r="Q320" s="106">
        <v>0.75216072379580212</v>
      </c>
      <c r="R320" s="106">
        <v>0.82023398617734078</v>
      </c>
      <c r="S320" s="106">
        <v>0.72946963633528916</v>
      </c>
      <c r="AA320" s="106">
        <v>938</v>
      </c>
      <c r="AB320" s="106">
        <v>914.19953952417507</v>
      </c>
    </row>
    <row r="321" spans="1:28">
      <c r="A321" s="14">
        <v>43454</v>
      </c>
      <c r="B321" s="106">
        <v>964</v>
      </c>
      <c r="C321" s="106">
        <v>951</v>
      </c>
      <c r="D321" s="106">
        <v>1273</v>
      </c>
      <c r="E321" s="106">
        <v>1256</v>
      </c>
      <c r="F321" s="106">
        <v>0.75716560509554098</v>
      </c>
      <c r="G321" s="106">
        <v>0.77543875922562899</v>
      </c>
      <c r="H321" s="106">
        <v>2.3046094527032199E-2</v>
      </c>
      <c r="I321" s="106">
        <v>-0.792895911654523</v>
      </c>
      <c r="J321" s="106">
        <v>-2.41</v>
      </c>
      <c r="K321" s="106">
        <v>0.96538742133317301</v>
      </c>
      <c r="L321" s="106">
        <v>0.58785828097666404</v>
      </c>
      <c r="M321" s="106">
        <v>0.91622768147187506</v>
      </c>
      <c r="N321" s="106">
        <v>0.52746303482099999</v>
      </c>
      <c r="P321" s="106">
        <v>0.79848485375266121</v>
      </c>
      <c r="Q321" s="106">
        <v>0.75239266469859678</v>
      </c>
      <c r="R321" s="106">
        <v>0.82153094827969342</v>
      </c>
      <c r="S321" s="106">
        <v>0.72934657017156457</v>
      </c>
      <c r="AA321" s="106">
        <v>951</v>
      </c>
      <c r="AB321" s="106">
        <v>938.8672294704528</v>
      </c>
    </row>
    <row r="322" spans="1:28">
      <c r="A322" s="14">
        <v>43453</v>
      </c>
      <c r="B322" s="106">
        <v>974</v>
      </c>
      <c r="C322" s="106">
        <v>977</v>
      </c>
      <c r="D322" s="106">
        <v>1301</v>
      </c>
      <c r="E322" s="106">
        <v>1294</v>
      </c>
      <c r="F322" s="106">
        <v>0.75502318392581103</v>
      </c>
      <c r="G322" s="106">
        <v>0.77614176203330298</v>
      </c>
      <c r="H322" s="106">
        <v>2.32809379912873E-2</v>
      </c>
      <c r="I322" s="106">
        <v>-0.90711886760730398</v>
      </c>
      <c r="J322" s="106">
        <v>-2.8</v>
      </c>
      <c r="K322" s="106">
        <v>0.96507732549147596</v>
      </c>
      <c r="L322" s="106">
        <v>0.53528634775716799</v>
      </c>
      <c r="M322" s="106">
        <v>0.91633067207098096</v>
      </c>
      <c r="N322" s="106">
        <v>0.52878856251565998</v>
      </c>
      <c r="P322" s="106">
        <v>0.79942270002459026</v>
      </c>
      <c r="Q322" s="106">
        <v>0.75286082404201571</v>
      </c>
      <c r="R322" s="106">
        <v>0.82270363801587754</v>
      </c>
      <c r="S322" s="106">
        <v>0.72957988605072843</v>
      </c>
      <c r="AA322" s="106">
        <v>977</v>
      </c>
      <c r="AB322" s="106">
        <v>967.27244819646967</v>
      </c>
    </row>
    <row r="323" spans="1:28">
      <c r="A323" s="14">
        <v>43452</v>
      </c>
      <c r="B323" s="106">
        <v>975</v>
      </c>
      <c r="C323" s="106">
        <v>974</v>
      </c>
      <c r="D323" s="106">
        <v>1284</v>
      </c>
      <c r="E323" s="106">
        <v>1303</v>
      </c>
      <c r="F323" s="106">
        <v>0.74750575594781199</v>
      </c>
      <c r="G323" s="106">
        <v>0.77687086968738694</v>
      </c>
      <c r="H323" s="106">
        <v>2.3463693011611102E-2</v>
      </c>
      <c r="I323" s="106">
        <v>-1.2515128682020999</v>
      </c>
      <c r="J323" s="106">
        <v>-3.93</v>
      </c>
      <c r="K323" s="106">
        <v>0.96512342637611304</v>
      </c>
      <c r="L323" s="106">
        <v>0.44509719874013398</v>
      </c>
      <c r="M323" s="106">
        <v>0.916251258694879</v>
      </c>
      <c r="N323" s="106">
        <v>0.53148166454829804</v>
      </c>
      <c r="P323" s="106">
        <v>0.80033456269899805</v>
      </c>
      <c r="Q323" s="106">
        <v>0.75340717667577584</v>
      </c>
      <c r="R323" s="106">
        <v>0.82379825571060916</v>
      </c>
      <c r="S323" s="106">
        <v>0.72994348366416473</v>
      </c>
      <c r="AA323" s="106">
        <v>974</v>
      </c>
      <c r="AB323" s="106">
        <v>974</v>
      </c>
    </row>
    <row r="324" spans="1:28">
      <c r="A324" s="14"/>
    </row>
    <row r="325" spans="1:28">
      <c r="A325" s="14"/>
    </row>
    <row r="326" spans="1:28">
      <c r="A326" s="14"/>
    </row>
    <row r="327" spans="1:28">
      <c r="A327" s="14"/>
    </row>
    <row r="328" spans="1:28">
      <c r="A328" s="14"/>
    </row>
    <row r="329" spans="1:28">
      <c r="A329" s="14"/>
    </row>
    <row r="330" spans="1:28">
      <c r="A330" s="14"/>
    </row>
    <row r="331" spans="1:28">
      <c r="A331" s="14"/>
    </row>
    <row r="332" spans="1:28">
      <c r="A332" s="14"/>
    </row>
    <row r="333" spans="1:28">
      <c r="A333" s="14"/>
    </row>
    <row r="334" spans="1:28">
      <c r="A334" s="14"/>
    </row>
    <row r="335" spans="1:28">
      <c r="A335" s="14"/>
    </row>
    <row r="336" spans="1:28">
      <c r="A336" s="14"/>
    </row>
    <row r="337" spans="1:9">
      <c r="A337" s="14"/>
    </row>
    <row r="338" spans="1:9">
      <c r="A338" s="14"/>
    </row>
    <row r="339" spans="1:9">
      <c r="A339" s="14"/>
    </row>
    <row r="340" spans="1:9">
      <c r="A340" s="14"/>
    </row>
    <row r="341" spans="1:9">
      <c r="A341" s="14"/>
    </row>
    <row r="342" spans="1:9">
      <c r="A342" s="14"/>
    </row>
    <row r="343" spans="1:9">
      <c r="A343" s="14"/>
    </row>
    <row r="344" spans="1:9">
      <c r="A344" s="14"/>
    </row>
    <row r="345" spans="1:9">
      <c r="A345" s="14"/>
    </row>
    <row r="346" spans="1:9">
      <c r="A346" s="14"/>
    </row>
    <row r="347" spans="1:9">
      <c r="A347" s="14"/>
      <c r="I347" s="15"/>
    </row>
    <row r="348" spans="1:9">
      <c r="A348" s="14"/>
    </row>
    <row r="349" spans="1:9">
      <c r="A349" s="14"/>
    </row>
    <row r="350" spans="1:9">
      <c r="A350" s="14"/>
    </row>
    <row r="351" spans="1:9">
      <c r="A351" s="14"/>
    </row>
    <row r="352" spans="1:9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9">
      <c r="A369" s="14"/>
    </row>
    <row r="370" spans="1:9">
      <c r="A370" s="14"/>
    </row>
    <row r="371" spans="1:9">
      <c r="A371" s="14"/>
    </row>
    <row r="372" spans="1:9">
      <c r="A372" s="14"/>
    </row>
    <row r="373" spans="1:9">
      <c r="A373" s="14"/>
    </row>
    <row r="374" spans="1:9">
      <c r="A374" s="14"/>
    </row>
    <row r="375" spans="1:9">
      <c r="A375" s="14"/>
    </row>
    <row r="376" spans="1:9">
      <c r="A376" s="14"/>
    </row>
    <row r="377" spans="1:9">
      <c r="A377" s="14"/>
      <c r="I377" s="15"/>
    </row>
    <row r="378" spans="1:9">
      <c r="A378" s="14"/>
    </row>
    <row r="379" spans="1:9">
      <c r="A379" s="14"/>
    </row>
    <row r="380" spans="1:9">
      <c r="A380" s="14"/>
    </row>
    <row r="381" spans="1:9">
      <c r="A381" s="14"/>
    </row>
    <row r="382" spans="1:9">
      <c r="A382" s="14"/>
    </row>
    <row r="383" spans="1:9">
      <c r="A383" s="14"/>
    </row>
    <row r="384" spans="1:9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2">
      <c r="A481" s="14"/>
    </row>
    <row r="482" spans="1:12">
      <c r="A482" s="14"/>
    </row>
    <row r="483" spans="1:12">
      <c r="A483" s="14"/>
    </row>
    <row r="484" spans="1:12">
      <c r="A484" s="14"/>
    </row>
    <row r="485" spans="1:12">
      <c r="A485" s="14"/>
    </row>
    <row r="486" spans="1:12">
      <c r="A486" s="14"/>
      <c r="L486" s="15"/>
    </row>
    <row r="487" spans="1:12">
      <c r="A487" s="14"/>
    </row>
    <row r="488" spans="1:12">
      <c r="A488" s="14"/>
      <c r="L488" s="15"/>
    </row>
    <row r="489" spans="1:12">
      <c r="A489" s="14"/>
    </row>
    <row r="490" spans="1:12">
      <c r="A490" s="14"/>
    </row>
    <row r="491" spans="1:12">
      <c r="A491" s="14"/>
    </row>
    <row r="492" spans="1:12">
      <c r="A492" s="14"/>
    </row>
    <row r="493" spans="1:12">
      <c r="A493" s="14"/>
    </row>
    <row r="494" spans="1:12">
      <c r="A494" s="14"/>
    </row>
    <row r="495" spans="1:12">
      <c r="A495" s="14"/>
    </row>
    <row r="496" spans="1:12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2">
      <c r="A529" s="14"/>
    </row>
    <row r="530" spans="1:12">
      <c r="A530" s="14"/>
      <c r="L530" s="15"/>
    </row>
    <row r="531" spans="1:12">
      <c r="A531" s="14"/>
      <c r="L531" s="15"/>
    </row>
    <row r="532" spans="1:12">
      <c r="A532" s="14"/>
      <c r="L532" s="15"/>
    </row>
    <row r="533" spans="1:12">
      <c r="A533" s="14"/>
      <c r="L533" s="15"/>
    </row>
    <row r="534" spans="1:12">
      <c r="A534" s="14"/>
      <c r="L534" s="15"/>
    </row>
    <row r="535" spans="1:12">
      <c r="A535" s="14"/>
      <c r="L535" s="15"/>
    </row>
    <row r="536" spans="1:12">
      <c r="A536" s="14"/>
      <c r="L536" s="15"/>
    </row>
    <row r="537" spans="1:12">
      <c r="A537" s="14"/>
    </row>
    <row r="538" spans="1:12">
      <c r="A538" s="14"/>
    </row>
    <row r="539" spans="1:12">
      <c r="A539" s="14"/>
    </row>
    <row r="540" spans="1:12">
      <c r="A540" s="14"/>
    </row>
    <row r="541" spans="1:12">
      <c r="A541" s="14"/>
    </row>
    <row r="542" spans="1:12">
      <c r="A542" s="14"/>
    </row>
    <row r="543" spans="1:12">
      <c r="A543" s="14"/>
    </row>
    <row r="544" spans="1:12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2">
      <c r="A577" s="14"/>
    </row>
    <row r="578" spans="1:12">
      <c r="A578" s="14"/>
    </row>
    <row r="579" spans="1:12">
      <c r="A579" s="14"/>
    </row>
    <row r="580" spans="1:12">
      <c r="A580" s="14"/>
    </row>
    <row r="581" spans="1:12">
      <c r="A581" s="14"/>
    </row>
    <row r="582" spans="1:12">
      <c r="A582" s="14"/>
    </row>
    <row r="583" spans="1:12">
      <c r="A583" s="14"/>
    </row>
    <row r="584" spans="1:12">
      <c r="A584" s="14"/>
    </row>
    <row r="585" spans="1:12">
      <c r="A585" s="14"/>
    </row>
    <row r="586" spans="1:12">
      <c r="A586" s="14"/>
    </row>
    <row r="587" spans="1:12">
      <c r="A587" s="14"/>
    </row>
    <row r="588" spans="1:12">
      <c r="A588" s="14"/>
    </row>
    <row r="589" spans="1:12">
      <c r="A589" s="14"/>
    </row>
    <row r="590" spans="1:12">
      <c r="A590" s="14"/>
    </row>
    <row r="591" spans="1:12">
      <c r="A591" s="14"/>
    </row>
    <row r="592" spans="1:12">
      <c r="A592" s="14"/>
      <c r="L592" s="15"/>
    </row>
    <row r="593" spans="1:12">
      <c r="A593" s="14"/>
      <c r="L593" s="15"/>
    </row>
    <row r="594" spans="1:12">
      <c r="A594" s="14"/>
      <c r="L594" s="15"/>
    </row>
    <row r="595" spans="1:12">
      <c r="A595" s="14"/>
      <c r="L595" s="15"/>
    </row>
    <row r="596" spans="1:12">
      <c r="A596" s="14"/>
    </row>
    <row r="597" spans="1:12">
      <c r="A597" s="14"/>
    </row>
    <row r="598" spans="1:12">
      <c r="A598" s="14"/>
    </row>
    <row r="599" spans="1:12">
      <c r="A599" s="14"/>
    </row>
    <row r="600" spans="1:12">
      <c r="A600" s="14"/>
    </row>
    <row r="601" spans="1:12">
      <c r="A601" s="14"/>
    </row>
    <row r="602" spans="1:12">
      <c r="A602" s="14"/>
    </row>
    <row r="603" spans="1:12">
      <c r="A603" s="14"/>
    </row>
    <row r="604" spans="1:12">
      <c r="A604" s="14"/>
    </row>
    <row r="605" spans="1:12">
      <c r="A605" s="14"/>
    </row>
    <row r="606" spans="1:12">
      <c r="A606" s="14"/>
    </row>
    <row r="607" spans="1:12">
      <c r="A607" s="14"/>
    </row>
    <row r="608" spans="1:12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  <row r="778" spans="1:1">
      <c r="A778" s="14"/>
    </row>
    <row r="779" spans="1:1">
      <c r="A779" s="14"/>
    </row>
    <row r="780" spans="1:1">
      <c r="A780" s="14"/>
    </row>
    <row r="781" spans="1:1">
      <c r="A781" s="14"/>
    </row>
    <row r="782" spans="1:1">
      <c r="A782" s="14"/>
    </row>
    <row r="783" spans="1:1">
      <c r="A783" s="14"/>
    </row>
    <row r="784" spans="1:1">
      <c r="A784" s="14"/>
    </row>
    <row r="785" spans="1:1">
      <c r="A785" s="14"/>
    </row>
    <row r="786" spans="1:1">
      <c r="A786" s="14"/>
    </row>
    <row r="787" spans="1:1">
      <c r="A787" s="14"/>
    </row>
    <row r="788" spans="1:1">
      <c r="A788" s="14"/>
    </row>
    <row r="789" spans="1:1">
      <c r="A789" s="14"/>
    </row>
    <row r="790" spans="1:1">
      <c r="A790" s="14"/>
    </row>
    <row r="791" spans="1:1">
      <c r="A791" s="14"/>
    </row>
    <row r="792" spans="1:1">
      <c r="A792" s="14"/>
    </row>
    <row r="793" spans="1:1">
      <c r="A793" s="14"/>
    </row>
    <row r="794" spans="1:1">
      <c r="A794" s="14"/>
    </row>
    <row r="795" spans="1:1">
      <c r="A795" s="14"/>
    </row>
    <row r="796" spans="1:1">
      <c r="A796" s="14"/>
    </row>
    <row r="797" spans="1:1">
      <c r="A797" s="14"/>
    </row>
    <row r="798" spans="1:1">
      <c r="A798" s="14"/>
    </row>
    <row r="799" spans="1:1">
      <c r="A799" s="14"/>
    </row>
    <row r="800" spans="1:1">
      <c r="A800" s="14"/>
    </row>
    <row r="801" spans="1:1">
      <c r="A801" s="14"/>
    </row>
    <row r="802" spans="1:1">
      <c r="A802" s="14"/>
    </row>
    <row r="803" spans="1:1">
      <c r="A803" s="14"/>
    </row>
    <row r="804" spans="1:1">
      <c r="A804" s="14"/>
    </row>
    <row r="805" spans="1:1">
      <c r="A805" s="14"/>
    </row>
    <row r="806" spans="1:1">
      <c r="A806" s="14"/>
    </row>
    <row r="807" spans="1:1">
      <c r="A807" s="14"/>
    </row>
    <row r="808" spans="1:1">
      <c r="A808" s="14"/>
    </row>
    <row r="809" spans="1:1">
      <c r="A809" s="14"/>
    </row>
    <row r="810" spans="1:1">
      <c r="A810" s="14"/>
    </row>
    <row r="811" spans="1:1">
      <c r="A811" s="14"/>
    </row>
    <row r="812" spans="1:1">
      <c r="A812" s="14"/>
    </row>
    <row r="813" spans="1:1">
      <c r="A813" s="14"/>
    </row>
    <row r="814" spans="1:1">
      <c r="A814" s="14"/>
    </row>
    <row r="815" spans="1:1">
      <c r="A815" s="14"/>
    </row>
    <row r="816" spans="1:1">
      <c r="A816" s="14"/>
    </row>
    <row r="817" spans="1:1">
      <c r="A817" s="14"/>
    </row>
    <row r="818" spans="1:1">
      <c r="A818" s="14"/>
    </row>
    <row r="819" spans="1:1">
      <c r="A819" s="14"/>
    </row>
    <row r="820" spans="1:1">
      <c r="A820" s="14"/>
    </row>
    <row r="821" spans="1:1">
      <c r="A821" s="14"/>
    </row>
  </sheetData>
  <mergeCells count="3"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P780"/>
  <sheetViews>
    <sheetView showGridLines="0" zoomScale="115" zoomScaleNormal="115" workbookViewId="0">
      <selection activeCell="E36" sqref="E36"/>
    </sheetView>
  </sheetViews>
  <sheetFormatPr defaultRowHeight="14.25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5.75" customWidth="1"/>
    <col min="8" max="8" width="9.5" customWidth="1"/>
    <col min="9" max="9" width="10.875" customWidth="1"/>
    <col min="10" max="10" width="12.75" customWidth="1"/>
    <col min="11" max="11" width="14.125" customWidth="1"/>
    <col min="12" max="12" width="9.125" bestFit="1" customWidth="1"/>
    <col min="14" max="14" width="14.5" customWidth="1"/>
  </cols>
  <sheetData>
    <row r="1" spans="1:16" s="106" customFormat="1"/>
    <row r="2" spans="1:16" s="106" customFormat="1">
      <c r="B2" s="214"/>
      <c r="C2" s="212" t="s">
        <v>1943</v>
      </c>
      <c r="D2" s="212" t="s">
        <v>1944</v>
      </c>
      <c r="E2" s="212" t="s">
        <v>1945</v>
      </c>
      <c r="F2" s="212" t="s">
        <v>1946</v>
      </c>
      <c r="G2" s="213" t="s">
        <v>1947</v>
      </c>
      <c r="H2" s="213" t="s">
        <v>1948</v>
      </c>
      <c r="I2" s="213" t="s">
        <v>1951</v>
      </c>
      <c r="J2" s="213" t="s">
        <v>1954</v>
      </c>
      <c r="M2" s="3"/>
      <c r="N2" s="3"/>
    </row>
    <row r="3" spans="1:16" s="106" customFormat="1">
      <c r="B3" s="218" t="s">
        <v>1955</v>
      </c>
      <c r="C3" s="215"/>
      <c r="D3" s="216"/>
      <c r="E3" s="215"/>
      <c r="F3" s="215"/>
      <c r="G3" s="215"/>
      <c r="H3" s="217"/>
      <c r="I3" s="217"/>
      <c r="J3" s="217"/>
      <c r="M3" s="3"/>
      <c r="N3" s="3"/>
    </row>
    <row r="4" spans="1:16" s="106" customFormat="1">
      <c r="B4" s="219" t="s">
        <v>1956</v>
      </c>
      <c r="C4" s="220"/>
      <c r="D4" s="220"/>
      <c r="E4" s="220"/>
      <c r="F4" s="220"/>
      <c r="G4" s="220"/>
      <c r="H4" s="178"/>
      <c r="I4" s="178"/>
      <c r="J4" s="178"/>
      <c r="M4" s="3"/>
      <c r="N4" s="3"/>
    </row>
    <row r="5" spans="1:16" s="106" customFormat="1">
      <c r="M5" s="3"/>
      <c r="N5" s="3"/>
    </row>
    <row r="6" spans="1:16" s="106" customFormat="1" ht="15" thickBot="1">
      <c r="M6" s="3"/>
      <c r="N6" s="3"/>
    </row>
    <row r="7" spans="1:16" s="106" customFormat="1">
      <c r="A7" s="10"/>
      <c r="B7" s="94"/>
      <c r="C7" s="95"/>
      <c r="D7" s="95"/>
      <c r="E7" s="95"/>
      <c r="F7" s="95"/>
      <c r="G7" s="95"/>
      <c r="H7" s="96"/>
      <c r="M7" s="3"/>
      <c r="N7" s="3"/>
    </row>
    <row r="8" spans="1:16" s="106" customFormat="1">
      <c r="A8" s="10"/>
      <c r="B8" s="97"/>
      <c r="C8" s="10"/>
      <c r="D8" s="10"/>
      <c r="E8" s="10"/>
      <c r="F8" s="10"/>
      <c r="G8" s="10"/>
      <c r="H8" s="98"/>
      <c r="M8" s="10"/>
      <c r="N8" s="10"/>
    </row>
    <row r="9" spans="1:16" s="106" customFormat="1">
      <c r="A9" s="199"/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>
      <c r="A10" s="199"/>
      <c r="B10" s="97"/>
      <c r="C10" s="10"/>
      <c r="D10" s="10"/>
      <c r="E10" s="199"/>
      <c r="F10" s="200"/>
      <c r="G10" s="200"/>
      <c r="H10" s="221"/>
      <c r="I10" s="202"/>
      <c r="J10" s="202"/>
      <c r="K10" s="201"/>
    </row>
    <row r="11" spans="1:16">
      <c r="A11" s="209" t="s">
        <v>1940</v>
      </c>
      <c r="B11" s="199"/>
      <c r="C11" s="307"/>
      <c r="D11" s="308"/>
      <c r="E11" s="199"/>
      <c r="F11" s="199"/>
      <c r="G11" s="200"/>
      <c r="H11" s="206"/>
      <c r="I11" s="199"/>
      <c r="J11" s="203"/>
      <c r="K11" s="204"/>
      <c r="L11" s="95"/>
      <c r="M11" s="95"/>
      <c r="N11" s="95"/>
      <c r="O11" s="95"/>
      <c r="P11" s="96"/>
    </row>
    <row r="12" spans="1:16">
      <c r="A12" s="210">
        <v>3405</v>
      </c>
      <c r="B12" s="199"/>
      <c r="C12" s="307"/>
      <c r="D12" s="308"/>
      <c r="E12" s="199"/>
      <c r="F12" s="199"/>
      <c r="G12" s="199"/>
      <c r="H12" s="206"/>
      <c r="I12" s="199"/>
      <c r="J12" s="205"/>
      <c r="K12" s="10"/>
      <c r="L12" s="10"/>
      <c r="M12" s="10"/>
      <c r="N12" s="10"/>
      <c r="O12" s="10"/>
      <c r="P12" s="98"/>
    </row>
    <row r="13" spans="1:16">
      <c r="A13" s="209" t="s">
        <v>1941</v>
      </c>
      <c r="B13" s="199"/>
      <c r="C13" s="307"/>
      <c r="D13" s="308"/>
      <c r="E13" s="199"/>
      <c r="F13" s="199"/>
      <c r="G13" s="199"/>
      <c r="H13" s="206"/>
      <c r="I13" s="199"/>
      <c r="J13" s="205"/>
      <c r="K13" s="10"/>
      <c r="L13" s="10"/>
      <c r="M13" s="10"/>
      <c r="N13" s="10"/>
      <c r="O13" s="10"/>
      <c r="P13" s="98"/>
    </row>
    <row r="14" spans="1:16">
      <c r="A14" s="210">
        <v>1088.8251533742332</v>
      </c>
      <c r="B14" s="199"/>
      <c r="C14" s="307"/>
      <c r="D14" s="308"/>
      <c r="E14" s="199"/>
      <c r="F14" s="199"/>
      <c r="G14" s="199"/>
      <c r="H14" s="206"/>
      <c r="I14" s="199"/>
      <c r="J14" s="205"/>
      <c r="K14" s="10"/>
      <c r="L14" s="10"/>
      <c r="M14" s="10"/>
      <c r="N14" s="10"/>
      <c r="O14" s="10"/>
      <c r="P14" s="98"/>
    </row>
    <row r="15" spans="1:16">
      <c r="A15" s="209" t="s">
        <v>1952</v>
      </c>
      <c r="B15" s="199"/>
      <c r="C15" s="307"/>
      <c r="D15" s="308"/>
      <c r="E15" s="199"/>
      <c r="F15" s="199"/>
      <c r="G15" s="199"/>
      <c r="H15" s="206"/>
      <c r="I15" s="199"/>
      <c r="J15" s="205"/>
      <c r="K15" s="10"/>
      <c r="L15" s="10"/>
      <c r="M15" s="10"/>
      <c r="N15" s="10"/>
      <c r="O15" s="10"/>
      <c r="P15" s="98"/>
    </row>
    <row r="16" spans="1:16">
      <c r="A16" s="210">
        <v>1.2141527001862198</v>
      </c>
      <c r="B16" s="199"/>
      <c r="C16" s="307"/>
      <c r="D16" s="308"/>
      <c r="E16" s="199"/>
      <c r="F16" s="199"/>
      <c r="G16" s="199"/>
      <c r="H16" s="206"/>
      <c r="I16" s="199"/>
      <c r="J16" s="205"/>
      <c r="K16" s="10"/>
      <c r="L16" s="10"/>
      <c r="M16" s="10"/>
      <c r="N16" s="10"/>
      <c r="O16" s="10"/>
      <c r="P16" s="98"/>
    </row>
    <row r="17" spans="1:16">
      <c r="A17" s="206" t="s">
        <v>1953</v>
      </c>
      <c r="B17" s="199"/>
      <c r="C17" s="307"/>
      <c r="D17" s="308"/>
      <c r="E17" s="199"/>
      <c r="F17" s="199"/>
      <c r="G17" s="199"/>
      <c r="H17" s="206"/>
      <c r="I17" s="199"/>
      <c r="J17" s="205"/>
      <c r="K17" s="198"/>
      <c r="L17" s="10"/>
      <c r="M17" s="10"/>
      <c r="N17" s="10"/>
      <c r="O17" s="10"/>
      <c r="P17" s="98"/>
    </row>
    <row r="18" spans="1:16">
      <c r="A18" s="222" t="s">
        <v>1957</v>
      </c>
      <c r="B18" s="199"/>
      <c r="C18" s="307"/>
      <c r="D18" s="308"/>
      <c r="E18" s="199"/>
      <c r="F18" s="199"/>
      <c r="G18" s="199"/>
      <c r="H18" s="206"/>
      <c r="I18" s="199"/>
      <c r="J18" s="205"/>
      <c r="K18" s="198"/>
      <c r="L18" s="10"/>
      <c r="M18" s="10"/>
      <c r="N18" s="10"/>
      <c r="O18" s="10"/>
      <c r="P18" s="98"/>
    </row>
    <row r="19" spans="1:16">
      <c r="A19" s="199"/>
      <c r="B19" s="205"/>
      <c r="C19" s="307"/>
      <c r="D19" s="308"/>
      <c r="E19" s="199"/>
      <c r="F19" s="199"/>
      <c r="G19" s="199"/>
      <c r="H19" s="206"/>
      <c r="I19" s="199"/>
      <c r="J19" s="205"/>
      <c r="K19" s="198"/>
      <c r="L19" s="10"/>
      <c r="M19" s="10"/>
      <c r="N19" s="10"/>
      <c r="O19" s="10"/>
      <c r="P19" s="98"/>
    </row>
    <row r="20" spans="1:16">
      <c r="A20" s="199"/>
      <c r="B20" s="205"/>
      <c r="C20" s="199"/>
      <c r="D20" s="199"/>
      <c r="E20" s="199"/>
      <c r="F20" s="199"/>
      <c r="G20" s="199"/>
      <c r="H20" s="206"/>
      <c r="I20" s="199"/>
      <c r="J20" s="205"/>
      <c r="K20" s="198"/>
      <c r="L20" s="10"/>
      <c r="M20" s="10"/>
      <c r="N20" s="10"/>
      <c r="O20" s="10"/>
      <c r="P20" s="98"/>
    </row>
    <row r="21" spans="1:16">
      <c r="A21" s="199"/>
      <c r="B21" s="205"/>
      <c r="C21" s="199"/>
      <c r="E21" s="199"/>
      <c r="F21" s="199"/>
      <c r="G21" s="199"/>
      <c r="H21" s="206"/>
      <c r="I21" s="199"/>
      <c r="J21" s="205"/>
      <c r="K21" s="10"/>
      <c r="L21" s="10"/>
      <c r="M21" s="10"/>
      <c r="N21" s="10"/>
      <c r="O21" s="10"/>
      <c r="P21" s="98"/>
    </row>
    <row r="22" spans="1:16">
      <c r="A22" s="199"/>
      <c r="B22" s="205"/>
      <c r="C22" s="199"/>
      <c r="D22" s="199"/>
      <c r="E22" s="199"/>
      <c r="F22" s="199"/>
      <c r="G22" s="199"/>
      <c r="H22" s="206"/>
      <c r="I22" s="199"/>
      <c r="J22" s="205"/>
      <c r="K22" s="10"/>
      <c r="L22" s="10"/>
      <c r="M22" s="10"/>
      <c r="N22" s="10"/>
      <c r="O22" s="10"/>
      <c r="P22" s="98"/>
    </row>
    <row r="23" spans="1:16">
      <c r="A23" s="199"/>
      <c r="B23" s="205"/>
      <c r="C23" s="199"/>
      <c r="D23" s="199"/>
      <c r="E23" s="199"/>
      <c r="F23" s="199"/>
      <c r="G23" s="199"/>
      <c r="H23" s="206"/>
      <c r="I23" s="199"/>
      <c r="J23" s="205"/>
      <c r="K23" s="10"/>
      <c r="L23" s="10"/>
      <c r="M23" s="10"/>
      <c r="N23" s="10"/>
      <c r="O23" s="10"/>
      <c r="P23" s="98"/>
    </row>
    <row r="24" spans="1:16">
      <c r="A24" s="199"/>
      <c r="B24" s="205"/>
      <c r="C24" s="199"/>
      <c r="D24" s="199"/>
      <c r="E24" s="199"/>
      <c r="F24" s="199"/>
      <c r="G24" s="199"/>
      <c r="H24" s="206"/>
      <c r="I24" s="199"/>
      <c r="J24" s="205"/>
      <c r="K24" s="10"/>
      <c r="L24" s="10"/>
      <c r="M24" s="10"/>
      <c r="N24" s="10"/>
      <c r="O24" s="10"/>
      <c r="P24" s="98"/>
    </row>
    <row r="25" spans="1:16">
      <c r="A25" s="199"/>
      <c r="B25" s="205"/>
      <c r="C25" s="200"/>
      <c r="D25" s="200"/>
      <c r="E25" s="200"/>
      <c r="F25" s="199"/>
      <c r="G25" s="199"/>
      <c r="H25" s="206"/>
      <c r="I25" s="199"/>
      <c r="J25" s="205"/>
      <c r="K25" s="10"/>
      <c r="L25" s="10"/>
      <c r="M25" s="10"/>
      <c r="N25" s="10"/>
      <c r="O25" s="10"/>
      <c r="P25" s="98"/>
    </row>
    <row r="26" spans="1:16">
      <c r="A26" s="199"/>
      <c r="B26" s="205"/>
      <c r="C26" s="199"/>
      <c r="D26" s="199"/>
      <c r="E26" s="199"/>
      <c r="F26" s="199"/>
      <c r="G26" s="199"/>
      <c r="H26" s="206"/>
      <c r="I26" s="199"/>
      <c r="J26" s="205"/>
      <c r="K26" s="10"/>
      <c r="L26" s="10"/>
      <c r="M26" s="10"/>
      <c r="N26" s="10"/>
      <c r="O26" s="10"/>
      <c r="P26" s="98"/>
    </row>
    <row r="27" spans="1:16">
      <c r="A27" s="199"/>
      <c r="B27" s="205"/>
      <c r="C27" s="199"/>
      <c r="D27" s="199"/>
      <c r="E27" s="199"/>
      <c r="F27" s="199"/>
      <c r="G27" s="199"/>
      <c r="H27" s="206"/>
      <c r="I27" s="199"/>
      <c r="J27" s="205"/>
      <c r="K27" s="10"/>
      <c r="L27" s="10"/>
      <c r="M27" s="10"/>
      <c r="N27" s="10"/>
      <c r="O27" s="10"/>
      <c r="P27" s="98"/>
    </row>
    <row r="28" spans="1:16">
      <c r="A28" s="199"/>
      <c r="B28" s="205"/>
      <c r="C28" s="199"/>
      <c r="D28" s="199"/>
      <c r="E28" s="199"/>
      <c r="F28" s="199"/>
      <c r="G28" s="199"/>
      <c r="H28" s="206"/>
      <c r="I28" s="199"/>
      <c r="J28" s="205"/>
      <c r="K28" s="10"/>
      <c r="L28" s="10"/>
      <c r="M28" s="10"/>
      <c r="N28" s="10"/>
      <c r="O28" s="10"/>
      <c r="P28" s="98"/>
    </row>
    <row r="29" spans="1:16">
      <c r="A29" s="199"/>
      <c r="B29" s="205"/>
      <c r="C29" s="199"/>
      <c r="D29" s="199"/>
      <c r="E29" s="199"/>
      <c r="F29" s="199"/>
      <c r="G29" s="199"/>
      <c r="H29" s="206"/>
      <c r="I29" s="199"/>
      <c r="J29" s="205"/>
      <c r="K29" s="10"/>
      <c r="L29" s="10"/>
      <c r="M29" s="10"/>
      <c r="N29" s="10"/>
      <c r="O29" s="10"/>
      <c r="P29" s="98"/>
    </row>
    <row r="30" spans="1:16" ht="15" thickBot="1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/>
    <row r="34" spans="1:13" s="106" customFormat="1"/>
    <row r="35" spans="1:13" s="106" customFormat="1"/>
    <row r="36" spans="1:13" s="106" customFormat="1"/>
    <row r="37" spans="1:13" s="106" customFormat="1"/>
    <row r="38" spans="1:13" s="106" customFormat="1"/>
    <row r="39" spans="1:13" s="106" customFormat="1"/>
    <row r="40" spans="1:13" ht="15" thickBot="1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>
      <c r="A41" s="106" t="s">
        <v>969</v>
      </c>
      <c r="B41" s="106" t="s">
        <v>1959</v>
      </c>
      <c r="C41" s="106" t="s">
        <v>1960</v>
      </c>
      <c r="D41" s="106" t="s">
        <v>1961</v>
      </c>
      <c r="E41" s="106" t="s">
        <v>1962</v>
      </c>
      <c r="F41" s="106" t="s">
        <v>970</v>
      </c>
      <c r="G41" s="106" t="s">
        <v>971</v>
      </c>
      <c r="H41" s="106" t="s">
        <v>972</v>
      </c>
      <c r="I41" s="106" t="s">
        <v>973</v>
      </c>
      <c r="J41" s="106" t="s">
        <v>974</v>
      </c>
      <c r="K41" s="106" t="s">
        <v>1958</v>
      </c>
      <c r="L41" s="106" t="s">
        <v>1033</v>
      </c>
    </row>
    <row r="42" spans="1:13">
      <c r="A42" s="14">
        <v>43812</v>
      </c>
      <c r="B42">
        <v>2911</v>
      </c>
      <c r="C42">
        <v>2859</v>
      </c>
      <c r="D42">
        <v>1687</v>
      </c>
      <c r="E42">
        <v>1707</v>
      </c>
      <c r="F42">
        <v>1.67486818980667</v>
      </c>
      <c r="G42">
        <v>1.78567754568147</v>
      </c>
      <c r="H42">
        <v>5.5093606833295998E-2</v>
      </c>
      <c r="I42">
        <v>-2.01129245740049</v>
      </c>
      <c r="J42">
        <v>-6.62</v>
      </c>
      <c r="K42">
        <v>2859</v>
      </c>
      <c r="L42">
        <v>1405.9187116564417</v>
      </c>
    </row>
    <row r="43" spans="1:13">
      <c r="A43" s="211">
        <v>43811</v>
      </c>
      <c r="B43" s="10">
        <v>2908</v>
      </c>
      <c r="C43" s="10">
        <v>2865</v>
      </c>
      <c r="D43" s="10">
        <v>1658</v>
      </c>
      <c r="E43" s="10">
        <v>1637</v>
      </c>
      <c r="F43" s="10">
        <v>1.75015271838729</v>
      </c>
      <c r="G43" s="10">
        <v>1.78738920243836</v>
      </c>
      <c r="H43" s="10">
        <v>5.3598257841411701E-2</v>
      </c>
      <c r="I43" s="10">
        <v>-0.69473310422227597</v>
      </c>
      <c r="J43" s="10">
        <v>-2.13</v>
      </c>
      <c r="K43" s="10">
        <v>2865</v>
      </c>
      <c r="L43" s="10">
        <v>1348.2653374233128</v>
      </c>
      <c r="M43" s="10"/>
    </row>
    <row r="44" spans="1:13">
      <c r="A44" s="14">
        <v>43810</v>
      </c>
      <c r="B44" s="106">
        <v>2900</v>
      </c>
      <c r="C44" s="106">
        <v>2874</v>
      </c>
      <c r="D44" s="106">
        <v>1665</v>
      </c>
      <c r="E44" s="106">
        <v>1649</v>
      </c>
      <c r="F44" s="106">
        <v>1.7428744693753699</v>
      </c>
      <c r="G44" s="106">
        <v>1.7879398559500099</v>
      </c>
      <c r="H44" s="106">
        <v>5.3424738367895401E-2</v>
      </c>
      <c r="I44" s="106">
        <v>-0.84353031856340799</v>
      </c>
      <c r="J44" s="106">
        <v>-2.59</v>
      </c>
      <c r="K44">
        <v>2874</v>
      </c>
      <c r="L44" s="106">
        <v>1358.1487730061349</v>
      </c>
    </row>
    <row r="45" spans="1:13">
      <c r="A45" s="14">
        <v>43809</v>
      </c>
      <c r="B45">
        <v>2929</v>
      </c>
      <c r="C45">
        <v>2908</v>
      </c>
      <c r="D45">
        <v>1698</v>
      </c>
      <c r="E45">
        <v>1678</v>
      </c>
      <c r="F45">
        <v>1.73301549463647</v>
      </c>
      <c r="G45">
        <v>1.78846234016857</v>
      </c>
      <c r="H45">
        <v>5.3172474131270797E-2</v>
      </c>
      <c r="I45">
        <v>-1.0427734732677001</v>
      </c>
      <c r="J45">
        <v>-3.2</v>
      </c>
      <c r="K45">
        <v>2908</v>
      </c>
      <c r="L45">
        <v>1382.0337423312883</v>
      </c>
    </row>
    <row r="46" spans="1:13">
      <c r="A46" s="14">
        <v>43808</v>
      </c>
      <c r="B46">
        <v>2918</v>
      </c>
      <c r="C46">
        <v>2907</v>
      </c>
      <c r="D46">
        <v>1710</v>
      </c>
      <c r="E46">
        <v>1695</v>
      </c>
      <c r="F46">
        <v>1.71504424778761</v>
      </c>
      <c r="G46">
        <v>1.7889954273419599</v>
      </c>
      <c r="H46">
        <v>5.2813118295291103E-2</v>
      </c>
      <c r="I46">
        <v>-1.4002426279939999</v>
      </c>
      <c r="J46">
        <v>-4.3099999999999996</v>
      </c>
      <c r="K46">
        <v>2907</v>
      </c>
      <c r="L46">
        <v>1396.0352760736196</v>
      </c>
    </row>
    <row r="47" spans="1:13">
      <c r="A47" s="14">
        <v>43805</v>
      </c>
      <c r="B47">
        <v>2860</v>
      </c>
      <c r="C47">
        <v>2883</v>
      </c>
      <c r="D47">
        <v>1694</v>
      </c>
      <c r="E47">
        <v>1679</v>
      </c>
      <c r="F47">
        <v>1.7170935080405001</v>
      </c>
      <c r="G47">
        <v>1.7891683283791</v>
      </c>
      <c r="H47">
        <v>5.2591493662637399E-2</v>
      </c>
      <c r="I47">
        <v>-1.3704653608232999</v>
      </c>
      <c r="J47">
        <v>-4.2</v>
      </c>
      <c r="K47">
        <v>2883</v>
      </c>
      <c r="L47">
        <v>1382.8573619631902</v>
      </c>
    </row>
    <row r="48" spans="1:13">
      <c r="A48" s="14">
        <v>43804</v>
      </c>
      <c r="B48">
        <v>2865</v>
      </c>
      <c r="C48">
        <v>2864</v>
      </c>
      <c r="D48">
        <v>1655</v>
      </c>
      <c r="E48">
        <v>1680</v>
      </c>
      <c r="F48">
        <v>1.7047619047619</v>
      </c>
      <c r="G48">
        <v>1.78907683515265</v>
      </c>
      <c r="H48">
        <v>5.2722607827765403E-2</v>
      </c>
      <c r="I48">
        <v>-1.5992177523955</v>
      </c>
      <c r="J48">
        <v>-4.95</v>
      </c>
      <c r="K48">
        <v>2864</v>
      </c>
      <c r="L48">
        <v>1383.6809815950919</v>
      </c>
    </row>
    <row r="49" spans="1:12">
      <c r="A49" s="14">
        <v>43803</v>
      </c>
      <c r="B49">
        <v>2819</v>
      </c>
      <c r="C49">
        <v>2856</v>
      </c>
      <c r="D49">
        <v>1634</v>
      </c>
      <c r="E49">
        <v>1633</v>
      </c>
      <c r="F49">
        <v>1.7489283527250401</v>
      </c>
      <c r="G49">
        <v>1.7894281579039699</v>
      </c>
      <c r="H49">
        <v>5.2245224829735398E-2</v>
      </c>
      <c r="I49">
        <v>-0.77518673354200396</v>
      </c>
      <c r="J49">
        <v>-2.3199999999999998</v>
      </c>
      <c r="K49">
        <v>2856</v>
      </c>
      <c r="L49">
        <v>1344.9708588957055</v>
      </c>
    </row>
    <row r="50" spans="1:12">
      <c r="A50" s="14">
        <v>43802</v>
      </c>
      <c r="B50">
        <v>2839</v>
      </c>
      <c r="C50">
        <v>2849</v>
      </c>
      <c r="D50">
        <v>1633</v>
      </c>
      <c r="E50">
        <v>1647</v>
      </c>
      <c r="F50">
        <v>1.7298117789920999</v>
      </c>
      <c r="G50">
        <v>1.78953360199131</v>
      </c>
      <c r="H50">
        <v>5.2171307758493803E-2</v>
      </c>
      <c r="I50">
        <v>-1.1447254355913199</v>
      </c>
      <c r="J50">
        <v>-3.45</v>
      </c>
      <c r="K50">
        <v>2849</v>
      </c>
      <c r="L50">
        <v>1356.5015337423313</v>
      </c>
    </row>
    <row r="51" spans="1:12">
      <c r="A51" s="14">
        <v>43801</v>
      </c>
      <c r="B51">
        <v>2853</v>
      </c>
      <c r="C51">
        <v>2877</v>
      </c>
      <c r="D51">
        <v>1641</v>
      </c>
      <c r="E51">
        <v>1659</v>
      </c>
      <c r="F51">
        <v>1.73417721518987</v>
      </c>
      <c r="G51">
        <v>1.7903910135655401</v>
      </c>
      <c r="H51">
        <v>5.1709132942337102E-2</v>
      </c>
      <c r="I51">
        <v>-1.08711547026621</v>
      </c>
      <c r="J51">
        <v>-3.24</v>
      </c>
      <c r="K51">
        <v>2877</v>
      </c>
      <c r="L51">
        <v>1366.3849693251534</v>
      </c>
    </row>
    <row r="52" spans="1:12">
      <c r="A52" s="14">
        <v>43798</v>
      </c>
      <c r="B52">
        <v>2899</v>
      </c>
      <c r="C52">
        <v>2850</v>
      </c>
      <c r="D52">
        <v>1661</v>
      </c>
      <c r="E52">
        <v>1630</v>
      </c>
      <c r="F52">
        <v>1.74846625766871</v>
      </c>
      <c r="G52">
        <v>1.7927690213412599</v>
      </c>
      <c r="H52">
        <v>5.3150210563943298E-2</v>
      </c>
      <c r="I52">
        <v>-0.83353881767323401</v>
      </c>
      <c r="J52">
        <v>-2.5299999999999998</v>
      </c>
      <c r="K52">
        <v>2850</v>
      </c>
      <c r="L52">
        <v>1342.5</v>
      </c>
    </row>
    <row r="53" spans="1:12">
      <c r="A53" s="14">
        <v>43797</v>
      </c>
      <c r="B53">
        <v>2902</v>
      </c>
      <c r="C53">
        <v>2889</v>
      </c>
      <c r="D53">
        <v>1652</v>
      </c>
      <c r="E53">
        <v>1645</v>
      </c>
      <c r="F53">
        <v>1.7562310030395101</v>
      </c>
      <c r="G53">
        <v>1.7950266411443401</v>
      </c>
      <c r="H53">
        <v>5.4791185246939898E-2</v>
      </c>
      <c r="I53">
        <v>-0.70806349470235497</v>
      </c>
      <c r="J53">
        <v>-2.21</v>
      </c>
      <c r="K53">
        <v>2889</v>
      </c>
      <c r="L53">
        <v>1354.8542944785277</v>
      </c>
    </row>
    <row r="54" spans="1:12">
      <c r="A54" s="14">
        <v>43796</v>
      </c>
      <c r="B54">
        <v>2857</v>
      </c>
      <c r="C54">
        <v>2899</v>
      </c>
      <c r="D54">
        <v>1639</v>
      </c>
      <c r="E54">
        <v>1657</v>
      </c>
      <c r="F54">
        <v>1.7495473747736801</v>
      </c>
      <c r="G54">
        <v>1.79667370797959</v>
      </c>
      <c r="H54">
        <v>5.5452910841891502E-2</v>
      </c>
      <c r="I54">
        <v>-0.849844173920419</v>
      </c>
      <c r="J54">
        <v>-2.69</v>
      </c>
      <c r="K54">
        <v>2899</v>
      </c>
      <c r="L54">
        <v>1364.7377300613496</v>
      </c>
    </row>
    <row r="55" spans="1:12">
      <c r="A55" s="14">
        <v>43795</v>
      </c>
      <c r="B55">
        <v>2859</v>
      </c>
      <c r="C55">
        <v>2845</v>
      </c>
      <c r="D55">
        <v>1628</v>
      </c>
      <c r="E55">
        <v>1624</v>
      </c>
      <c r="F55">
        <v>1.7518472906403899</v>
      </c>
      <c r="G55">
        <v>1.7983537734195301</v>
      </c>
      <c r="H55">
        <v>5.5906605554986201E-2</v>
      </c>
      <c r="I55">
        <v>-0.83186024830995697</v>
      </c>
      <c r="J55">
        <v>-2.65</v>
      </c>
      <c r="K55">
        <v>2845</v>
      </c>
      <c r="L55">
        <v>1337.5582822085889</v>
      </c>
    </row>
    <row r="56" spans="1:12">
      <c r="A56" s="14">
        <v>43794</v>
      </c>
      <c r="B56">
        <v>2928</v>
      </c>
      <c r="C56">
        <v>2855</v>
      </c>
      <c r="D56">
        <v>1610</v>
      </c>
      <c r="E56">
        <v>1611</v>
      </c>
      <c r="F56">
        <v>1.772191185599</v>
      </c>
      <c r="G56">
        <v>1.7996835391549</v>
      </c>
      <c r="H56">
        <v>5.5970667152966502E-2</v>
      </c>
      <c r="I56">
        <v>-0.491192171798917</v>
      </c>
      <c r="J56">
        <v>-1.55</v>
      </c>
      <c r="K56">
        <v>2855</v>
      </c>
      <c r="L56">
        <v>1326.8512269938649</v>
      </c>
    </row>
    <row r="57" spans="1:12">
      <c r="A57" s="14">
        <v>43791</v>
      </c>
      <c r="B57">
        <v>2880</v>
      </c>
      <c r="C57">
        <v>2922</v>
      </c>
      <c r="D57">
        <v>1588</v>
      </c>
      <c r="E57">
        <v>1606</v>
      </c>
      <c r="F57">
        <v>1.8194271481942701</v>
      </c>
      <c r="G57">
        <v>1.8004636968524199</v>
      </c>
      <c r="H57">
        <v>5.5989808407339303E-2</v>
      </c>
      <c r="I57">
        <v>0.338694699647618</v>
      </c>
      <c r="J57">
        <v>1.04</v>
      </c>
      <c r="K57">
        <v>2922</v>
      </c>
      <c r="L57">
        <v>1322.7331288343557</v>
      </c>
    </row>
    <row r="58" spans="1:12">
      <c r="A58" s="14">
        <v>43790</v>
      </c>
      <c r="B58">
        <v>2878</v>
      </c>
      <c r="C58">
        <v>2895</v>
      </c>
      <c r="D58">
        <v>1581</v>
      </c>
      <c r="E58">
        <v>1596</v>
      </c>
      <c r="F58">
        <v>1.8139097744360899</v>
      </c>
      <c r="G58">
        <v>1.8006553460966901</v>
      </c>
      <c r="H58">
        <v>5.6078920155054203E-2</v>
      </c>
      <c r="I58">
        <v>0.236353130601485</v>
      </c>
      <c r="J58">
        <v>0.73</v>
      </c>
      <c r="K58">
        <v>2895</v>
      </c>
      <c r="L58">
        <v>1314.4969325153374</v>
      </c>
    </row>
    <row r="59" spans="1:12">
      <c r="A59" s="14">
        <v>43789</v>
      </c>
      <c r="B59">
        <v>2870</v>
      </c>
      <c r="C59">
        <v>2900</v>
      </c>
      <c r="D59">
        <v>1605</v>
      </c>
      <c r="E59">
        <v>1596</v>
      </c>
      <c r="F59">
        <v>1.8170426065162899</v>
      </c>
      <c r="G59">
        <v>1.7993183277517399</v>
      </c>
      <c r="H59">
        <v>5.6935807661996199E-2</v>
      </c>
      <c r="I59">
        <v>0.31130284248832002</v>
      </c>
      <c r="J59">
        <v>0.98</v>
      </c>
      <c r="K59">
        <v>2900</v>
      </c>
      <c r="L59">
        <v>1314.4969325153374</v>
      </c>
    </row>
    <row r="60" spans="1:12">
      <c r="A60" s="14">
        <v>43788</v>
      </c>
      <c r="B60">
        <v>2809</v>
      </c>
      <c r="C60">
        <v>2840</v>
      </c>
      <c r="D60">
        <v>1610</v>
      </c>
      <c r="E60">
        <v>1622</v>
      </c>
      <c r="F60">
        <v>1.7509247842170099</v>
      </c>
      <c r="G60">
        <v>1.79817239915642</v>
      </c>
      <c r="H60">
        <v>5.7430287757949602E-2</v>
      </c>
      <c r="I60">
        <v>-0.82269507578543399</v>
      </c>
      <c r="J60">
        <v>-2.7</v>
      </c>
      <c r="K60">
        <v>2840</v>
      </c>
      <c r="L60">
        <v>1335.9110429447853</v>
      </c>
    </row>
    <row r="61" spans="1:12">
      <c r="A61" s="14">
        <v>43787</v>
      </c>
      <c r="B61">
        <v>2772</v>
      </c>
      <c r="C61">
        <v>2818</v>
      </c>
      <c r="D61">
        <v>1600</v>
      </c>
      <c r="E61">
        <v>1621</v>
      </c>
      <c r="F61">
        <v>1.73843306600863</v>
      </c>
      <c r="G61">
        <v>1.7977618288762101</v>
      </c>
      <c r="H61">
        <v>5.7874942018459198E-2</v>
      </c>
      <c r="I61">
        <v>-1.0251200398378399</v>
      </c>
      <c r="J61">
        <v>-3.41</v>
      </c>
      <c r="K61">
        <v>2818</v>
      </c>
      <c r="L61">
        <v>1335.0874233128834</v>
      </c>
    </row>
    <row r="62" spans="1:12">
      <c r="A62" s="14">
        <v>43784</v>
      </c>
      <c r="B62">
        <v>2781</v>
      </c>
      <c r="C62">
        <v>2763</v>
      </c>
      <c r="D62">
        <v>1616</v>
      </c>
      <c r="E62">
        <v>1623</v>
      </c>
      <c r="F62">
        <v>1.7024029574861299</v>
      </c>
      <c r="G62">
        <v>1.7971681082727899</v>
      </c>
      <c r="H62">
        <v>5.8703012178966799E-2</v>
      </c>
      <c r="I62">
        <v>-1.61431496049552</v>
      </c>
      <c r="J62">
        <v>-5.57</v>
      </c>
      <c r="K62">
        <v>2763</v>
      </c>
      <c r="L62">
        <v>1336.734662576687</v>
      </c>
    </row>
    <row r="63" spans="1:12">
      <c r="A63" s="14">
        <v>43783</v>
      </c>
      <c r="B63">
        <v>2915</v>
      </c>
      <c r="C63">
        <v>2789</v>
      </c>
      <c r="D63">
        <v>1648</v>
      </c>
      <c r="E63">
        <v>1619</v>
      </c>
      <c r="F63">
        <v>1.72266831377393</v>
      </c>
      <c r="G63">
        <v>1.7968963588801601</v>
      </c>
      <c r="H63">
        <v>5.9186257825767599E-2</v>
      </c>
      <c r="I63">
        <v>-1.2541432392084</v>
      </c>
      <c r="J63">
        <v>-4.3099999999999996</v>
      </c>
      <c r="K63">
        <v>2789</v>
      </c>
      <c r="L63">
        <v>1333.4401840490798</v>
      </c>
    </row>
    <row r="64" spans="1:12">
      <c r="A64" s="14">
        <v>43782</v>
      </c>
      <c r="B64">
        <v>2820</v>
      </c>
      <c r="C64">
        <v>2887</v>
      </c>
      <c r="D64">
        <v>1668</v>
      </c>
      <c r="E64">
        <v>1650</v>
      </c>
      <c r="F64">
        <v>1.74969696969696</v>
      </c>
      <c r="G64">
        <v>1.7964183376332701</v>
      </c>
      <c r="H64">
        <v>5.9924015218385203E-2</v>
      </c>
      <c r="I64">
        <v>-0.77967685853555202</v>
      </c>
      <c r="J64">
        <v>-2.67</v>
      </c>
      <c r="K64">
        <v>2887</v>
      </c>
      <c r="L64">
        <v>1358.9723926380368</v>
      </c>
    </row>
    <row r="65" spans="1:12">
      <c r="A65" s="14">
        <v>43781</v>
      </c>
      <c r="B65">
        <v>2767</v>
      </c>
      <c r="C65">
        <v>2787</v>
      </c>
      <c r="D65">
        <v>1659</v>
      </c>
      <c r="E65">
        <v>1668</v>
      </c>
      <c r="F65">
        <v>1.67086330935251</v>
      </c>
      <c r="G65">
        <v>1.79548319901303</v>
      </c>
      <c r="H65">
        <v>6.11799096491695E-2</v>
      </c>
      <c r="I65">
        <v>-2.0369413811680199</v>
      </c>
      <c r="J65">
        <v>-7.46</v>
      </c>
      <c r="K65">
        <v>2787</v>
      </c>
      <c r="L65">
        <v>1373.7975460122698</v>
      </c>
    </row>
    <row r="66" spans="1:12">
      <c r="A66" s="14">
        <v>43780</v>
      </c>
      <c r="B66">
        <v>2773</v>
      </c>
      <c r="C66">
        <v>2737</v>
      </c>
      <c r="D66">
        <v>1669</v>
      </c>
      <c r="E66">
        <v>1665</v>
      </c>
      <c r="F66">
        <v>1.6438438438438401</v>
      </c>
      <c r="G66">
        <v>1.7959320953129301</v>
      </c>
      <c r="H66">
        <v>6.0382200304991501E-2</v>
      </c>
      <c r="I66">
        <v>-2.5187596791916902</v>
      </c>
      <c r="J66">
        <v>-9.25</v>
      </c>
      <c r="K66">
        <v>2737</v>
      </c>
      <c r="L66">
        <v>1371.3266871165645</v>
      </c>
    </row>
    <row r="67" spans="1:12">
      <c r="A67" s="14">
        <v>43777</v>
      </c>
      <c r="B67">
        <v>2769</v>
      </c>
      <c r="C67">
        <v>2757</v>
      </c>
      <c r="D67">
        <v>1641</v>
      </c>
      <c r="E67">
        <v>1640</v>
      </c>
      <c r="F67">
        <v>1.6810975609756</v>
      </c>
      <c r="G67">
        <v>1.7968863085425499</v>
      </c>
      <c r="H67">
        <v>5.8507602618031798E-2</v>
      </c>
      <c r="I67">
        <v>-1.9790376358928099</v>
      </c>
      <c r="J67">
        <v>-6.89</v>
      </c>
      <c r="K67">
        <v>2757</v>
      </c>
      <c r="L67">
        <v>1350.7361963190183</v>
      </c>
    </row>
    <row r="68" spans="1:12">
      <c r="A68" s="14">
        <v>43776</v>
      </c>
      <c r="B68">
        <v>2763</v>
      </c>
      <c r="C68">
        <v>2752</v>
      </c>
      <c r="D68">
        <v>1608</v>
      </c>
      <c r="E68">
        <v>1607</v>
      </c>
      <c r="F68">
        <v>1.71250777846919</v>
      </c>
      <c r="G68">
        <v>1.7976815509394199</v>
      </c>
      <c r="H68">
        <v>5.7321703538729202E-2</v>
      </c>
      <c r="I68">
        <v>-1.4858904605422001</v>
      </c>
      <c r="J68">
        <v>-4.97</v>
      </c>
      <c r="K68">
        <v>2752</v>
      </c>
      <c r="L68">
        <v>1323.5567484662577</v>
      </c>
    </row>
    <row r="69" spans="1:12">
      <c r="A69" s="14">
        <v>43775</v>
      </c>
      <c r="B69">
        <v>2800</v>
      </c>
      <c r="C69">
        <v>2783</v>
      </c>
      <c r="D69">
        <v>1604</v>
      </c>
      <c r="E69">
        <v>1610</v>
      </c>
      <c r="F69">
        <v>1.72857142857142</v>
      </c>
      <c r="G69">
        <v>1.79834227560279</v>
      </c>
      <c r="H69">
        <v>5.6617401002459197E-2</v>
      </c>
      <c r="I69">
        <v>-1.23232161483951</v>
      </c>
      <c r="J69">
        <v>-4.04</v>
      </c>
      <c r="K69">
        <v>2783</v>
      </c>
      <c r="L69">
        <v>1326.0276073619632</v>
      </c>
    </row>
    <row r="70" spans="1:12">
      <c r="A70" s="14">
        <v>43774</v>
      </c>
      <c r="B70">
        <v>2775</v>
      </c>
      <c r="C70">
        <v>2800</v>
      </c>
      <c r="D70">
        <v>1545</v>
      </c>
      <c r="E70">
        <v>1576</v>
      </c>
      <c r="F70">
        <v>1.7766497461928901</v>
      </c>
      <c r="G70">
        <v>1.7983864439947801</v>
      </c>
      <c r="H70">
        <v>5.65642212595324E-2</v>
      </c>
      <c r="I70">
        <v>-0.38428351558421298</v>
      </c>
      <c r="J70">
        <v>-1.22</v>
      </c>
      <c r="K70">
        <v>2800</v>
      </c>
      <c r="L70">
        <v>1298.0245398773006</v>
      </c>
    </row>
    <row r="71" spans="1:12">
      <c r="A71" s="14">
        <v>43770</v>
      </c>
      <c r="B71">
        <v>2755</v>
      </c>
      <c r="C71">
        <v>2755</v>
      </c>
      <c r="D71">
        <v>1489</v>
      </c>
      <c r="E71">
        <v>1510</v>
      </c>
      <c r="F71">
        <v>1.82450331125827</v>
      </c>
      <c r="G71">
        <v>1.7983066696011001</v>
      </c>
      <c r="H71">
        <v>5.6599029347336398E-2</v>
      </c>
      <c r="I71">
        <v>0.46284612932861302</v>
      </c>
      <c r="J71">
        <v>1.44</v>
      </c>
      <c r="K71">
        <v>2755</v>
      </c>
      <c r="L71">
        <v>1243.6656441717791</v>
      </c>
    </row>
    <row r="72" spans="1:12">
      <c r="A72" s="14">
        <v>43769</v>
      </c>
      <c r="B72">
        <v>2749</v>
      </c>
      <c r="C72">
        <v>2773</v>
      </c>
      <c r="D72">
        <v>1467</v>
      </c>
      <c r="E72">
        <v>1498</v>
      </c>
      <c r="F72">
        <v>1.8511348464619399</v>
      </c>
      <c r="G72">
        <v>1.7977224135126999</v>
      </c>
      <c r="H72">
        <v>5.65517401268857E-2</v>
      </c>
      <c r="I72">
        <v>0.94448787657828204</v>
      </c>
      <c r="J72">
        <v>2.89</v>
      </c>
      <c r="K72">
        <v>2773</v>
      </c>
      <c r="L72">
        <v>1233.782208588957</v>
      </c>
    </row>
    <row r="73" spans="1:12">
      <c r="A73" s="14">
        <v>43768</v>
      </c>
      <c r="B73">
        <v>2778</v>
      </c>
      <c r="C73">
        <v>2778</v>
      </c>
      <c r="D73">
        <v>1525</v>
      </c>
      <c r="E73">
        <v>1513</v>
      </c>
      <c r="F73">
        <v>1.8360872438863101</v>
      </c>
      <c r="G73">
        <v>1.7968789993982499</v>
      </c>
      <c r="H73">
        <v>5.6219582148671302E-2</v>
      </c>
      <c r="I73">
        <v>0.69741259165490199</v>
      </c>
      <c r="J73">
        <v>2.14</v>
      </c>
      <c r="K73">
        <v>2778</v>
      </c>
      <c r="L73">
        <v>1246.1365030674847</v>
      </c>
    </row>
    <row r="74" spans="1:12">
      <c r="A74" s="14">
        <v>43767</v>
      </c>
      <c r="B74">
        <v>2764</v>
      </c>
      <c r="C74">
        <v>2784</v>
      </c>
      <c r="D74">
        <v>1543</v>
      </c>
      <c r="E74">
        <v>1540</v>
      </c>
      <c r="F74">
        <v>1.8077922077922</v>
      </c>
      <c r="G74">
        <v>1.7955847213923399</v>
      </c>
      <c r="H74">
        <v>5.6419058758335298E-2</v>
      </c>
      <c r="I74">
        <v>0.216371677736684</v>
      </c>
      <c r="J74">
        <v>0.68</v>
      </c>
      <c r="K74">
        <v>2784</v>
      </c>
      <c r="L74">
        <v>1268.3742331288342</v>
      </c>
    </row>
    <row r="75" spans="1:12">
      <c r="A75" s="14">
        <v>43766</v>
      </c>
      <c r="B75">
        <v>2790</v>
      </c>
      <c r="C75">
        <v>2744</v>
      </c>
      <c r="D75">
        <v>1513</v>
      </c>
      <c r="E75">
        <v>1526</v>
      </c>
      <c r="F75">
        <v>1.7981651376146699</v>
      </c>
      <c r="G75">
        <v>1.79460690473576</v>
      </c>
      <c r="H75">
        <v>5.6833001897925901E-2</v>
      </c>
      <c r="I75">
        <v>6.2608568262865899E-2</v>
      </c>
      <c r="J75">
        <v>0.2</v>
      </c>
      <c r="K75">
        <v>2744</v>
      </c>
      <c r="L75">
        <v>1256.8435582822085</v>
      </c>
    </row>
    <row r="76" spans="1:12">
      <c r="A76" s="14">
        <v>43763</v>
      </c>
      <c r="B76">
        <v>2777</v>
      </c>
      <c r="C76">
        <v>2779</v>
      </c>
      <c r="D76">
        <v>1524</v>
      </c>
      <c r="E76">
        <v>1497</v>
      </c>
      <c r="F76">
        <v>1.8563794255177</v>
      </c>
      <c r="G76">
        <v>1.7941567201608799</v>
      </c>
      <c r="H76">
        <v>5.6936663731080001E-2</v>
      </c>
      <c r="I76">
        <v>1.0928407335333701</v>
      </c>
      <c r="J76">
        <v>3.35</v>
      </c>
      <c r="K76">
        <v>2779</v>
      </c>
      <c r="L76">
        <v>1232.9585889570551</v>
      </c>
    </row>
    <row r="77" spans="1:12">
      <c r="A77" s="14">
        <v>43762</v>
      </c>
      <c r="B77">
        <v>2759</v>
      </c>
      <c r="C77">
        <v>2763</v>
      </c>
      <c r="D77">
        <v>1517</v>
      </c>
      <c r="E77">
        <v>1525</v>
      </c>
      <c r="F77">
        <v>1.8118032786885201</v>
      </c>
      <c r="G77">
        <v>1.79297812043244</v>
      </c>
      <c r="H77">
        <v>5.6550026978105503E-2</v>
      </c>
      <c r="I77">
        <v>0.33289388638786399</v>
      </c>
      <c r="J77">
        <v>1.04</v>
      </c>
      <c r="K77">
        <v>2763</v>
      </c>
      <c r="L77">
        <v>1256.0199386503066</v>
      </c>
    </row>
    <row r="78" spans="1:12">
      <c r="A78" s="14">
        <v>43761</v>
      </c>
      <c r="B78">
        <v>2740</v>
      </c>
      <c r="C78">
        <v>2751</v>
      </c>
      <c r="D78">
        <v>1516</v>
      </c>
      <c r="E78">
        <v>1502</v>
      </c>
      <c r="F78">
        <v>1.8315579227696399</v>
      </c>
      <c r="G78">
        <v>1.7922300810597001</v>
      </c>
      <c r="H78">
        <v>5.6667003510966402E-2</v>
      </c>
      <c r="I78">
        <v>0.69401661060703401</v>
      </c>
      <c r="J78">
        <v>2.15</v>
      </c>
      <c r="K78">
        <v>2751</v>
      </c>
      <c r="L78">
        <v>1237.0766871165645</v>
      </c>
    </row>
    <row r="79" spans="1:12">
      <c r="A79" s="14">
        <v>43759</v>
      </c>
      <c r="B79">
        <v>2700</v>
      </c>
      <c r="C79">
        <v>2721</v>
      </c>
      <c r="D79">
        <v>1507</v>
      </c>
      <c r="E79">
        <v>1506</v>
      </c>
      <c r="F79">
        <v>1.80677290836653</v>
      </c>
      <c r="G79">
        <v>1.79118347596006</v>
      </c>
      <c r="H79">
        <v>5.6655857004275098E-2</v>
      </c>
      <c r="I79">
        <v>0.275160119902435</v>
      </c>
      <c r="J79">
        <v>0.86</v>
      </c>
      <c r="K79">
        <v>2721</v>
      </c>
      <c r="L79">
        <v>1240.3711656441717</v>
      </c>
    </row>
    <row r="80" spans="1:12">
      <c r="A80" s="14">
        <v>43756</v>
      </c>
      <c r="B80">
        <v>2690</v>
      </c>
      <c r="C80">
        <v>2693</v>
      </c>
      <c r="D80">
        <v>1495</v>
      </c>
      <c r="E80">
        <v>1502</v>
      </c>
      <c r="F80">
        <v>1.7929427430093201</v>
      </c>
      <c r="G80">
        <v>1.7903148199997101</v>
      </c>
      <c r="H80">
        <v>5.6909051136560598E-2</v>
      </c>
      <c r="I80">
        <v>4.6177593144260398E-2</v>
      </c>
      <c r="J80">
        <v>0.15</v>
      </c>
      <c r="K80">
        <v>2693</v>
      </c>
      <c r="L80">
        <v>1237.0766871165645</v>
      </c>
    </row>
    <row r="81" spans="1:12">
      <c r="A81" s="14">
        <v>43755</v>
      </c>
      <c r="B81">
        <v>2658</v>
      </c>
      <c r="C81">
        <v>2670</v>
      </c>
      <c r="D81">
        <v>1499</v>
      </c>
      <c r="E81">
        <v>1489</v>
      </c>
      <c r="F81">
        <v>1.79314976494291</v>
      </c>
      <c r="G81">
        <v>1.7900128771556201</v>
      </c>
      <c r="H81">
        <v>5.6954364870214297E-2</v>
      </c>
      <c r="I81">
        <v>5.5077214791818097E-2</v>
      </c>
      <c r="J81">
        <v>0.17</v>
      </c>
      <c r="K81">
        <v>2670</v>
      </c>
      <c r="L81">
        <v>1226.3696319018404</v>
      </c>
    </row>
    <row r="82" spans="1:12">
      <c r="A82" s="14">
        <v>43754</v>
      </c>
      <c r="B82">
        <v>2671</v>
      </c>
      <c r="C82">
        <v>2655</v>
      </c>
      <c r="D82">
        <v>1513</v>
      </c>
      <c r="E82">
        <v>1494</v>
      </c>
      <c r="F82">
        <v>1.7771084337349301</v>
      </c>
      <c r="G82">
        <v>1.7896021289182</v>
      </c>
      <c r="H82">
        <v>5.70412796138604E-2</v>
      </c>
      <c r="I82">
        <v>-0.21902901316100501</v>
      </c>
      <c r="J82">
        <v>-0.7</v>
      </c>
      <c r="K82">
        <v>2655</v>
      </c>
      <c r="L82">
        <v>1230.4877300613496</v>
      </c>
    </row>
    <row r="83" spans="1:12">
      <c r="A83" s="14">
        <v>43753</v>
      </c>
      <c r="B83">
        <v>2622</v>
      </c>
      <c r="C83">
        <v>2637</v>
      </c>
      <c r="D83">
        <v>1480</v>
      </c>
      <c r="E83">
        <v>1490</v>
      </c>
      <c r="F83">
        <v>1.7697986577181199</v>
      </c>
      <c r="G83">
        <v>1.7898479705844601</v>
      </c>
      <c r="H83">
        <v>5.7026634650343501E-2</v>
      </c>
      <c r="I83">
        <v>-0.35157804750841398</v>
      </c>
      <c r="J83">
        <v>-1.1299999999999999</v>
      </c>
      <c r="K83">
        <v>2637</v>
      </c>
      <c r="L83">
        <v>1227.1932515337423</v>
      </c>
    </row>
    <row r="84" spans="1:12">
      <c r="A84" s="14">
        <v>43749</v>
      </c>
      <c r="B84">
        <v>2559</v>
      </c>
      <c r="C84">
        <v>2576</v>
      </c>
      <c r="D84">
        <v>1435</v>
      </c>
      <c r="E84">
        <v>1456</v>
      </c>
      <c r="F84">
        <v>1.7692307692307601</v>
      </c>
      <c r="G84">
        <v>1.79026873424426</v>
      </c>
      <c r="H84">
        <v>5.6993562156403402E-2</v>
      </c>
      <c r="I84">
        <v>-0.369128796613306</v>
      </c>
      <c r="J84">
        <v>-1.19</v>
      </c>
      <c r="K84">
        <v>2576</v>
      </c>
      <c r="L84">
        <v>1199.1901840490798</v>
      </c>
    </row>
    <row r="85" spans="1:12">
      <c r="A85" s="14">
        <v>43748</v>
      </c>
      <c r="B85">
        <v>2567</v>
      </c>
      <c r="C85">
        <v>2554</v>
      </c>
      <c r="D85">
        <v>1402</v>
      </c>
      <c r="E85">
        <v>1419</v>
      </c>
      <c r="F85">
        <v>1.7998590556730001</v>
      </c>
      <c r="G85">
        <v>1.79047441461145</v>
      </c>
      <c r="H85">
        <v>5.6945082852983303E-2</v>
      </c>
      <c r="I85">
        <v>0.16480160518480599</v>
      </c>
      <c r="J85">
        <v>0.52</v>
      </c>
      <c r="K85">
        <v>2554</v>
      </c>
      <c r="L85">
        <v>1168.7162576687117</v>
      </c>
    </row>
    <row r="86" spans="1:12">
      <c r="A86" s="14">
        <v>43747</v>
      </c>
      <c r="B86">
        <v>2530</v>
      </c>
      <c r="C86">
        <v>2558</v>
      </c>
      <c r="D86">
        <v>1406</v>
      </c>
      <c r="E86">
        <v>1400</v>
      </c>
      <c r="F86">
        <v>1.8271428571428501</v>
      </c>
      <c r="G86">
        <v>1.7904383020102601</v>
      </c>
      <c r="H86">
        <v>5.6939978559976102E-2</v>
      </c>
      <c r="I86">
        <v>0.64461835183048999</v>
      </c>
      <c r="J86">
        <v>2.0099999999999998</v>
      </c>
      <c r="K86">
        <v>2558</v>
      </c>
      <c r="L86">
        <v>1153.0674846625766</v>
      </c>
    </row>
    <row r="87" spans="1:12">
      <c r="A87" s="14">
        <v>43746</v>
      </c>
      <c r="B87">
        <v>2562</v>
      </c>
      <c r="C87">
        <v>2554</v>
      </c>
      <c r="D87">
        <v>1422</v>
      </c>
      <c r="E87">
        <v>1429</v>
      </c>
      <c r="F87">
        <v>1.7872638208537399</v>
      </c>
      <c r="G87">
        <v>1.79034687603211</v>
      </c>
      <c r="H87">
        <v>5.68864500843645E-2</v>
      </c>
      <c r="I87">
        <v>-5.4196652696622299E-2</v>
      </c>
      <c r="J87">
        <v>-0.17</v>
      </c>
      <c r="K87">
        <v>2554</v>
      </c>
      <c r="L87">
        <v>1176.95245398773</v>
      </c>
    </row>
    <row r="88" spans="1:12">
      <c r="A88" s="14">
        <v>43745</v>
      </c>
      <c r="B88">
        <v>2564</v>
      </c>
      <c r="C88">
        <v>2545</v>
      </c>
      <c r="D88">
        <v>1406</v>
      </c>
      <c r="E88">
        <v>1408</v>
      </c>
      <c r="F88">
        <v>1.8075284090909001</v>
      </c>
      <c r="G88">
        <v>1.7908684803163699</v>
      </c>
      <c r="H88">
        <v>5.7034947092063401E-2</v>
      </c>
      <c r="I88">
        <v>0.29210036344283002</v>
      </c>
      <c r="J88">
        <v>0.92</v>
      </c>
      <c r="K88">
        <v>2545</v>
      </c>
      <c r="L88">
        <v>1159.6564417177913</v>
      </c>
    </row>
    <row r="89" spans="1:12">
      <c r="A89" s="14">
        <v>43742</v>
      </c>
      <c r="B89">
        <v>2528</v>
      </c>
      <c r="C89">
        <v>2563</v>
      </c>
      <c r="D89">
        <v>1393</v>
      </c>
      <c r="E89">
        <v>1407</v>
      </c>
      <c r="F89">
        <v>1.8216062544420699</v>
      </c>
      <c r="G89">
        <v>1.79144776726665</v>
      </c>
      <c r="H89">
        <v>5.7420548394235701E-2</v>
      </c>
      <c r="I89">
        <v>0.52522116243746897</v>
      </c>
      <c r="J89">
        <v>1.66</v>
      </c>
      <c r="K89">
        <v>2563</v>
      </c>
      <c r="L89">
        <v>1158.8328220858896</v>
      </c>
    </row>
    <row r="90" spans="1:12">
      <c r="A90" s="14">
        <v>43741</v>
      </c>
      <c r="B90">
        <v>2585</v>
      </c>
      <c r="C90">
        <v>2548</v>
      </c>
      <c r="D90">
        <v>1400</v>
      </c>
      <c r="E90">
        <v>1403</v>
      </c>
      <c r="F90">
        <v>1.81610833927298</v>
      </c>
      <c r="G90">
        <v>1.79208397923864</v>
      </c>
      <c r="H90">
        <v>5.8012467788526298E-2</v>
      </c>
      <c r="I90">
        <v>0.41412408315259303</v>
      </c>
      <c r="J90">
        <v>1.32</v>
      </c>
      <c r="K90">
        <v>2548</v>
      </c>
      <c r="L90">
        <v>1155.5383435582821</v>
      </c>
    </row>
    <row r="91" spans="1:12">
      <c r="A91" s="14">
        <v>43740</v>
      </c>
      <c r="B91">
        <v>2600</v>
      </c>
      <c r="C91">
        <v>2629</v>
      </c>
      <c r="D91">
        <v>1443</v>
      </c>
      <c r="E91">
        <v>1446</v>
      </c>
      <c r="F91">
        <v>1.8181189488243401</v>
      </c>
      <c r="G91">
        <v>1.7930976866518999</v>
      </c>
      <c r="H91">
        <v>5.9077883881406099E-2</v>
      </c>
      <c r="I91">
        <v>0.42353010176636902</v>
      </c>
      <c r="J91">
        <v>1.38</v>
      </c>
      <c r="K91">
        <v>2629</v>
      </c>
      <c r="L91">
        <v>1190.9539877300613</v>
      </c>
    </row>
    <row r="92" spans="1:12">
      <c r="A92" s="14">
        <v>43739</v>
      </c>
      <c r="B92">
        <v>2642</v>
      </c>
      <c r="C92">
        <v>2626</v>
      </c>
      <c r="D92">
        <v>1441</v>
      </c>
      <c r="E92">
        <v>1473</v>
      </c>
      <c r="F92">
        <v>1.7827562797012899</v>
      </c>
      <c r="G92">
        <v>1.7935889250950601</v>
      </c>
      <c r="H92">
        <v>5.9435986582627297E-2</v>
      </c>
      <c r="I92">
        <v>-0.18225734974073701</v>
      </c>
      <c r="J92">
        <v>-0.61</v>
      </c>
      <c r="K92">
        <v>2626</v>
      </c>
      <c r="L92">
        <v>1213.1917177914111</v>
      </c>
    </row>
    <row r="93" spans="1:12">
      <c r="A93" s="14">
        <v>43738</v>
      </c>
      <c r="B93">
        <v>2584</v>
      </c>
      <c r="C93">
        <v>2620</v>
      </c>
      <c r="D93">
        <v>1430</v>
      </c>
      <c r="E93">
        <v>1428</v>
      </c>
      <c r="F93">
        <v>1.83473389355742</v>
      </c>
      <c r="G93">
        <v>1.79457811342284</v>
      </c>
      <c r="H93">
        <v>5.9863294019152899E-2</v>
      </c>
      <c r="I93">
        <v>0.67079135541272705</v>
      </c>
      <c r="J93">
        <v>2.19</v>
      </c>
      <c r="K93">
        <v>2620</v>
      </c>
      <c r="L93">
        <v>1176.1288343558281</v>
      </c>
    </row>
    <row r="94" spans="1:12">
      <c r="A94" s="14">
        <v>43735</v>
      </c>
      <c r="B94">
        <v>2604</v>
      </c>
      <c r="C94">
        <v>2615</v>
      </c>
      <c r="D94">
        <v>1444</v>
      </c>
      <c r="E94">
        <v>1436</v>
      </c>
      <c r="F94">
        <v>1.8210306406685199</v>
      </c>
      <c r="G94">
        <v>1.7950125739854601</v>
      </c>
      <c r="H94">
        <v>6.02700101131435E-2</v>
      </c>
      <c r="I94">
        <v>0.43169175903923801</v>
      </c>
      <c r="J94">
        <v>1.43</v>
      </c>
      <c r="K94">
        <v>2615</v>
      </c>
      <c r="L94">
        <v>1182.717791411043</v>
      </c>
    </row>
    <row r="95" spans="1:12">
      <c r="A95" s="14">
        <v>43734</v>
      </c>
      <c r="B95">
        <v>2675</v>
      </c>
      <c r="C95">
        <v>2646</v>
      </c>
      <c r="D95">
        <v>1477</v>
      </c>
      <c r="E95">
        <v>1474</v>
      </c>
      <c r="F95">
        <v>1.7951153324287601</v>
      </c>
      <c r="G95">
        <v>1.7954604646669301</v>
      </c>
      <c r="H95">
        <v>6.0585686980513698E-2</v>
      </c>
      <c r="I95">
        <v>-5.6965969252645203E-3</v>
      </c>
      <c r="J95">
        <v>-0.02</v>
      </c>
      <c r="K95">
        <v>2646</v>
      </c>
      <c r="L95">
        <v>1214.0153374233128</v>
      </c>
    </row>
    <row r="96" spans="1:12">
      <c r="A96" s="14">
        <v>43733</v>
      </c>
      <c r="B96">
        <v>2631</v>
      </c>
      <c r="C96">
        <v>2668</v>
      </c>
      <c r="D96">
        <v>1454</v>
      </c>
      <c r="E96">
        <v>1454</v>
      </c>
      <c r="F96">
        <v>1.8349381017881701</v>
      </c>
      <c r="G96">
        <v>1.7963065459488301</v>
      </c>
      <c r="H96">
        <v>6.1016510951390102E-2</v>
      </c>
      <c r="I96">
        <v>0.63313282318143904</v>
      </c>
      <c r="J96">
        <v>2.11</v>
      </c>
      <c r="K96">
        <v>2668</v>
      </c>
      <c r="L96">
        <v>1197.5429447852759</v>
      </c>
    </row>
    <row r="97" spans="1:12">
      <c r="A97" s="14">
        <v>43732</v>
      </c>
      <c r="B97">
        <v>2648</v>
      </c>
      <c r="C97">
        <v>2640</v>
      </c>
      <c r="D97">
        <v>1465</v>
      </c>
      <c r="E97">
        <v>1475</v>
      </c>
      <c r="F97">
        <v>1.78983050847457</v>
      </c>
      <c r="G97">
        <v>1.7964216569726099</v>
      </c>
      <c r="H97">
        <v>6.1097372980378102E-2</v>
      </c>
      <c r="I97">
        <v>-0.107879409154843</v>
      </c>
      <c r="J97">
        <v>-0.37</v>
      </c>
      <c r="K97">
        <v>2640</v>
      </c>
      <c r="L97">
        <v>1214.8389570552147</v>
      </c>
    </row>
    <row r="98" spans="1:12">
      <c r="A98" s="14">
        <v>43728</v>
      </c>
      <c r="B98">
        <v>2672</v>
      </c>
      <c r="C98">
        <v>2647</v>
      </c>
      <c r="D98">
        <v>1477</v>
      </c>
      <c r="E98">
        <v>1463</v>
      </c>
      <c r="F98">
        <v>1.8092959671907001</v>
      </c>
      <c r="G98">
        <v>1.79727153590723</v>
      </c>
      <c r="H98">
        <v>6.14421304939608E-2</v>
      </c>
      <c r="I98">
        <v>0.19570335837636399</v>
      </c>
      <c r="J98">
        <v>0.66</v>
      </c>
      <c r="K98">
        <v>2647</v>
      </c>
      <c r="L98">
        <v>1204.9555214723925</v>
      </c>
    </row>
    <row r="99" spans="1:12">
      <c r="A99" s="14">
        <v>43727</v>
      </c>
      <c r="B99">
        <v>2608</v>
      </c>
      <c r="C99">
        <v>2658</v>
      </c>
      <c r="D99">
        <v>1472</v>
      </c>
      <c r="E99">
        <v>1464</v>
      </c>
      <c r="F99">
        <v>1.8155737704918</v>
      </c>
      <c r="G99">
        <v>1.7977105309977199</v>
      </c>
      <c r="H99">
        <v>6.1643765031482597E-2</v>
      </c>
      <c r="I99">
        <v>0.28978177249482601</v>
      </c>
      <c r="J99">
        <v>0.98</v>
      </c>
      <c r="K99">
        <v>2658</v>
      </c>
      <c r="L99">
        <v>1205.7791411042945</v>
      </c>
    </row>
    <row r="100" spans="1:12">
      <c r="A100" s="14">
        <v>43726</v>
      </c>
      <c r="B100">
        <v>2628</v>
      </c>
      <c r="C100">
        <v>2609</v>
      </c>
      <c r="D100">
        <v>1474</v>
      </c>
      <c r="E100">
        <v>1467</v>
      </c>
      <c r="F100">
        <v>1.7784594410361201</v>
      </c>
      <c r="G100">
        <v>1.7986383517660101</v>
      </c>
      <c r="H100">
        <v>6.2424390573048098E-2</v>
      </c>
      <c r="I100">
        <v>-0.32325362802336</v>
      </c>
      <c r="J100">
        <v>-1.1299999999999999</v>
      </c>
      <c r="K100">
        <v>2609</v>
      </c>
      <c r="L100">
        <v>1208.25</v>
      </c>
    </row>
    <row r="101" spans="1:12">
      <c r="A101" s="14">
        <v>43725</v>
      </c>
      <c r="B101">
        <v>2590</v>
      </c>
      <c r="C101">
        <v>2628</v>
      </c>
      <c r="D101">
        <v>1492</v>
      </c>
      <c r="E101">
        <v>1485</v>
      </c>
      <c r="F101">
        <v>1.76969696969696</v>
      </c>
      <c r="G101">
        <v>1.7996280265628399</v>
      </c>
      <c r="H101">
        <v>6.2684473186907702E-2</v>
      </c>
      <c r="I101">
        <v>-0.477487571389904</v>
      </c>
      <c r="J101">
        <v>-1.69</v>
      </c>
      <c r="K101">
        <v>2628</v>
      </c>
      <c r="L101">
        <v>1223.075153374233</v>
      </c>
    </row>
    <row r="102" spans="1:12">
      <c r="A102" s="14">
        <v>43721</v>
      </c>
      <c r="B102">
        <v>2610</v>
      </c>
      <c r="C102">
        <v>2590</v>
      </c>
      <c r="D102">
        <v>1495</v>
      </c>
      <c r="E102">
        <v>1502</v>
      </c>
      <c r="F102">
        <v>1.72436750998668</v>
      </c>
      <c r="G102">
        <v>1.8004527188821799</v>
      </c>
      <c r="H102">
        <v>6.2692137006987295E-2</v>
      </c>
      <c r="I102">
        <v>-1.2136324031675001</v>
      </c>
      <c r="J102">
        <v>-4.41</v>
      </c>
      <c r="K102">
        <v>2590</v>
      </c>
      <c r="L102">
        <v>1237.0766871165645</v>
      </c>
    </row>
    <row r="103" spans="1:12">
      <c r="A103" s="14">
        <v>43720</v>
      </c>
      <c r="B103">
        <v>2599</v>
      </c>
      <c r="C103">
        <v>2613</v>
      </c>
      <c r="D103">
        <v>1487</v>
      </c>
      <c r="E103">
        <v>1484</v>
      </c>
      <c r="F103">
        <v>1.7607816711590201</v>
      </c>
      <c r="G103">
        <v>1.80174134531907</v>
      </c>
      <c r="H103">
        <v>6.21055111738881E-2</v>
      </c>
      <c r="I103">
        <v>-0.65951754338453905</v>
      </c>
      <c r="J103">
        <v>-2.33</v>
      </c>
      <c r="K103">
        <v>2613</v>
      </c>
      <c r="L103">
        <v>1222.2515337423313</v>
      </c>
    </row>
    <row r="104" spans="1:12">
      <c r="A104" s="14">
        <v>43719</v>
      </c>
      <c r="B104">
        <v>2558</v>
      </c>
      <c r="C104">
        <v>2573</v>
      </c>
      <c r="D104">
        <v>1459</v>
      </c>
      <c r="E104">
        <v>1469</v>
      </c>
      <c r="F104">
        <v>1.75153165418652</v>
      </c>
      <c r="G104">
        <v>1.80190105445869</v>
      </c>
      <c r="H104">
        <v>6.2015310756440303E-2</v>
      </c>
      <c r="I104">
        <v>-0.81220910865055695</v>
      </c>
      <c r="J104">
        <v>-2.88</v>
      </c>
      <c r="K104">
        <v>2573</v>
      </c>
      <c r="L104">
        <v>1209.8972392638036</v>
      </c>
    </row>
    <row r="105" spans="1:12">
      <c r="A105" s="14">
        <v>43718</v>
      </c>
      <c r="B105">
        <v>2598</v>
      </c>
      <c r="C105">
        <v>2573</v>
      </c>
      <c r="D105">
        <v>1408</v>
      </c>
      <c r="E105">
        <v>1438</v>
      </c>
      <c r="F105">
        <v>1.7892906815020799</v>
      </c>
      <c r="G105">
        <v>1.80204574367351</v>
      </c>
      <c r="H105">
        <v>6.1910194136045198E-2</v>
      </c>
      <c r="I105">
        <v>-0.206025232991527</v>
      </c>
      <c r="J105">
        <v>-0.71</v>
      </c>
      <c r="K105">
        <v>2573</v>
      </c>
      <c r="L105">
        <v>1184.3650306748466</v>
      </c>
    </row>
    <row r="106" spans="1:12">
      <c r="A106" s="14">
        <v>43717</v>
      </c>
      <c r="B106">
        <v>2549</v>
      </c>
      <c r="C106">
        <v>2591</v>
      </c>
      <c r="D106">
        <v>1395</v>
      </c>
      <c r="E106">
        <v>1395</v>
      </c>
      <c r="F106">
        <v>1.85734767025089</v>
      </c>
      <c r="G106">
        <v>1.8014909817239</v>
      </c>
      <c r="H106">
        <v>6.2207704386290801E-2</v>
      </c>
      <c r="I106">
        <v>0.89790628151353302</v>
      </c>
      <c r="J106">
        <v>3.01</v>
      </c>
      <c r="K106">
        <v>2591</v>
      </c>
      <c r="L106">
        <v>1148.9493865030674</v>
      </c>
    </row>
    <row r="107" spans="1:12">
      <c r="A107" s="14">
        <v>43714</v>
      </c>
      <c r="B107">
        <v>2552</v>
      </c>
      <c r="C107">
        <v>2555</v>
      </c>
      <c r="D107">
        <v>1388</v>
      </c>
      <c r="E107">
        <v>1391</v>
      </c>
      <c r="F107">
        <v>1.8368080517613199</v>
      </c>
      <c r="G107">
        <v>1.80017821904612</v>
      </c>
      <c r="H107">
        <v>6.20537905834311E-2</v>
      </c>
      <c r="I107">
        <v>0.59029162232972099</v>
      </c>
      <c r="J107">
        <v>1.99</v>
      </c>
      <c r="K107">
        <v>2555</v>
      </c>
      <c r="L107">
        <v>1145.65490797546</v>
      </c>
    </row>
    <row r="108" spans="1:12">
      <c r="A108" s="14">
        <v>43713</v>
      </c>
      <c r="B108">
        <v>2577</v>
      </c>
      <c r="C108">
        <v>2565</v>
      </c>
      <c r="D108">
        <v>1353</v>
      </c>
      <c r="E108">
        <v>1379</v>
      </c>
      <c r="F108">
        <v>1.8600435097896999</v>
      </c>
      <c r="G108">
        <v>1.7986699011629801</v>
      </c>
      <c r="H108">
        <v>6.2518203366685093E-2</v>
      </c>
      <c r="I108">
        <v>0.98169181648973503</v>
      </c>
      <c r="J108">
        <v>3.3</v>
      </c>
      <c r="K108">
        <v>2565</v>
      </c>
      <c r="L108">
        <v>1135.7714723926381</v>
      </c>
    </row>
    <row r="109" spans="1:12">
      <c r="A109" s="14">
        <v>43712</v>
      </c>
      <c r="B109">
        <v>2552</v>
      </c>
      <c r="C109">
        <v>2565</v>
      </c>
      <c r="D109">
        <v>1347</v>
      </c>
      <c r="E109">
        <v>1345</v>
      </c>
      <c r="F109">
        <v>1.9070631970260199</v>
      </c>
      <c r="G109">
        <v>1.79666830322075</v>
      </c>
      <c r="H109">
        <v>6.2923035166647004E-2</v>
      </c>
      <c r="I109">
        <v>1.75444324185724</v>
      </c>
      <c r="J109">
        <v>5.79</v>
      </c>
      <c r="K109">
        <v>2565</v>
      </c>
      <c r="L109">
        <v>1107.7684049079753</v>
      </c>
    </row>
    <row r="110" spans="1:12">
      <c r="A110" s="14">
        <v>43711</v>
      </c>
      <c r="B110">
        <v>2566</v>
      </c>
      <c r="C110">
        <v>2545</v>
      </c>
      <c r="D110">
        <v>1351</v>
      </c>
      <c r="E110">
        <v>1358</v>
      </c>
      <c r="F110">
        <v>1.8740795287187</v>
      </c>
      <c r="G110">
        <v>1.7948889420752201</v>
      </c>
      <c r="H110">
        <v>6.1650116914403197E-2</v>
      </c>
      <c r="I110">
        <v>1.28451640656957</v>
      </c>
      <c r="J110">
        <v>4.2300000000000004</v>
      </c>
      <c r="K110">
        <v>2545</v>
      </c>
      <c r="L110">
        <v>1118.4754601226994</v>
      </c>
    </row>
    <row r="111" spans="1:12">
      <c r="A111" s="14">
        <v>43710</v>
      </c>
      <c r="B111">
        <v>2545</v>
      </c>
      <c r="C111">
        <v>2564</v>
      </c>
      <c r="D111">
        <v>1359</v>
      </c>
      <c r="E111">
        <v>1355</v>
      </c>
      <c r="F111">
        <v>1.8922509225092199</v>
      </c>
      <c r="G111">
        <v>1.7926838628116499</v>
      </c>
      <c r="H111">
        <v>6.1735804780871199E-2</v>
      </c>
      <c r="I111">
        <v>1.61279277156873</v>
      </c>
      <c r="J111">
        <v>5.26</v>
      </c>
      <c r="K111">
        <v>2564</v>
      </c>
      <c r="L111">
        <v>1116.0046012269938</v>
      </c>
    </row>
    <row r="112" spans="1:12">
      <c r="A112" s="14">
        <v>43707</v>
      </c>
      <c r="B112">
        <v>2525</v>
      </c>
      <c r="C112">
        <v>2560</v>
      </c>
      <c r="D112">
        <v>1361</v>
      </c>
      <c r="E112">
        <v>1364</v>
      </c>
      <c r="F112">
        <v>1.8768328445747799</v>
      </c>
      <c r="G112">
        <v>1.7903482912047499</v>
      </c>
      <c r="H112">
        <v>6.1236262188412702E-2</v>
      </c>
      <c r="I112">
        <v>1.41230947610622</v>
      </c>
      <c r="J112">
        <v>4.6100000000000003</v>
      </c>
      <c r="K112">
        <v>2560</v>
      </c>
      <c r="L112">
        <v>1123.4171779141104</v>
      </c>
    </row>
    <row r="113" spans="1:12">
      <c r="A113" s="14">
        <v>43706</v>
      </c>
      <c r="B113">
        <v>2519</v>
      </c>
      <c r="C113">
        <v>2493</v>
      </c>
      <c r="D113">
        <v>1358</v>
      </c>
      <c r="E113">
        <v>1346</v>
      </c>
      <c r="F113">
        <v>1.8521545319465</v>
      </c>
      <c r="G113">
        <v>1.78826671672293</v>
      </c>
      <c r="H113">
        <v>6.0913629016862703E-2</v>
      </c>
      <c r="I113">
        <v>1.04882628493345</v>
      </c>
      <c r="J113">
        <v>3.45</v>
      </c>
      <c r="K113">
        <v>2493</v>
      </c>
      <c r="L113">
        <v>1108.5920245398772</v>
      </c>
    </row>
    <row r="114" spans="1:12">
      <c r="A114" s="14">
        <v>43705</v>
      </c>
      <c r="B114">
        <v>2459</v>
      </c>
      <c r="C114">
        <v>2496</v>
      </c>
      <c r="D114">
        <v>1344</v>
      </c>
      <c r="E114">
        <v>1346</v>
      </c>
      <c r="F114">
        <v>1.85438335809806</v>
      </c>
      <c r="G114">
        <v>1.78837343378159</v>
      </c>
      <c r="H114">
        <v>6.1032358554443097E-2</v>
      </c>
      <c r="I114">
        <v>1.08155617577178</v>
      </c>
      <c r="J114">
        <v>3.56</v>
      </c>
      <c r="K114">
        <v>2496</v>
      </c>
      <c r="L114">
        <v>1108.5920245398772</v>
      </c>
    </row>
    <row r="115" spans="1:12">
      <c r="A115" s="14">
        <v>43704</v>
      </c>
      <c r="B115">
        <v>2469</v>
      </c>
      <c r="C115">
        <v>2470</v>
      </c>
      <c r="D115">
        <v>1334</v>
      </c>
      <c r="E115">
        <v>1344</v>
      </c>
      <c r="F115">
        <v>1.83779761904761</v>
      </c>
      <c r="G115">
        <v>1.7888315452983401</v>
      </c>
      <c r="H115">
        <v>6.1651915621398698E-2</v>
      </c>
      <c r="I115">
        <v>0.79423442492809004</v>
      </c>
      <c r="J115">
        <v>2.66</v>
      </c>
      <c r="K115">
        <v>2470</v>
      </c>
      <c r="L115">
        <v>1106.9447852760736</v>
      </c>
    </row>
    <row r="116" spans="1:12">
      <c r="A116" s="14">
        <v>43703</v>
      </c>
      <c r="B116">
        <v>2397</v>
      </c>
      <c r="C116">
        <v>2457</v>
      </c>
      <c r="D116">
        <v>1310</v>
      </c>
      <c r="E116">
        <v>1322</v>
      </c>
      <c r="F116">
        <v>1.85854765506807</v>
      </c>
      <c r="G116">
        <v>1.78821543521794</v>
      </c>
      <c r="H116">
        <v>6.1389832197405701E-2</v>
      </c>
      <c r="I116">
        <v>1.14566561485248</v>
      </c>
      <c r="J116">
        <v>3.78</v>
      </c>
      <c r="K116">
        <v>2457</v>
      </c>
      <c r="L116">
        <v>1088.8251533742332</v>
      </c>
    </row>
    <row r="117" spans="1:12">
      <c r="A117" s="14">
        <v>43700</v>
      </c>
      <c r="B117">
        <v>2458</v>
      </c>
      <c r="C117">
        <v>2447</v>
      </c>
      <c r="D117">
        <v>1348</v>
      </c>
      <c r="E117">
        <v>1357</v>
      </c>
      <c r="F117">
        <v>1.8032424465733199</v>
      </c>
      <c r="G117">
        <v>1.78649614585634</v>
      </c>
      <c r="H117">
        <v>6.1201383642469902E-2</v>
      </c>
      <c r="I117">
        <v>0.273626178368855</v>
      </c>
      <c r="J117">
        <v>0.93</v>
      </c>
      <c r="K117">
        <v>2447</v>
      </c>
      <c r="L117">
        <v>1117.6518404907974</v>
      </c>
    </row>
    <row r="118" spans="1:12">
      <c r="A118" s="14">
        <v>43699</v>
      </c>
      <c r="B118">
        <v>2426</v>
      </c>
      <c r="C118">
        <v>2431</v>
      </c>
      <c r="D118">
        <v>1350</v>
      </c>
      <c r="E118">
        <v>1357</v>
      </c>
      <c r="F118">
        <v>1.79145173176123</v>
      </c>
      <c r="G118">
        <v>1.78603219737854</v>
      </c>
      <c r="H118">
        <v>6.1204565878405399E-2</v>
      </c>
      <c r="I118">
        <v>8.8547877187187193E-2</v>
      </c>
      <c r="J118">
        <v>0.3</v>
      </c>
      <c r="K118">
        <v>2431</v>
      </c>
      <c r="L118">
        <v>1117.6518404907974</v>
      </c>
    </row>
    <row r="119" spans="1:12">
      <c r="A119" s="14">
        <v>43698</v>
      </c>
      <c r="B119">
        <v>2366</v>
      </c>
      <c r="C119">
        <v>2404</v>
      </c>
      <c r="D119">
        <v>1314</v>
      </c>
      <c r="E119">
        <v>1349</v>
      </c>
      <c r="F119">
        <v>1.7820607857672299</v>
      </c>
      <c r="G119">
        <v>1.7855475348326</v>
      </c>
      <c r="H119">
        <v>6.1303572731729698E-2</v>
      </c>
      <c r="I119">
        <v>-5.6876767698888199E-2</v>
      </c>
      <c r="J119">
        <v>-0.2</v>
      </c>
      <c r="K119">
        <v>2404</v>
      </c>
      <c r="L119">
        <v>1111.0628834355828</v>
      </c>
    </row>
    <row r="120" spans="1:12">
      <c r="A120" s="14">
        <v>43697</v>
      </c>
      <c r="B120">
        <v>2349</v>
      </c>
      <c r="C120">
        <v>2390</v>
      </c>
      <c r="D120">
        <v>1347</v>
      </c>
      <c r="E120">
        <v>1348</v>
      </c>
      <c r="F120">
        <v>1.7729970326409401</v>
      </c>
      <c r="G120">
        <v>1.7844197775770001</v>
      </c>
      <c r="H120">
        <v>6.2129770146275701E-2</v>
      </c>
      <c r="I120">
        <v>-0.18385300491468901</v>
      </c>
      <c r="J120">
        <v>-0.64</v>
      </c>
      <c r="K120">
        <v>2390</v>
      </c>
      <c r="L120">
        <v>1110.2392638036808</v>
      </c>
    </row>
    <row r="121" spans="1:12">
      <c r="A121" s="14">
        <v>43696</v>
      </c>
      <c r="B121">
        <v>2310</v>
      </c>
      <c r="C121">
        <v>2338</v>
      </c>
      <c r="D121">
        <v>1361</v>
      </c>
      <c r="E121">
        <v>1353</v>
      </c>
      <c r="F121">
        <v>1.7280118255728001</v>
      </c>
      <c r="G121">
        <v>1.7835513527223099</v>
      </c>
      <c r="H121">
        <v>6.2735603109727894E-2</v>
      </c>
      <c r="I121">
        <v>-0.88529518162709298</v>
      </c>
      <c r="J121">
        <v>-3.21</v>
      </c>
      <c r="K121">
        <v>2338</v>
      </c>
      <c r="L121">
        <v>1114.3573619631902</v>
      </c>
    </row>
    <row r="122" spans="1:12">
      <c r="A122" s="14">
        <v>43693</v>
      </c>
      <c r="B122">
        <v>2300</v>
      </c>
      <c r="C122">
        <v>2290</v>
      </c>
      <c r="D122">
        <v>1331</v>
      </c>
      <c r="E122">
        <v>1339</v>
      </c>
      <c r="F122">
        <v>1.7102315160567501</v>
      </c>
      <c r="G122">
        <v>1.7832333547780399</v>
      </c>
      <c r="H122">
        <v>6.3075842346411198E-2</v>
      </c>
      <c r="I122">
        <v>-1.15736605339901</v>
      </c>
      <c r="J122">
        <v>-4.2699999999999996</v>
      </c>
      <c r="K122">
        <v>2290</v>
      </c>
      <c r="L122">
        <v>1102.8266871165645</v>
      </c>
    </row>
    <row r="123" spans="1:12">
      <c r="A123" s="14">
        <v>43692</v>
      </c>
      <c r="B123">
        <v>2321</v>
      </c>
      <c r="C123">
        <v>2337</v>
      </c>
      <c r="D123">
        <v>1320</v>
      </c>
      <c r="E123">
        <v>1350</v>
      </c>
      <c r="F123">
        <v>1.7311111111111099</v>
      </c>
      <c r="G123">
        <v>1.7830836307945499</v>
      </c>
      <c r="H123">
        <v>6.3262002955736696E-2</v>
      </c>
      <c r="I123">
        <v>-0.82154401149461898</v>
      </c>
      <c r="J123">
        <v>-3</v>
      </c>
      <c r="K123">
        <v>2337</v>
      </c>
      <c r="L123">
        <v>1111.8865030674847</v>
      </c>
    </row>
    <row r="124" spans="1:12">
      <c r="A124" s="14">
        <v>43691</v>
      </c>
      <c r="B124">
        <v>2386</v>
      </c>
      <c r="C124">
        <v>2377</v>
      </c>
      <c r="D124">
        <v>1347</v>
      </c>
      <c r="E124">
        <v>1353</v>
      </c>
      <c r="F124">
        <v>1.7568366592756799</v>
      </c>
      <c r="G124">
        <v>1.78267989631214</v>
      </c>
      <c r="H124">
        <v>6.3687591633126497E-2</v>
      </c>
      <c r="I124">
        <v>-0.40578135196779502</v>
      </c>
      <c r="J124">
        <v>-1.47</v>
      </c>
      <c r="K124">
        <v>2377</v>
      </c>
      <c r="L124">
        <v>1114.3573619631902</v>
      </c>
    </row>
    <row r="125" spans="1:12">
      <c r="A125" s="14">
        <v>43690</v>
      </c>
      <c r="B125">
        <v>2444</v>
      </c>
      <c r="C125">
        <v>2379</v>
      </c>
      <c r="D125">
        <v>1336</v>
      </c>
      <c r="E125">
        <v>1326</v>
      </c>
      <c r="F125">
        <v>1.79411764705882</v>
      </c>
      <c r="G125">
        <v>1.7815997298661199</v>
      </c>
      <c r="H125">
        <v>6.4794131908811906E-2</v>
      </c>
      <c r="I125">
        <v>0.19319522962841901</v>
      </c>
      <c r="J125">
        <v>0.7</v>
      </c>
      <c r="K125">
        <v>2379</v>
      </c>
      <c r="L125">
        <v>1092.1196319018404</v>
      </c>
    </row>
    <row r="126" spans="1:12">
      <c r="A126" s="14">
        <v>43686</v>
      </c>
      <c r="B126">
        <v>2580</v>
      </c>
      <c r="C126">
        <v>2580</v>
      </c>
      <c r="D126">
        <v>1355</v>
      </c>
      <c r="E126">
        <v>1349</v>
      </c>
      <c r="F126">
        <v>1.91252779836916</v>
      </c>
      <c r="G126">
        <v>1.78009704029472</v>
      </c>
      <c r="H126">
        <v>6.5785682809609905E-2</v>
      </c>
      <c r="I126">
        <v>2.01306351805614</v>
      </c>
      <c r="J126">
        <v>6.92</v>
      </c>
      <c r="K126">
        <v>2580</v>
      </c>
      <c r="L126">
        <v>1111.0628834355828</v>
      </c>
    </row>
    <row r="127" spans="1:12">
      <c r="A127" s="14">
        <v>43685</v>
      </c>
      <c r="B127">
        <v>2546</v>
      </c>
      <c r="C127">
        <v>2566</v>
      </c>
      <c r="D127">
        <v>1329</v>
      </c>
      <c r="E127">
        <v>1338</v>
      </c>
      <c r="F127">
        <v>1.91778774289985</v>
      </c>
      <c r="G127">
        <v>1.7771354824351799</v>
      </c>
      <c r="H127">
        <v>6.4748701952896295E-2</v>
      </c>
      <c r="I127">
        <v>2.1722792306629302</v>
      </c>
      <c r="J127">
        <v>7.33</v>
      </c>
      <c r="K127">
        <v>2566</v>
      </c>
      <c r="L127">
        <v>1102.0030674846626</v>
      </c>
    </row>
    <row r="128" spans="1:12">
      <c r="A128" s="14">
        <v>43684</v>
      </c>
      <c r="B128">
        <v>2526</v>
      </c>
      <c r="C128">
        <v>2517</v>
      </c>
      <c r="D128">
        <v>1337</v>
      </c>
      <c r="E128">
        <v>1339</v>
      </c>
      <c r="F128">
        <v>1.87976101568334</v>
      </c>
      <c r="G128">
        <v>1.7745471450358301</v>
      </c>
      <c r="H128">
        <v>6.2928893911546394E-2</v>
      </c>
      <c r="I128">
        <v>1.6719485137527199</v>
      </c>
      <c r="J128">
        <v>5.6</v>
      </c>
      <c r="K128">
        <v>2517</v>
      </c>
      <c r="L128">
        <v>1102.8266871165645</v>
      </c>
    </row>
    <row r="129" spans="1:12">
      <c r="A129" s="14">
        <v>43683</v>
      </c>
      <c r="B129">
        <v>2446</v>
      </c>
      <c r="C129">
        <v>2547</v>
      </c>
      <c r="D129">
        <v>1310</v>
      </c>
      <c r="E129">
        <v>1358</v>
      </c>
      <c r="F129">
        <v>1.8755522827687701</v>
      </c>
      <c r="G129">
        <v>1.7720800798185701</v>
      </c>
      <c r="H129">
        <v>6.2380294371017497E-2</v>
      </c>
      <c r="I129">
        <v>1.65873220050526</v>
      </c>
      <c r="J129">
        <v>5.52</v>
      </c>
      <c r="K129">
        <v>2547</v>
      </c>
      <c r="L129">
        <v>1118.4754601226994</v>
      </c>
    </row>
    <row r="130" spans="1:12">
      <c r="A130" s="14">
        <v>43682</v>
      </c>
      <c r="B130">
        <v>2534</v>
      </c>
      <c r="C130">
        <v>2520</v>
      </c>
      <c r="D130">
        <v>1364</v>
      </c>
      <c r="E130">
        <v>1361</v>
      </c>
      <c r="F130">
        <v>1.8515797207935301</v>
      </c>
      <c r="G130">
        <v>1.76997432805499</v>
      </c>
      <c r="H130">
        <v>6.1511443442449701E-2</v>
      </c>
      <c r="I130">
        <v>1.3266700986279201</v>
      </c>
      <c r="J130">
        <v>4.41</v>
      </c>
      <c r="K130">
        <v>2520</v>
      </c>
      <c r="L130">
        <v>1120.9463190184049</v>
      </c>
    </row>
    <row r="131" spans="1:12">
      <c r="A131" s="14">
        <v>43679</v>
      </c>
      <c r="B131">
        <v>2559</v>
      </c>
      <c r="C131">
        <v>2552</v>
      </c>
      <c r="D131">
        <v>1381</v>
      </c>
      <c r="E131">
        <v>1394</v>
      </c>
      <c r="F131">
        <v>1.8307030129124799</v>
      </c>
      <c r="G131">
        <v>1.7679871135290299</v>
      </c>
      <c r="H131">
        <v>6.1249901444998298E-2</v>
      </c>
      <c r="I131">
        <v>1.02393469873198</v>
      </c>
      <c r="J131">
        <v>3.43</v>
      </c>
      <c r="K131">
        <v>2552</v>
      </c>
      <c r="L131">
        <v>1148.1257668711655</v>
      </c>
    </row>
    <row r="132" spans="1:12">
      <c r="A132" s="14">
        <v>43678</v>
      </c>
      <c r="B132">
        <v>2600</v>
      </c>
      <c r="C132">
        <v>2615</v>
      </c>
      <c r="D132">
        <v>1509</v>
      </c>
      <c r="E132">
        <v>1426</v>
      </c>
      <c r="F132">
        <v>1.83380084151472</v>
      </c>
      <c r="G132">
        <v>1.76610672953209</v>
      </c>
      <c r="H132">
        <v>6.1460092207331E-2</v>
      </c>
      <c r="I132">
        <v>1.1014319951599201</v>
      </c>
      <c r="J132">
        <v>3.69</v>
      </c>
      <c r="K132">
        <v>2615</v>
      </c>
      <c r="L132">
        <v>1174.4815950920245</v>
      </c>
    </row>
    <row r="133" spans="1:12">
      <c r="A133" s="14">
        <v>43677</v>
      </c>
      <c r="B133">
        <v>2630</v>
      </c>
      <c r="C133">
        <v>2627</v>
      </c>
      <c r="D133">
        <v>1510</v>
      </c>
      <c r="E133">
        <v>1533</v>
      </c>
      <c r="F133">
        <v>1.7136333985648999</v>
      </c>
      <c r="G133">
        <v>1.76419434486186</v>
      </c>
      <c r="H133">
        <v>6.15553611758234E-2</v>
      </c>
      <c r="I133">
        <v>-0.82138980798983796</v>
      </c>
      <c r="J133">
        <v>-2.95</v>
      </c>
      <c r="K133">
        <v>2627</v>
      </c>
      <c r="L133">
        <v>1262.6088957055215</v>
      </c>
    </row>
    <row r="134" spans="1:12">
      <c r="A134" s="14">
        <v>43676</v>
      </c>
      <c r="B134">
        <v>2614</v>
      </c>
      <c r="C134">
        <v>2633</v>
      </c>
      <c r="D134">
        <v>1505</v>
      </c>
      <c r="E134">
        <v>1521</v>
      </c>
      <c r="F134">
        <v>1.73109796186719</v>
      </c>
      <c r="G134">
        <v>1.76395713222454</v>
      </c>
      <c r="H134">
        <v>6.1783605010808901E-2</v>
      </c>
      <c r="I134">
        <v>-0.53184287889317305</v>
      </c>
      <c r="J134">
        <v>-1.9</v>
      </c>
      <c r="K134">
        <v>2633</v>
      </c>
      <c r="L134">
        <v>1252.7254601226994</v>
      </c>
    </row>
    <row r="135" spans="1:12">
      <c r="A135" s="14">
        <v>43675</v>
      </c>
      <c r="B135">
        <v>2607</v>
      </c>
      <c r="C135">
        <v>2606</v>
      </c>
      <c r="D135">
        <v>1532</v>
      </c>
      <c r="E135">
        <v>1515</v>
      </c>
      <c r="F135">
        <v>1.72013201320132</v>
      </c>
      <c r="G135">
        <v>1.76346475162553</v>
      </c>
      <c r="H135">
        <v>6.2189329828476601E-2</v>
      </c>
      <c r="I135">
        <v>-0.69678735152362203</v>
      </c>
      <c r="J135">
        <v>-2.52</v>
      </c>
      <c r="K135">
        <v>2606</v>
      </c>
      <c r="L135">
        <v>1247.7837423312883</v>
      </c>
    </row>
    <row r="136" spans="1:12">
      <c r="A136" s="14">
        <v>43672</v>
      </c>
      <c r="B136">
        <v>2620</v>
      </c>
      <c r="C136">
        <v>2612</v>
      </c>
      <c r="D136">
        <v>1553</v>
      </c>
      <c r="E136">
        <v>1542</v>
      </c>
      <c r="F136">
        <v>1.69390402075226</v>
      </c>
      <c r="G136">
        <v>1.76324433955662</v>
      </c>
      <c r="H136">
        <v>6.23715471276685E-2</v>
      </c>
      <c r="I136">
        <v>-1.11172997941549</v>
      </c>
      <c r="J136">
        <v>-4.09</v>
      </c>
      <c r="K136">
        <v>2612</v>
      </c>
      <c r="L136">
        <v>1270.0214723926381</v>
      </c>
    </row>
    <row r="137" spans="1:12">
      <c r="A137" s="14">
        <v>43671</v>
      </c>
      <c r="B137">
        <v>2636</v>
      </c>
      <c r="C137">
        <v>2629</v>
      </c>
      <c r="D137">
        <v>1562</v>
      </c>
      <c r="E137">
        <v>1563</v>
      </c>
      <c r="F137">
        <v>1.68202175303902</v>
      </c>
      <c r="G137">
        <v>1.7630522089812299</v>
      </c>
      <c r="H137">
        <v>6.2606599727913201E-2</v>
      </c>
      <c r="I137">
        <v>-1.2942797771218799</v>
      </c>
      <c r="J137">
        <v>-4.82</v>
      </c>
      <c r="K137">
        <v>2629</v>
      </c>
      <c r="L137">
        <v>1287.3174846625766</v>
      </c>
    </row>
    <row r="138" spans="1:12">
      <c r="A138" s="14">
        <v>43670</v>
      </c>
      <c r="B138">
        <v>2619</v>
      </c>
      <c r="C138">
        <v>2623</v>
      </c>
      <c r="D138">
        <v>1567</v>
      </c>
      <c r="E138">
        <v>1555</v>
      </c>
      <c r="F138">
        <v>1.68681672025723</v>
      </c>
      <c r="G138">
        <v>1.7634440442203501</v>
      </c>
      <c r="H138">
        <v>6.2188799092540298E-2</v>
      </c>
      <c r="I138">
        <v>-1.232172434285</v>
      </c>
      <c r="J138">
        <v>-4.54</v>
      </c>
      <c r="K138">
        <v>2623</v>
      </c>
      <c r="L138">
        <v>1280.7285276073619</v>
      </c>
    </row>
    <row r="139" spans="1:12">
      <c r="A139" s="14">
        <v>43669</v>
      </c>
      <c r="B139">
        <v>2586</v>
      </c>
      <c r="C139">
        <v>2605</v>
      </c>
      <c r="D139">
        <v>1528</v>
      </c>
      <c r="E139">
        <v>1551</v>
      </c>
      <c r="F139">
        <v>1.67956157317859</v>
      </c>
      <c r="G139">
        <v>1.76415135281512</v>
      </c>
      <c r="H139">
        <v>6.1612251428390198E-2</v>
      </c>
      <c r="I139">
        <v>-1.37293764917585</v>
      </c>
      <c r="J139">
        <v>-5.04</v>
      </c>
      <c r="K139">
        <v>2605</v>
      </c>
      <c r="L139">
        <v>1277.4340490797545</v>
      </c>
    </row>
    <row r="140" spans="1:12">
      <c r="A140" s="14">
        <v>43668</v>
      </c>
      <c r="B140">
        <v>2622</v>
      </c>
      <c r="C140">
        <v>2596</v>
      </c>
      <c r="D140">
        <v>1530</v>
      </c>
      <c r="E140">
        <v>1523</v>
      </c>
      <c r="F140">
        <v>1.7045305318450401</v>
      </c>
      <c r="G140">
        <v>1.7654256083453099</v>
      </c>
      <c r="H140">
        <v>6.08329462268326E-2</v>
      </c>
      <c r="I140">
        <v>-1.0010213260624501</v>
      </c>
      <c r="J140">
        <v>-3.57</v>
      </c>
      <c r="K140">
        <v>2596</v>
      </c>
      <c r="L140">
        <v>1254.372699386503</v>
      </c>
    </row>
    <row r="141" spans="1:12">
      <c r="A141" s="14">
        <v>43665</v>
      </c>
      <c r="B141">
        <v>2585</v>
      </c>
      <c r="C141">
        <v>2616</v>
      </c>
      <c r="D141">
        <v>1497</v>
      </c>
      <c r="E141">
        <v>1525</v>
      </c>
      <c r="F141">
        <v>1.7154098360655701</v>
      </c>
      <c r="G141">
        <v>1.7660734109474101</v>
      </c>
      <c r="H141">
        <v>6.04384425365838E-2</v>
      </c>
      <c r="I141">
        <v>-0.83826738008970403</v>
      </c>
      <c r="J141">
        <v>-2.95</v>
      </c>
      <c r="K141">
        <v>2616</v>
      </c>
      <c r="L141">
        <v>1256.0199386503066</v>
      </c>
    </row>
    <row r="142" spans="1:12">
      <c r="A142" s="14">
        <v>43664</v>
      </c>
      <c r="B142">
        <v>2640</v>
      </c>
      <c r="C142">
        <v>2585</v>
      </c>
      <c r="D142">
        <v>1503</v>
      </c>
      <c r="E142">
        <v>1485</v>
      </c>
      <c r="F142">
        <v>1.74074074074074</v>
      </c>
      <c r="G142">
        <v>1.7664570937533599</v>
      </c>
      <c r="H142">
        <v>6.0206491143238498E-2</v>
      </c>
      <c r="I142">
        <v>-0.42713588724914497</v>
      </c>
      <c r="J142">
        <v>-1.48</v>
      </c>
      <c r="K142">
        <v>2585</v>
      </c>
      <c r="L142">
        <v>1223.075153374233</v>
      </c>
    </row>
    <row r="143" spans="1:12">
      <c r="A143" s="14">
        <v>43663</v>
      </c>
      <c r="B143">
        <v>2620</v>
      </c>
      <c r="C143">
        <v>2666</v>
      </c>
      <c r="D143">
        <v>1512</v>
      </c>
      <c r="E143">
        <v>1513</v>
      </c>
      <c r="F143">
        <v>1.7620621282220701</v>
      </c>
      <c r="G143">
        <v>1.7662280601220299</v>
      </c>
      <c r="H143">
        <v>6.0336416608279701E-2</v>
      </c>
      <c r="I143">
        <v>-6.9045066547528205E-2</v>
      </c>
      <c r="J143">
        <v>-0.24</v>
      </c>
      <c r="K143">
        <v>2666</v>
      </c>
      <c r="L143">
        <v>1246.1365030674847</v>
      </c>
    </row>
    <row r="144" spans="1:12">
      <c r="A144" s="14">
        <v>43662</v>
      </c>
      <c r="B144">
        <v>2660</v>
      </c>
      <c r="C144">
        <v>2629</v>
      </c>
      <c r="D144">
        <v>1501</v>
      </c>
      <c r="E144">
        <v>1518</v>
      </c>
      <c r="F144">
        <v>1.73188405797101</v>
      </c>
      <c r="G144">
        <v>1.7656681707128701</v>
      </c>
      <c r="H144">
        <v>6.0566866573763603E-2</v>
      </c>
      <c r="I144">
        <v>-0.55779858944354099</v>
      </c>
      <c r="J144">
        <v>-1.95</v>
      </c>
      <c r="K144">
        <v>2629</v>
      </c>
      <c r="L144">
        <v>1250.2546012269938</v>
      </c>
    </row>
    <row r="145" spans="1:12">
      <c r="A145" s="14">
        <v>43658</v>
      </c>
      <c r="B145">
        <v>2650</v>
      </c>
      <c r="C145">
        <v>2656</v>
      </c>
      <c r="D145">
        <v>1500</v>
      </c>
      <c r="E145">
        <v>1500</v>
      </c>
      <c r="F145">
        <v>1.7706666666666599</v>
      </c>
      <c r="G145">
        <v>1.76515335020598</v>
      </c>
      <c r="H145">
        <v>6.1014291818198597E-2</v>
      </c>
      <c r="I145">
        <v>9.0361066176228799E-2</v>
      </c>
      <c r="J145">
        <v>0.31</v>
      </c>
      <c r="K145">
        <v>2656</v>
      </c>
      <c r="L145">
        <v>1235.4294478527606</v>
      </c>
    </row>
    <row r="146" spans="1:12">
      <c r="A146" s="14">
        <v>43657</v>
      </c>
      <c r="B146">
        <v>2632</v>
      </c>
      <c r="C146">
        <v>2655</v>
      </c>
      <c r="D146">
        <v>1473</v>
      </c>
      <c r="E146">
        <v>1491</v>
      </c>
      <c r="F146">
        <v>1.7806841046277599</v>
      </c>
      <c r="G146">
        <v>1.76418224162876</v>
      </c>
      <c r="H146">
        <v>6.1496516865234399E-2</v>
      </c>
      <c r="I146">
        <v>0.26833817328488402</v>
      </c>
      <c r="J146">
        <v>0.93</v>
      </c>
      <c r="K146">
        <v>2655</v>
      </c>
      <c r="L146">
        <v>1228.016871165644</v>
      </c>
    </row>
    <row r="147" spans="1:12">
      <c r="A147" s="14">
        <v>43656</v>
      </c>
      <c r="B147">
        <v>2630</v>
      </c>
      <c r="C147">
        <v>2655</v>
      </c>
      <c r="D147">
        <v>1506</v>
      </c>
      <c r="E147">
        <v>1485</v>
      </c>
      <c r="F147">
        <v>1.7878787878787801</v>
      </c>
      <c r="G147">
        <v>1.76306422128953</v>
      </c>
      <c r="H147">
        <v>6.19469167195663E-2</v>
      </c>
      <c r="I147">
        <v>0.40057791256321801</v>
      </c>
      <c r="J147">
        <v>1.39</v>
      </c>
      <c r="K147">
        <v>2655</v>
      </c>
      <c r="L147">
        <v>1223.075153374233</v>
      </c>
    </row>
    <row r="148" spans="1:12">
      <c r="A148" s="14">
        <v>43655</v>
      </c>
      <c r="B148">
        <v>2681</v>
      </c>
      <c r="C148">
        <v>2652</v>
      </c>
      <c r="D148">
        <v>1544</v>
      </c>
      <c r="E148">
        <v>1525</v>
      </c>
      <c r="F148">
        <v>1.7390163934426199</v>
      </c>
      <c r="G148">
        <v>1.7618569182764401</v>
      </c>
      <c r="H148">
        <v>6.2332688461824597E-2</v>
      </c>
      <c r="I148">
        <v>-0.36642932299971198</v>
      </c>
      <c r="J148">
        <v>-1.31</v>
      </c>
      <c r="K148">
        <v>2652</v>
      </c>
      <c r="L148">
        <v>1256.0199386503066</v>
      </c>
    </row>
    <row r="149" spans="1:12">
      <c r="A149" s="14">
        <v>43654</v>
      </c>
      <c r="B149">
        <v>2718</v>
      </c>
      <c r="C149">
        <v>2678</v>
      </c>
      <c r="D149">
        <v>1540</v>
      </c>
      <c r="E149">
        <v>1544</v>
      </c>
      <c r="F149">
        <v>1.7344559585492201</v>
      </c>
      <c r="G149">
        <v>1.7616582728608801</v>
      </c>
      <c r="H149">
        <v>6.2428826851512798E-2</v>
      </c>
      <c r="I149">
        <v>-0.43573322907961998</v>
      </c>
      <c r="J149">
        <v>-1.57</v>
      </c>
      <c r="K149">
        <v>2678</v>
      </c>
      <c r="L149">
        <v>1271.6687116564417</v>
      </c>
    </row>
    <row r="150" spans="1:12">
      <c r="A150" s="14">
        <v>43651</v>
      </c>
      <c r="B150">
        <v>2728</v>
      </c>
      <c r="C150">
        <v>2726</v>
      </c>
      <c r="D150">
        <v>1547</v>
      </c>
      <c r="E150">
        <v>1545</v>
      </c>
      <c r="F150">
        <v>1.76440129449838</v>
      </c>
      <c r="G150">
        <v>1.7617321934135599</v>
      </c>
      <c r="H150">
        <v>6.2399849007831298E-2</v>
      </c>
      <c r="I150">
        <v>4.2774159349085898E-2</v>
      </c>
      <c r="J150">
        <v>0.15</v>
      </c>
      <c r="K150">
        <v>2726</v>
      </c>
      <c r="L150">
        <v>1272.4923312883434</v>
      </c>
    </row>
    <row r="151" spans="1:12">
      <c r="A151" s="14">
        <v>43650</v>
      </c>
      <c r="B151">
        <v>2710</v>
      </c>
      <c r="C151">
        <v>2728</v>
      </c>
      <c r="D151">
        <v>1536</v>
      </c>
      <c r="E151">
        <v>1543</v>
      </c>
      <c r="F151">
        <v>1.7679844458846401</v>
      </c>
      <c r="G151">
        <v>1.7614196005020799</v>
      </c>
      <c r="H151">
        <v>6.2444401929528097E-2</v>
      </c>
      <c r="I151">
        <v>0.105131047455033</v>
      </c>
      <c r="J151">
        <v>0.37</v>
      </c>
      <c r="K151">
        <v>2728</v>
      </c>
      <c r="L151">
        <v>1270.8450920245398</v>
      </c>
    </row>
    <row r="152" spans="1:12">
      <c r="A152" s="14">
        <v>43649</v>
      </c>
      <c r="B152">
        <v>2719</v>
      </c>
      <c r="C152">
        <v>2695</v>
      </c>
      <c r="D152">
        <v>1536</v>
      </c>
      <c r="E152">
        <v>1535</v>
      </c>
      <c r="F152">
        <v>1.75570032573289</v>
      </c>
      <c r="G152">
        <v>1.7612301369650001</v>
      </c>
      <c r="H152">
        <v>6.2445753023264897E-2</v>
      </c>
      <c r="I152">
        <v>-8.85538401634893E-2</v>
      </c>
      <c r="J152">
        <v>-0.31</v>
      </c>
      <c r="K152">
        <v>2695</v>
      </c>
      <c r="L152">
        <v>1264.2561349693251</v>
      </c>
    </row>
    <row r="153" spans="1:12">
      <c r="A153" s="14">
        <v>43648</v>
      </c>
      <c r="B153">
        <v>2720</v>
      </c>
      <c r="C153">
        <v>2719</v>
      </c>
      <c r="D153">
        <v>1550</v>
      </c>
      <c r="E153">
        <v>1551</v>
      </c>
      <c r="F153">
        <v>1.75306254029658</v>
      </c>
      <c r="G153">
        <v>1.76178411667294</v>
      </c>
      <c r="H153">
        <v>6.25783939108637E-2</v>
      </c>
      <c r="I153">
        <v>-0.13937040935856099</v>
      </c>
      <c r="J153">
        <v>-0.5</v>
      </c>
      <c r="K153">
        <v>2719</v>
      </c>
      <c r="L153">
        <v>1277.4340490797545</v>
      </c>
    </row>
    <row r="154" spans="1:12">
      <c r="A154" s="14">
        <v>43647</v>
      </c>
      <c r="B154">
        <v>2703</v>
      </c>
      <c r="C154">
        <v>2703</v>
      </c>
      <c r="D154">
        <v>1549</v>
      </c>
      <c r="E154">
        <v>1552</v>
      </c>
      <c r="F154">
        <v>1.7416237113402</v>
      </c>
      <c r="G154">
        <v>1.76281354424022</v>
      </c>
      <c r="H154">
        <v>6.3059640696444902E-2</v>
      </c>
      <c r="I154">
        <v>-0.33602844332757498</v>
      </c>
      <c r="J154">
        <v>-1.22</v>
      </c>
      <c r="K154">
        <v>2703</v>
      </c>
      <c r="L154">
        <v>1278.2576687116564</v>
      </c>
    </row>
    <row r="155" spans="1:12">
      <c r="A155" s="14">
        <v>43644</v>
      </c>
      <c r="B155">
        <v>2674</v>
      </c>
      <c r="C155">
        <v>2682</v>
      </c>
      <c r="D155">
        <v>1519</v>
      </c>
      <c r="E155">
        <v>1515</v>
      </c>
      <c r="F155">
        <v>1.7702970297029701</v>
      </c>
      <c r="G155">
        <v>1.7637271148814699</v>
      </c>
      <c r="H155">
        <v>6.3242095978302507E-2</v>
      </c>
      <c r="I155">
        <v>0.103885153075019</v>
      </c>
      <c r="J155">
        <v>0.37</v>
      </c>
      <c r="K155">
        <v>2682</v>
      </c>
      <c r="L155">
        <v>1247.7837423312883</v>
      </c>
    </row>
    <row r="156" spans="1:12">
      <c r="A156" s="14">
        <v>43643</v>
      </c>
      <c r="B156">
        <v>2671</v>
      </c>
      <c r="C156">
        <v>2677</v>
      </c>
      <c r="D156">
        <v>1502</v>
      </c>
      <c r="E156">
        <v>1519</v>
      </c>
      <c r="F156">
        <v>1.7623436471362699</v>
      </c>
      <c r="G156">
        <v>1.76406985250621</v>
      </c>
      <c r="H156">
        <v>6.3346341090912195E-2</v>
      </c>
      <c r="I156">
        <v>-2.7250277446343299E-2</v>
      </c>
      <c r="J156">
        <v>-0.1</v>
      </c>
      <c r="K156">
        <v>2677</v>
      </c>
      <c r="L156">
        <v>1251.0782208588957</v>
      </c>
    </row>
    <row r="157" spans="1:12">
      <c r="A157" s="14">
        <v>43642</v>
      </c>
      <c r="B157">
        <v>2642</v>
      </c>
      <c r="C157">
        <v>2661</v>
      </c>
      <c r="D157">
        <v>1478</v>
      </c>
      <c r="E157">
        <v>1482</v>
      </c>
      <c r="F157">
        <v>1.7955465587044499</v>
      </c>
      <c r="G157">
        <v>1.7642494200035801</v>
      </c>
      <c r="H157">
        <v>6.3360279993243104E-2</v>
      </c>
      <c r="I157">
        <v>0.49395518302953301</v>
      </c>
      <c r="J157">
        <v>1.74</v>
      </c>
      <c r="K157">
        <v>2661</v>
      </c>
      <c r="L157">
        <v>1220.6042944785277</v>
      </c>
    </row>
    <row r="158" spans="1:12">
      <c r="A158" s="14">
        <v>43641</v>
      </c>
      <c r="B158">
        <v>2689</v>
      </c>
      <c r="C158">
        <v>2657</v>
      </c>
      <c r="D158">
        <v>1504</v>
      </c>
      <c r="E158">
        <v>1475</v>
      </c>
      <c r="F158">
        <v>1.8013559322033801</v>
      </c>
      <c r="G158">
        <v>1.76387742667184</v>
      </c>
      <c r="H158">
        <v>6.3257256310238097E-2</v>
      </c>
      <c r="I158">
        <v>0.59247757044246996</v>
      </c>
      <c r="J158">
        <v>2.08</v>
      </c>
      <c r="K158">
        <v>2657</v>
      </c>
      <c r="L158">
        <v>1214.8389570552147</v>
      </c>
    </row>
    <row r="159" spans="1:12">
      <c r="A159" s="14">
        <v>43640</v>
      </c>
      <c r="B159">
        <v>2638</v>
      </c>
      <c r="C159">
        <v>2652</v>
      </c>
      <c r="D159">
        <v>1475</v>
      </c>
      <c r="E159">
        <v>1486</v>
      </c>
      <c r="F159">
        <v>1.7846567967698499</v>
      </c>
      <c r="G159">
        <v>1.76462008876903</v>
      </c>
      <c r="H159">
        <v>6.4015331634224903E-2</v>
      </c>
      <c r="I159">
        <v>0.31299858157888499</v>
      </c>
      <c r="J159">
        <v>1.1200000000000001</v>
      </c>
      <c r="K159">
        <v>2652</v>
      </c>
      <c r="L159">
        <v>1223.8987730061349</v>
      </c>
    </row>
    <row r="160" spans="1:12">
      <c r="A160" s="14">
        <v>43637</v>
      </c>
      <c r="B160">
        <v>2683</v>
      </c>
      <c r="C160">
        <v>2649</v>
      </c>
      <c r="D160">
        <v>1456</v>
      </c>
      <c r="E160">
        <v>1474</v>
      </c>
      <c r="F160">
        <v>1.7971506105834401</v>
      </c>
      <c r="G160">
        <v>1.76521095006266</v>
      </c>
      <c r="H160">
        <v>6.4400894230695296E-2</v>
      </c>
      <c r="I160">
        <v>0.49595057494650502</v>
      </c>
      <c r="J160">
        <v>1.78</v>
      </c>
      <c r="K160">
        <v>2649</v>
      </c>
      <c r="L160">
        <v>1214.0153374233128</v>
      </c>
    </row>
    <row r="161" spans="1:12">
      <c r="A161" s="14">
        <v>43636</v>
      </c>
      <c r="B161">
        <v>2656</v>
      </c>
      <c r="C161">
        <v>2674</v>
      </c>
      <c r="D161">
        <v>1476</v>
      </c>
      <c r="E161">
        <v>1469</v>
      </c>
      <c r="F161">
        <v>1.82028590878148</v>
      </c>
      <c r="G161">
        <v>1.76517765800093</v>
      </c>
      <c r="H161">
        <v>6.43850178392118E-2</v>
      </c>
      <c r="I161">
        <v>0.85591730234772401</v>
      </c>
      <c r="J161">
        <v>3.03</v>
      </c>
      <c r="K161">
        <v>2674</v>
      </c>
      <c r="L161">
        <v>1209.8972392638036</v>
      </c>
    </row>
    <row r="162" spans="1:12">
      <c r="A162" s="14">
        <v>43635</v>
      </c>
      <c r="B162">
        <v>2673</v>
      </c>
      <c r="C162">
        <v>2672</v>
      </c>
      <c r="D162">
        <v>1462</v>
      </c>
      <c r="E162">
        <v>1463</v>
      </c>
      <c r="F162">
        <v>1.82638414217361</v>
      </c>
      <c r="G162">
        <v>1.76425471421413</v>
      </c>
      <c r="H162">
        <v>6.4083866566576095E-2</v>
      </c>
      <c r="I162">
        <v>0.96950186198472399</v>
      </c>
      <c r="J162">
        <v>3.4</v>
      </c>
      <c r="K162">
        <v>2672</v>
      </c>
      <c r="L162">
        <v>1204.9555214723925</v>
      </c>
    </row>
    <row r="163" spans="1:12">
      <c r="A163" s="14">
        <v>43634</v>
      </c>
      <c r="B163">
        <v>2674</v>
      </c>
      <c r="C163">
        <v>2658</v>
      </c>
      <c r="D163">
        <v>1450</v>
      </c>
      <c r="E163">
        <v>1436</v>
      </c>
      <c r="F163">
        <v>1.8509749303621099</v>
      </c>
      <c r="G163">
        <v>1.76293322868212</v>
      </c>
      <c r="H163">
        <v>6.3810372594421599E-2</v>
      </c>
      <c r="I163">
        <v>1.3797396583088699</v>
      </c>
      <c r="J163">
        <v>4.76</v>
      </c>
      <c r="K163">
        <v>2658</v>
      </c>
      <c r="L163">
        <v>1182.717791411043</v>
      </c>
    </row>
    <row r="164" spans="1:12">
      <c r="A164" s="14">
        <v>43633</v>
      </c>
      <c r="B164">
        <v>2709</v>
      </c>
      <c r="C164">
        <v>2675</v>
      </c>
      <c r="D164">
        <v>1436</v>
      </c>
      <c r="E164">
        <v>1431</v>
      </c>
      <c r="F164">
        <v>1.8693221523410199</v>
      </c>
      <c r="G164">
        <v>1.76128019732653</v>
      </c>
      <c r="H164">
        <v>6.3110206787142603E-2</v>
      </c>
      <c r="I164">
        <v>1.7119569165553501</v>
      </c>
      <c r="J164">
        <v>5.78</v>
      </c>
      <c r="K164">
        <v>2675</v>
      </c>
      <c r="L164">
        <v>1178.5996932515336</v>
      </c>
    </row>
    <row r="165" spans="1:12">
      <c r="A165" s="14">
        <v>43630</v>
      </c>
      <c r="B165">
        <v>2692</v>
      </c>
      <c r="C165">
        <v>2719</v>
      </c>
      <c r="D165">
        <v>1445</v>
      </c>
      <c r="E165">
        <v>1437</v>
      </c>
      <c r="F165">
        <v>1.89213639526791</v>
      </c>
      <c r="G165">
        <v>1.75957415352669</v>
      </c>
      <c r="H165">
        <v>6.1884027897686898E-2</v>
      </c>
      <c r="I165">
        <v>2.1421075234532401</v>
      </c>
      <c r="J165">
        <v>7.01</v>
      </c>
      <c r="K165">
        <v>2719</v>
      </c>
      <c r="L165">
        <v>1183.5414110429447</v>
      </c>
    </row>
    <row r="166" spans="1:12">
      <c r="A166" s="14">
        <v>43629</v>
      </c>
      <c r="B166">
        <v>2677</v>
      </c>
      <c r="C166">
        <v>2673</v>
      </c>
      <c r="D166">
        <v>1440</v>
      </c>
      <c r="E166">
        <v>1441</v>
      </c>
      <c r="F166">
        <v>1.8549618320610599</v>
      </c>
      <c r="G166">
        <v>1.7577552149872999</v>
      </c>
      <c r="H166">
        <v>5.9935127733620301E-2</v>
      </c>
      <c r="I166">
        <v>1.62186385095897</v>
      </c>
      <c r="J166">
        <v>5.24</v>
      </c>
      <c r="K166">
        <v>2673</v>
      </c>
      <c r="L166">
        <v>1186.8358895705521</v>
      </c>
    </row>
    <row r="167" spans="1:12">
      <c r="A167" s="14">
        <v>43628</v>
      </c>
      <c r="B167">
        <v>2669</v>
      </c>
      <c r="C167">
        <v>2687</v>
      </c>
      <c r="D167">
        <v>1441</v>
      </c>
      <c r="E167">
        <v>1447</v>
      </c>
      <c r="F167">
        <v>1.85694540428472</v>
      </c>
      <c r="G167">
        <v>1.75648486029347</v>
      </c>
      <c r="H167">
        <v>5.8861422421357397E-2</v>
      </c>
      <c r="I167">
        <v>1.7067298046606301</v>
      </c>
      <c r="J167">
        <v>5.41</v>
      </c>
      <c r="K167">
        <v>2687</v>
      </c>
      <c r="L167">
        <v>1191.7776073619632</v>
      </c>
    </row>
    <row r="168" spans="1:12">
      <c r="A168" s="14">
        <v>43627</v>
      </c>
      <c r="B168">
        <v>2637</v>
      </c>
      <c r="C168">
        <v>2674</v>
      </c>
      <c r="D168">
        <v>1422</v>
      </c>
      <c r="E168">
        <v>1432</v>
      </c>
      <c r="F168">
        <v>1.8673184357541801</v>
      </c>
      <c r="G168">
        <v>1.7544383434415201</v>
      </c>
      <c r="H168">
        <v>5.7994894324164201E-2</v>
      </c>
      <c r="I168">
        <v>1.94637982581227</v>
      </c>
      <c r="J168">
        <v>6.05</v>
      </c>
      <c r="K168">
        <v>2674</v>
      </c>
      <c r="L168">
        <v>1179.4233128834355</v>
      </c>
    </row>
    <row r="169" spans="1:12">
      <c r="A169" s="14">
        <v>43626</v>
      </c>
      <c r="B169">
        <v>2624</v>
      </c>
      <c r="C169">
        <v>2628</v>
      </c>
      <c r="D169">
        <v>1412</v>
      </c>
      <c r="E169">
        <v>1417</v>
      </c>
      <c r="F169">
        <v>1.8546224417784001</v>
      </c>
      <c r="G169">
        <v>1.75251984032879</v>
      </c>
      <c r="H169">
        <v>5.6592000857539099E-2</v>
      </c>
      <c r="I169">
        <v>1.8041878693534401</v>
      </c>
      <c r="J169">
        <v>5.51</v>
      </c>
      <c r="K169">
        <v>2628</v>
      </c>
      <c r="L169">
        <v>1167.0690184049079</v>
      </c>
    </row>
    <row r="170" spans="1:12">
      <c r="A170" s="14">
        <v>43623</v>
      </c>
      <c r="B170">
        <v>2601</v>
      </c>
      <c r="C170">
        <v>2602</v>
      </c>
      <c r="D170">
        <v>1397</v>
      </c>
      <c r="E170">
        <v>1400</v>
      </c>
      <c r="F170">
        <v>1.8585714285714201</v>
      </c>
      <c r="G170">
        <v>1.7506861700513701</v>
      </c>
      <c r="H170">
        <v>5.5470922155619197E-2</v>
      </c>
      <c r="I170">
        <v>1.9448975125633201</v>
      </c>
      <c r="J170">
        <v>5.8</v>
      </c>
      <c r="K170">
        <v>2602</v>
      </c>
      <c r="L170">
        <v>1153.0674846625766</v>
      </c>
    </row>
    <row r="171" spans="1:12">
      <c r="A171" s="14">
        <v>43622</v>
      </c>
      <c r="B171">
        <v>2595</v>
      </c>
      <c r="C171">
        <v>2581</v>
      </c>
      <c r="D171">
        <v>1400</v>
      </c>
      <c r="E171">
        <v>1400</v>
      </c>
      <c r="F171">
        <v>1.84357142857142</v>
      </c>
      <c r="G171">
        <v>1.7490889250685799</v>
      </c>
      <c r="H171">
        <v>5.4047876948237102E-2</v>
      </c>
      <c r="I171">
        <v>1.7481260844589099</v>
      </c>
      <c r="J171">
        <v>5.12</v>
      </c>
      <c r="K171">
        <v>2581</v>
      </c>
      <c r="L171">
        <v>1153.0674846625766</v>
      </c>
    </row>
    <row r="172" spans="1:12">
      <c r="A172" s="14">
        <v>43621</v>
      </c>
      <c r="B172">
        <v>2572</v>
      </c>
      <c r="C172">
        <v>2595</v>
      </c>
      <c r="D172">
        <v>1413</v>
      </c>
      <c r="E172">
        <v>1400</v>
      </c>
      <c r="F172">
        <v>1.85357142857142</v>
      </c>
      <c r="G172">
        <v>1.74819852436804</v>
      </c>
      <c r="H172">
        <v>5.3024396461936601E-2</v>
      </c>
      <c r="I172">
        <v>1.9872532500964299</v>
      </c>
      <c r="J172">
        <v>5.68</v>
      </c>
      <c r="K172">
        <v>2595</v>
      </c>
      <c r="L172">
        <v>1153.0674846625766</v>
      </c>
    </row>
    <row r="173" spans="1:12">
      <c r="A173" s="14">
        <v>43620</v>
      </c>
      <c r="B173">
        <v>2528</v>
      </c>
      <c r="C173">
        <v>2522</v>
      </c>
      <c r="D173">
        <v>1349</v>
      </c>
      <c r="E173">
        <v>1369</v>
      </c>
      <c r="F173">
        <v>1.8422205989773499</v>
      </c>
      <c r="G173">
        <v>1.7472725151191899</v>
      </c>
      <c r="H173">
        <v>5.1767639930315197E-2</v>
      </c>
      <c r="I173">
        <v>1.8341203884505199</v>
      </c>
      <c r="J173">
        <v>5.15</v>
      </c>
      <c r="K173">
        <v>2522</v>
      </c>
      <c r="L173">
        <v>1127.5352760736196</v>
      </c>
    </row>
    <row r="174" spans="1:12">
      <c r="A174" s="14">
        <v>43619</v>
      </c>
      <c r="B174">
        <v>2500</v>
      </c>
      <c r="C174">
        <v>2528</v>
      </c>
      <c r="D174">
        <v>1342</v>
      </c>
      <c r="E174">
        <v>1341</v>
      </c>
      <c r="F174">
        <v>1.88516032811334</v>
      </c>
      <c r="G174">
        <v>1.74567583732591</v>
      </c>
      <c r="H174">
        <v>5.0649182304595801E-2</v>
      </c>
      <c r="I174">
        <v>2.7539337150320402</v>
      </c>
      <c r="J174">
        <v>7.4</v>
      </c>
      <c r="K174">
        <v>2528</v>
      </c>
      <c r="L174">
        <v>1104.4739263803681</v>
      </c>
    </row>
    <row r="175" spans="1:12">
      <c r="A175" s="14">
        <v>43616</v>
      </c>
      <c r="B175">
        <v>2567</v>
      </c>
      <c r="C175">
        <v>2553</v>
      </c>
      <c r="D175">
        <v>1383</v>
      </c>
      <c r="E175">
        <v>1378</v>
      </c>
      <c r="F175">
        <v>1.85268505079825</v>
      </c>
      <c r="G175">
        <v>1.74290224757419</v>
      </c>
      <c r="H175">
        <v>4.8588695886829701E-2</v>
      </c>
      <c r="I175">
        <v>2.25943094829629</v>
      </c>
      <c r="J175">
        <v>5.93</v>
      </c>
      <c r="K175">
        <v>2553</v>
      </c>
      <c r="L175">
        <v>1134.9478527607362</v>
      </c>
    </row>
    <row r="176" spans="1:12">
      <c r="A176" s="14">
        <v>43615</v>
      </c>
      <c r="B176">
        <v>2518</v>
      </c>
      <c r="C176">
        <v>2566</v>
      </c>
      <c r="D176">
        <v>1377</v>
      </c>
      <c r="E176">
        <v>1401</v>
      </c>
      <c r="F176">
        <v>1.83154889364739</v>
      </c>
      <c r="G176">
        <v>1.7405096856967199</v>
      </c>
      <c r="H176">
        <v>4.75304022849454E-2</v>
      </c>
      <c r="I176">
        <v>1.91538896315014</v>
      </c>
      <c r="J176">
        <v>4.97</v>
      </c>
      <c r="K176">
        <v>2566</v>
      </c>
      <c r="L176">
        <v>1153.8911042944785</v>
      </c>
    </row>
    <row r="177" spans="1:12">
      <c r="A177" s="14">
        <v>43614</v>
      </c>
      <c r="B177">
        <v>2472</v>
      </c>
      <c r="C177">
        <v>2513</v>
      </c>
      <c r="D177">
        <v>1371</v>
      </c>
      <c r="E177">
        <v>1380</v>
      </c>
      <c r="F177">
        <v>1.82101449275362</v>
      </c>
      <c r="G177">
        <v>1.7390263897420299</v>
      </c>
      <c r="H177">
        <v>4.6388310094533203E-2</v>
      </c>
      <c r="I177">
        <v>1.76743026086757</v>
      </c>
      <c r="J177">
        <v>4.5</v>
      </c>
      <c r="K177">
        <v>2513</v>
      </c>
      <c r="L177">
        <v>1136.5950920245398</v>
      </c>
    </row>
    <row r="178" spans="1:12">
      <c r="A178" s="14">
        <v>43613</v>
      </c>
      <c r="B178">
        <v>2456</v>
      </c>
      <c r="C178">
        <v>2473</v>
      </c>
      <c r="D178">
        <v>1379</v>
      </c>
      <c r="E178">
        <v>1395</v>
      </c>
      <c r="F178">
        <v>1.77275985663082</v>
      </c>
      <c r="G178">
        <v>1.7375579586860399</v>
      </c>
      <c r="H178">
        <v>4.5504428386226203E-2</v>
      </c>
      <c r="I178">
        <v>0.77359279510107903</v>
      </c>
      <c r="J178">
        <v>1.99</v>
      </c>
      <c r="K178">
        <v>2473</v>
      </c>
      <c r="L178">
        <v>1148.9493865030674</v>
      </c>
    </row>
    <row r="179" spans="1:12">
      <c r="A179" s="14">
        <v>43612</v>
      </c>
      <c r="B179">
        <v>2454</v>
      </c>
      <c r="C179">
        <v>2455</v>
      </c>
      <c r="D179">
        <v>1397</v>
      </c>
      <c r="E179">
        <v>1393</v>
      </c>
      <c r="F179">
        <v>1.7623833452979101</v>
      </c>
      <c r="G179">
        <v>1.7369930983811701</v>
      </c>
      <c r="H179">
        <v>4.5326544797550598E-2</v>
      </c>
      <c r="I179">
        <v>0.56016285887548101</v>
      </c>
      <c r="J179">
        <v>1.44</v>
      </c>
      <c r="K179">
        <v>2455</v>
      </c>
      <c r="L179">
        <v>1147.3021472392638</v>
      </c>
    </row>
    <row r="180" spans="1:12">
      <c r="A180" s="14">
        <v>43609</v>
      </c>
      <c r="B180">
        <v>2455</v>
      </c>
      <c r="C180">
        <v>2452</v>
      </c>
      <c r="D180">
        <v>1394</v>
      </c>
      <c r="E180">
        <v>1403</v>
      </c>
      <c r="F180">
        <v>1.7476835352815301</v>
      </c>
      <c r="G180">
        <v>1.7362785842875099</v>
      </c>
      <c r="H180">
        <v>4.5343042835919597E-2</v>
      </c>
      <c r="I180">
        <v>0.25152592946381203</v>
      </c>
      <c r="J180">
        <v>0.65</v>
      </c>
      <c r="K180">
        <v>2452</v>
      </c>
      <c r="L180">
        <v>1155.5383435582821</v>
      </c>
    </row>
    <row r="181" spans="1:12">
      <c r="A181" s="14">
        <v>43608</v>
      </c>
      <c r="B181">
        <v>2459</v>
      </c>
      <c r="C181">
        <v>2473</v>
      </c>
      <c r="D181">
        <v>1425</v>
      </c>
      <c r="E181">
        <v>1406</v>
      </c>
      <c r="F181">
        <v>1.75889046941678</v>
      </c>
      <c r="G181">
        <v>1.73602698460805</v>
      </c>
      <c r="H181">
        <v>4.5331412365990302E-2</v>
      </c>
      <c r="I181">
        <v>0.50436294867973996</v>
      </c>
      <c r="J181">
        <v>1.3</v>
      </c>
      <c r="K181">
        <v>2473</v>
      </c>
      <c r="L181">
        <v>1158.0092024539877</v>
      </c>
    </row>
    <row r="182" spans="1:12">
      <c r="A182" s="14">
        <v>43607</v>
      </c>
      <c r="B182">
        <v>2497</v>
      </c>
      <c r="C182">
        <v>2489</v>
      </c>
      <c r="D182">
        <v>1455</v>
      </c>
      <c r="E182">
        <v>1444</v>
      </c>
      <c r="F182">
        <v>1.7236842105263099</v>
      </c>
      <c r="G182">
        <v>1.73552693204439</v>
      </c>
      <c r="H182">
        <v>4.5283274490978201E-2</v>
      </c>
      <c r="I182">
        <v>-0.261525290544877</v>
      </c>
      <c r="J182">
        <v>-0.69</v>
      </c>
      <c r="K182">
        <v>2489</v>
      </c>
      <c r="L182">
        <v>1189.3067484662577</v>
      </c>
    </row>
    <row r="183" spans="1:12">
      <c r="A183" s="14">
        <v>43606</v>
      </c>
      <c r="B183">
        <v>2504</v>
      </c>
      <c r="C183">
        <v>2464</v>
      </c>
      <c r="D183">
        <v>1430</v>
      </c>
      <c r="E183">
        <v>1441</v>
      </c>
      <c r="F183">
        <v>1.70992366412213</v>
      </c>
      <c r="G183">
        <v>1.73559678891744</v>
      </c>
      <c r="H183">
        <v>4.5268990229059197E-2</v>
      </c>
      <c r="I183">
        <v>-0.56712386703129802</v>
      </c>
      <c r="J183">
        <v>-1.5</v>
      </c>
      <c r="K183">
        <v>2464</v>
      </c>
      <c r="L183">
        <v>1186.8358895705521</v>
      </c>
    </row>
    <row r="184" spans="1:12">
      <c r="A184" s="14">
        <v>43605</v>
      </c>
      <c r="B184">
        <v>2502</v>
      </c>
      <c r="C184">
        <v>2554</v>
      </c>
      <c r="D184">
        <v>1479</v>
      </c>
      <c r="E184">
        <v>1440</v>
      </c>
      <c r="F184">
        <v>1.7736111111111099</v>
      </c>
      <c r="G184">
        <v>1.73619254357125</v>
      </c>
      <c r="H184">
        <v>4.5221190344428702E-2</v>
      </c>
      <c r="I184">
        <v>0.82745649229614404</v>
      </c>
      <c r="J184">
        <v>2.11</v>
      </c>
      <c r="K184">
        <v>2554</v>
      </c>
      <c r="L184">
        <v>1186.0122699386502</v>
      </c>
    </row>
    <row r="185" spans="1:12">
      <c r="A185" s="14">
        <v>43602</v>
      </c>
      <c r="B185">
        <v>2576</v>
      </c>
      <c r="C185">
        <v>2534</v>
      </c>
      <c r="D185">
        <v>1493</v>
      </c>
      <c r="E185">
        <v>1483</v>
      </c>
      <c r="F185">
        <v>1.7086985839514399</v>
      </c>
      <c r="G185">
        <v>1.7360769319436899</v>
      </c>
      <c r="H185">
        <v>4.5136383337191902E-2</v>
      </c>
      <c r="I185">
        <v>-0.60656937858113003</v>
      </c>
      <c r="J185">
        <v>-1.6</v>
      </c>
      <c r="K185">
        <v>2534</v>
      </c>
      <c r="L185">
        <v>1221.4279141104294</v>
      </c>
    </row>
    <row r="186" spans="1:12">
      <c r="A186" s="14">
        <v>43601</v>
      </c>
      <c r="B186">
        <v>2573</v>
      </c>
      <c r="C186">
        <v>2543</v>
      </c>
      <c r="D186">
        <v>1512</v>
      </c>
      <c r="E186">
        <v>1481</v>
      </c>
      <c r="F186">
        <v>1.71708305199189</v>
      </c>
      <c r="G186">
        <v>1.73705851724541</v>
      </c>
      <c r="H186">
        <v>4.5330392133204001E-2</v>
      </c>
      <c r="I186">
        <v>-0.44066385295803301</v>
      </c>
      <c r="J186">
        <v>-1.1599999999999999</v>
      </c>
      <c r="K186">
        <v>2543</v>
      </c>
      <c r="L186">
        <v>1219.7806748466257</v>
      </c>
    </row>
    <row r="187" spans="1:12">
      <c r="A187" s="14">
        <v>43600</v>
      </c>
      <c r="B187">
        <v>2670</v>
      </c>
      <c r="C187">
        <v>2600</v>
      </c>
      <c r="D187">
        <v>1520</v>
      </c>
      <c r="E187">
        <v>1511</v>
      </c>
      <c r="F187">
        <v>1.7207147584381199</v>
      </c>
      <c r="G187">
        <v>1.73807913959133</v>
      </c>
      <c r="H187">
        <v>4.5729128753303601E-2</v>
      </c>
      <c r="I187">
        <v>-0.37972254505207398</v>
      </c>
      <c r="J187">
        <v>-1.01</v>
      </c>
      <c r="K187">
        <v>2600</v>
      </c>
      <c r="L187">
        <v>1244.4892638036808</v>
      </c>
    </row>
    <row r="188" spans="1:12">
      <c r="A188" s="14">
        <v>43599</v>
      </c>
      <c r="B188">
        <v>2840</v>
      </c>
      <c r="C188">
        <v>2820</v>
      </c>
      <c r="D188">
        <v>1462</v>
      </c>
      <c r="E188">
        <v>1516</v>
      </c>
      <c r="F188">
        <v>1.8601583113456399</v>
      </c>
      <c r="G188">
        <v>1.73932610665397</v>
      </c>
      <c r="H188">
        <v>4.6507119681890197E-2</v>
      </c>
      <c r="I188">
        <v>2.59814423077948</v>
      </c>
      <c r="J188">
        <v>6.5</v>
      </c>
      <c r="K188">
        <v>2820</v>
      </c>
      <c r="L188">
        <v>1248.6073619631902</v>
      </c>
    </row>
    <row r="189" spans="1:12">
      <c r="A189" s="14">
        <v>43598</v>
      </c>
      <c r="B189">
        <v>2871</v>
      </c>
      <c r="C189">
        <v>2852</v>
      </c>
      <c r="D189">
        <v>1578</v>
      </c>
      <c r="E189">
        <v>1510</v>
      </c>
      <c r="F189">
        <v>1.8887417218542999</v>
      </c>
      <c r="G189">
        <v>1.7387798044396601</v>
      </c>
      <c r="H189">
        <v>4.5309771476279799E-2</v>
      </c>
      <c r="I189">
        <v>3.3097036804334001</v>
      </c>
      <c r="J189">
        <v>7.94</v>
      </c>
      <c r="K189">
        <v>2852</v>
      </c>
      <c r="L189">
        <v>1243.6656441717791</v>
      </c>
    </row>
    <row r="190" spans="1:12">
      <c r="A190" s="14">
        <v>43595</v>
      </c>
      <c r="B190">
        <v>2884</v>
      </c>
      <c r="C190">
        <v>2897</v>
      </c>
      <c r="D190">
        <v>1676</v>
      </c>
      <c r="E190">
        <v>1617</v>
      </c>
      <c r="F190">
        <v>1.79158936301793</v>
      </c>
      <c r="G190">
        <v>1.7380011791827501</v>
      </c>
      <c r="H190">
        <v>4.3177658086067501E-2</v>
      </c>
      <c r="I190">
        <v>1.24110908767582</v>
      </c>
      <c r="J190">
        <v>2.99</v>
      </c>
      <c r="K190">
        <v>2897</v>
      </c>
      <c r="L190">
        <v>1331.7929447852759</v>
      </c>
    </row>
    <row r="191" spans="1:12">
      <c r="A191" s="14">
        <v>43594</v>
      </c>
      <c r="B191">
        <v>2935</v>
      </c>
      <c r="C191">
        <v>2904</v>
      </c>
      <c r="D191">
        <v>1665</v>
      </c>
      <c r="E191">
        <v>1679</v>
      </c>
      <c r="F191">
        <v>1.7296009529481799</v>
      </c>
      <c r="G191">
        <v>1.7383805330064499</v>
      </c>
      <c r="H191">
        <v>4.3767764537689803E-2</v>
      </c>
      <c r="I191">
        <v>-0.20059466484091401</v>
      </c>
      <c r="J191">
        <v>-0.51</v>
      </c>
      <c r="K191">
        <v>2904</v>
      </c>
      <c r="L191">
        <v>1382.8573619631902</v>
      </c>
    </row>
    <row r="192" spans="1:12">
      <c r="A192" s="14">
        <v>43593</v>
      </c>
      <c r="B192">
        <v>2975</v>
      </c>
      <c r="C192">
        <v>2948</v>
      </c>
      <c r="D192">
        <v>1692</v>
      </c>
      <c r="E192">
        <v>1667</v>
      </c>
      <c r="F192">
        <v>1.7684463107378501</v>
      </c>
      <c r="G192">
        <v>1.73976057890854</v>
      </c>
      <c r="H192">
        <v>4.5081257090515102E-2</v>
      </c>
      <c r="I192">
        <v>0.63631171091161498</v>
      </c>
      <c r="J192">
        <v>1.62</v>
      </c>
      <c r="K192">
        <v>2948</v>
      </c>
      <c r="L192">
        <v>1372.9739263803681</v>
      </c>
    </row>
    <row r="193" spans="1:12">
      <c r="A193" s="14">
        <v>43592</v>
      </c>
      <c r="B193">
        <v>3030</v>
      </c>
      <c r="C193">
        <v>3010</v>
      </c>
      <c r="D193">
        <v>1775</v>
      </c>
      <c r="E193">
        <v>1715</v>
      </c>
      <c r="F193">
        <v>1.75510204081632</v>
      </c>
      <c r="G193">
        <v>1.74091518832279</v>
      </c>
      <c r="H193">
        <v>4.6874432982940403E-2</v>
      </c>
      <c r="I193">
        <v>0.30265651423874601</v>
      </c>
      <c r="J193">
        <v>0.81</v>
      </c>
      <c r="K193">
        <v>3010</v>
      </c>
      <c r="L193">
        <v>1412.5076687116564</v>
      </c>
    </row>
    <row r="194" spans="1:12">
      <c r="A194" s="14">
        <v>43581</v>
      </c>
      <c r="B194">
        <v>3000</v>
      </c>
      <c r="C194">
        <v>3030</v>
      </c>
      <c r="D194">
        <v>1768</v>
      </c>
      <c r="E194">
        <v>1785</v>
      </c>
      <c r="F194">
        <v>1.69747899159663</v>
      </c>
      <c r="G194">
        <v>1.74239267981338</v>
      </c>
      <c r="H194">
        <v>4.8996683325523697E-2</v>
      </c>
      <c r="I194">
        <v>-0.91666792869128999</v>
      </c>
      <c r="J194">
        <v>-2.65</v>
      </c>
      <c r="K194">
        <v>3030</v>
      </c>
      <c r="L194">
        <v>1470.1610429447853</v>
      </c>
    </row>
    <row r="195" spans="1:12">
      <c r="A195" s="14">
        <v>43580</v>
      </c>
      <c r="B195">
        <v>3065</v>
      </c>
      <c r="C195">
        <v>3040</v>
      </c>
      <c r="D195">
        <v>1766</v>
      </c>
      <c r="E195">
        <v>1780</v>
      </c>
      <c r="F195">
        <v>1.70786516853932</v>
      </c>
      <c r="G195">
        <v>1.74416389177522</v>
      </c>
      <c r="H195">
        <v>4.9736544386194501E-2</v>
      </c>
      <c r="I195">
        <v>-0.72981996807111205</v>
      </c>
      <c r="J195">
        <v>-2.13</v>
      </c>
      <c r="K195">
        <v>3040</v>
      </c>
      <c r="L195">
        <v>1466.0429447852759</v>
      </c>
    </row>
    <row r="196" spans="1:12">
      <c r="A196" s="14">
        <v>43579</v>
      </c>
      <c r="B196">
        <v>3080</v>
      </c>
      <c r="C196">
        <v>3030</v>
      </c>
      <c r="D196">
        <v>1804</v>
      </c>
      <c r="E196">
        <v>1778</v>
      </c>
      <c r="F196">
        <v>1.70416197975253</v>
      </c>
      <c r="G196">
        <v>1.7461050800839699</v>
      </c>
      <c r="H196">
        <v>5.11042681666245E-2</v>
      </c>
      <c r="I196">
        <v>-0.820735759187328</v>
      </c>
      <c r="J196">
        <v>-2.46</v>
      </c>
      <c r="K196">
        <v>3030</v>
      </c>
      <c r="L196">
        <v>1464.3957055214723</v>
      </c>
    </row>
    <row r="197" spans="1:12">
      <c r="A197" s="14">
        <v>43578</v>
      </c>
      <c r="B197">
        <v>3055</v>
      </c>
      <c r="C197">
        <v>3065</v>
      </c>
      <c r="D197">
        <v>1817</v>
      </c>
      <c r="E197">
        <v>1804</v>
      </c>
      <c r="F197">
        <v>1.6990022172949</v>
      </c>
      <c r="G197">
        <v>1.74815174146263</v>
      </c>
      <c r="H197">
        <v>5.2439798482305101E-2</v>
      </c>
      <c r="I197">
        <v>-0.937256160210442</v>
      </c>
      <c r="J197">
        <v>-2.89</v>
      </c>
      <c r="K197">
        <v>3065</v>
      </c>
      <c r="L197">
        <v>1485.8098159509202</v>
      </c>
    </row>
    <row r="198" spans="1:12">
      <c r="A198" s="14">
        <v>43577</v>
      </c>
      <c r="B198">
        <v>3040</v>
      </c>
      <c r="C198">
        <v>3070</v>
      </c>
      <c r="D198">
        <v>1813</v>
      </c>
      <c r="E198">
        <v>1805</v>
      </c>
      <c r="F198">
        <v>1.7008310249307399</v>
      </c>
      <c r="G198">
        <v>1.7495021029601501</v>
      </c>
      <c r="H198">
        <v>5.2460751535072403E-2</v>
      </c>
      <c r="I198">
        <v>-0.92776173816093499</v>
      </c>
      <c r="J198">
        <v>-2.86</v>
      </c>
      <c r="K198">
        <v>3070</v>
      </c>
      <c r="L198">
        <v>1486.6334355828221</v>
      </c>
    </row>
    <row r="199" spans="1:12">
      <c r="A199" s="14">
        <v>43574</v>
      </c>
      <c r="B199">
        <v>3055</v>
      </c>
      <c r="C199">
        <v>3050</v>
      </c>
      <c r="D199">
        <v>1824</v>
      </c>
      <c r="E199">
        <v>1820</v>
      </c>
      <c r="F199">
        <v>1.6758241758241701</v>
      </c>
      <c r="G199">
        <v>1.7507136358109401</v>
      </c>
      <c r="H199">
        <v>5.2371894261953003E-2</v>
      </c>
      <c r="I199">
        <v>-1.4299551513678801</v>
      </c>
      <c r="J199">
        <v>-4.47</v>
      </c>
      <c r="K199">
        <v>3050</v>
      </c>
      <c r="L199">
        <v>1498.9877300613496</v>
      </c>
    </row>
    <row r="200" spans="1:12">
      <c r="A200" s="14">
        <v>43573</v>
      </c>
      <c r="B200">
        <v>3090</v>
      </c>
      <c r="C200">
        <v>3040</v>
      </c>
      <c r="D200">
        <v>1838</v>
      </c>
      <c r="E200">
        <v>1808</v>
      </c>
      <c r="F200">
        <v>1.68141592920353</v>
      </c>
      <c r="G200">
        <v>1.7520198747160101</v>
      </c>
      <c r="H200">
        <v>5.1705236696712301E-2</v>
      </c>
      <c r="I200">
        <v>-1.3655086026705501</v>
      </c>
      <c r="J200">
        <v>-4.2</v>
      </c>
      <c r="K200">
        <v>3040</v>
      </c>
      <c r="L200">
        <v>1489.1042944785274</v>
      </c>
    </row>
    <row r="201" spans="1:12">
      <c r="A201" s="14">
        <v>43572</v>
      </c>
      <c r="B201">
        <v>3105</v>
      </c>
      <c r="C201">
        <v>3085</v>
      </c>
      <c r="D201">
        <v>1824</v>
      </c>
      <c r="E201">
        <v>1825</v>
      </c>
      <c r="F201">
        <v>1.6904109589041001</v>
      </c>
      <c r="G201">
        <v>1.7527041879391001</v>
      </c>
      <c r="H201">
        <v>5.1102388733696602E-2</v>
      </c>
      <c r="I201">
        <v>-1.2189885948310599</v>
      </c>
      <c r="J201">
        <v>-3.69</v>
      </c>
      <c r="K201">
        <v>3085</v>
      </c>
      <c r="L201">
        <v>1503.1058282208589</v>
      </c>
    </row>
    <row r="202" spans="1:12">
      <c r="A202" s="14">
        <v>43571</v>
      </c>
      <c r="B202">
        <v>3110</v>
      </c>
      <c r="C202">
        <v>3125</v>
      </c>
      <c r="D202">
        <v>1838</v>
      </c>
      <c r="E202">
        <v>1813</v>
      </c>
      <c r="F202">
        <v>1.72366243794815</v>
      </c>
      <c r="G202">
        <v>1.7532568877189101</v>
      </c>
      <c r="H202">
        <v>5.0647808716625199E-2</v>
      </c>
      <c r="I202">
        <v>-0.584318463536042</v>
      </c>
      <c r="J202">
        <v>-1.72</v>
      </c>
      <c r="K202">
        <v>3125</v>
      </c>
      <c r="L202">
        <v>1493.2223926380368</v>
      </c>
    </row>
    <row r="203" spans="1:12">
      <c r="A203" s="14">
        <v>43570</v>
      </c>
      <c r="B203">
        <v>3100</v>
      </c>
      <c r="C203">
        <v>3120</v>
      </c>
      <c r="D203">
        <v>1848</v>
      </c>
      <c r="E203">
        <v>1841</v>
      </c>
      <c r="F203">
        <v>1.69473112438891</v>
      </c>
      <c r="G203">
        <v>1.75403419157657</v>
      </c>
      <c r="H203">
        <v>5.0635004326053799E-2</v>
      </c>
      <c r="I203">
        <v>-1.1711871654199799</v>
      </c>
      <c r="J203">
        <v>-3.5</v>
      </c>
      <c r="K203">
        <v>3120</v>
      </c>
      <c r="L203">
        <v>1516.2837423312883</v>
      </c>
    </row>
    <row r="204" spans="1:12">
      <c r="A204" s="14">
        <v>43567</v>
      </c>
      <c r="B204">
        <v>3100</v>
      </c>
      <c r="C204">
        <v>3090</v>
      </c>
      <c r="D204">
        <v>1808</v>
      </c>
      <c r="E204">
        <v>1799</v>
      </c>
      <c r="F204">
        <v>1.7176209005002701</v>
      </c>
      <c r="G204">
        <v>1.75514764029459</v>
      </c>
      <c r="H204">
        <v>5.0235292876188699E-2</v>
      </c>
      <c r="I204">
        <v>-0.74701942888642103</v>
      </c>
      <c r="J204">
        <v>-2.1800000000000002</v>
      </c>
      <c r="K204">
        <v>3090</v>
      </c>
      <c r="L204">
        <v>1481.6917177914111</v>
      </c>
    </row>
    <row r="205" spans="1:12">
      <c r="A205" s="14">
        <v>43566</v>
      </c>
      <c r="B205">
        <v>3085</v>
      </c>
      <c r="C205">
        <v>3085</v>
      </c>
      <c r="D205">
        <v>1801</v>
      </c>
      <c r="E205">
        <v>1812</v>
      </c>
      <c r="F205">
        <v>1.70253863134657</v>
      </c>
      <c r="G205">
        <v>1.7557915450572501</v>
      </c>
      <c r="H205">
        <v>5.0059352221189402E-2</v>
      </c>
      <c r="I205">
        <v>-1.0637955016952201</v>
      </c>
      <c r="J205">
        <v>-3.13</v>
      </c>
      <c r="K205">
        <v>3085</v>
      </c>
      <c r="L205">
        <v>1492.3987730061349</v>
      </c>
    </row>
    <row r="206" spans="1:12">
      <c r="A206" s="14">
        <v>43565</v>
      </c>
      <c r="B206">
        <v>3040</v>
      </c>
      <c r="C206">
        <v>3060</v>
      </c>
      <c r="D206">
        <v>1800</v>
      </c>
      <c r="E206">
        <v>1811</v>
      </c>
      <c r="F206">
        <v>1.68967421314191</v>
      </c>
      <c r="G206">
        <v>1.7577135619122399</v>
      </c>
      <c r="H206">
        <v>5.07405139890168E-2</v>
      </c>
      <c r="I206">
        <v>-1.3409274644923199</v>
      </c>
      <c r="J206">
        <v>-4.03</v>
      </c>
      <c r="K206">
        <v>3060</v>
      </c>
      <c r="L206">
        <v>1491.575153374233</v>
      </c>
    </row>
    <row r="207" spans="1:12">
      <c r="A207" s="14">
        <v>43564</v>
      </c>
      <c r="B207">
        <v>3080</v>
      </c>
      <c r="C207">
        <v>3090</v>
      </c>
      <c r="D207">
        <v>1826</v>
      </c>
      <c r="E207">
        <v>1828</v>
      </c>
      <c r="F207">
        <v>1.6903719912472599</v>
      </c>
      <c r="G207">
        <v>1.7596770230424701</v>
      </c>
      <c r="H207">
        <v>5.0918541001594902E-2</v>
      </c>
      <c r="I207">
        <v>-1.36109618288234</v>
      </c>
      <c r="J207">
        <v>-4.0999999999999996</v>
      </c>
      <c r="K207">
        <v>3090</v>
      </c>
      <c r="L207">
        <v>1505.5766871165642</v>
      </c>
    </row>
    <row r="208" spans="1:12">
      <c r="A208" s="14">
        <v>43563</v>
      </c>
      <c r="B208">
        <v>3105</v>
      </c>
      <c r="C208">
        <v>3100</v>
      </c>
      <c r="D208">
        <v>1834</v>
      </c>
      <c r="E208">
        <v>1828</v>
      </c>
      <c r="F208">
        <v>1.69584245076586</v>
      </c>
      <c r="G208">
        <v>1.7612377669647701</v>
      </c>
      <c r="H208">
        <v>5.0563041850211099E-2</v>
      </c>
      <c r="I208">
        <v>-1.2933422081811099</v>
      </c>
      <c r="J208">
        <v>-3.86</v>
      </c>
      <c r="K208">
        <v>3100</v>
      </c>
      <c r="L208">
        <v>1505.5766871165642</v>
      </c>
    </row>
    <row r="209" spans="1:12">
      <c r="A209" s="14">
        <v>43560</v>
      </c>
      <c r="B209">
        <v>3080</v>
      </c>
      <c r="C209">
        <v>3080</v>
      </c>
      <c r="D209">
        <v>1818</v>
      </c>
      <c r="E209">
        <v>1818</v>
      </c>
      <c r="F209">
        <v>1.6941694169416901</v>
      </c>
      <c r="G209">
        <v>1.76245060836196</v>
      </c>
      <c r="H209">
        <v>5.0068410626465498E-2</v>
      </c>
      <c r="I209">
        <v>-1.36375791773545</v>
      </c>
      <c r="J209">
        <v>-4.03</v>
      </c>
      <c r="K209">
        <v>3080</v>
      </c>
      <c r="L209">
        <v>1497.340490797546</v>
      </c>
    </row>
    <row r="210" spans="1:12">
      <c r="A210" s="14">
        <v>43559</v>
      </c>
      <c r="B210">
        <v>3090</v>
      </c>
      <c r="C210">
        <v>3075</v>
      </c>
      <c r="D210">
        <v>1808</v>
      </c>
      <c r="E210">
        <v>1805</v>
      </c>
      <c r="F210">
        <v>1.7036011080332401</v>
      </c>
      <c r="G210">
        <v>1.7634485372628299</v>
      </c>
      <c r="H210">
        <v>4.9439457812564098E-2</v>
      </c>
      <c r="I210">
        <v>-1.21051952989637</v>
      </c>
      <c r="J210">
        <v>-3.51</v>
      </c>
      <c r="K210">
        <v>3075</v>
      </c>
      <c r="L210">
        <v>1486.6334355828221</v>
      </c>
    </row>
    <row r="211" spans="1:12">
      <c r="A211" s="14">
        <v>43558</v>
      </c>
      <c r="B211">
        <v>3035</v>
      </c>
      <c r="C211">
        <v>3055</v>
      </c>
      <c r="D211">
        <v>1810</v>
      </c>
      <c r="E211">
        <v>1819</v>
      </c>
      <c r="F211">
        <v>1.6794942275975799</v>
      </c>
      <c r="G211">
        <v>1.7646469997355301</v>
      </c>
      <c r="H211">
        <v>4.90621779260631E-2</v>
      </c>
      <c r="I211">
        <v>-1.73560929696767</v>
      </c>
      <c r="J211">
        <v>-5.07</v>
      </c>
      <c r="K211">
        <v>3055</v>
      </c>
      <c r="L211">
        <v>1498.1641104294479</v>
      </c>
    </row>
    <row r="212" spans="1:12">
      <c r="A212" s="14">
        <v>43557</v>
      </c>
      <c r="B212">
        <v>3100</v>
      </c>
      <c r="C212">
        <v>3060</v>
      </c>
      <c r="D212">
        <v>1800</v>
      </c>
      <c r="E212">
        <v>1788</v>
      </c>
      <c r="F212">
        <v>1.71140939597315</v>
      </c>
      <c r="G212">
        <v>1.76644590289623</v>
      </c>
      <c r="H212">
        <v>4.8375634486820203E-2</v>
      </c>
      <c r="I212">
        <v>-1.13769064751131</v>
      </c>
      <c r="J212">
        <v>-3.22</v>
      </c>
      <c r="K212">
        <v>3060</v>
      </c>
      <c r="L212">
        <v>1472.6319018404906</v>
      </c>
    </row>
    <row r="213" spans="1:12">
      <c r="A213" s="14">
        <v>43556</v>
      </c>
      <c r="B213">
        <v>3095</v>
      </c>
      <c r="C213">
        <v>3090</v>
      </c>
      <c r="D213">
        <v>1759</v>
      </c>
      <c r="E213">
        <v>1776</v>
      </c>
      <c r="F213">
        <v>1.73986486486486</v>
      </c>
      <c r="G213">
        <v>1.7671674015707901</v>
      </c>
      <c r="H213">
        <v>4.7951078646622597E-2</v>
      </c>
      <c r="I213">
        <v>-0.56938316043192505</v>
      </c>
      <c r="J213">
        <v>-1.57</v>
      </c>
      <c r="K213">
        <v>3090</v>
      </c>
      <c r="L213">
        <v>1462.7484662576687</v>
      </c>
    </row>
    <row r="214" spans="1:12">
      <c r="A214" s="14">
        <v>43553</v>
      </c>
      <c r="B214">
        <v>2978</v>
      </c>
      <c r="C214">
        <v>3055</v>
      </c>
      <c r="D214">
        <v>1723</v>
      </c>
      <c r="E214">
        <v>1721</v>
      </c>
      <c r="F214">
        <v>1.7751307379430501</v>
      </c>
      <c r="G214">
        <v>1.76738215796696</v>
      </c>
      <c r="H214">
        <v>4.7864308806392503E-2</v>
      </c>
      <c r="I214">
        <v>0.16188638610527301</v>
      </c>
      <c r="J214">
        <v>0.44</v>
      </c>
      <c r="K214">
        <v>3055</v>
      </c>
      <c r="L214">
        <v>1417.4493865030674</v>
      </c>
    </row>
    <row r="215" spans="1:12">
      <c r="A215" s="14">
        <v>43552</v>
      </c>
      <c r="B215">
        <v>2962</v>
      </c>
      <c r="C215">
        <v>2954</v>
      </c>
      <c r="D215">
        <v>1719</v>
      </c>
      <c r="E215">
        <v>1685</v>
      </c>
      <c r="F215">
        <v>1.75311572700296</v>
      </c>
      <c r="G215">
        <v>1.7670961324314101</v>
      </c>
      <c r="H215">
        <v>4.7881243289579697E-2</v>
      </c>
      <c r="I215">
        <v>-0.29198083566653699</v>
      </c>
      <c r="J215">
        <v>-0.8</v>
      </c>
      <c r="K215">
        <v>2954</v>
      </c>
      <c r="L215">
        <v>1387.7990797546013</v>
      </c>
    </row>
    <row r="216" spans="1:12">
      <c r="A216" s="14">
        <v>43551</v>
      </c>
      <c r="B216">
        <v>2982</v>
      </c>
      <c r="C216">
        <v>3000</v>
      </c>
      <c r="D216">
        <v>1725</v>
      </c>
      <c r="E216">
        <v>1720</v>
      </c>
      <c r="F216">
        <v>1.7441860465116199</v>
      </c>
      <c r="G216">
        <v>1.7669971181403299</v>
      </c>
      <c r="H216">
        <v>4.79177155364141E-2</v>
      </c>
      <c r="I216">
        <v>-0.47604672663025199</v>
      </c>
      <c r="J216">
        <v>-1.31</v>
      </c>
      <c r="K216">
        <v>3000</v>
      </c>
      <c r="L216">
        <v>1416.6257668711655</v>
      </c>
    </row>
    <row r="217" spans="1:12">
      <c r="A217" s="14">
        <v>43550</v>
      </c>
      <c r="B217">
        <v>2944</v>
      </c>
      <c r="C217">
        <v>2999</v>
      </c>
      <c r="D217">
        <v>1726</v>
      </c>
      <c r="E217">
        <v>1740</v>
      </c>
      <c r="F217">
        <v>1.7235632183908001</v>
      </c>
      <c r="G217">
        <v>1.76757463752018</v>
      </c>
      <c r="H217">
        <v>4.7900322642656798E-2</v>
      </c>
      <c r="I217">
        <v>-0.91881258207192096</v>
      </c>
      <c r="J217">
        <v>-2.5499999999999998</v>
      </c>
      <c r="K217">
        <v>2999</v>
      </c>
      <c r="L217">
        <v>1433.0981595092023</v>
      </c>
    </row>
    <row r="218" spans="1:12">
      <c r="A218" s="14">
        <v>43549</v>
      </c>
      <c r="B218">
        <v>2940</v>
      </c>
      <c r="C218">
        <v>2931</v>
      </c>
      <c r="D218">
        <v>1704</v>
      </c>
      <c r="E218">
        <v>1704</v>
      </c>
      <c r="F218">
        <v>1.7200704225352099</v>
      </c>
      <c r="G218">
        <v>1.7678393549267299</v>
      </c>
      <c r="H218">
        <v>4.7710851013200502E-2</v>
      </c>
      <c r="I218">
        <v>-1.00121736202754</v>
      </c>
      <c r="J218">
        <v>-2.78</v>
      </c>
      <c r="K218">
        <v>2931</v>
      </c>
      <c r="L218">
        <v>1403.4478527607362</v>
      </c>
    </row>
    <row r="219" spans="1:12">
      <c r="A219" s="14">
        <v>43546</v>
      </c>
      <c r="B219">
        <v>2974</v>
      </c>
      <c r="C219">
        <v>2970</v>
      </c>
      <c r="D219">
        <v>1764</v>
      </c>
      <c r="E219">
        <v>1754</v>
      </c>
      <c r="F219">
        <v>1.6932725199543801</v>
      </c>
      <c r="G219">
        <v>1.76803751395058</v>
      </c>
      <c r="H219">
        <v>4.7542605863418602E-2</v>
      </c>
      <c r="I219">
        <v>-1.5725893151708401</v>
      </c>
      <c r="J219">
        <v>-4.42</v>
      </c>
      <c r="K219">
        <v>2970</v>
      </c>
      <c r="L219">
        <v>1444.6288343558281</v>
      </c>
    </row>
    <row r="220" spans="1:12">
      <c r="A220" s="14">
        <v>43544</v>
      </c>
      <c r="B220">
        <v>2990</v>
      </c>
      <c r="C220">
        <v>2978</v>
      </c>
      <c r="D220">
        <v>1768</v>
      </c>
      <c r="E220">
        <v>1754</v>
      </c>
      <c r="F220">
        <v>1.69783352337514</v>
      </c>
      <c r="G220">
        <v>1.76846644492308</v>
      </c>
      <c r="H220">
        <v>4.7008254389790997E-2</v>
      </c>
      <c r="I220">
        <v>-1.5025642297255599</v>
      </c>
      <c r="J220">
        <v>-4.16</v>
      </c>
      <c r="K220">
        <v>2978</v>
      </c>
      <c r="L220">
        <v>1444.6288343558281</v>
      </c>
    </row>
    <row r="221" spans="1:12">
      <c r="A221" s="14">
        <v>43543</v>
      </c>
      <c r="B221">
        <v>3015</v>
      </c>
      <c r="C221">
        <v>3000</v>
      </c>
      <c r="D221">
        <v>1761</v>
      </c>
      <c r="E221">
        <v>1768</v>
      </c>
      <c r="F221">
        <v>1.6968325791855201</v>
      </c>
      <c r="G221">
        <v>1.7693065663049199</v>
      </c>
      <c r="H221">
        <v>4.6296058328407698E-2</v>
      </c>
      <c r="I221">
        <v>-1.5654461683390699</v>
      </c>
      <c r="J221">
        <v>-4.2699999999999996</v>
      </c>
      <c r="K221">
        <v>3000</v>
      </c>
      <c r="L221">
        <v>1456.1595092024538</v>
      </c>
    </row>
    <row r="222" spans="1:12">
      <c r="A222" s="14">
        <v>43542</v>
      </c>
      <c r="B222">
        <v>3015</v>
      </c>
      <c r="C222">
        <v>2989</v>
      </c>
      <c r="D222">
        <v>1749</v>
      </c>
      <c r="E222">
        <v>1761</v>
      </c>
      <c r="F222">
        <v>1.69733106189664</v>
      </c>
      <c r="G222">
        <v>1.7699422281702299</v>
      </c>
      <c r="H222">
        <v>4.5618943451034302E-2</v>
      </c>
      <c r="I222">
        <v>-1.5916889077346299</v>
      </c>
      <c r="J222">
        <v>-4.28</v>
      </c>
      <c r="K222">
        <v>2989</v>
      </c>
      <c r="L222">
        <v>1450.3941717791411</v>
      </c>
    </row>
    <row r="223" spans="1:12">
      <c r="A223" s="14">
        <v>43539</v>
      </c>
      <c r="B223">
        <v>2966</v>
      </c>
      <c r="C223">
        <v>2981</v>
      </c>
      <c r="D223">
        <v>1715</v>
      </c>
      <c r="E223">
        <v>1729</v>
      </c>
      <c r="F223">
        <v>1.7241179872758801</v>
      </c>
      <c r="G223">
        <v>1.7700697680346</v>
      </c>
      <c r="H223">
        <v>4.5428736278382301E-2</v>
      </c>
      <c r="I223">
        <v>-1.0115135159633699</v>
      </c>
      <c r="J223">
        <v>-2.67</v>
      </c>
      <c r="K223">
        <v>2981</v>
      </c>
      <c r="L223">
        <v>1424.0383435582821</v>
      </c>
    </row>
    <row r="224" spans="1:12">
      <c r="A224" s="14">
        <v>43538</v>
      </c>
      <c r="B224">
        <v>3000</v>
      </c>
      <c r="C224">
        <v>2958</v>
      </c>
      <c r="D224">
        <v>1739</v>
      </c>
      <c r="E224">
        <v>1700</v>
      </c>
      <c r="F224">
        <v>1.74</v>
      </c>
      <c r="G224">
        <v>1.77012086567837</v>
      </c>
      <c r="H224">
        <v>4.5379149795070899E-2</v>
      </c>
      <c r="I224">
        <v>-0.66376002667304002</v>
      </c>
      <c r="J224">
        <v>-1.73</v>
      </c>
      <c r="K224">
        <v>2958</v>
      </c>
      <c r="L224">
        <v>1400.1533742331287</v>
      </c>
    </row>
    <row r="225" spans="1:12">
      <c r="A225" s="14">
        <v>43537</v>
      </c>
      <c r="B225">
        <v>3010</v>
      </c>
      <c r="C225">
        <v>2984</v>
      </c>
      <c r="D225">
        <v>1711</v>
      </c>
      <c r="E225">
        <v>1714</v>
      </c>
      <c r="F225">
        <v>1.74095682613768</v>
      </c>
      <c r="G225">
        <v>1.77047195445559</v>
      </c>
      <c r="H225">
        <v>4.52464200429833E-2</v>
      </c>
      <c r="I225">
        <v>-0.65231963744020205</v>
      </c>
      <c r="J225">
        <v>-1.7</v>
      </c>
      <c r="K225">
        <v>2984</v>
      </c>
      <c r="L225">
        <v>1411.6840490797545</v>
      </c>
    </row>
    <row r="226" spans="1:12">
      <c r="A226" s="14">
        <v>43536</v>
      </c>
      <c r="B226">
        <v>3030</v>
      </c>
      <c r="C226">
        <v>3020</v>
      </c>
      <c r="D226">
        <v>1702</v>
      </c>
      <c r="E226">
        <v>1722</v>
      </c>
      <c r="F226">
        <v>1.75377468060394</v>
      </c>
      <c r="G226">
        <v>1.7713236172018101</v>
      </c>
      <c r="H226">
        <v>4.5283982094044599E-2</v>
      </c>
      <c r="I226">
        <v>-0.38753077327480601</v>
      </c>
      <c r="J226">
        <v>-1</v>
      </c>
      <c r="K226">
        <v>3020</v>
      </c>
      <c r="L226">
        <v>1418.2730061349694</v>
      </c>
    </row>
    <row r="227" spans="1:12">
      <c r="A227" s="14">
        <v>43535</v>
      </c>
      <c r="B227">
        <v>3000</v>
      </c>
      <c r="C227">
        <v>3005</v>
      </c>
      <c r="D227">
        <v>1634</v>
      </c>
      <c r="E227">
        <v>1672</v>
      </c>
      <c r="F227">
        <v>1.7972488038277501</v>
      </c>
      <c r="G227">
        <v>1.77213282691116</v>
      </c>
      <c r="H227">
        <v>4.5504881064566099E-2</v>
      </c>
      <c r="I227">
        <v>0.55194028264682804</v>
      </c>
      <c r="J227">
        <v>1.4</v>
      </c>
      <c r="K227">
        <v>3005</v>
      </c>
      <c r="L227">
        <v>1377.0920245398772</v>
      </c>
    </row>
    <row r="228" spans="1:12">
      <c r="A228" s="14">
        <v>43532</v>
      </c>
      <c r="B228">
        <v>3020</v>
      </c>
      <c r="C228">
        <v>2987</v>
      </c>
      <c r="D228">
        <v>1680</v>
      </c>
      <c r="E228">
        <v>1632</v>
      </c>
      <c r="F228">
        <v>1.83026960784313</v>
      </c>
      <c r="G228">
        <v>1.7722459426478101</v>
      </c>
      <c r="H228">
        <v>4.55776597439186E-2</v>
      </c>
      <c r="I228">
        <v>1.2730724991439699</v>
      </c>
      <c r="J228">
        <v>3.17</v>
      </c>
      <c r="K228">
        <v>2987</v>
      </c>
      <c r="L228">
        <v>1344.1472392638036</v>
      </c>
    </row>
    <row r="229" spans="1:12">
      <c r="A229" s="14">
        <v>43531</v>
      </c>
      <c r="B229">
        <v>3020</v>
      </c>
      <c r="C229">
        <v>3070</v>
      </c>
      <c r="D229">
        <v>1678</v>
      </c>
      <c r="E229">
        <v>1696</v>
      </c>
      <c r="F229">
        <v>1.8101415094339599</v>
      </c>
      <c r="G229">
        <v>1.77290027137383</v>
      </c>
      <c r="H229">
        <v>4.6743330857263898E-2</v>
      </c>
      <c r="I229">
        <v>0.79671767880306898</v>
      </c>
      <c r="J229">
        <v>2.06</v>
      </c>
      <c r="K229">
        <v>3070</v>
      </c>
      <c r="L229">
        <v>1396.8588957055215</v>
      </c>
    </row>
    <row r="230" spans="1:12">
      <c r="A230" s="14">
        <v>43530</v>
      </c>
      <c r="B230">
        <v>3020</v>
      </c>
      <c r="C230">
        <v>3055</v>
      </c>
      <c r="D230">
        <v>1683</v>
      </c>
      <c r="E230">
        <v>1701</v>
      </c>
      <c r="F230">
        <v>1.7960023515579</v>
      </c>
      <c r="G230">
        <v>1.7740479895354699</v>
      </c>
      <c r="H230">
        <v>4.8661081847932802E-2</v>
      </c>
      <c r="I230">
        <v>0.45116880243311402</v>
      </c>
      <c r="J230">
        <v>1.22</v>
      </c>
      <c r="K230">
        <v>3055</v>
      </c>
      <c r="L230">
        <v>1400.9769938650306</v>
      </c>
    </row>
    <row r="231" spans="1:12">
      <c r="A231" s="14">
        <v>43529</v>
      </c>
      <c r="B231">
        <v>3000</v>
      </c>
      <c r="C231">
        <v>3010</v>
      </c>
      <c r="D231">
        <v>1702</v>
      </c>
      <c r="E231">
        <v>1695</v>
      </c>
      <c r="F231">
        <v>1.77581120943952</v>
      </c>
      <c r="G231">
        <v>1.7754173088307199</v>
      </c>
      <c r="H231">
        <v>5.0663384848112197E-2</v>
      </c>
      <c r="I231">
        <v>7.7748577199944499E-3</v>
      </c>
      <c r="J231">
        <v>0.02</v>
      </c>
      <c r="K231">
        <v>3010</v>
      </c>
      <c r="L231">
        <v>1396.0352760736196</v>
      </c>
    </row>
    <row r="232" spans="1:12">
      <c r="A232" s="14">
        <v>43528</v>
      </c>
      <c r="B232">
        <v>3055</v>
      </c>
      <c r="C232">
        <v>3005</v>
      </c>
      <c r="D232">
        <v>1673</v>
      </c>
      <c r="E232">
        <v>1700</v>
      </c>
      <c r="F232">
        <v>1.76764705882352</v>
      </c>
      <c r="G232">
        <v>1.77706356704538</v>
      </c>
      <c r="H232">
        <v>5.2617751572891697E-2</v>
      </c>
      <c r="I232">
        <v>-0.178960672783855</v>
      </c>
      <c r="J232">
        <v>-0.53</v>
      </c>
      <c r="K232">
        <v>3005</v>
      </c>
      <c r="L232">
        <v>1400.1533742331287</v>
      </c>
    </row>
    <row r="233" spans="1:12">
      <c r="A233" s="14">
        <v>43525</v>
      </c>
      <c r="B233">
        <v>3005</v>
      </c>
      <c r="C233">
        <v>3040</v>
      </c>
      <c r="D233">
        <v>1668</v>
      </c>
      <c r="E233">
        <v>1637</v>
      </c>
      <c r="F233">
        <v>1.8570555894929699</v>
      </c>
      <c r="G233">
        <v>1.7788842659286099</v>
      </c>
      <c r="H233">
        <v>5.4586119260397199E-2</v>
      </c>
      <c r="I233">
        <v>1.43207329305554</v>
      </c>
      <c r="J233">
        <v>4.21</v>
      </c>
      <c r="K233">
        <v>3040</v>
      </c>
      <c r="L233">
        <v>1348.2653374233128</v>
      </c>
    </row>
    <row r="234" spans="1:12">
      <c r="A234" s="14">
        <v>43524</v>
      </c>
      <c r="B234">
        <v>3005</v>
      </c>
      <c r="C234">
        <v>3005</v>
      </c>
      <c r="D234">
        <v>1638</v>
      </c>
      <c r="E234">
        <v>1643</v>
      </c>
      <c r="F234">
        <v>1.8289713937918399</v>
      </c>
      <c r="G234">
        <v>1.7794016618634401</v>
      </c>
      <c r="H234">
        <v>5.5500857281000002E-2</v>
      </c>
      <c r="I234">
        <v>0.89313452722766895</v>
      </c>
      <c r="J234">
        <v>2.71</v>
      </c>
      <c r="K234">
        <v>3005</v>
      </c>
      <c r="L234">
        <v>1353.2070552147238</v>
      </c>
    </row>
    <row r="235" spans="1:12">
      <c r="A235" s="14">
        <v>43523</v>
      </c>
      <c r="B235">
        <v>2896</v>
      </c>
      <c r="C235">
        <v>2954</v>
      </c>
      <c r="D235">
        <v>1650</v>
      </c>
      <c r="E235">
        <v>1646</v>
      </c>
      <c r="F235">
        <v>1.7946537059538199</v>
      </c>
      <c r="G235">
        <v>1.7796781395710299</v>
      </c>
      <c r="H235">
        <v>5.5797953053054898E-2</v>
      </c>
      <c r="I235">
        <v>0.26838917134746099</v>
      </c>
      <c r="J235">
        <v>0.83</v>
      </c>
      <c r="K235">
        <v>2954</v>
      </c>
      <c r="L235">
        <v>1355.6779141104294</v>
      </c>
    </row>
    <row r="236" spans="1:12">
      <c r="A236" s="14">
        <v>43522</v>
      </c>
      <c r="B236">
        <v>2876</v>
      </c>
      <c r="C236">
        <v>2877</v>
      </c>
      <c r="D236">
        <v>1659</v>
      </c>
      <c r="E236">
        <v>1643</v>
      </c>
      <c r="F236">
        <v>1.7510651247717499</v>
      </c>
      <c r="G236">
        <v>1.7801135132672099</v>
      </c>
      <c r="H236">
        <v>5.6039969835659502E-2</v>
      </c>
      <c r="I236">
        <v>-0.51835125144851701</v>
      </c>
      <c r="J236">
        <v>-1.66</v>
      </c>
      <c r="K236">
        <v>2877</v>
      </c>
      <c r="L236">
        <v>1353.2070552147238</v>
      </c>
    </row>
    <row r="237" spans="1:12">
      <c r="A237" s="14">
        <v>43521</v>
      </c>
      <c r="B237">
        <v>2894</v>
      </c>
      <c r="C237">
        <v>2869</v>
      </c>
      <c r="D237">
        <v>1677</v>
      </c>
      <c r="E237">
        <v>1661</v>
      </c>
      <c r="F237">
        <v>1.72727272727272</v>
      </c>
      <c r="G237">
        <v>1.7824784545210399</v>
      </c>
      <c r="H237">
        <v>5.8454776045107397E-2</v>
      </c>
      <c r="I237">
        <v>-0.944417735955697</v>
      </c>
      <c r="J237">
        <v>-3.2</v>
      </c>
      <c r="K237">
        <v>2869</v>
      </c>
      <c r="L237">
        <v>1368.032208588957</v>
      </c>
    </row>
    <row r="238" spans="1:12">
      <c r="A238" s="14">
        <v>43518</v>
      </c>
      <c r="B238">
        <v>2839</v>
      </c>
      <c r="C238">
        <v>2853</v>
      </c>
      <c r="D238">
        <v>1631</v>
      </c>
      <c r="E238">
        <v>1652</v>
      </c>
      <c r="F238">
        <v>1.72699757869249</v>
      </c>
      <c r="G238">
        <v>1.7865970686597501</v>
      </c>
      <c r="H238">
        <v>6.4942123188746398E-2</v>
      </c>
      <c r="I238">
        <v>-0.91773239064020495</v>
      </c>
      <c r="J238">
        <v>-3.45</v>
      </c>
      <c r="K238">
        <v>2853</v>
      </c>
      <c r="L238">
        <v>1360.6196319018404</v>
      </c>
    </row>
    <row r="239" spans="1:12">
      <c r="A239" s="14">
        <v>43517</v>
      </c>
      <c r="B239">
        <v>2905</v>
      </c>
      <c r="C239">
        <v>2875</v>
      </c>
      <c r="D239">
        <v>1650</v>
      </c>
      <c r="E239">
        <v>1651</v>
      </c>
      <c r="F239">
        <v>1.74136886735311</v>
      </c>
      <c r="G239">
        <v>1.7906183126524899</v>
      </c>
      <c r="H239">
        <v>7.0247854221316894E-2</v>
      </c>
      <c r="I239">
        <v>-0.70108113401183503</v>
      </c>
      <c r="J239">
        <v>-2.83</v>
      </c>
      <c r="K239">
        <v>2875</v>
      </c>
      <c r="L239">
        <v>1359.7960122699385</v>
      </c>
    </row>
    <row r="240" spans="1:12">
      <c r="A240" s="14">
        <v>43516</v>
      </c>
      <c r="B240">
        <v>2918</v>
      </c>
      <c r="C240">
        <v>2918</v>
      </c>
      <c r="D240">
        <v>1655</v>
      </c>
      <c r="E240">
        <v>1662</v>
      </c>
      <c r="F240">
        <v>1.7557160048134699</v>
      </c>
      <c r="G240">
        <v>1.7942767734165499</v>
      </c>
      <c r="H240">
        <v>7.4597905454109201E-2</v>
      </c>
      <c r="I240">
        <v>-0.51691489685057102</v>
      </c>
      <c r="J240">
        <v>-2.2000000000000002</v>
      </c>
      <c r="K240">
        <v>2918</v>
      </c>
      <c r="L240">
        <v>1368.8558282208589</v>
      </c>
    </row>
    <row r="241" spans="1:12">
      <c r="A241" s="14">
        <v>43515</v>
      </c>
      <c r="B241">
        <v>2849</v>
      </c>
      <c r="C241">
        <v>2907</v>
      </c>
      <c r="D241">
        <v>1636</v>
      </c>
      <c r="E241">
        <v>1652</v>
      </c>
      <c r="F241">
        <v>1.7596852300242101</v>
      </c>
      <c r="G241">
        <v>1.7981775715132899</v>
      </c>
      <c r="H241">
        <v>7.9937554760962898E-2</v>
      </c>
      <c r="I241">
        <v>-0.481530134417889</v>
      </c>
      <c r="J241">
        <v>-2.19</v>
      </c>
      <c r="K241">
        <v>2907</v>
      </c>
      <c r="L241">
        <v>1360.6196319018404</v>
      </c>
    </row>
    <row r="242" spans="1:12">
      <c r="A242" s="14">
        <v>43514</v>
      </c>
      <c r="B242">
        <v>2823</v>
      </c>
      <c r="C242">
        <v>2809</v>
      </c>
      <c r="D242">
        <v>1643</v>
      </c>
      <c r="E242">
        <v>1649</v>
      </c>
      <c r="F242">
        <v>1.70345664038811</v>
      </c>
      <c r="G242">
        <v>1.8022651928543201</v>
      </c>
      <c r="H242">
        <v>8.5508879053177902E-2</v>
      </c>
      <c r="I242">
        <v>-1.15553558367616</v>
      </c>
      <c r="J242">
        <v>-5.8</v>
      </c>
      <c r="K242">
        <v>2809</v>
      </c>
      <c r="L242">
        <v>1358.1487730061349</v>
      </c>
    </row>
    <row r="243" spans="1:12">
      <c r="A243" s="14">
        <v>43511</v>
      </c>
      <c r="B243">
        <v>2800</v>
      </c>
      <c r="C243">
        <v>2773</v>
      </c>
      <c r="D243">
        <v>1610</v>
      </c>
      <c r="E243">
        <v>1609</v>
      </c>
      <c r="F243">
        <v>1.7234307022995601</v>
      </c>
      <c r="G243">
        <v>1.80684902557565</v>
      </c>
      <c r="H243">
        <v>8.9223188151496893E-2</v>
      </c>
      <c r="I243">
        <v>-0.93493995231879701</v>
      </c>
      <c r="J243">
        <v>-4.84</v>
      </c>
      <c r="K243">
        <v>2773</v>
      </c>
      <c r="L243">
        <v>1325.2039877300613</v>
      </c>
    </row>
    <row r="244" spans="1:12">
      <c r="A244" s="14">
        <v>43510</v>
      </c>
      <c r="B244">
        <v>2779</v>
      </c>
      <c r="C244">
        <v>2792</v>
      </c>
      <c r="D244">
        <v>1629</v>
      </c>
      <c r="E244">
        <v>1626</v>
      </c>
      <c r="F244">
        <v>1.7170971709717</v>
      </c>
      <c r="G244">
        <v>1.8102874753181899</v>
      </c>
      <c r="H244">
        <v>9.0895628004311405E-2</v>
      </c>
      <c r="I244">
        <v>-1.0252451783716301</v>
      </c>
      <c r="J244">
        <v>-5.43</v>
      </c>
      <c r="K244">
        <v>2792</v>
      </c>
      <c r="L244">
        <v>1339.2055214723925</v>
      </c>
    </row>
    <row r="245" spans="1:12">
      <c r="A245" s="14">
        <v>43509</v>
      </c>
      <c r="B245">
        <v>2815</v>
      </c>
      <c r="C245">
        <v>2789</v>
      </c>
      <c r="D245">
        <v>1599</v>
      </c>
      <c r="E245">
        <v>1604</v>
      </c>
      <c r="F245">
        <v>1.73877805486284</v>
      </c>
      <c r="G245">
        <v>1.81326349313807</v>
      </c>
      <c r="H245">
        <v>9.1448005173988101E-2</v>
      </c>
      <c r="I245">
        <v>-0.814511351379542</v>
      </c>
      <c r="J245">
        <v>-4.28</v>
      </c>
      <c r="K245">
        <v>2789</v>
      </c>
      <c r="L245">
        <v>1321.0858895705521</v>
      </c>
    </row>
    <row r="246" spans="1:12">
      <c r="A246" s="14">
        <v>43508</v>
      </c>
      <c r="B246">
        <v>2717</v>
      </c>
      <c r="C246">
        <v>2802</v>
      </c>
      <c r="D246">
        <v>1539</v>
      </c>
      <c r="E246">
        <v>1577</v>
      </c>
      <c r="F246">
        <v>1.7767913760304299</v>
      </c>
      <c r="G246">
        <v>1.81601266045326</v>
      </c>
      <c r="H246">
        <v>9.2263090855258204E-2</v>
      </c>
      <c r="I246">
        <v>-0.42510265003321102</v>
      </c>
      <c r="J246">
        <v>-2.21</v>
      </c>
      <c r="K246">
        <v>2802</v>
      </c>
      <c r="L246">
        <v>1298.8481595092023</v>
      </c>
    </row>
    <row r="247" spans="1:12">
      <c r="A247" s="14">
        <v>43504</v>
      </c>
      <c r="B247">
        <v>2692</v>
      </c>
      <c r="C247">
        <v>2719</v>
      </c>
      <c r="D247">
        <v>1553</v>
      </c>
      <c r="E247">
        <v>1524</v>
      </c>
      <c r="F247">
        <v>1.7841207349081301</v>
      </c>
      <c r="G247">
        <v>1.8175954988092999</v>
      </c>
      <c r="H247">
        <v>9.2594351581461995E-2</v>
      </c>
      <c r="I247">
        <v>-0.36152058229731299</v>
      </c>
      <c r="J247">
        <v>-1.88</v>
      </c>
      <c r="K247">
        <v>2719</v>
      </c>
      <c r="L247">
        <v>1255.1963190184049</v>
      </c>
    </row>
    <row r="248" spans="1:12">
      <c r="A248" s="14">
        <v>43503</v>
      </c>
      <c r="B248">
        <v>2721</v>
      </c>
      <c r="C248">
        <v>2706</v>
      </c>
      <c r="D248">
        <v>1614</v>
      </c>
      <c r="E248">
        <v>1571</v>
      </c>
      <c r="F248">
        <v>1.7224697644812199</v>
      </c>
      <c r="G248">
        <v>1.8193236257460501</v>
      </c>
      <c r="H248">
        <v>9.3161214799384898E-2</v>
      </c>
      <c r="I248">
        <v>-1.0396371652451999</v>
      </c>
      <c r="J248">
        <v>-5.62</v>
      </c>
      <c r="K248">
        <v>2706</v>
      </c>
      <c r="L248">
        <v>1293.9064417177913</v>
      </c>
    </row>
    <row r="249" spans="1:12">
      <c r="A249" s="14">
        <v>43502</v>
      </c>
      <c r="B249">
        <v>2744</v>
      </c>
      <c r="C249">
        <v>2722</v>
      </c>
      <c r="D249">
        <v>1616</v>
      </c>
      <c r="E249">
        <v>1623</v>
      </c>
      <c r="F249">
        <v>1.67714109673444</v>
      </c>
      <c r="G249">
        <v>1.8218840041031501</v>
      </c>
      <c r="H249">
        <v>9.3102935748885202E-2</v>
      </c>
      <c r="I249">
        <v>-1.5546546003566499</v>
      </c>
      <c r="J249">
        <v>-8.6300000000000008</v>
      </c>
      <c r="K249">
        <v>2722</v>
      </c>
      <c r="L249">
        <v>1336.734662576687</v>
      </c>
    </row>
    <row r="250" spans="1:12">
      <c r="A250" s="14">
        <v>43501</v>
      </c>
      <c r="B250">
        <v>2745</v>
      </c>
      <c r="C250">
        <v>2714</v>
      </c>
      <c r="D250">
        <v>1615</v>
      </c>
      <c r="E250">
        <v>1622</v>
      </c>
      <c r="F250">
        <v>1.67324290998766</v>
      </c>
      <c r="G250">
        <v>1.825211345871</v>
      </c>
      <c r="H250">
        <v>9.2326634522500006E-2</v>
      </c>
      <c r="I250">
        <v>-1.64598695348636</v>
      </c>
      <c r="J250">
        <v>-9.08</v>
      </c>
      <c r="K250">
        <v>2714</v>
      </c>
      <c r="L250">
        <v>1335.9110429447853</v>
      </c>
    </row>
    <row r="251" spans="1:12">
      <c r="A251" s="14">
        <v>43500</v>
      </c>
      <c r="B251">
        <v>2682</v>
      </c>
      <c r="C251">
        <v>2737</v>
      </c>
      <c r="D251">
        <v>1560</v>
      </c>
      <c r="E251">
        <v>1591</v>
      </c>
      <c r="F251">
        <v>1.72030169704588</v>
      </c>
      <c r="G251">
        <v>1.82909635039829</v>
      </c>
      <c r="H251">
        <v>9.1979957450143604E-2</v>
      </c>
      <c r="I251">
        <v>-1.1828082591947999</v>
      </c>
      <c r="J251">
        <v>-6.32</v>
      </c>
      <c r="K251">
        <v>2737</v>
      </c>
      <c r="L251">
        <v>1310.3788343558281</v>
      </c>
    </row>
    <row r="252" spans="1:12">
      <c r="A252" s="14">
        <v>43497</v>
      </c>
      <c r="B252">
        <v>2680</v>
      </c>
      <c r="C252">
        <v>2657</v>
      </c>
      <c r="D252">
        <v>1536</v>
      </c>
      <c r="E252">
        <v>1553</v>
      </c>
      <c r="F252">
        <v>1.71088216355441</v>
      </c>
      <c r="G252">
        <v>1.8332582310789001</v>
      </c>
      <c r="H252">
        <v>9.4002682939482607E-2</v>
      </c>
      <c r="I252">
        <v>-1.3018359018889001</v>
      </c>
      <c r="J252">
        <v>-7.15</v>
      </c>
      <c r="K252">
        <v>2657</v>
      </c>
      <c r="L252">
        <v>1279.0812883435583</v>
      </c>
    </row>
    <row r="253" spans="1:12">
      <c r="A253" s="14">
        <v>43496</v>
      </c>
      <c r="B253">
        <v>2656</v>
      </c>
      <c r="C253">
        <v>2670</v>
      </c>
      <c r="D253">
        <v>1557</v>
      </c>
      <c r="E253">
        <v>1543</v>
      </c>
      <c r="F253">
        <v>1.7303953337653899</v>
      </c>
      <c r="G253">
        <v>1.8378296272263599</v>
      </c>
      <c r="H253">
        <v>9.6250051818762603E-2</v>
      </c>
      <c r="I253">
        <v>-1.11619985060657</v>
      </c>
      <c r="J253">
        <v>-6.21</v>
      </c>
      <c r="K253">
        <v>2670</v>
      </c>
      <c r="L253">
        <v>1270.8450920245398</v>
      </c>
    </row>
    <row r="254" spans="1:12">
      <c r="A254" s="14">
        <v>43495</v>
      </c>
      <c r="B254">
        <v>2642</v>
      </c>
      <c r="C254">
        <v>2623</v>
      </c>
      <c r="D254">
        <v>1543</v>
      </c>
      <c r="E254">
        <v>1535</v>
      </c>
      <c r="F254">
        <v>1.7087947882736101</v>
      </c>
      <c r="G254">
        <v>1.8418756381607799</v>
      </c>
      <c r="H254">
        <v>9.8010749178792295E-2</v>
      </c>
      <c r="I254">
        <v>-1.35781892294687</v>
      </c>
      <c r="J254">
        <v>-7.79</v>
      </c>
      <c r="K254">
        <v>2623</v>
      </c>
      <c r="L254">
        <v>1264.2561349693251</v>
      </c>
    </row>
    <row r="255" spans="1:12">
      <c r="A255" s="14">
        <v>43494</v>
      </c>
      <c r="B255">
        <v>2619</v>
      </c>
      <c r="C255">
        <v>2652</v>
      </c>
      <c r="D255">
        <v>1529</v>
      </c>
      <c r="E255">
        <v>1534</v>
      </c>
      <c r="F255">
        <v>1.72881355932203</v>
      </c>
      <c r="G255">
        <v>1.8453714335674301</v>
      </c>
      <c r="H255">
        <v>9.7877389809666496E-2</v>
      </c>
      <c r="I255">
        <v>-1.19085597268235</v>
      </c>
      <c r="J255">
        <v>-6.74</v>
      </c>
      <c r="K255">
        <v>2652</v>
      </c>
      <c r="L255">
        <v>1263.4325153374232</v>
      </c>
    </row>
    <row r="256" spans="1:12">
      <c r="A256" s="14">
        <v>43493</v>
      </c>
      <c r="B256">
        <v>2647</v>
      </c>
      <c r="C256">
        <v>2632</v>
      </c>
      <c r="D256">
        <v>1541</v>
      </c>
      <c r="E256">
        <v>1529</v>
      </c>
      <c r="F256">
        <v>1.72138652714192</v>
      </c>
      <c r="G256">
        <v>1.8472352618777199</v>
      </c>
      <c r="H256">
        <v>9.6966803835846299E-2</v>
      </c>
      <c r="I256">
        <v>-1.2978537990057799</v>
      </c>
      <c r="J256">
        <v>-7.31</v>
      </c>
      <c r="K256">
        <v>2632</v>
      </c>
      <c r="L256">
        <v>1259.314417177914</v>
      </c>
    </row>
    <row r="257" spans="1:12">
      <c r="A257" s="14">
        <v>43490</v>
      </c>
      <c r="B257">
        <v>2667</v>
      </c>
      <c r="C257">
        <v>2666</v>
      </c>
      <c r="D257">
        <v>1529</v>
      </c>
      <c r="E257">
        <v>1542</v>
      </c>
      <c r="F257">
        <v>1.7289234760051799</v>
      </c>
      <c r="G257">
        <v>1.8488507853834</v>
      </c>
      <c r="H257">
        <v>9.5859645662269802E-2</v>
      </c>
      <c r="I257">
        <v>-1.2510719036114399</v>
      </c>
      <c r="J257">
        <v>-6.94</v>
      </c>
      <c r="K257">
        <v>2666</v>
      </c>
      <c r="L257">
        <v>1270.0214723926381</v>
      </c>
    </row>
    <row r="258" spans="1:12">
      <c r="A258" s="14">
        <v>43489</v>
      </c>
      <c r="B258">
        <v>2658</v>
      </c>
      <c r="C258">
        <v>2667</v>
      </c>
      <c r="D258">
        <v>1502</v>
      </c>
      <c r="E258">
        <v>1520</v>
      </c>
      <c r="F258">
        <v>1.7546052631578899</v>
      </c>
      <c r="G258">
        <v>1.8507609348324601</v>
      </c>
      <c r="H258">
        <v>9.48731529281963E-2</v>
      </c>
      <c r="I258">
        <v>-1.0135182473311699</v>
      </c>
      <c r="J258">
        <v>-5.48</v>
      </c>
      <c r="K258">
        <v>2667</v>
      </c>
      <c r="L258">
        <v>1251.9018404907974</v>
      </c>
    </row>
    <row r="259" spans="1:12">
      <c r="A259" s="14">
        <v>43488</v>
      </c>
      <c r="B259">
        <v>2630</v>
      </c>
      <c r="C259">
        <v>2658</v>
      </c>
      <c r="D259">
        <v>1485</v>
      </c>
      <c r="E259">
        <v>1506</v>
      </c>
      <c r="F259">
        <v>1.76494023904382</v>
      </c>
      <c r="G259">
        <v>1.8526089164369499</v>
      </c>
      <c r="H259">
        <v>9.4330482806317603E-2</v>
      </c>
      <c r="I259">
        <v>-0.92937802060378405</v>
      </c>
      <c r="J259">
        <v>-4.97</v>
      </c>
      <c r="K259">
        <v>2658</v>
      </c>
      <c r="L259">
        <v>1240.3711656441717</v>
      </c>
    </row>
    <row r="260" spans="1:12">
      <c r="A260" s="14">
        <v>43487</v>
      </c>
      <c r="B260">
        <v>2692</v>
      </c>
      <c r="C260">
        <v>2661</v>
      </c>
      <c r="D260">
        <v>1513</v>
      </c>
      <c r="E260">
        <v>1493</v>
      </c>
      <c r="F260">
        <v>1.7823174815807099</v>
      </c>
      <c r="G260">
        <v>1.8544097132496999</v>
      </c>
      <c r="H260">
        <v>9.3927979615861801E-2</v>
      </c>
      <c r="I260">
        <v>-0.76752669400358597</v>
      </c>
      <c r="J260">
        <v>-4.04</v>
      </c>
      <c r="K260">
        <v>2661</v>
      </c>
      <c r="L260">
        <v>1229.6641104294479</v>
      </c>
    </row>
    <row r="261" spans="1:12">
      <c r="A261" s="14">
        <v>43486</v>
      </c>
      <c r="B261">
        <v>2726</v>
      </c>
      <c r="C261">
        <v>2703</v>
      </c>
      <c r="D261">
        <v>1498</v>
      </c>
      <c r="E261">
        <v>1507</v>
      </c>
      <c r="F261">
        <v>1.7936297279362901</v>
      </c>
      <c r="G261">
        <v>1.8559476244114701</v>
      </c>
      <c r="H261">
        <v>9.3678946909469304E-2</v>
      </c>
      <c r="I261">
        <v>-0.66522840543248896</v>
      </c>
      <c r="J261">
        <v>-3.47</v>
      </c>
      <c r="K261">
        <v>2703</v>
      </c>
      <c r="L261">
        <v>1241.1947852760736</v>
      </c>
    </row>
    <row r="262" spans="1:12">
      <c r="A262" s="14">
        <v>43483</v>
      </c>
      <c r="B262">
        <v>2641</v>
      </c>
      <c r="C262">
        <v>2676</v>
      </c>
      <c r="D262">
        <v>1458</v>
      </c>
      <c r="E262">
        <v>1475</v>
      </c>
      <c r="F262">
        <v>1.8142372881355899</v>
      </c>
      <c r="G262">
        <v>1.8581395193941701</v>
      </c>
      <c r="H262">
        <v>9.4117386238454198E-2</v>
      </c>
      <c r="I262">
        <v>-0.46646249979102</v>
      </c>
      <c r="J262">
        <v>-2.42</v>
      </c>
      <c r="K262">
        <v>2676</v>
      </c>
      <c r="L262">
        <v>1214.8389570552147</v>
      </c>
    </row>
    <row r="263" spans="1:12">
      <c r="A263" s="14">
        <v>43482</v>
      </c>
      <c r="B263">
        <v>2659</v>
      </c>
      <c r="C263">
        <v>2636</v>
      </c>
      <c r="D263">
        <v>1457</v>
      </c>
      <c r="E263">
        <v>1449</v>
      </c>
      <c r="F263">
        <v>1.8191856452726001</v>
      </c>
      <c r="G263">
        <v>1.85954695851027</v>
      </c>
      <c r="H263">
        <v>9.4239526936909707E-2</v>
      </c>
      <c r="I263">
        <v>-0.42828433619681799</v>
      </c>
      <c r="J263">
        <v>-2.2200000000000002</v>
      </c>
      <c r="K263">
        <v>2636</v>
      </c>
      <c r="L263">
        <v>1193.4248466257668</v>
      </c>
    </row>
    <row r="264" spans="1:12">
      <c r="A264" s="14">
        <v>43481</v>
      </c>
      <c r="B264">
        <v>2697</v>
      </c>
      <c r="C264">
        <v>2654</v>
      </c>
      <c r="D264">
        <v>1477</v>
      </c>
      <c r="E264">
        <v>1450</v>
      </c>
      <c r="F264">
        <v>1.8303448275862</v>
      </c>
      <c r="G264">
        <v>1.8605850444838099</v>
      </c>
      <c r="H264">
        <v>9.4218020968108704E-2</v>
      </c>
      <c r="I264">
        <v>-0.32096000942159397</v>
      </c>
      <c r="J264">
        <v>-1.65</v>
      </c>
      <c r="K264">
        <v>2654</v>
      </c>
      <c r="L264">
        <v>1194.2484662576687</v>
      </c>
    </row>
    <row r="265" spans="1:12">
      <c r="A265" s="14">
        <v>43480</v>
      </c>
      <c r="B265">
        <v>2650</v>
      </c>
      <c r="C265">
        <v>2670</v>
      </c>
      <c r="D265">
        <v>1435</v>
      </c>
      <c r="E265">
        <v>1467</v>
      </c>
      <c r="F265">
        <v>1.8200408997955</v>
      </c>
      <c r="G265">
        <v>1.8616377932105399</v>
      </c>
      <c r="H265">
        <v>9.43153088672148E-2</v>
      </c>
      <c r="I265">
        <v>-0.44104073786803799</v>
      </c>
      <c r="J265">
        <v>-2.29</v>
      </c>
      <c r="K265">
        <v>2670</v>
      </c>
      <c r="L265">
        <v>1208.25</v>
      </c>
    </row>
    <row r="266" spans="1:12">
      <c r="A266" s="14">
        <v>43476</v>
      </c>
      <c r="B266">
        <v>2661</v>
      </c>
      <c r="C266">
        <v>2669</v>
      </c>
      <c r="D266">
        <v>1450</v>
      </c>
      <c r="E266">
        <v>1456</v>
      </c>
      <c r="F266">
        <v>1.83310439560439</v>
      </c>
      <c r="G266">
        <v>1.8626125479186499</v>
      </c>
      <c r="H266">
        <v>9.4258128615799394E-2</v>
      </c>
      <c r="I266">
        <v>-0.31305684451404803</v>
      </c>
      <c r="J266">
        <v>-1.61</v>
      </c>
      <c r="K266">
        <v>2669</v>
      </c>
      <c r="L266">
        <v>1199.1901840490798</v>
      </c>
    </row>
    <row r="267" spans="1:12">
      <c r="A267" s="14">
        <v>43475</v>
      </c>
      <c r="B267">
        <v>2630</v>
      </c>
      <c r="C267">
        <v>2649</v>
      </c>
      <c r="D267">
        <v>1411</v>
      </c>
      <c r="E267">
        <v>1428</v>
      </c>
      <c r="F267">
        <v>1.8550420168067201</v>
      </c>
      <c r="G267">
        <v>1.8638910770818</v>
      </c>
      <c r="H267">
        <v>9.4499226813444498E-2</v>
      </c>
      <c r="I267">
        <v>-9.3641615635098693E-2</v>
      </c>
      <c r="J267">
        <v>-0.48</v>
      </c>
      <c r="K267">
        <v>2649</v>
      </c>
      <c r="L267">
        <v>1176.1288343558281</v>
      </c>
    </row>
    <row r="268" spans="1:12">
      <c r="A268" s="14">
        <v>43474</v>
      </c>
      <c r="B268">
        <v>2694</v>
      </c>
      <c r="C268">
        <v>2644</v>
      </c>
      <c r="D268">
        <v>1440</v>
      </c>
      <c r="E268">
        <v>1417</v>
      </c>
      <c r="F268">
        <v>1.86591390261115</v>
      </c>
      <c r="G268">
        <v>1.86518656486102</v>
      </c>
      <c r="H268">
        <v>9.5033517901965098E-2</v>
      </c>
      <c r="I268">
        <v>7.65348654017565E-3</v>
      </c>
      <c r="J268">
        <v>0.04</v>
      </c>
      <c r="K268">
        <v>2644</v>
      </c>
      <c r="L268">
        <v>1167.0690184049079</v>
      </c>
    </row>
    <row r="269" spans="1:12">
      <c r="A269" s="14">
        <v>43473</v>
      </c>
      <c r="B269">
        <v>2650</v>
      </c>
      <c r="C269">
        <v>2632</v>
      </c>
      <c r="D269">
        <v>1453</v>
      </c>
      <c r="E269">
        <v>1438</v>
      </c>
      <c r="F269">
        <v>1.8303198887343499</v>
      </c>
      <c r="G269">
        <v>1.86690661159791</v>
      </c>
      <c r="H269">
        <v>9.6191502390675504E-2</v>
      </c>
      <c r="I269">
        <v>-0.38035296210434399</v>
      </c>
      <c r="J269">
        <v>-2</v>
      </c>
      <c r="K269">
        <v>2632</v>
      </c>
      <c r="L269">
        <v>1184.3650306748466</v>
      </c>
    </row>
    <row r="270" spans="1:12">
      <c r="A270" s="14">
        <v>43472</v>
      </c>
      <c r="B270">
        <v>2637</v>
      </c>
      <c r="C270">
        <v>2656</v>
      </c>
      <c r="D270">
        <v>1433</v>
      </c>
      <c r="E270">
        <v>1433</v>
      </c>
      <c r="F270">
        <v>1.8534542916957399</v>
      </c>
      <c r="G270">
        <v>1.8690506448717701</v>
      </c>
      <c r="H270">
        <v>9.7139527752870394E-2</v>
      </c>
      <c r="I270">
        <v>-0.160556197222925</v>
      </c>
      <c r="J270">
        <v>-0.84</v>
      </c>
      <c r="K270">
        <v>2656</v>
      </c>
      <c r="L270">
        <v>1180.2469325153374</v>
      </c>
    </row>
    <row r="271" spans="1:12">
      <c r="A271" s="14">
        <v>43469</v>
      </c>
      <c r="B271">
        <v>2507</v>
      </c>
      <c r="C271">
        <v>2558</v>
      </c>
      <c r="D271">
        <v>1372</v>
      </c>
      <c r="E271">
        <v>1377</v>
      </c>
      <c r="F271">
        <v>1.85766158315177</v>
      </c>
      <c r="G271">
        <v>1.87041032106619</v>
      </c>
      <c r="H271">
        <v>9.76241829873956E-2</v>
      </c>
      <c r="I271">
        <v>-0.130589957572955</v>
      </c>
      <c r="J271">
        <v>-0.69</v>
      </c>
      <c r="K271">
        <v>2558</v>
      </c>
      <c r="L271">
        <v>1134.1242331288342</v>
      </c>
    </row>
    <row r="272" spans="1:12">
      <c r="A272" s="14">
        <v>43462</v>
      </c>
      <c r="B272">
        <v>2544</v>
      </c>
      <c r="C272">
        <v>2578</v>
      </c>
      <c r="D272">
        <v>1413</v>
      </c>
      <c r="E272">
        <v>1432</v>
      </c>
      <c r="F272">
        <v>1.8002793296089299</v>
      </c>
      <c r="G272">
        <v>1.87124774738866</v>
      </c>
      <c r="H272">
        <v>9.7780487711568595E-2</v>
      </c>
      <c r="I272">
        <v>-0.72579324812804302</v>
      </c>
      <c r="J272">
        <v>-3.94</v>
      </c>
      <c r="K272">
        <v>2578</v>
      </c>
      <c r="L272">
        <v>1179.4233128834355</v>
      </c>
    </row>
    <row r="273" spans="1:12">
      <c r="A273" s="14">
        <v>43461</v>
      </c>
      <c r="B273">
        <v>2516</v>
      </c>
      <c r="C273">
        <v>2546</v>
      </c>
      <c r="D273">
        <v>1420</v>
      </c>
      <c r="E273">
        <v>1421</v>
      </c>
      <c r="F273">
        <v>1.7916959887403201</v>
      </c>
      <c r="G273">
        <v>1.8726739984238501</v>
      </c>
      <c r="H273">
        <v>9.7514698520797902E-2</v>
      </c>
      <c r="I273">
        <v>-0.83041850010187901</v>
      </c>
      <c r="J273">
        <v>-4.5199999999999996</v>
      </c>
      <c r="K273">
        <v>2546</v>
      </c>
      <c r="L273">
        <v>1170.3634969325153</v>
      </c>
    </row>
    <row r="274" spans="1:12">
      <c r="A274" s="14">
        <v>43460</v>
      </c>
      <c r="B274">
        <v>2365</v>
      </c>
      <c r="C274">
        <v>2423</v>
      </c>
      <c r="D274">
        <v>1356</v>
      </c>
      <c r="E274">
        <v>1366</v>
      </c>
      <c r="F274">
        <v>1.77379209370424</v>
      </c>
      <c r="G274">
        <v>1.87357877121613</v>
      </c>
      <c r="H274">
        <v>9.7072964564552403E-2</v>
      </c>
      <c r="I274">
        <v>-1.0279553937546699</v>
      </c>
      <c r="J274">
        <v>-5.63</v>
      </c>
      <c r="K274">
        <v>2423</v>
      </c>
      <c r="L274">
        <v>1125.064417177914</v>
      </c>
    </row>
    <row r="275" spans="1:12">
      <c r="A275" s="14">
        <v>43459</v>
      </c>
      <c r="B275">
        <v>2344</v>
      </c>
      <c r="C275">
        <v>2334</v>
      </c>
      <c r="D275">
        <v>1348</v>
      </c>
      <c r="E275">
        <v>1347</v>
      </c>
      <c r="F275">
        <v>1.7327394209354099</v>
      </c>
      <c r="G275">
        <v>1.8743766297640001</v>
      </c>
      <c r="H275">
        <v>9.6493709295148097E-2</v>
      </c>
      <c r="I275">
        <v>-1.46783878309993</v>
      </c>
      <c r="J275">
        <v>-8.17</v>
      </c>
      <c r="K275">
        <v>2334</v>
      </c>
      <c r="L275">
        <v>1109.4156441717791</v>
      </c>
    </row>
    <row r="276" spans="1:12">
      <c r="A276" s="14">
        <v>43455</v>
      </c>
      <c r="B276">
        <v>2483</v>
      </c>
      <c r="C276">
        <v>2435</v>
      </c>
      <c r="D276">
        <v>1395</v>
      </c>
      <c r="E276">
        <v>1406</v>
      </c>
      <c r="F276">
        <v>1.7318634423897501</v>
      </c>
      <c r="G276">
        <v>1.87539779797285</v>
      </c>
      <c r="H276">
        <v>9.5388317720988103E-2</v>
      </c>
      <c r="I276">
        <v>-1.50473725727023</v>
      </c>
      <c r="J276">
        <v>-8.2899999999999991</v>
      </c>
      <c r="K276">
        <v>2435</v>
      </c>
      <c r="L276">
        <v>1158.0092024539877</v>
      </c>
    </row>
    <row r="277" spans="1:12">
      <c r="A277" s="14">
        <v>43454</v>
      </c>
      <c r="B277">
        <v>2555</v>
      </c>
      <c r="C277">
        <v>2509</v>
      </c>
      <c r="D277">
        <v>1429</v>
      </c>
      <c r="E277">
        <v>1408</v>
      </c>
      <c r="F277">
        <v>1.78196022727272</v>
      </c>
      <c r="G277">
        <v>1.8765875596889301</v>
      </c>
      <c r="H277">
        <v>9.4138925173639795E-2</v>
      </c>
      <c r="I277">
        <v>-1.0051881540145999</v>
      </c>
      <c r="J277">
        <v>-5.31</v>
      </c>
      <c r="K277">
        <v>2509</v>
      </c>
      <c r="L277">
        <v>1159.6564417177913</v>
      </c>
    </row>
    <row r="278" spans="1:12">
      <c r="A278" s="14">
        <v>43453</v>
      </c>
      <c r="B278">
        <v>2534</v>
      </c>
      <c r="C278">
        <v>2566</v>
      </c>
      <c r="D278">
        <v>1453</v>
      </c>
      <c r="E278">
        <v>1443</v>
      </c>
      <c r="F278">
        <v>1.7782397782397701</v>
      </c>
      <c r="G278">
        <v>1.87657761271056</v>
      </c>
      <c r="H278">
        <v>9.4148962111340301E-2</v>
      </c>
      <c r="I278">
        <v>-1.04449196534412</v>
      </c>
      <c r="J278">
        <v>-5.53</v>
      </c>
      <c r="K278">
        <v>2566</v>
      </c>
      <c r="L278">
        <v>1188.4831288343557</v>
      </c>
    </row>
    <row r="279" spans="1:12">
      <c r="A279" s="14">
        <v>43452</v>
      </c>
      <c r="B279">
        <v>2617</v>
      </c>
      <c r="C279">
        <v>2580</v>
      </c>
      <c r="D279">
        <v>1442</v>
      </c>
      <c r="E279">
        <v>1461</v>
      </c>
      <c r="F279">
        <v>1.7659137577002</v>
      </c>
      <c r="G279">
        <v>1.8761541339772201</v>
      </c>
      <c r="H279">
        <v>9.4660370606637595E-2</v>
      </c>
      <c r="I279">
        <v>-1.1645884710838901</v>
      </c>
      <c r="J279">
        <v>-6.24</v>
      </c>
      <c r="K279">
        <v>2580</v>
      </c>
      <c r="L279">
        <v>1203.3082822085889</v>
      </c>
    </row>
    <row r="280" spans="1:12">
      <c r="A280" s="14">
        <v>43451</v>
      </c>
      <c r="B280">
        <v>2634</v>
      </c>
      <c r="C280">
        <v>2650</v>
      </c>
      <c r="D280">
        <v>1437</v>
      </c>
      <c r="E280">
        <v>1435</v>
      </c>
      <c r="F280">
        <v>1.8466898954703801</v>
      </c>
      <c r="G280">
        <v>1.87499841274343</v>
      </c>
      <c r="H280">
        <v>9.6510316686619704E-2</v>
      </c>
      <c r="I280">
        <v>-0.29332115202743297</v>
      </c>
      <c r="J280">
        <v>-1.53</v>
      </c>
      <c r="K280">
        <v>2650</v>
      </c>
      <c r="L280">
        <v>1181.8941717791411</v>
      </c>
    </row>
    <row r="281" spans="1:12">
      <c r="A281" s="14">
        <v>43448</v>
      </c>
      <c r="B281">
        <v>2632</v>
      </c>
      <c r="C281">
        <v>2636</v>
      </c>
      <c r="D281">
        <v>1445</v>
      </c>
      <c r="E281">
        <v>1435</v>
      </c>
      <c r="F281">
        <v>1.8369337979094</v>
      </c>
      <c r="G281">
        <v>1.8727235106006599</v>
      </c>
      <c r="H281">
        <v>9.9126196044916903E-2</v>
      </c>
      <c r="I281">
        <v>-0.361052013688134</v>
      </c>
      <c r="J281">
        <v>-1.95</v>
      </c>
      <c r="K281">
        <v>2636</v>
      </c>
      <c r="L281">
        <v>1181.8941717791411</v>
      </c>
    </row>
    <row r="282" spans="1:12">
      <c r="A282" s="14">
        <v>43447</v>
      </c>
      <c r="B282">
        <v>2591</v>
      </c>
      <c r="C282">
        <v>2628</v>
      </c>
      <c r="D282">
        <v>1447</v>
      </c>
      <c r="E282">
        <v>1454</v>
      </c>
      <c r="F282">
        <v>1.80742778541953</v>
      </c>
      <c r="G282">
        <v>1.8709671790231199</v>
      </c>
      <c r="H282">
        <v>0.100895925550032</v>
      </c>
      <c r="I282">
        <v>-0.62975182850257705</v>
      </c>
      <c r="J282">
        <v>-3.52</v>
      </c>
      <c r="K282">
        <v>2628</v>
      </c>
      <c r="L282">
        <v>1197.5429447852759</v>
      </c>
    </row>
    <row r="283" spans="1:12">
      <c r="A283" s="14">
        <v>43446</v>
      </c>
      <c r="B283">
        <v>2543</v>
      </c>
      <c r="C283">
        <v>2573</v>
      </c>
      <c r="D283">
        <v>1420</v>
      </c>
      <c r="E283">
        <v>1440</v>
      </c>
      <c r="F283">
        <v>1.78680555555555</v>
      </c>
      <c r="G283">
        <v>1.8697032133403499</v>
      </c>
      <c r="H283">
        <v>0.102268441383101</v>
      </c>
      <c r="I283">
        <v>-0.81058884504033801</v>
      </c>
      <c r="J283">
        <v>-4.6399999999999997</v>
      </c>
      <c r="K283">
        <v>2573</v>
      </c>
      <c r="L283">
        <v>1186.0122699386502</v>
      </c>
    </row>
    <row r="284" spans="1:12">
      <c r="A284" s="14">
        <v>43445</v>
      </c>
      <c r="B284">
        <v>2558</v>
      </c>
      <c r="C284">
        <v>2512</v>
      </c>
      <c r="D284">
        <v>1439</v>
      </c>
      <c r="E284">
        <v>1420</v>
      </c>
      <c r="F284">
        <v>1.7690140845070399</v>
      </c>
      <c r="G284">
        <v>1.8683093337588701</v>
      </c>
      <c r="H284">
        <v>0.104085097056671</v>
      </c>
      <c r="I284">
        <v>-0.95398142538855402</v>
      </c>
      <c r="J284">
        <v>-5.61</v>
      </c>
      <c r="K284">
        <v>2512</v>
      </c>
      <c r="L284">
        <v>1169.5398773006134</v>
      </c>
    </row>
    <row r="285" spans="1:12">
      <c r="A285" s="14">
        <v>43444</v>
      </c>
      <c r="B285">
        <v>2612</v>
      </c>
      <c r="C285">
        <v>2588</v>
      </c>
      <c r="D285">
        <v>1448</v>
      </c>
      <c r="E285">
        <v>1443</v>
      </c>
      <c r="F285">
        <v>1.79348579348579</v>
      </c>
      <c r="G285">
        <v>1.86682409592695</v>
      </c>
      <c r="H285">
        <v>0.106263354340141</v>
      </c>
      <c r="I285">
        <v>-0.69015610222888801</v>
      </c>
      <c r="J285">
        <v>-4.09</v>
      </c>
      <c r="K285">
        <v>2588</v>
      </c>
      <c r="L285">
        <v>1188.4831288343557</v>
      </c>
    </row>
    <row r="286" spans="1:12">
      <c r="A286" s="14">
        <v>43441</v>
      </c>
      <c r="B286">
        <v>2688</v>
      </c>
      <c r="C286">
        <v>2669</v>
      </c>
      <c r="D286">
        <v>1498</v>
      </c>
      <c r="E286">
        <v>1471</v>
      </c>
      <c r="F286">
        <v>1.81441196464989</v>
      </c>
      <c r="G286">
        <v>1.86583548031569</v>
      </c>
      <c r="H286">
        <v>0.107281088539388</v>
      </c>
      <c r="I286">
        <v>-0.47933439496111702</v>
      </c>
      <c r="J286">
        <v>-2.83</v>
      </c>
      <c r="K286">
        <v>2669</v>
      </c>
      <c r="L286">
        <v>1211.5444785276072</v>
      </c>
    </row>
    <row r="287" spans="1:12">
      <c r="A287" s="14">
        <v>43440</v>
      </c>
      <c r="B287">
        <v>2703</v>
      </c>
      <c r="C287">
        <v>2673</v>
      </c>
      <c r="D287">
        <v>1518</v>
      </c>
      <c r="E287">
        <v>1514</v>
      </c>
      <c r="F287">
        <v>1.76552179656538</v>
      </c>
      <c r="G287">
        <v>1.8649327419447099</v>
      </c>
      <c r="H287">
        <v>0.10799250541420501</v>
      </c>
      <c r="I287">
        <v>-0.92053559641045601</v>
      </c>
      <c r="J287">
        <v>-5.63</v>
      </c>
      <c r="K287">
        <v>2673</v>
      </c>
      <c r="L287">
        <v>1246.9601226993864</v>
      </c>
    </row>
    <row r="288" spans="1:12">
      <c r="A288" s="14">
        <v>43439</v>
      </c>
      <c r="B288">
        <v>2685</v>
      </c>
      <c r="C288">
        <v>2720</v>
      </c>
      <c r="D288">
        <v>1534</v>
      </c>
      <c r="E288">
        <v>1549</v>
      </c>
      <c r="F288">
        <v>1.7559715945771399</v>
      </c>
      <c r="G288">
        <v>1.86437552885237</v>
      </c>
      <c r="H288">
        <v>0.108610051938354</v>
      </c>
      <c r="I288">
        <v>-0.99810222295775397</v>
      </c>
      <c r="J288">
        <v>-6.17</v>
      </c>
      <c r="K288">
        <v>2720</v>
      </c>
      <c r="L288">
        <v>1275.7868098159508</v>
      </c>
    </row>
    <row r="289" spans="1:12">
      <c r="A289" s="14">
        <v>43438</v>
      </c>
      <c r="B289">
        <v>2833</v>
      </c>
      <c r="C289">
        <v>2741</v>
      </c>
      <c r="D289">
        <v>1621</v>
      </c>
      <c r="E289">
        <v>1563</v>
      </c>
      <c r="F289">
        <v>1.7536788227767099</v>
      </c>
      <c r="G289">
        <v>1.8643097388499901</v>
      </c>
      <c r="H289">
        <v>0.108677170869725</v>
      </c>
      <c r="I289">
        <v>-1.01797751255317</v>
      </c>
      <c r="J289">
        <v>-6.31</v>
      </c>
      <c r="K289">
        <v>2741</v>
      </c>
      <c r="L289">
        <v>1287.3174846625766</v>
      </c>
    </row>
    <row r="290" spans="1:12">
      <c r="A290" s="14">
        <v>43437</v>
      </c>
      <c r="B290">
        <v>2881</v>
      </c>
      <c r="C290">
        <v>2835</v>
      </c>
      <c r="D290">
        <v>1629</v>
      </c>
      <c r="E290">
        <v>1624</v>
      </c>
      <c r="F290">
        <v>1.7456896551724099</v>
      </c>
      <c r="G290">
        <v>1.8642291669970501</v>
      </c>
      <c r="H290">
        <v>0.108761368780402</v>
      </c>
      <c r="I290">
        <v>-1.0899045603588999</v>
      </c>
      <c r="J290">
        <v>-6.79</v>
      </c>
      <c r="K290">
        <v>2835</v>
      </c>
      <c r="L290">
        <v>1337.5582822085889</v>
      </c>
    </row>
    <row r="291" spans="1:12">
      <c r="A291" s="14">
        <v>43434</v>
      </c>
      <c r="B291">
        <v>2817</v>
      </c>
      <c r="C291">
        <v>2860</v>
      </c>
      <c r="D291">
        <v>1640</v>
      </c>
      <c r="E291">
        <v>1600</v>
      </c>
      <c r="F291">
        <v>1.7875000000000001</v>
      </c>
      <c r="G291">
        <v>1.8644987417834999</v>
      </c>
      <c r="H291">
        <v>0.108491946399998</v>
      </c>
      <c r="I291">
        <v>-0.70971850297180405</v>
      </c>
      <c r="J291">
        <v>-4.3099999999999996</v>
      </c>
      <c r="K291">
        <v>2860</v>
      </c>
      <c r="L291">
        <v>1317.7914110429447</v>
      </c>
    </row>
    <row r="292" spans="1:12">
      <c r="A292" s="14">
        <v>43433</v>
      </c>
      <c r="B292">
        <v>2852</v>
      </c>
      <c r="C292">
        <v>2847</v>
      </c>
      <c r="D292">
        <v>1643</v>
      </c>
      <c r="E292">
        <v>1633</v>
      </c>
      <c r="F292">
        <v>1.74341702388242</v>
      </c>
      <c r="G292">
        <v>1.8639234346094999</v>
      </c>
      <c r="H292">
        <v>0.109011883243175</v>
      </c>
      <c r="I292">
        <v>-1.1054428851418301</v>
      </c>
      <c r="J292">
        <v>-6.91</v>
      </c>
      <c r="K292">
        <v>2847</v>
      </c>
      <c r="L292">
        <v>1344.9708588957055</v>
      </c>
    </row>
    <row r="293" spans="1:12">
      <c r="A293" s="14">
        <v>43432</v>
      </c>
      <c r="B293">
        <v>2828</v>
      </c>
      <c r="C293">
        <v>2821</v>
      </c>
      <c r="D293">
        <v>1632</v>
      </c>
      <c r="E293">
        <v>1626</v>
      </c>
      <c r="F293">
        <v>1.7349323493234901</v>
      </c>
      <c r="G293">
        <v>1.8638500738639701</v>
      </c>
      <c r="H293">
        <v>0.109094774492702</v>
      </c>
      <c r="I293">
        <v>-1.1817039371496301</v>
      </c>
      <c r="J293">
        <v>-7.43</v>
      </c>
      <c r="K293">
        <v>2821</v>
      </c>
      <c r="L293">
        <v>1339.2055214723925</v>
      </c>
    </row>
    <row r="294" spans="1:12">
      <c r="A294" s="14">
        <v>43431</v>
      </c>
      <c r="B294">
        <v>2854</v>
      </c>
      <c r="C294">
        <v>2828</v>
      </c>
      <c r="D294">
        <v>1629</v>
      </c>
      <c r="E294">
        <v>1639</v>
      </c>
      <c r="F294">
        <v>1.725442342892</v>
      </c>
      <c r="G294">
        <v>1.86345689755398</v>
      </c>
      <c r="H294">
        <v>0.109610602111572</v>
      </c>
      <c r="I294">
        <v>-1.2591350836800601</v>
      </c>
      <c r="J294">
        <v>-8</v>
      </c>
      <c r="K294">
        <v>2828</v>
      </c>
      <c r="L294">
        <v>1349.9125766871166</v>
      </c>
    </row>
    <row r="295" spans="1:12">
      <c r="A295" s="14">
        <v>43430</v>
      </c>
      <c r="B295">
        <v>2770</v>
      </c>
      <c r="C295">
        <v>2842</v>
      </c>
      <c r="D295">
        <v>1592</v>
      </c>
      <c r="E295">
        <v>1614</v>
      </c>
      <c r="F295">
        <v>1.7608426270136299</v>
      </c>
      <c r="G295">
        <v>1.86352939719524</v>
      </c>
      <c r="H295">
        <v>0.10952105296476</v>
      </c>
      <c r="I295">
        <v>-0.93759845620412297</v>
      </c>
      <c r="J295">
        <v>-5.83</v>
      </c>
      <c r="K295">
        <v>2842</v>
      </c>
      <c r="L295">
        <v>1329.3220858895704</v>
      </c>
    </row>
    <row r="296" spans="1:12">
      <c r="A296" s="14">
        <v>43426</v>
      </c>
      <c r="B296">
        <v>2772</v>
      </c>
      <c r="C296">
        <v>2779</v>
      </c>
      <c r="D296">
        <v>1635</v>
      </c>
      <c r="E296">
        <v>1593</v>
      </c>
      <c r="F296">
        <v>1.74450721908349</v>
      </c>
      <c r="G296">
        <v>1.8628386894753599</v>
      </c>
      <c r="H296">
        <v>0.110326868176869</v>
      </c>
      <c r="I296">
        <v>-1.0725535161767401</v>
      </c>
      <c r="J296">
        <v>-6.78</v>
      </c>
      <c r="K296">
        <v>2779</v>
      </c>
      <c r="L296">
        <v>1312.0260736196319</v>
      </c>
    </row>
    <row r="297" spans="1:12">
      <c r="A297" s="14">
        <v>43425</v>
      </c>
      <c r="B297">
        <v>2739</v>
      </c>
      <c r="C297">
        <v>2772</v>
      </c>
      <c r="D297">
        <v>1590</v>
      </c>
      <c r="E297">
        <v>1624</v>
      </c>
      <c r="F297">
        <v>1.7068965517241299</v>
      </c>
      <c r="G297">
        <v>1.8618561196160801</v>
      </c>
      <c r="H297">
        <v>0.11169600948662101</v>
      </c>
      <c r="I297">
        <v>-1.38733307129033</v>
      </c>
      <c r="J297">
        <v>-9.08</v>
      </c>
      <c r="K297">
        <v>2772</v>
      </c>
      <c r="L297">
        <v>1337.5582822085889</v>
      </c>
    </row>
    <row r="298" spans="1:12">
      <c r="A298" s="14">
        <v>43424</v>
      </c>
      <c r="B298">
        <v>2785</v>
      </c>
      <c r="C298">
        <v>2782</v>
      </c>
      <c r="D298">
        <v>1571</v>
      </c>
      <c r="E298">
        <v>1610</v>
      </c>
      <c r="F298">
        <v>1.7279503105589999</v>
      </c>
      <c r="G298">
        <v>1.86182220214859</v>
      </c>
      <c r="H298">
        <v>0.11174343531792</v>
      </c>
      <c r="I298">
        <v>-1.1980291388814599</v>
      </c>
      <c r="J298">
        <v>-7.75</v>
      </c>
      <c r="K298">
        <v>2782</v>
      </c>
      <c r="L298">
        <v>1326.0276073619632</v>
      </c>
    </row>
    <row r="299" spans="1:12">
      <c r="A299" s="14">
        <v>43423</v>
      </c>
      <c r="B299">
        <v>2828</v>
      </c>
      <c r="C299">
        <v>2812</v>
      </c>
      <c r="D299">
        <v>1574</v>
      </c>
      <c r="E299">
        <v>1592</v>
      </c>
      <c r="F299">
        <v>1.7663316582914499</v>
      </c>
      <c r="G299">
        <v>1.86095556662433</v>
      </c>
      <c r="H299">
        <v>0.11302305003101799</v>
      </c>
      <c r="I299">
        <v>-0.83720894372347598</v>
      </c>
      <c r="J299">
        <v>-5.36</v>
      </c>
      <c r="K299">
        <v>2812</v>
      </c>
      <c r="L299">
        <v>1311.20245398773</v>
      </c>
    </row>
    <row r="300" spans="1:12">
      <c r="A300" s="14">
        <v>43420</v>
      </c>
      <c r="B300">
        <v>2885</v>
      </c>
      <c r="C300">
        <v>2839</v>
      </c>
      <c r="D300">
        <v>1587</v>
      </c>
      <c r="E300">
        <v>1573</v>
      </c>
      <c r="F300">
        <v>1.8048315321042501</v>
      </c>
      <c r="G300">
        <v>1.8591065282916699</v>
      </c>
      <c r="H300">
        <v>0.11565957837384799</v>
      </c>
      <c r="I300">
        <v>-0.46926503581038997</v>
      </c>
      <c r="J300">
        <v>-3.01</v>
      </c>
      <c r="K300">
        <v>2839</v>
      </c>
      <c r="L300">
        <v>1295.5536809815951</v>
      </c>
    </row>
    <row r="301" spans="1:12">
      <c r="A301" s="14">
        <v>43419</v>
      </c>
      <c r="B301">
        <v>2804</v>
      </c>
      <c r="C301">
        <v>2885</v>
      </c>
      <c r="D301">
        <v>1557</v>
      </c>
      <c r="E301">
        <v>1590</v>
      </c>
      <c r="F301">
        <v>1.81446540880503</v>
      </c>
      <c r="G301">
        <v>1.85720328002479</v>
      </c>
      <c r="H301">
        <v>0.117693627048849</v>
      </c>
      <c r="I301">
        <v>-0.36312816837587197</v>
      </c>
      <c r="J301">
        <v>-2.36</v>
      </c>
      <c r="K301">
        <v>2885</v>
      </c>
      <c r="L301">
        <v>1309.5552147239264</v>
      </c>
    </row>
    <row r="302" spans="1:12">
      <c r="A302" s="14">
        <v>43418</v>
      </c>
      <c r="B302">
        <v>2855</v>
      </c>
      <c r="C302">
        <v>2835</v>
      </c>
      <c r="D302">
        <v>1529</v>
      </c>
      <c r="E302">
        <v>1570</v>
      </c>
      <c r="F302">
        <v>1.8057324840764299</v>
      </c>
      <c r="G302">
        <v>1.8563788678815101</v>
      </c>
      <c r="H302">
        <v>0.118205548034787</v>
      </c>
      <c r="I302">
        <v>-0.42846029350646098</v>
      </c>
      <c r="J302">
        <v>-2.8</v>
      </c>
      <c r="K302">
        <v>2835</v>
      </c>
      <c r="L302">
        <v>1293.0828220858896</v>
      </c>
    </row>
    <row r="303" spans="1:12">
      <c r="A303" s="14">
        <v>43417</v>
      </c>
      <c r="B303">
        <v>2900</v>
      </c>
      <c r="C303">
        <v>2866</v>
      </c>
      <c r="D303">
        <v>1522</v>
      </c>
      <c r="E303">
        <v>1525</v>
      </c>
      <c r="F303">
        <v>1.87934426229508</v>
      </c>
      <c r="G303">
        <v>1.8558428190171501</v>
      </c>
      <c r="H303">
        <v>0.11852473682627</v>
      </c>
      <c r="I303">
        <v>0.19828302434765299</v>
      </c>
      <c r="J303">
        <v>1.25</v>
      </c>
      <c r="K303">
        <v>2866</v>
      </c>
      <c r="L303">
        <v>1256.0199386503066</v>
      </c>
    </row>
    <row r="304" spans="1:12">
      <c r="A304" s="14">
        <v>43416</v>
      </c>
      <c r="B304">
        <v>2916</v>
      </c>
      <c r="C304">
        <v>2960</v>
      </c>
      <c r="D304">
        <v>1531</v>
      </c>
      <c r="E304">
        <v>1561</v>
      </c>
      <c r="F304">
        <v>1.8962203715566901</v>
      </c>
      <c r="G304">
        <v>1.8544735588024599</v>
      </c>
      <c r="H304">
        <v>0.118838102891414</v>
      </c>
      <c r="I304">
        <v>0.35129147755224499</v>
      </c>
      <c r="J304">
        <v>2.2000000000000002</v>
      </c>
      <c r="K304">
        <v>2960</v>
      </c>
      <c r="L304">
        <v>1285.670245398773</v>
      </c>
    </row>
    <row r="305" spans="1:12">
      <c r="A305" s="14">
        <v>43413</v>
      </c>
      <c r="B305">
        <v>2888</v>
      </c>
      <c r="C305">
        <v>2924</v>
      </c>
      <c r="D305">
        <v>1525</v>
      </c>
      <c r="E305">
        <v>1540</v>
      </c>
      <c r="F305">
        <v>1.8987012987012899</v>
      </c>
      <c r="G305">
        <v>1.85177457042966</v>
      </c>
      <c r="H305">
        <v>0.120150747829052</v>
      </c>
      <c r="I305">
        <v>0.39056542817691903</v>
      </c>
      <c r="J305">
        <v>2.4700000000000002</v>
      </c>
      <c r="K305">
        <v>2924</v>
      </c>
      <c r="L305">
        <v>1268.3742331288342</v>
      </c>
    </row>
    <row r="306" spans="1:12">
      <c r="A306" s="14">
        <v>43412</v>
      </c>
      <c r="B306">
        <v>2929</v>
      </c>
      <c r="C306">
        <v>2904</v>
      </c>
      <c r="D306">
        <v>1555</v>
      </c>
      <c r="E306">
        <v>1529</v>
      </c>
      <c r="F306">
        <v>1.8992805755395601</v>
      </c>
      <c r="G306">
        <v>1.84958003027594</v>
      </c>
      <c r="H306">
        <v>0.120775086441356</v>
      </c>
      <c r="I306">
        <v>0.41151322452380601</v>
      </c>
      <c r="J306">
        <v>2.62</v>
      </c>
      <c r="K306">
        <v>2904</v>
      </c>
      <c r="L306">
        <v>1259.314417177914</v>
      </c>
    </row>
    <row r="307" spans="1:12">
      <c r="A307" s="14">
        <v>43411</v>
      </c>
      <c r="B307">
        <v>3035</v>
      </c>
      <c r="C307">
        <v>2902</v>
      </c>
      <c r="D307">
        <v>1548</v>
      </c>
      <c r="E307">
        <v>1524</v>
      </c>
      <c r="F307">
        <v>1.9041994750656099</v>
      </c>
      <c r="G307">
        <v>1.8471756284329801</v>
      </c>
      <c r="H307">
        <v>0.12155421139606799</v>
      </c>
      <c r="I307">
        <v>0.46912275582805402</v>
      </c>
      <c r="J307">
        <v>2.99</v>
      </c>
      <c r="K307">
        <v>2902</v>
      </c>
      <c r="L307">
        <v>1255.1963190184049</v>
      </c>
    </row>
    <row r="308" spans="1:12">
      <c r="A308" s="14">
        <v>43410</v>
      </c>
      <c r="B308">
        <v>2885</v>
      </c>
      <c r="C308">
        <v>2931</v>
      </c>
      <c r="D308">
        <v>1546</v>
      </c>
      <c r="E308">
        <v>1546</v>
      </c>
      <c r="F308">
        <v>1.89586028460543</v>
      </c>
      <c r="G308">
        <v>1.84462921397617</v>
      </c>
      <c r="H308">
        <v>0.122330888906186</v>
      </c>
      <c r="I308">
        <v>0.41879096185223003</v>
      </c>
      <c r="J308">
        <v>2.7</v>
      </c>
      <c r="K308">
        <v>2931</v>
      </c>
      <c r="L308">
        <v>1273.3159509202453</v>
      </c>
    </row>
    <row r="309" spans="1:12">
      <c r="A309" s="14">
        <v>43409</v>
      </c>
      <c r="B309">
        <v>2883</v>
      </c>
      <c r="C309">
        <v>2843</v>
      </c>
      <c r="D309">
        <v>1577</v>
      </c>
      <c r="E309">
        <v>1537</v>
      </c>
      <c r="F309">
        <v>1.84970722186076</v>
      </c>
      <c r="G309">
        <v>1.84185059983989</v>
      </c>
      <c r="H309">
        <v>0.123496862991733</v>
      </c>
      <c r="I309">
        <v>6.3617988591313401E-2</v>
      </c>
      <c r="J309">
        <v>0.42</v>
      </c>
      <c r="K309">
        <v>2843</v>
      </c>
      <c r="L309">
        <v>1265.9033742331287</v>
      </c>
    </row>
    <row r="310" spans="1:12">
      <c r="A310" s="14">
        <v>43406</v>
      </c>
      <c r="B310">
        <v>3035</v>
      </c>
      <c r="C310">
        <v>2931</v>
      </c>
      <c r="D310">
        <v>1571</v>
      </c>
      <c r="E310">
        <v>1604</v>
      </c>
      <c r="F310">
        <v>1.82730673316708</v>
      </c>
      <c r="G310">
        <v>1.83994062427121</v>
      </c>
      <c r="H310">
        <v>0.12446451602915801</v>
      </c>
      <c r="I310">
        <v>-0.101505967380906</v>
      </c>
      <c r="J310">
        <v>-0.69</v>
      </c>
      <c r="K310">
        <v>2931</v>
      </c>
      <c r="L310">
        <v>1321.0858895705521</v>
      </c>
    </row>
    <row r="311" spans="1:12">
      <c r="A311" s="14">
        <v>43405</v>
      </c>
      <c r="B311">
        <v>3040</v>
      </c>
      <c r="C311">
        <v>3045</v>
      </c>
      <c r="D311">
        <v>1507</v>
      </c>
      <c r="E311">
        <v>1579</v>
      </c>
      <c r="F311">
        <v>1.9284357188093699</v>
      </c>
      <c r="G311">
        <v>1.8385089381369499</v>
      </c>
      <c r="H311">
        <v>0.125216895615751</v>
      </c>
      <c r="I311">
        <v>0.71816810527212704</v>
      </c>
      <c r="J311">
        <v>4.66</v>
      </c>
      <c r="K311">
        <v>3045</v>
      </c>
      <c r="L311">
        <v>1300.4953987730062</v>
      </c>
    </row>
    <row r="312" spans="1:12">
      <c r="A312" s="14">
        <v>43404</v>
      </c>
      <c r="B312">
        <v>3020</v>
      </c>
      <c r="C312">
        <v>3040</v>
      </c>
      <c r="D312">
        <v>1478</v>
      </c>
      <c r="E312">
        <v>1493</v>
      </c>
      <c r="F312">
        <v>2.0361687876758201</v>
      </c>
      <c r="G312">
        <v>1.8360072171253801</v>
      </c>
      <c r="H312">
        <v>0.125269567364477</v>
      </c>
      <c r="I312">
        <v>1.59784674571484</v>
      </c>
      <c r="J312">
        <v>9.83</v>
      </c>
      <c r="K312">
        <v>3040</v>
      </c>
      <c r="L312">
        <v>1229.6641104294479</v>
      </c>
    </row>
    <row r="313" spans="1:12">
      <c r="A313" s="14">
        <v>43403</v>
      </c>
      <c r="B313">
        <v>2961</v>
      </c>
      <c r="C313">
        <v>2980</v>
      </c>
      <c r="D313">
        <v>1439</v>
      </c>
      <c r="E313">
        <v>1469</v>
      </c>
      <c r="F313">
        <v>2.0285908781484001</v>
      </c>
      <c r="G313">
        <v>1.8323137554118201</v>
      </c>
      <c r="H313">
        <v>0.123383017918836</v>
      </c>
      <c r="I313">
        <v>1.5907952816139199</v>
      </c>
      <c r="J313">
        <v>9.68</v>
      </c>
      <c r="K313">
        <v>2980</v>
      </c>
      <c r="L313">
        <v>1209.8972392638036</v>
      </c>
    </row>
    <row r="314" spans="1:12">
      <c r="A314" s="14">
        <v>43402</v>
      </c>
      <c r="B314">
        <v>2997</v>
      </c>
      <c r="C314">
        <v>2943</v>
      </c>
      <c r="D314">
        <v>1463</v>
      </c>
      <c r="E314">
        <v>1460</v>
      </c>
      <c r="F314">
        <v>2.0157534246575302</v>
      </c>
      <c r="G314">
        <v>1.8280564829177</v>
      </c>
      <c r="H314">
        <v>0.122038362950578</v>
      </c>
      <c r="I314">
        <v>1.5380158927224801</v>
      </c>
      <c r="J314">
        <v>9.31</v>
      </c>
      <c r="K314">
        <v>2943</v>
      </c>
      <c r="L314">
        <v>1202.484662576687</v>
      </c>
    </row>
    <row r="315" spans="1:12">
      <c r="A315" s="14">
        <v>43399</v>
      </c>
      <c r="B315">
        <v>3075</v>
      </c>
      <c r="C315">
        <v>2970</v>
      </c>
      <c r="D315">
        <v>1470</v>
      </c>
      <c r="E315">
        <v>1450</v>
      </c>
      <c r="F315">
        <v>2.0482758620689601</v>
      </c>
      <c r="G315">
        <v>1.82346592325484</v>
      </c>
      <c r="H315">
        <v>0.121365207641341</v>
      </c>
      <c r="I315">
        <v>1.85234255503012</v>
      </c>
      <c r="J315">
        <v>10.98</v>
      </c>
      <c r="K315">
        <v>2970</v>
      </c>
      <c r="L315">
        <v>1194.2484662576687</v>
      </c>
    </row>
    <row r="316" spans="1:12">
      <c r="A316" s="14">
        <v>43398</v>
      </c>
      <c r="B316">
        <v>3040</v>
      </c>
      <c r="C316">
        <v>3025</v>
      </c>
      <c r="D316">
        <v>1469</v>
      </c>
      <c r="E316">
        <v>1464</v>
      </c>
      <c r="F316">
        <v>2.0662568306010902</v>
      </c>
      <c r="G316">
        <v>1.81863878702445</v>
      </c>
      <c r="H316">
        <v>0.119513301746883</v>
      </c>
      <c r="I316">
        <v>2.0718868942393298</v>
      </c>
      <c r="J316">
        <v>11.98</v>
      </c>
      <c r="K316">
        <v>3025</v>
      </c>
      <c r="L316">
        <v>1205.7791411042945</v>
      </c>
    </row>
    <row r="317" spans="1:12">
      <c r="A317" s="14">
        <v>43397</v>
      </c>
      <c r="B317">
        <v>3065</v>
      </c>
      <c r="C317">
        <v>3120</v>
      </c>
      <c r="D317">
        <v>1563</v>
      </c>
      <c r="E317">
        <v>1524</v>
      </c>
      <c r="F317">
        <v>2.04724409448818</v>
      </c>
      <c r="G317">
        <v>1.8133602720261399</v>
      </c>
      <c r="H317">
        <v>0.117180030313043</v>
      </c>
      <c r="I317">
        <v>1.9959358419453599</v>
      </c>
      <c r="J317">
        <v>11.42</v>
      </c>
      <c r="K317">
        <v>3120</v>
      </c>
      <c r="L317">
        <v>1255.1963190184049</v>
      </c>
    </row>
    <row r="318" spans="1:12">
      <c r="A318" s="14">
        <v>43396</v>
      </c>
      <c r="B318">
        <v>3135</v>
      </c>
      <c r="C318">
        <v>3075</v>
      </c>
      <c r="D318">
        <v>1575</v>
      </c>
      <c r="E318">
        <v>1552</v>
      </c>
      <c r="F318">
        <v>1.9813144329896899</v>
      </c>
      <c r="G318">
        <v>1.80850522195139</v>
      </c>
      <c r="H318">
        <v>0.114910469477792</v>
      </c>
      <c r="I318">
        <v>1.5038595858464501</v>
      </c>
      <c r="J318">
        <v>8.7200000000000006</v>
      </c>
      <c r="K318">
        <v>3075</v>
      </c>
      <c r="L318">
        <v>1278.2576687116564</v>
      </c>
    </row>
    <row r="319" spans="1:12">
      <c r="A319" s="14">
        <v>43395</v>
      </c>
      <c r="B319">
        <v>3070</v>
      </c>
      <c r="C319">
        <v>3120</v>
      </c>
      <c r="D319">
        <v>1591</v>
      </c>
      <c r="E319">
        <v>1608</v>
      </c>
      <c r="F319">
        <v>1.94029850746268</v>
      </c>
      <c r="G319">
        <v>1.8045517214098099</v>
      </c>
      <c r="H319">
        <v>0.11399405993355299</v>
      </c>
      <c r="I319">
        <v>1.1908233300225901</v>
      </c>
      <c r="J319">
        <v>7</v>
      </c>
      <c r="K319">
        <v>3120</v>
      </c>
      <c r="L319">
        <v>1324.3803680981594</v>
      </c>
    </row>
    <row r="320" spans="1:12">
      <c r="A320" s="14">
        <v>43392</v>
      </c>
      <c r="B320">
        <v>3070</v>
      </c>
      <c r="C320">
        <v>3110</v>
      </c>
      <c r="D320">
        <v>1629</v>
      </c>
      <c r="E320">
        <v>1599</v>
      </c>
      <c r="F320">
        <v>1.9449656035021801</v>
      </c>
      <c r="G320">
        <v>1.8006795133633899</v>
      </c>
      <c r="H320">
        <v>0.114249384012025</v>
      </c>
      <c r="I320">
        <v>1.26290475337357</v>
      </c>
      <c r="J320">
        <v>7.42</v>
      </c>
      <c r="K320">
        <v>3110</v>
      </c>
      <c r="L320">
        <v>1316.967791411043</v>
      </c>
    </row>
    <row r="321" spans="1:12">
      <c r="A321" s="14">
        <v>43391</v>
      </c>
      <c r="B321">
        <v>3145</v>
      </c>
      <c r="C321">
        <v>3120</v>
      </c>
      <c r="D321">
        <v>1634</v>
      </c>
      <c r="E321">
        <v>1646</v>
      </c>
      <c r="F321">
        <v>1.8955042527339001</v>
      </c>
      <c r="G321">
        <v>1.7968024217590599</v>
      </c>
      <c r="H321">
        <v>0.11422108858940801</v>
      </c>
      <c r="I321">
        <v>0.86412966461594398</v>
      </c>
      <c r="J321">
        <v>5.21</v>
      </c>
      <c r="K321">
        <v>3120</v>
      </c>
      <c r="L321">
        <v>1355.6779141104294</v>
      </c>
    </row>
    <row r="322" spans="1:12">
      <c r="A322" s="14">
        <v>43390</v>
      </c>
      <c r="B322">
        <v>3155</v>
      </c>
      <c r="C322">
        <v>3150</v>
      </c>
      <c r="D322">
        <v>1651</v>
      </c>
      <c r="E322">
        <v>1646</v>
      </c>
      <c r="F322">
        <v>1.9137302551640301</v>
      </c>
      <c r="G322">
        <v>1.7941188201132099</v>
      </c>
      <c r="H322">
        <v>0.114234983272074</v>
      </c>
      <c r="I322">
        <v>1.04706484497778</v>
      </c>
      <c r="J322">
        <v>6.25</v>
      </c>
      <c r="K322">
        <v>3150</v>
      </c>
      <c r="L322">
        <v>1355.6779141104294</v>
      </c>
    </row>
    <row r="323" spans="1:12">
      <c r="A323" s="14">
        <v>43389</v>
      </c>
      <c r="B323">
        <v>3075</v>
      </c>
      <c r="C323">
        <v>3090</v>
      </c>
      <c r="D323">
        <v>1585</v>
      </c>
      <c r="E323">
        <v>1614</v>
      </c>
      <c r="F323">
        <v>1.9144981412639399</v>
      </c>
      <c r="G323">
        <v>1.79121077433979</v>
      </c>
      <c r="H323">
        <v>0.11392874256819301</v>
      </c>
      <c r="I323">
        <v>1.08214454179855</v>
      </c>
      <c r="J323">
        <v>6.44</v>
      </c>
      <c r="K323">
        <v>3090</v>
      </c>
      <c r="L323">
        <v>1329.3220858895704</v>
      </c>
    </row>
    <row r="324" spans="1:12">
      <c r="A324" s="14">
        <v>43388</v>
      </c>
      <c r="B324">
        <v>3115</v>
      </c>
      <c r="C324">
        <v>3075</v>
      </c>
      <c r="D324">
        <v>1590</v>
      </c>
      <c r="E324">
        <v>1596</v>
      </c>
      <c r="F324">
        <v>1.9266917293232999</v>
      </c>
      <c r="G324">
        <v>1.78887458068489</v>
      </c>
      <c r="H324">
        <v>0.113170620362315</v>
      </c>
      <c r="I324">
        <v>1.21778203739798</v>
      </c>
      <c r="J324">
        <v>7.15</v>
      </c>
      <c r="K324">
        <v>3075</v>
      </c>
      <c r="L324">
        <v>1314.4969325153374</v>
      </c>
    </row>
    <row r="325" spans="1:12">
      <c r="A325" s="14">
        <v>43385</v>
      </c>
      <c r="B325">
        <v>3150</v>
      </c>
      <c r="C325">
        <v>3165</v>
      </c>
      <c r="D325">
        <v>1564</v>
      </c>
      <c r="E325">
        <v>1611</v>
      </c>
      <c r="F325">
        <v>1.96461824953445</v>
      </c>
      <c r="G325">
        <v>1.78623554313789</v>
      </c>
      <c r="H325">
        <v>0.112229917902261</v>
      </c>
      <c r="I325">
        <v>1.58943987245814</v>
      </c>
      <c r="J325">
        <v>9.08</v>
      </c>
      <c r="K325">
        <v>3165</v>
      </c>
      <c r="L325">
        <v>1326.8512269938649</v>
      </c>
    </row>
    <row r="326" spans="1:12">
      <c r="A326" s="14">
        <v>43384</v>
      </c>
      <c r="B326">
        <v>3200</v>
      </c>
      <c r="C326">
        <v>3195</v>
      </c>
      <c r="D326">
        <v>1553</v>
      </c>
      <c r="E326">
        <v>1572</v>
      </c>
      <c r="F326">
        <v>2.0324427480915999</v>
      </c>
      <c r="G326">
        <v>1.783701382651</v>
      </c>
      <c r="H326">
        <v>0.11030267174363501</v>
      </c>
      <c r="I326">
        <v>2.2550801490894199</v>
      </c>
      <c r="J326">
        <v>12.24</v>
      </c>
      <c r="K326">
        <v>3195</v>
      </c>
      <c r="L326">
        <v>1294.7300613496932</v>
      </c>
    </row>
    <row r="327" spans="1:12">
      <c r="A327" s="14">
        <v>43383</v>
      </c>
      <c r="B327">
        <v>3295</v>
      </c>
      <c r="C327">
        <v>3325</v>
      </c>
      <c r="D327">
        <v>1628</v>
      </c>
      <c r="E327">
        <v>1619</v>
      </c>
      <c r="F327">
        <v>2.0537368746139499</v>
      </c>
      <c r="G327">
        <v>1.7803641346572601</v>
      </c>
      <c r="H327">
        <v>0.106445341546438</v>
      </c>
      <c r="I327">
        <v>2.5681982507184502</v>
      </c>
      <c r="J327">
        <v>13.31</v>
      </c>
      <c r="K327">
        <v>3325</v>
      </c>
      <c r="L327">
        <v>1333.4401840490798</v>
      </c>
    </row>
    <row r="328" spans="1:12">
      <c r="A328" s="14">
        <v>43382</v>
      </c>
      <c r="B328">
        <v>3265</v>
      </c>
      <c r="C328">
        <v>3305</v>
      </c>
      <c r="D328">
        <v>1614</v>
      </c>
      <c r="E328">
        <v>1625</v>
      </c>
      <c r="F328">
        <v>2.0338461538461501</v>
      </c>
      <c r="G328">
        <v>1.7767624228699599</v>
      </c>
      <c r="H328">
        <v>0.101594012394384</v>
      </c>
      <c r="I328">
        <v>2.5305008131601499</v>
      </c>
      <c r="J328">
        <v>12.64</v>
      </c>
      <c r="K328">
        <v>3305</v>
      </c>
      <c r="L328">
        <v>1338.3819018404906</v>
      </c>
    </row>
    <row r="329" spans="1:12">
      <c r="A329" s="14">
        <v>43378</v>
      </c>
      <c r="B329">
        <v>3275</v>
      </c>
      <c r="C329">
        <v>3260</v>
      </c>
      <c r="D329">
        <v>1678</v>
      </c>
      <c r="E329">
        <v>1654</v>
      </c>
      <c r="F329">
        <v>1.97097944377267</v>
      </c>
      <c r="G329">
        <v>1.77299540279326</v>
      </c>
      <c r="H329">
        <v>9.7131646653091194E-2</v>
      </c>
      <c r="I329">
        <v>2.0383062349031702</v>
      </c>
      <c r="J329">
        <v>10.039999999999999</v>
      </c>
      <c r="K329">
        <v>3260</v>
      </c>
      <c r="L329">
        <v>1362.266871165644</v>
      </c>
    </row>
    <row r="330" spans="1:12">
      <c r="A330" s="14">
        <v>43377</v>
      </c>
      <c r="B330">
        <v>3300</v>
      </c>
      <c r="C330">
        <v>3285</v>
      </c>
      <c r="D330">
        <v>1778</v>
      </c>
      <c r="E330">
        <v>1758</v>
      </c>
      <c r="F330">
        <v>1.8686006825938499</v>
      </c>
      <c r="G330">
        <v>1.7701958099747399</v>
      </c>
      <c r="H330">
        <v>9.4371598795344597E-2</v>
      </c>
      <c r="I330">
        <v>1.04273821653175</v>
      </c>
      <c r="J330">
        <v>5.27</v>
      </c>
      <c r="K330">
        <v>3285</v>
      </c>
      <c r="L330">
        <v>1447.9233128834355</v>
      </c>
    </row>
    <row r="331" spans="1:12">
      <c r="A331" s="14">
        <v>43376</v>
      </c>
      <c r="B331">
        <v>3325</v>
      </c>
      <c r="C331">
        <v>3265</v>
      </c>
      <c r="D331">
        <v>1768</v>
      </c>
      <c r="E331">
        <v>1772</v>
      </c>
      <c r="F331">
        <v>1.84255079006772</v>
      </c>
      <c r="G331">
        <v>1.7680178178130701</v>
      </c>
      <c r="H331">
        <v>9.3959452244498406E-2</v>
      </c>
      <c r="I331">
        <v>0.79324613409509404</v>
      </c>
      <c r="J331">
        <v>4.05</v>
      </c>
      <c r="K331">
        <v>3265</v>
      </c>
      <c r="L331">
        <v>1459.4539877300613</v>
      </c>
    </row>
    <row r="332" spans="1:12">
      <c r="A332" s="14">
        <v>43375</v>
      </c>
      <c r="B332">
        <v>3385</v>
      </c>
      <c r="C332">
        <v>3325</v>
      </c>
      <c r="D332">
        <v>1768</v>
      </c>
      <c r="E332">
        <v>1776</v>
      </c>
      <c r="F332">
        <v>1.8721846846846799</v>
      </c>
      <c r="G332">
        <v>1.76539476466677</v>
      </c>
      <c r="H332">
        <v>9.4586050499797805E-2</v>
      </c>
      <c r="I332">
        <v>1.12902398877659</v>
      </c>
      <c r="J332">
        <v>5.7</v>
      </c>
      <c r="K332">
        <v>3325</v>
      </c>
      <c r="L332">
        <v>1462.7484662576687</v>
      </c>
    </row>
    <row r="333" spans="1:12">
      <c r="A333" s="14">
        <v>43374</v>
      </c>
      <c r="B333">
        <v>3295</v>
      </c>
      <c r="C333">
        <v>3315</v>
      </c>
      <c r="D333">
        <v>1746</v>
      </c>
      <c r="E333">
        <v>1751</v>
      </c>
      <c r="F333">
        <v>1.8932038834951399</v>
      </c>
      <c r="G333">
        <v>1.76236445559664</v>
      </c>
      <c r="H333">
        <v>9.4756705457562401E-2</v>
      </c>
      <c r="I333">
        <v>1.38079334086912</v>
      </c>
      <c r="J333">
        <v>6.91</v>
      </c>
      <c r="K333">
        <v>3315</v>
      </c>
      <c r="L333">
        <v>1442.1579754601225</v>
      </c>
    </row>
    <row r="334" spans="1:12">
      <c r="A334" s="14">
        <v>43371</v>
      </c>
      <c r="B334">
        <v>3240</v>
      </c>
      <c r="C334">
        <v>3325</v>
      </c>
      <c r="D334">
        <v>1737</v>
      </c>
      <c r="E334">
        <v>1750</v>
      </c>
      <c r="F334">
        <v>1.9</v>
      </c>
      <c r="G334">
        <v>1.7590600631412301</v>
      </c>
      <c r="H334">
        <v>9.44571346976463E-2</v>
      </c>
      <c r="I334">
        <v>1.49210472358609</v>
      </c>
      <c r="J334">
        <v>7.42</v>
      </c>
      <c r="K334">
        <v>3325</v>
      </c>
      <c r="L334">
        <v>1441.3343558282209</v>
      </c>
    </row>
    <row r="335" spans="1:12">
      <c r="A335" s="14">
        <v>43370</v>
      </c>
      <c r="B335">
        <v>3385</v>
      </c>
      <c r="C335">
        <v>3245</v>
      </c>
      <c r="D335">
        <v>1735</v>
      </c>
      <c r="E335">
        <v>1710</v>
      </c>
      <c r="F335">
        <v>1.89766081871345</v>
      </c>
      <c r="G335">
        <v>1.7552037757160801</v>
      </c>
      <c r="H335">
        <v>9.4528254945634105E-2</v>
      </c>
      <c r="I335">
        <v>1.5070313429492299</v>
      </c>
      <c r="J335">
        <v>7.51</v>
      </c>
      <c r="K335">
        <v>3245</v>
      </c>
      <c r="L335">
        <v>1408.3895705521472</v>
      </c>
    </row>
    <row r="336" spans="1:12">
      <c r="A336" s="14">
        <v>43369</v>
      </c>
      <c r="B336">
        <v>3370</v>
      </c>
      <c r="C336">
        <v>3405</v>
      </c>
      <c r="D336">
        <v>1723</v>
      </c>
      <c r="E336">
        <v>1739</v>
      </c>
      <c r="F336">
        <v>1.9580218516388701</v>
      </c>
      <c r="G336">
        <v>1.75101214359595</v>
      </c>
      <c r="H336">
        <v>9.5086800641267094E-2</v>
      </c>
      <c r="I336">
        <v>2.1770603979400298</v>
      </c>
      <c r="J336">
        <v>10.57</v>
      </c>
      <c r="K336">
        <v>3405</v>
      </c>
      <c r="L336">
        <v>1432.2745398773006</v>
      </c>
    </row>
    <row r="337" spans="1:12">
      <c r="A337" s="14">
        <v>43368</v>
      </c>
      <c r="B337">
        <v>3320</v>
      </c>
      <c r="C337">
        <v>3375</v>
      </c>
      <c r="D337">
        <v>1740</v>
      </c>
      <c r="E337">
        <v>1758</v>
      </c>
      <c r="F337">
        <v>1.9197952218430001</v>
      </c>
      <c r="G337">
        <v>1.74558213046157</v>
      </c>
      <c r="H337">
        <v>9.4737859086447995E-2</v>
      </c>
      <c r="I337">
        <v>1.8388962243960301</v>
      </c>
      <c r="J337">
        <v>9.07</v>
      </c>
      <c r="K337">
        <v>3375</v>
      </c>
      <c r="L337">
        <v>1447.9233128834355</v>
      </c>
    </row>
    <row r="338" spans="1:12">
      <c r="A338" s="14">
        <v>43364</v>
      </c>
      <c r="B338">
        <v>3300</v>
      </c>
      <c r="C338">
        <v>3335</v>
      </c>
      <c r="D338">
        <v>1745</v>
      </c>
      <c r="E338">
        <v>1758</v>
      </c>
      <c r="F338">
        <v>1.89704209328782</v>
      </c>
      <c r="G338">
        <v>1.7402346006913101</v>
      </c>
      <c r="H338">
        <v>9.6063271247971802E-2</v>
      </c>
      <c r="I338">
        <v>1.63233554884611</v>
      </c>
      <c r="J338">
        <v>8.27</v>
      </c>
      <c r="K338">
        <v>3335</v>
      </c>
      <c r="L338">
        <v>1447.9233128834355</v>
      </c>
    </row>
    <row r="339" spans="1:12">
      <c r="A339" s="14">
        <v>43363</v>
      </c>
      <c r="B339">
        <v>3265</v>
      </c>
      <c r="C339">
        <v>3305</v>
      </c>
      <c r="D339">
        <v>1744</v>
      </c>
      <c r="E339">
        <v>1731</v>
      </c>
      <c r="F339">
        <v>1.9093009820912701</v>
      </c>
      <c r="G339">
        <v>1.7351571110007</v>
      </c>
      <c r="H339">
        <v>9.7691155915124506E-2</v>
      </c>
      <c r="I339">
        <v>1.7825960749391501</v>
      </c>
      <c r="J339">
        <v>9.1199999999999992</v>
      </c>
      <c r="K339">
        <v>3305</v>
      </c>
      <c r="L339">
        <v>1425.6855828220857</v>
      </c>
    </row>
    <row r="340" spans="1:12">
      <c r="A340" s="14">
        <v>43362</v>
      </c>
      <c r="B340">
        <v>3290</v>
      </c>
      <c r="C340">
        <v>3260</v>
      </c>
      <c r="D340">
        <v>1726</v>
      </c>
      <c r="E340">
        <v>1722</v>
      </c>
      <c r="F340">
        <v>1.8931475029036</v>
      </c>
      <c r="G340">
        <v>1.7296620610595399</v>
      </c>
      <c r="H340">
        <v>9.9318557541825503E-2</v>
      </c>
      <c r="I340">
        <v>1.64607144818038</v>
      </c>
      <c r="J340">
        <v>8.64</v>
      </c>
      <c r="K340">
        <v>3260</v>
      </c>
      <c r="L340">
        <v>1418.2730061349694</v>
      </c>
    </row>
    <row r="341" spans="1:12">
      <c r="A341" s="14">
        <v>43361</v>
      </c>
      <c r="B341">
        <v>3170</v>
      </c>
      <c r="C341">
        <v>3260</v>
      </c>
      <c r="D341">
        <v>1641</v>
      </c>
      <c r="E341">
        <v>1690</v>
      </c>
      <c r="F341">
        <v>1.9289940828402301</v>
      </c>
      <c r="G341">
        <v>1.7243692555132799</v>
      </c>
      <c r="H341">
        <v>0.101027734144023</v>
      </c>
      <c r="I341">
        <v>2.0254322148336201</v>
      </c>
      <c r="J341">
        <v>10.61</v>
      </c>
      <c r="K341">
        <v>3260</v>
      </c>
      <c r="L341">
        <v>1391.9171779141104</v>
      </c>
    </row>
    <row r="342" spans="1:12">
      <c r="A342" s="14">
        <v>43357</v>
      </c>
      <c r="B342">
        <v>3140</v>
      </c>
      <c r="C342">
        <v>3145</v>
      </c>
      <c r="D342">
        <v>1585</v>
      </c>
      <c r="E342">
        <v>1611</v>
      </c>
      <c r="F342">
        <v>1.9522036002482901</v>
      </c>
      <c r="G342">
        <v>1.7186110402399</v>
      </c>
      <c r="H342">
        <v>0.10150702757041399</v>
      </c>
      <c r="I342">
        <v>2.3012452004502499</v>
      </c>
      <c r="J342">
        <v>11.97</v>
      </c>
      <c r="K342">
        <v>3145</v>
      </c>
      <c r="L342">
        <v>1326.8512269938649</v>
      </c>
    </row>
    <row r="343" spans="1:12">
      <c r="A343" s="14">
        <v>43356</v>
      </c>
      <c r="B343">
        <v>3135</v>
      </c>
      <c r="C343">
        <v>3140</v>
      </c>
      <c r="D343">
        <v>1568</v>
      </c>
      <c r="E343">
        <v>1574</v>
      </c>
      <c r="F343">
        <v>1.9949174078780101</v>
      </c>
      <c r="G343">
        <v>1.7124769468613701</v>
      </c>
      <c r="H343">
        <v>0.10110551424922599</v>
      </c>
      <c r="I343">
        <v>2.7935218282993</v>
      </c>
      <c r="J343">
        <v>14.16</v>
      </c>
      <c r="K343">
        <v>3140</v>
      </c>
      <c r="L343">
        <v>1296.3773006134968</v>
      </c>
    </row>
    <row r="344" spans="1:12">
      <c r="A344" s="14">
        <v>43355</v>
      </c>
      <c r="B344">
        <v>3105</v>
      </c>
      <c r="C344">
        <v>3140</v>
      </c>
      <c r="D344">
        <v>1609</v>
      </c>
      <c r="E344">
        <v>1577</v>
      </c>
      <c r="F344">
        <v>1.9911223842739301</v>
      </c>
      <c r="G344">
        <v>1.7063804532206099</v>
      </c>
      <c r="H344">
        <v>9.7616122804142696E-2</v>
      </c>
      <c r="I344">
        <v>2.9169559584396501</v>
      </c>
      <c r="J344">
        <v>14.3</v>
      </c>
      <c r="K344">
        <v>3140</v>
      </c>
      <c r="L344">
        <v>1298.8481595092023</v>
      </c>
    </row>
    <row r="345" spans="1:12">
      <c r="A345" s="14">
        <v>43354</v>
      </c>
      <c r="B345">
        <v>3130</v>
      </c>
      <c r="C345">
        <v>3115</v>
      </c>
      <c r="D345">
        <v>1615</v>
      </c>
      <c r="E345">
        <v>1593</v>
      </c>
      <c r="F345">
        <v>1.9554300062774601</v>
      </c>
      <c r="G345">
        <v>1.6999626044718299</v>
      </c>
      <c r="H345">
        <v>9.4456424075054099E-2</v>
      </c>
      <c r="I345">
        <v>2.7046058995694802</v>
      </c>
      <c r="J345">
        <v>13.06</v>
      </c>
      <c r="K345">
        <v>3115</v>
      </c>
      <c r="L345">
        <v>1312.0260736196319</v>
      </c>
    </row>
    <row r="346" spans="1:12">
      <c r="A346" s="14">
        <v>43353</v>
      </c>
      <c r="B346">
        <v>3105</v>
      </c>
      <c r="C346">
        <v>3115</v>
      </c>
      <c r="D346">
        <v>1616</v>
      </c>
      <c r="E346">
        <v>1622</v>
      </c>
      <c r="F346">
        <v>1.92046855733662</v>
      </c>
      <c r="G346">
        <v>1.6936172600005499</v>
      </c>
      <c r="H346">
        <v>9.3056166135020504E-2</v>
      </c>
      <c r="I346">
        <v>2.4377889908650898</v>
      </c>
      <c r="J346">
        <v>11.81</v>
      </c>
      <c r="K346">
        <v>3115</v>
      </c>
      <c r="L346">
        <v>1335.9110429447853</v>
      </c>
    </row>
    <row r="347" spans="1:12">
      <c r="A347" s="14">
        <v>43350</v>
      </c>
      <c r="B347">
        <v>3075</v>
      </c>
      <c r="C347">
        <v>3105</v>
      </c>
      <c r="D347">
        <v>1640</v>
      </c>
      <c r="E347">
        <v>1628</v>
      </c>
      <c r="F347">
        <v>1.9072481572481499</v>
      </c>
      <c r="G347">
        <v>1.6877092293046501</v>
      </c>
      <c r="H347">
        <v>9.2530634795672598E-2</v>
      </c>
      <c r="I347">
        <v>2.37260803871379</v>
      </c>
      <c r="J347">
        <v>11.51</v>
      </c>
      <c r="K347">
        <v>3105</v>
      </c>
      <c r="L347">
        <v>1340.8527607361962</v>
      </c>
    </row>
    <row r="348" spans="1:12">
      <c r="A348" s="14">
        <v>43349</v>
      </c>
      <c r="B348">
        <v>3065</v>
      </c>
      <c r="C348">
        <v>3085</v>
      </c>
      <c r="D348">
        <v>1664</v>
      </c>
      <c r="E348">
        <v>1659</v>
      </c>
      <c r="F348">
        <v>1.85955394816154</v>
      </c>
      <c r="G348">
        <v>1.68212711002958</v>
      </c>
      <c r="H348">
        <v>9.1742997158186596E-2</v>
      </c>
      <c r="I348">
        <v>1.93395510968568</v>
      </c>
      <c r="J348">
        <v>9.5399999999999991</v>
      </c>
      <c r="K348">
        <v>3085</v>
      </c>
      <c r="L348">
        <v>1366.3849693251534</v>
      </c>
    </row>
    <row r="349" spans="1:12">
      <c r="A349" s="14">
        <v>43348</v>
      </c>
      <c r="B349">
        <v>3080</v>
      </c>
      <c r="C349">
        <v>3075</v>
      </c>
      <c r="D349">
        <v>1679</v>
      </c>
      <c r="E349">
        <v>1677</v>
      </c>
      <c r="F349">
        <v>1.8336314847942701</v>
      </c>
      <c r="G349">
        <v>1.67680256237138</v>
      </c>
      <c r="H349">
        <v>9.2872503956676303E-2</v>
      </c>
      <c r="I349">
        <v>1.68864750858928</v>
      </c>
      <c r="J349">
        <v>8.5500000000000007</v>
      </c>
      <c r="K349">
        <v>3075</v>
      </c>
      <c r="L349">
        <v>1381.2101226993864</v>
      </c>
    </row>
    <row r="350" spans="1:12">
      <c r="A350" s="14">
        <v>43347</v>
      </c>
      <c r="B350">
        <v>3095</v>
      </c>
      <c r="C350">
        <v>3065</v>
      </c>
      <c r="D350">
        <v>1722</v>
      </c>
      <c r="E350">
        <v>1694</v>
      </c>
      <c r="F350">
        <v>1.80932703659976</v>
      </c>
      <c r="G350">
        <v>1.6719450211790901</v>
      </c>
      <c r="H350">
        <v>9.4062630017110904E-2</v>
      </c>
      <c r="I350">
        <v>1.4605376800083201</v>
      </c>
      <c r="J350">
        <v>7.59</v>
      </c>
      <c r="K350">
        <v>3065</v>
      </c>
      <c r="L350">
        <v>1395.2116564417177</v>
      </c>
    </row>
    <row r="351" spans="1:12">
      <c r="A351" s="14">
        <v>43346</v>
      </c>
      <c r="B351">
        <v>3130</v>
      </c>
      <c r="C351">
        <v>3125</v>
      </c>
      <c r="D351">
        <v>1748</v>
      </c>
      <c r="E351">
        <v>1716</v>
      </c>
      <c r="F351">
        <v>1.8210955710955701</v>
      </c>
      <c r="G351">
        <v>1.66734209638401</v>
      </c>
      <c r="H351">
        <v>9.5660294944644397E-2</v>
      </c>
      <c r="I351">
        <v>1.6072862288426699</v>
      </c>
      <c r="J351">
        <v>8.44</v>
      </c>
      <c r="K351">
        <v>3125</v>
      </c>
      <c r="L351">
        <v>1413.3312883435583</v>
      </c>
    </row>
    <row r="352" spans="1:12">
      <c r="A352" s="14">
        <v>43343</v>
      </c>
      <c r="B352">
        <v>3075</v>
      </c>
      <c r="C352">
        <v>3110</v>
      </c>
      <c r="D352">
        <v>1750</v>
      </c>
      <c r="E352">
        <v>1746</v>
      </c>
      <c r="F352">
        <v>1.7812142038946099</v>
      </c>
      <c r="G352">
        <v>1.6626283537062001</v>
      </c>
      <c r="H352">
        <v>9.6672730281564798E-2</v>
      </c>
      <c r="I352">
        <v>1.22667322876913</v>
      </c>
      <c r="J352">
        <v>6.66</v>
      </c>
      <c r="K352">
        <v>3110</v>
      </c>
      <c r="L352">
        <v>1438.0398773006134</v>
      </c>
    </row>
    <row r="353" spans="1:12">
      <c r="A353" s="14">
        <v>43342</v>
      </c>
      <c r="B353">
        <v>3035</v>
      </c>
      <c r="C353">
        <v>3100</v>
      </c>
      <c r="D353">
        <v>1790</v>
      </c>
      <c r="E353">
        <v>1775</v>
      </c>
      <c r="F353">
        <v>1.7464788732394301</v>
      </c>
      <c r="G353">
        <v>1.65846195588338</v>
      </c>
      <c r="H353">
        <v>9.8193795957469507E-2</v>
      </c>
      <c r="I353">
        <v>0.89635925058006705</v>
      </c>
      <c r="J353">
        <v>5.04</v>
      </c>
      <c r="K353">
        <v>3100</v>
      </c>
      <c r="L353">
        <v>1461.9248466257668</v>
      </c>
    </row>
    <row r="354" spans="1:12">
      <c r="A354" s="14">
        <v>43341</v>
      </c>
      <c r="B354">
        <v>2980</v>
      </c>
      <c r="C354">
        <v>2984</v>
      </c>
      <c r="D354">
        <v>1760</v>
      </c>
      <c r="E354">
        <v>1777</v>
      </c>
      <c r="F354">
        <v>1.6792346651660099</v>
      </c>
      <c r="G354">
        <v>1.6550192678147699</v>
      </c>
      <c r="H354">
        <v>9.9564288107208299E-2</v>
      </c>
      <c r="I354">
        <v>0.243213684460408</v>
      </c>
      <c r="J354">
        <v>1.44</v>
      </c>
      <c r="K354">
        <v>2984</v>
      </c>
      <c r="L354">
        <v>1463.5720858895704</v>
      </c>
    </row>
    <row r="355" spans="1:12">
      <c r="A355" s="14">
        <v>43340</v>
      </c>
      <c r="B355">
        <v>2997</v>
      </c>
      <c r="C355">
        <v>2970</v>
      </c>
      <c r="D355">
        <v>1772</v>
      </c>
      <c r="E355">
        <v>1772</v>
      </c>
      <c r="F355">
        <v>1.67607223476297</v>
      </c>
      <c r="G355">
        <v>1.65221952604267</v>
      </c>
      <c r="H355">
        <v>0.10177183668680399</v>
      </c>
      <c r="I355">
        <v>0.234374356372405</v>
      </c>
      <c r="J355">
        <v>1.42</v>
      </c>
      <c r="K355">
        <v>2970</v>
      </c>
      <c r="L355">
        <v>1459.4539877300613</v>
      </c>
    </row>
    <row r="356" spans="1:12">
      <c r="A356" s="14">
        <v>43339</v>
      </c>
      <c r="B356">
        <v>2956</v>
      </c>
      <c r="C356">
        <v>2979</v>
      </c>
      <c r="D356">
        <v>1741</v>
      </c>
      <c r="E356">
        <v>1747</v>
      </c>
      <c r="F356">
        <v>1.7052089295935799</v>
      </c>
      <c r="G356">
        <v>1.6496257219278001</v>
      </c>
      <c r="H356">
        <v>0.103593565913786</v>
      </c>
      <c r="I356">
        <v>0.53655077103963</v>
      </c>
      <c r="J356">
        <v>3.26</v>
      </c>
      <c r="K356">
        <v>2979</v>
      </c>
      <c r="L356">
        <v>1438.8634969325153</v>
      </c>
    </row>
    <row r="357" spans="1:12">
      <c r="A357" s="14">
        <v>43336</v>
      </c>
      <c r="B357">
        <v>2950</v>
      </c>
      <c r="C357">
        <v>2956</v>
      </c>
      <c r="D357">
        <v>1749</v>
      </c>
      <c r="E357">
        <v>1726</v>
      </c>
      <c r="F357">
        <v>1.71263035921205</v>
      </c>
      <c r="G357">
        <v>1.6462431583116</v>
      </c>
      <c r="H357">
        <v>0.105840861374961</v>
      </c>
      <c r="I357">
        <v>0.62723602243991206</v>
      </c>
      <c r="J357">
        <v>3.88</v>
      </c>
      <c r="K357">
        <v>2956</v>
      </c>
      <c r="L357">
        <v>1421.5674846625766</v>
      </c>
    </row>
    <row r="358" spans="1:12">
      <c r="A358" s="14">
        <v>43335</v>
      </c>
      <c r="B358">
        <v>2875</v>
      </c>
      <c r="C358">
        <v>2912</v>
      </c>
      <c r="D358">
        <v>1748</v>
      </c>
      <c r="E358">
        <v>1731</v>
      </c>
      <c r="F358">
        <v>1.6822645869439601</v>
      </c>
      <c r="G358">
        <v>1.64368814150025</v>
      </c>
      <c r="H358">
        <v>0.106518201801104</v>
      </c>
      <c r="I358">
        <v>0.36215824893233001</v>
      </c>
      <c r="J358">
        <v>2.29</v>
      </c>
      <c r="K358">
        <v>2912</v>
      </c>
      <c r="L358">
        <v>1425.6855828220857</v>
      </c>
    </row>
    <row r="359" spans="1:12">
      <c r="A359" s="14">
        <v>43334</v>
      </c>
      <c r="B359">
        <v>2888</v>
      </c>
      <c r="C359">
        <v>2871</v>
      </c>
      <c r="D359">
        <v>1698</v>
      </c>
      <c r="E359">
        <v>1732</v>
      </c>
      <c r="F359">
        <v>1.6576212471131599</v>
      </c>
      <c r="G359">
        <v>1.64021344658785</v>
      </c>
      <c r="H359">
        <v>0.109414276526571</v>
      </c>
      <c r="I359">
        <v>0.159099900652209</v>
      </c>
      <c r="J359">
        <v>1.05</v>
      </c>
      <c r="K359">
        <v>2871</v>
      </c>
      <c r="L359">
        <v>1426.5092024539877</v>
      </c>
    </row>
    <row r="360" spans="1:12">
      <c r="A360" s="14">
        <v>43333</v>
      </c>
      <c r="B360">
        <v>2929</v>
      </c>
      <c r="C360">
        <v>2916</v>
      </c>
      <c r="D360">
        <v>1672</v>
      </c>
      <c r="E360">
        <v>1696</v>
      </c>
      <c r="F360">
        <v>1.7193396226415001</v>
      </c>
      <c r="G360">
        <v>1.6375102210054899</v>
      </c>
      <c r="H360">
        <v>0.111436615154272</v>
      </c>
      <c r="I360">
        <v>0.73431341684892004</v>
      </c>
      <c r="J360">
        <v>4.76</v>
      </c>
      <c r="K360">
        <v>2916</v>
      </c>
      <c r="L360">
        <v>1396.8588957055215</v>
      </c>
    </row>
    <row r="361" spans="1:12">
      <c r="A361" s="14">
        <v>43332</v>
      </c>
      <c r="B361">
        <v>2914</v>
      </c>
      <c r="C361">
        <v>2917</v>
      </c>
      <c r="D361">
        <v>1658</v>
      </c>
      <c r="E361">
        <v>1670</v>
      </c>
      <c r="F361">
        <v>1.7467065868263401</v>
      </c>
      <c r="G361">
        <v>1.6341755432423599</v>
      </c>
      <c r="H361">
        <v>0.112673224117532</v>
      </c>
      <c r="I361">
        <v>0.99873811604606999</v>
      </c>
      <c r="J361">
        <v>6.44</v>
      </c>
      <c r="K361">
        <v>2917</v>
      </c>
      <c r="L361">
        <v>1375.4447852760736</v>
      </c>
    </row>
    <row r="362" spans="1:12">
      <c r="A362" s="14">
        <v>43329</v>
      </c>
      <c r="B362">
        <v>2939</v>
      </c>
      <c r="C362">
        <v>2920</v>
      </c>
      <c r="D362">
        <v>1688</v>
      </c>
      <c r="E362">
        <v>1694</v>
      </c>
      <c r="F362">
        <v>1.7237308146399</v>
      </c>
      <c r="G362">
        <v>1.63016364305711</v>
      </c>
      <c r="H362">
        <v>0.113944654078071</v>
      </c>
      <c r="I362">
        <v>0.82116333003808695</v>
      </c>
      <c r="J362">
        <v>5.43</v>
      </c>
      <c r="K362">
        <v>2920</v>
      </c>
      <c r="L362">
        <v>1395.2116564417177</v>
      </c>
    </row>
    <row r="363" spans="1:12">
      <c r="A363" s="14">
        <v>43328</v>
      </c>
      <c r="B363">
        <v>2931</v>
      </c>
      <c r="C363">
        <v>2954</v>
      </c>
      <c r="D363">
        <v>1652</v>
      </c>
      <c r="E363">
        <v>1687</v>
      </c>
      <c r="F363">
        <v>1.75103734439834</v>
      </c>
      <c r="G363">
        <v>1.6264329341763</v>
      </c>
      <c r="H363">
        <v>0.115391448577305</v>
      </c>
      <c r="I363">
        <v>1.07984093932713</v>
      </c>
      <c r="J363">
        <v>7.12</v>
      </c>
      <c r="K363">
        <v>2954</v>
      </c>
      <c r="L363">
        <v>1389.4463190184049</v>
      </c>
    </row>
    <row r="364" spans="1:12">
      <c r="A364" s="14">
        <v>43327</v>
      </c>
      <c r="B364">
        <v>3025</v>
      </c>
      <c r="C364">
        <v>2957</v>
      </c>
      <c r="D364">
        <v>1720</v>
      </c>
      <c r="E364">
        <v>1692</v>
      </c>
      <c r="F364">
        <v>1.74763593380614</v>
      </c>
      <c r="G364">
        <v>1.6226532258150099</v>
      </c>
      <c r="H364">
        <v>0.115889724282882</v>
      </c>
      <c r="I364">
        <v>1.0784623810653999</v>
      </c>
      <c r="J364">
        <v>7.15</v>
      </c>
      <c r="K364">
        <v>2957</v>
      </c>
      <c r="L364">
        <v>1393.564417177914</v>
      </c>
    </row>
    <row r="365" spans="1:12">
      <c r="A365" s="14">
        <v>43326</v>
      </c>
      <c r="B365">
        <v>2969</v>
      </c>
      <c r="C365">
        <v>3025</v>
      </c>
      <c r="D365">
        <v>1690</v>
      </c>
      <c r="E365">
        <v>1713</v>
      </c>
      <c r="F365">
        <v>1.76590776415645</v>
      </c>
      <c r="G365">
        <v>1.6187372428375899</v>
      </c>
      <c r="H365">
        <v>0.116560508572642</v>
      </c>
      <c r="I365">
        <v>1.26261049407777</v>
      </c>
      <c r="J365">
        <v>8.33</v>
      </c>
      <c r="K365">
        <v>3025</v>
      </c>
      <c r="L365">
        <v>1410.8604294478528</v>
      </c>
    </row>
    <row r="366" spans="1:12">
      <c r="A366" s="14">
        <v>43325</v>
      </c>
      <c r="B366">
        <v>2978</v>
      </c>
      <c r="C366">
        <v>2934</v>
      </c>
      <c r="D366">
        <v>1706</v>
      </c>
      <c r="E366">
        <v>1682</v>
      </c>
      <c r="F366">
        <v>1.74435196195005</v>
      </c>
      <c r="G366">
        <v>1.61464022273395</v>
      </c>
      <c r="H366">
        <v>0.116715737780686</v>
      </c>
      <c r="I366">
        <v>1.11134746421116</v>
      </c>
      <c r="J366">
        <v>7.44</v>
      </c>
      <c r="K366">
        <v>2934</v>
      </c>
      <c r="L366">
        <v>1385.3282208588957</v>
      </c>
    </row>
    <row r="367" spans="1:12">
      <c r="A367" s="14">
        <v>43322</v>
      </c>
      <c r="B367">
        <v>2970</v>
      </c>
      <c r="C367">
        <v>2984</v>
      </c>
      <c r="D367">
        <v>1742</v>
      </c>
      <c r="E367">
        <v>1717</v>
      </c>
      <c r="F367">
        <v>1.73791496796738</v>
      </c>
      <c r="G367">
        <v>1.61020730567163</v>
      </c>
      <c r="H367">
        <v>0.11801150983783799</v>
      </c>
      <c r="I367">
        <v>1.08216276930303</v>
      </c>
      <c r="J367">
        <v>7.35</v>
      </c>
      <c r="K367">
        <v>2984</v>
      </c>
      <c r="L367">
        <v>1414.15490797546</v>
      </c>
    </row>
    <row r="368" spans="1:12">
      <c r="A368" s="14">
        <v>43321</v>
      </c>
      <c r="B368">
        <v>2995</v>
      </c>
      <c r="C368">
        <v>2976</v>
      </c>
      <c r="D368">
        <v>1731</v>
      </c>
      <c r="E368">
        <v>1745</v>
      </c>
      <c r="F368">
        <v>1.7054441260744899</v>
      </c>
      <c r="G368">
        <v>1.60541974694613</v>
      </c>
      <c r="H368">
        <v>0.120000140670912</v>
      </c>
      <c r="I368">
        <v>0.833535515617981</v>
      </c>
      <c r="J368">
        <v>5.87</v>
      </c>
      <c r="K368">
        <v>2976</v>
      </c>
      <c r="L368">
        <v>1437.2162576687117</v>
      </c>
    </row>
    <row r="369" spans="1:12">
      <c r="A369" s="14">
        <v>43320</v>
      </c>
      <c r="B369">
        <v>3015</v>
      </c>
      <c r="C369">
        <v>3010</v>
      </c>
      <c r="D369">
        <v>1746</v>
      </c>
      <c r="E369">
        <v>1739</v>
      </c>
      <c r="F369">
        <v>1.73087981598619</v>
      </c>
      <c r="G369">
        <v>1.6011537490935901</v>
      </c>
      <c r="H369">
        <v>0.122038243088292</v>
      </c>
      <c r="I369">
        <v>1.0629952022395901</v>
      </c>
      <c r="J369">
        <v>7.49</v>
      </c>
      <c r="K369">
        <v>3010</v>
      </c>
      <c r="L369">
        <v>1432.2745398773006</v>
      </c>
    </row>
    <row r="370" spans="1:12">
      <c r="A370" s="14">
        <v>43319</v>
      </c>
      <c r="B370">
        <v>2963</v>
      </c>
      <c r="C370">
        <v>3025</v>
      </c>
      <c r="D370">
        <v>1749</v>
      </c>
      <c r="E370">
        <v>1770</v>
      </c>
      <c r="F370">
        <v>1.7090395480225899</v>
      </c>
      <c r="G370">
        <v>1.5962287467596099</v>
      </c>
      <c r="H370">
        <v>0.12413882697555</v>
      </c>
      <c r="I370">
        <v>0.908747118137334</v>
      </c>
      <c r="J370">
        <v>6.6</v>
      </c>
      <c r="K370">
        <v>3025</v>
      </c>
      <c r="L370">
        <v>1457.8067484662577</v>
      </c>
    </row>
    <row r="371" spans="1:12">
      <c r="A371" s="14">
        <v>43318</v>
      </c>
      <c r="B371">
        <v>3000</v>
      </c>
      <c r="C371">
        <v>2954</v>
      </c>
      <c r="D371">
        <v>1769</v>
      </c>
      <c r="E371">
        <v>1768</v>
      </c>
      <c r="F371">
        <v>1.670814479638</v>
      </c>
      <c r="G371">
        <v>1.59234772438658</v>
      </c>
      <c r="H371">
        <v>0.12509763643035501</v>
      </c>
      <c r="I371">
        <v>0.62724410700683197</v>
      </c>
      <c r="J371">
        <v>4.7</v>
      </c>
      <c r="K371">
        <v>2954</v>
      </c>
      <c r="L371">
        <v>1456.1595092024538</v>
      </c>
    </row>
    <row r="372" spans="1:12">
      <c r="A372" s="14">
        <v>43315</v>
      </c>
      <c r="B372">
        <v>3010</v>
      </c>
      <c r="C372">
        <v>3015</v>
      </c>
      <c r="D372">
        <v>1772</v>
      </c>
      <c r="E372">
        <v>1769</v>
      </c>
      <c r="F372">
        <v>1.7043527416619499</v>
      </c>
      <c r="G372">
        <v>1.5892598472934201</v>
      </c>
      <c r="H372">
        <v>0.12597783985278499</v>
      </c>
      <c r="I372">
        <v>0.91359634760390895</v>
      </c>
      <c r="J372">
        <v>6.75</v>
      </c>
      <c r="K372">
        <v>3015</v>
      </c>
      <c r="L372">
        <v>1456.9831288343557</v>
      </c>
    </row>
    <row r="373" spans="1:12">
      <c r="A373" s="14">
        <v>43314</v>
      </c>
      <c r="B373">
        <v>3005</v>
      </c>
      <c r="C373">
        <v>2985</v>
      </c>
      <c r="D373">
        <v>1858</v>
      </c>
      <c r="E373">
        <v>1795</v>
      </c>
      <c r="F373">
        <v>1.6629526462395501</v>
      </c>
      <c r="G373">
        <v>1.5853726292432599</v>
      </c>
      <c r="H373">
        <v>0.12686137367081199</v>
      </c>
      <c r="I373">
        <v>0.61153379276498798</v>
      </c>
      <c r="J373">
        <v>4.67</v>
      </c>
      <c r="K373">
        <v>2985</v>
      </c>
      <c r="L373">
        <v>1478.3972392638036</v>
      </c>
    </row>
    <row r="374" spans="1:12">
      <c r="A374" s="14">
        <v>43313</v>
      </c>
      <c r="B374">
        <v>3025</v>
      </c>
      <c r="C374">
        <v>2990</v>
      </c>
      <c r="D374">
        <v>1827</v>
      </c>
      <c r="E374">
        <v>1837</v>
      </c>
      <c r="F374">
        <v>1.6276537833424001</v>
      </c>
      <c r="G374">
        <v>1.58188823020077</v>
      </c>
      <c r="H374">
        <v>0.12826381161742301</v>
      </c>
      <c r="I374">
        <v>0.35680799256252499</v>
      </c>
      <c r="J374">
        <v>2.81</v>
      </c>
      <c r="K374">
        <v>2990</v>
      </c>
      <c r="L374">
        <v>1512.9892638036808</v>
      </c>
    </row>
    <row r="375" spans="1:12">
      <c r="A375" s="14">
        <v>43312</v>
      </c>
      <c r="B375">
        <v>3130</v>
      </c>
      <c r="C375">
        <v>3025</v>
      </c>
      <c r="D375">
        <v>1810</v>
      </c>
      <c r="E375">
        <v>1820</v>
      </c>
      <c r="F375">
        <v>1.66208791208791</v>
      </c>
      <c r="G375">
        <v>1.57923872066921</v>
      </c>
      <c r="H375">
        <v>0.129338955802871</v>
      </c>
      <c r="I375">
        <v>0.64055868477064704</v>
      </c>
      <c r="J375">
        <v>4.9800000000000004</v>
      </c>
      <c r="K375">
        <v>3025</v>
      </c>
      <c r="L375">
        <v>1498.9877300613496</v>
      </c>
    </row>
    <row r="376" spans="1:12">
      <c r="A376" s="14">
        <v>43311</v>
      </c>
      <c r="B376">
        <v>3190</v>
      </c>
      <c r="C376">
        <v>3160</v>
      </c>
      <c r="D376">
        <v>1800</v>
      </c>
      <c r="E376">
        <v>1803</v>
      </c>
      <c r="F376">
        <v>1.75263449805879</v>
      </c>
      <c r="G376">
        <v>1.5760038142232999</v>
      </c>
      <c r="H376">
        <v>0.130257163259</v>
      </c>
      <c r="I376">
        <v>1.3560151274312799</v>
      </c>
      <c r="J376">
        <v>10.08</v>
      </c>
      <c r="K376">
        <v>3160</v>
      </c>
      <c r="L376">
        <v>1484.9861963190183</v>
      </c>
    </row>
    <row r="377" spans="1:12">
      <c r="A377" s="14">
        <v>43308</v>
      </c>
      <c r="B377">
        <v>3185</v>
      </c>
      <c r="C377">
        <v>3155</v>
      </c>
      <c r="D377">
        <v>1792</v>
      </c>
      <c r="E377">
        <v>1787</v>
      </c>
      <c r="F377">
        <v>1.7655288192501399</v>
      </c>
      <c r="G377">
        <v>1.5719548057474</v>
      </c>
      <c r="H377">
        <v>0.12942086795249799</v>
      </c>
      <c r="I377">
        <v>1.4956939832437299</v>
      </c>
      <c r="J377">
        <v>10.96</v>
      </c>
      <c r="K377">
        <v>3155</v>
      </c>
      <c r="L377">
        <v>1471.8082822085889</v>
      </c>
    </row>
    <row r="378" spans="1:12">
      <c r="A378" s="14">
        <v>43307</v>
      </c>
      <c r="B378">
        <v>3020</v>
      </c>
      <c r="C378">
        <v>3150</v>
      </c>
      <c r="D378">
        <v>1780</v>
      </c>
      <c r="E378">
        <v>1773</v>
      </c>
      <c r="F378">
        <v>1.7766497461928901</v>
      </c>
      <c r="G378">
        <v>1.5681564019649299</v>
      </c>
      <c r="H378">
        <v>0.12785491389552101</v>
      </c>
      <c r="I378">
        <v>1.6307026290622699</v>
      </c>
      <c r="J378">
        <v>11.74</v>
      </c>
      <c r="K378">
        <v>3150</v>
      </c>
      <c r="L378">
        <v>1460.2776073619632</v>
      </c>
    </row>
    <row r="379" spans="1:12">
      <c r="A379" s="14">
        <v>43306</v>
      </c>
      <c r="B379">
        <v>2970</v>
      </c>
      <c r="C379">
        <v>2976</v>
      </c>
      <c r="D379">
        <v>1733</v>
      </c>
      <c r="E379">
        <v>1757</v>
      </c>
      <c r="F379">
        <v>1.69379624359704</v>
      </c>
      <c r="G379">
        <v>1.56383586079808</v>
      </c>
      <c r="H379">
        <v>0.126200770504134</v>
      </c>
      <c r="I379">
        <v>1.0297907237792501</v>
      </c>
      <c r="J379">
        <v>7.67</v>
      </c>
      <c r="K379">
        <v>2976</v>
      </c>
      <c r="L379">
        <v>1447.0996932515336</v>
      </c>
    </row>
    <row r="380" spans="1:12">
      <c r="A380" s="14">
        <v>43305</v>
      </c>
      <c r="B380">
        <v>2960</v>
      </c>
      <c r="C380">
        <v>2974</v>
      </c>
      <c r="D380">
        <v>1729</v>
      </c>
      <c r="E380">
        <v>1715</v>
      </c>
      <c r="F380">
        <v>1.7341107871720101</v>
      </c>
      <c r="G380">
        <v>1.5601919387774601</v>
      </c>
      <c r="H380">
        <v>0.126341156729287</v>
      </c>
      <c r="I380">
        <v>1.3765810991204099</v>
      </c>
      <c r="J380">
        <v>10.029999999999999</v>
      </c>
      <c r="K380">
        <v>2974</v>
      </c>
      <c r="L380">
        <v>1412.5076687116564</v>
      </c>
    </row>
    <row r="381" spans="1:12">
      <c r="A381" s="14">
        <v>43304</v>
      </c>
      <c r="B381">
        <v>2965</v>
      </c>
      <c r="C381">
        <v>2948</v>
      </c>
      <c r="D381">
        <v>1722</v>
      </c>
      <c r="E381">
        <v>1715</v>
      </c>
      <c r="F381">
        <v>1.71895043731778</v>
      </c>
      <c r="G381">
        <v>1.5563593037941801</v>
      </c>
      <c r="H381">
        <v>0.125363254928192</v>
      </c>
      <c r="I381">
        <v>1.29696005114679</v>
      </c>
      <c r="J381">
        <v>9.4600000000000009</v>
      </c>
      <c r="K381">
        <v>2948</v>
      </c>
      <c r="L381">
        <v>1412.5076687116564</v>
      </c>
    </row>
    <row r="382" spans="1:12">
      <c r="A382" s="14">
        <v>43301</v>
      </c>
      <c r="B382">
        <v>2941</v>
      </c>
      <c r="C382">
        <v>2981</v>
      </c>
      <c r="D382">
        <v>1758</v>
      </c>
      <c r="E382">
        <v>1740</v>
      </c>
      <c r="F382">
        <v>1.7132183908045899</v>
      </c>
      <c r="G382">
        <v>1.5513384450696499</v>
      </c>
      <c r="H382">
        <v>0.126288238233698</v>
      </c>
      <c r="I382">
        <v>1.28182915526451</v>
      </c>
      <c r="J382">
        <v>9.4499999999999993</v>
      </c>
      <c r="K382">
        <v>2981</v>
      </c>
      <c r="L382">
        <v>1433.0981595092023</v>
      </c>
    </row>
    <row r="383" spans="1:12">
      <c r="A383" s="14">
        <v>43300</v>
      </c>
      <c r="B383">
        <v>2961</v>
      </c>
      <c r="C383">
        <v>2948</v>
      </c>
      <c r="D383">
        <v>1735</v>
      </c>
      <c r="E383">
        <v>1747</v>
      </c>
      <c r="F383">
        <v>1.68746422438465</v>
      </c>
      <c r="G383">
        <v>1.54639279675442</v>
      </c>
      <c r="H383">
        <v>0.127112213856378</v>
      </c>
      <c r="I383">
        <v>1.1098180367594399</v>
      </c>
      <c r="J383">
        <v>8.36</v>
      </c>
      <c r="K383">
        <v>2948</v>
      </c>
      <c r="L383">
        <v>1438.8634969325153</v>
      </c>
    </row>
    <row r="384" spans="1:12">
      <c r="A384" s="14">
        <v>43299</v>
      </c>
      <c r="B384">
        <v>2960</v>
      </c>
      <c r="C384">
        <v>2959</v>
      </c>
      <c r="D384">
        <v>1746</v>
      </c>
      <c r="E384">
        <v>1734</v>
      </c>
      <c r="F384">
        <v>1.7064590542099101</v>
      </c>
      <c r="G384">
        <v>1.5420669646949401</v>
      </c>
      <c r="H384">
        <v>0.12775664838018</v>
      </c>
      <c r="I384">
        <v>1.2867595667176099</v>
      </c>
      <c r="J384">
        <v>9.6300000000000008</v>
      </c>
      <c r="K384">
        <v>2959</v>
      </c>
      <c r="L384">
        <v>1428.1564417177913</v>
      </c>
    </row>
    <row r="385" spans="1:12">
      <c r="A385" s="14">
        <v>43298</v>
      </c>
      <c r="B385">
        <v>2935</v>
      </c>
      <c r="C385">
        <v>2960</v>
      </c>
      <c r="D385">
        <v>1701</v>
      </c>
      <c r="E385">
        <v>1721</v>
      </c>
      <c r="F385">
        <v>1.7199302730970301</v>
      </c>
      <c r="G385">
        <v>1.53742555745075</v>
      </c>
      <c r="H385">
        <v>0.128023032553858</v>
      </c>
      <c r="I385">
        <v>1.4255615728326101</v>
      </c>
      <c r="J385">
        <v>10.61</v>
      </c>
      <c r="K385">
        <v>2960</v>
      </c>
      <c r="L385">
        <v>1417.4493865030674</v>
      </c>
    </row>
    <row r="386" spans="1:12">
      <c r="A386" s="14">
        <v>43294</v>
      </c>
      <c r="B386">
        <v>2942</v>
      </c>
      <c r="C386">
        <v>2935</v>
      </c>
      <c r="D386">
        <v>1672</v>
      </c>
      <c r="E386">
        <v>1686</v>
      </c>
      <c r="F386">
        <v>1.74080664294187</v>
      </c>
      <c r="G386">
        <v>1.5319190887293199</v>
      </c>
      <c r="H386">
        <v>0.12893313183031399</v>
      </c>
      <c r="I386">
        <v>1.62012316964004</v>
      </c>
      <c r="J386">
        <v>12</v>
      </c>
      <c r="K386">
        <v>2935</v>
      </c>
      <c r="L386">
        <v>1388.622699386503</v>
      </c>
    </row>
    <row r="387" spans="1:12">
      <c r="A387" s="14">
        <v>43293</v>
      </c>
      <c r="B387">
        <v>2891</v>
      </c>
      <c r="C387">
        <v>2929</v>
      </c>
      <c r="D387">
        <v>1674</v>
      </c>
      <c r="E387">
        <v>1665</v>
      </c>
      <c r="F387">
        <v>1.75915915915915</v>
      </c>
      <c r="G387">
        <v>1.5263766104627201</v>
      </c>
      <c r="H387">
        <v>0.12876899417035501</v>
      </c>
      <c r="I387">
        <v>1.8077531023382201</v>
      </c>
      <c r="J387">
        <v>13.23</v>
      </c>
      <c r="K387">
        <v>2929</v>
      </c>
      <c r="L387">
        <v>1371.3266871165645</v>
      </c>
    </row>
    <row r="388" spans="1:12">
      <c r="A388" s="14">
        <v>43292</v>
      </c>
      <c r="B388">
        <v>2876</v>
      </c>
      <c r="C388">
        <v>2887</v>
      </c>
      <c r="D388">
        <v>1726</v>
      </c>
      <c r="E388">
        <v>1689</v>
      </c>
      <c r="F388">
        <v>1.7092954410893999</v>
      </c>
      <c r="G388">
        <v>1.5202159828747801</v>
      </c>
      <c r="H388">
        <v>0.12853726022124401</v>
      </c>
      <c r="I388">
        <v>1.4710089346012301</v>
      </c>
      <c r="J388">
        <v>11.06</v>
      </c>
      <c r="K388">
        <v>2887</v>
      </c>
      <c r="L388">
        <v>1391.0935582822085</v>
      </c>
    </row>
    <row r="389" spans="1:12">
      <c r="A389" s="14">
        <v>43291</v>
      </c>
      <c r="B389">
        <v>2940</v>
      </c>
      <c r="C389">
        <v>2905</v>
      </c>
      <c r="D389">
        <v>1774</v>
      </c>
      <c r="E389">
        <v>1738</v>
      </c>
      <c r="F389">
        <v>1.67146144994246</v>
      </c>
      <c r="G389">
        <v>1.5149762612111399</v>
      </c>
      <c r="H389">
        <v>0.128732382673477</v>
      </c>
      <c r="I389">
        <v>1.21558527451662</v>
      </c>
      <c r="J389">
        <v>9.36</v>
      </c>
      <c r="K389">
        <v>2905</v>
      </c>
      <c r="L389">
        <v>1431.4509202453987</v>
      </c>
    </row>
    <row r="390" spans="1:12">
      <c r="A390" s="14">
        <v>43290</v>
      </c>
      <c r="B390">
        <v>2891</v>
      </c>
      <c r="C390">
        <v>2929</v>
      </c>
      <c r="D390">
        <v>1719</v>
      </c>
      <c r="E390">
        <v>1737</v>
      </c>
      <c r="F390">
        <v>1.6862406447898599</v>
      </c>
      <c r="G390">
        <v>1.50962482945347</v>
      </c>
      <c r="H390">
        <v>0.13044686868240299</v>
      </c>
      <c r="I390">
        <v>1.3539291293100599</v>
      </c>
      <c r="J390">
        <v>10.47</v>
      </c>
      <c r="K390">
        <v>2929</v>
      </c>
      <c r="L390">
        <v>1430.6273006134968</v>
      </c>
    </row>
    <row r="391" spans="1:12">
      <c r="A391" s="14">
        <v>43287</v>
      </c>
      <c r="B391">
        <v>2843</v>
      </c>
      <c r="C391">
        <v>2858</v>
      </c>
      <c r="D391">
        <v>1672</v>
      </c>
      <c r="E391">
        <v>1711</v>
      </c>
      <c r="F391">
        <v>1.6703682057276401</v>
      </c>
      <c r="G391">
        <v>1.5040963533665599</v>
      </c>
      <c r="H391">
        <v>0.131625576793233</v>
      </c>
      <c r="I391">
        <v>1.26321841401895</v>
      </c>
      <c r="J391">
        <v>9.9499999999999993</v>
      </c>
      <c r="K391">
        <v>2858</v>
      </c>
      <c r="L391">
        <v>1409.2131901840489</v>
      </c>
    </row>
    <row r="392" spans="1:12">
      <c r="A392" s="14">
        <v>43286</v>
      </c>
      <c r="B392">
        <v>2861</v>
      </c>
      <c r="C392">
        <v>2831</v>
      </c>
      <c r="D392">
        <v>1694</v>
      </c>
      <c r="E392">
        <v>1682</v>
      </c>
      <c r="F392">
        <v>1.6831153388822799</v>
      </c>
      <c r="G392">
        <v>1.4986875223882301</v>
      </c>
      <c r="H392">
        <v>0.13300948561384501</v>
      </c>
      <c r="I392">
        <v>1.38657642079361</v>
      </c>
      <c r="J392">
        <v>10.96</v>
      </c>
      <c r="K392">
        <v>2831</v>
      </c>
      <c r="L392">
        <v>1385.3282208588957</v>
      </c>
    </row>
    <row r="393" spans="1:12">
      <c r="A393" s="14">
        <v>43285</v>
      </c>
      <c r="B393">
        <v>2768</v>
      </c>
      <c r="C393">
        <v>2849</v>
      </c>
      <c r="D393">
        <v>1696</v>
      </c>
      <c r="E393">
        <v>1691</v>
      </c>
      <c r="F393">
        <v>1.6848018923713699</v>
      </c>
      <c r="G393">
        <v>1.49286750096181</v>
      </c>
      <c r="H393">
        <v>0.134355318584368</v>
      </c>
      <c r="I393">
        <v>1.42855819502994</v>
      </c>
      <c r="J393">
        <v>11.39</v>
      </c>
      <c r="K393">
        <v>2849</v>
      </c>
      <c r="L393">
        <v>1392.7407975460121</v>
      </c>
    </row>
    <row r="394" spans="1:12">
      <c r="A394" s="14">
        <v>43284</v>
      </c>
      <c r="B394">
        <v>2845</v>
      </c>
      <c r="C394">
        <v>2818</v>
      </c>
      <c r="D394">
        <v>1710</v>
      </c>
      <c r="E394">
        <v>1708</v>
      </c>
      <c r="F394">
        <v>1.6498829039812599</v>
      </c>
      <c r="G394">
        <v>1.48712758689306</v>
      </c>
      <c r="H394">
        <v>0.13522583778658201</v>
      </c>
      <c r="I394">
        <v>1.20358150300436</v>
      </c>
      <c r="J394">
        <v>9.86</v>
      </c>
      <c r="K394">
        <v>2818</v>
      </c>
      <c r="L394">
        <v>1406.7423312883434</v>
      </c>
    </row>
    <row r="395" spans="1:12">
      <c r="A395" s="14">
        <v>43283</v>
      </c>
      <c r="B395">
        <v>2911</v>
      </c>
      <c r="C395">
        <v>2827</v>
      </c>
      <c r="D395">
        <v>1729</v>
      </c>
      <c r="E395">
        <v>1709</v>
      </c>
      <c r="F395">
        <v>1.6541837331772899</v>
      </c>
      <c r="G395">
        <v>1.4818672656010801</v>
      </c>
      <c r="H395">
        <v>0.136460211096046</v>
      </c>
      <c r="I395">
        <v>1.2627597905071799</v>
      </c>
      <c r="J395">
        <v>10.42</v>
      </c>
      <c r="K395">
        <v>2827</v>
      </c>
      <c r="L395">
        <v>1407.5659509202453</v>
      </c>
    </row>
    <row r="396" spans="1:12">
      <c r="A396" s="14">
        <v>43280</v>
      </c>
      <c r="B396">
        <v>2890</v>
      </c>
      <c r="C396">
        <v>2909</v>
      </c>
      <c r="D396">
        <v>1711</v>
      </c>
      <c r="E396">
        <v>1717</v>
      </c>
      <c r="F396">
        <v>1.6942341292952801</v>
      </c>
      <c r="G396">
        <v>1.4763570763617799</v>
      </c>
      <c r="H396">
        <v>0.137728712493459</v>
      </c>
      <c r="I396">
        <v>1.5819290617694499</v>
      </c>
      <c r="J396">
        <v>12.86</v>
      </c>
      <c r="K396">
        <v>2909</v>
      </c>
      <c r="L396">
        <v>1414.15490797546</v>
      </c>
    </row>
    <row r="397" spans="1:12">
      <c r="A397" s="14">
        <v>43279</v>
      </c>
      <c r="B397">
        <v>2943</v>
      </c>
      <c r="C397">
        <v>2908</v>
      </c>
      <c r="D397">
        <v>1703</v>
      </c>
      <c r="E397">
        <v>1715</v>
      </c>
      <c r="F397">
        <v>1.69562682215743</v>
      </c>
      <c r="G397">
        <v>1.47070625510733</v>
      </c>
      <c r="H397">
        <v>0.13736732313342001</v>
      </c>
      <c r="I397">
        <v>1.6373658736265899</v>
      </c>
      <c r="J397">
        <v>13.26</v>
      </c>
      <c r="K397">
        <v>2908</v>
      </c>
      <c r="L397">
        <v>1412.5076687116564</v>
      </c>
    </row>
    <row r="398" spans="1:12">
      <c r="A398" s="14">
        <v>43278</v>
      </c>
      <c r="B398">
        <v>2951</v>
      </c>
      <c r="C398">
        <v>2962</v>
      </c>
      <c r="D398">
        <v>1704</v>
      </c>
      <c r="E398">
        <v>1703</v>
      </c>
      <c r="F398">
        <v>1.73928361714621</v>
      </c>
      <c r="G398">
        <v>1.4654098269717999</v>
      </c>
      <c r="H398">
        <v>0.13624642894143399</v>
      </c>
      <c r="I398">
        <v>2.0101355485224199</v>
      </c>
      <c r="J398">
        <v>15.75</v>
      </c>
      <c r="K398">
        <v>2962</v>
      </c>
      <c r="L398">
        <v>1402.6242331288342</v>
      </c>
    </row>
    <row r="399" spans="1:12">
      <c r="A399" s="14">
        <v>43277</v>
      </c>
      <c r="B399">
        <v>2949</v>
      </c>
      <c r="C399">
        <v>2951</v>
      </c>
      <c r="D399">
        <v>1670</v>
      </c>
      <c r="E399">
        <v>1707</v>
      </c>
      <c r="F399">
        <v>1.72876391329818</v>
      </c>
      <c r="G399">
        <v>1.45952028479945</v>
      </c>
      <c r="H399">
        <v>0.13380554264684399</v>
      </c>
      <c r="I399">
        <v>2.0122008638262998</v>
      </c>
      <c r="J399">
        <v>15.57</v>
      </c>
      <c r="K399">
        <v>2951</v>
      </c>
      <c r="L399">
        <v>1405.9187116564417</v>
      </c>
    </row>
    <row r="400" spans="1:12">
      <c r="A400" s="14">
        <v>43276</v>
      </c>
      <c r="B400">
        <v>3080</v>
      </c>
      <c r="C400">
        <v>2999</v>
      </c>
      <c r="D400">
        <v>1699</v>
      </c>
      <c r="E400">
        <v>1690</v>
      </c>
      <c r="F400">
        <v>1.7745562130177499</v>
      </c>
      <c r="G400">
        <v>1.45403835325706</v>
      </c>
      <c r="H400">
        <v>0.13105643592715999</v>
      </c>
      <c r="I400">
        <v>2.4456476135122598</v>
      </c>
      <c r="J400">
        <v>18.059999999999999</v>
      </c>
      <c r="K400">
        <v>2999</v>
      </c>
      <c r="L400">
        <v>1391.9171779141104</v>
      </c>
    </row>
    <row r="401" spans="1:12">
      <c r="A401" s="14">
        <v>43273</v>
      </c>
      <c r="B401">
        <v>3010</v>
      </c>
      <c r="C401">
        <v>3035</v>
      </c>
      <c r="D401">
        <v>1676</v>
      </c>
      <c r="E401">
        <v>1703</v>
      </c>
      <c r="F401">
        <v>1.7821491485613601</v>
      </c>
      <c r="G401">
        <v>1.44787957753825</v>
      </c>
      <c r="H401">
        <v>0.12662800848111</v>
      </c>
      <c r="I401">
        <v>2.6397759471433702</v>
      </c>
      <c r="J401">
        <v>18.760000000000002</v>
      </c>
      <c r="K401">
        <v>3035</v>
      </c>
      <c r="L401">
        <v>1402.6242331288342</v>
      </c>
    </row>
    <row r="402" spans="1:12">
      <c r="A402" s="14">
        <v>43272</v>
      </c>
      <c r="B402">
        <v>2975</v>
      </c>
      <c r="C402">
        <v>3025</v>
      </c>
      <c r="D402">
        <v>1710</v>
      </c>
      <c r="E402">
        <v>1696</v>
      </c>
      <c r="F402">
        <v>1.7836084905660301</v>
      </c>
      <c r="G402">
        <v>1.44162078173879</v>
      </c>
      <c r="H402">
        <v>0.121446158430273</v>
      </c>
      <c r="I402">
        <v>2.8159615194711201</v>
      </c>
      <c r="J402">
        <v>19.170000000000002</v>
      </c>
      <c r="K402">
        <v>3025</v>
      </c>
      <c r="L402">
        <v>1396.8588957055215</v>
      </c>
    </row>
    <row r="403" spans="1:12">
      <c r="A403" s="14">
        <v>43271</v>
      </c>
      <c r="B403">
        <v>2997</v>
      </c>
      <c r="C403">
        <v>2986</v>
      </c>
      <c r="D403">
        <v>1701</v>
      </c>
      <c r="E403">
        <v>1705</v>
      </c>
      <c r="F403">
        <v>1.75131964809384</v>
      </c>
      <c r="G403">
        <v>1.43465604053434</v>
      </c>
      <c r="H403">
        <v>0.116511894271059</v>
      </c>
      <c r="I403">
        <v>2.7178650689756898</v>
      </c>
      <c r="J403">
        <v>18.079999999999998</v>
      </c>
      <c r="K403">
        <v>2986</v>
      </c>
      <c r="L403">
        <v>1404.2714723926381</v>
      </c>
    </row>
    <row r="404" spans="1:12">
      <c r="A404" s="14">
        <v>43270</v>
      </c>
      <c r="B404">
        <v>3000</v>
      </c>
      <c r="C404">
        <v>2999</v>
      </c>
      <c r="D404">
        <v>1731</v>
      </c>
      <c r="E404">
        <v>1703</v>
      </c>
      <c r="F404">
        <v>1.76100998238402</v>
      </c>
      <c r="G404">
        <v>1.4280936747222801</v>
      </c>
      <c r="H404">
        <v>0.112275021158229</v>
      </c>
      <c r="I404">
        <v>2.9651858821969301</v>
      </c>
      <c r="J404">
        <v>18.899999999999999</v>
      </c>
      <c r="K404">
        <v>2999</v>
      </c>
      <c r="L404">
        <v>1402.6242331288342</v>
      </c>
    </row>
    <row r="405" spans="1:12">
      <c r="A405" s="14">
        <v>43269</v>
      </c>
      <c r="B405">
        <v>2974</v>
      </c>
      <c r="C405">
        <v>3020</v>
      </c>
      <c r="D405">
        <v>1795</v>
      </c>
      <c r="E405">
        <v>1771</v>
      </c>
      <c r="F405">
        <v>1.70525127046866</v>
      </c>
      <c r="G405">
        <v>1.4215557638460501</v>
      </c>
      <c r="H405">
        <v>0.106843823859398</v>
      </c>
      <c r="I405">
        <v>2.6552354303224801</v>
      </c>
      <c r="J405">
        <v>16.64</v>
      </c>
      <c r="K405">
        <v>3020</v>
      </c>
      <c r="L405">
        <v>1458.6303680981594</v>
      </c>
    </row>
    <row r="406" spans="1:12">
      <c r="A406" s="14">
        <v>43266</v>
      </c>
      <c r="B406">
        <v>2984</v>
      </c>
      <c r="C406">
        <v>2974</v>
      </c>
      <c r="D406">
        <v>1818</v>
      </c>
      <c r="E406">
        <v>1807</v>
      </c>
      <c r="F406">
        <v>1.64582180409518</v>
      </c>
      <c r="G406">
        <v>1.41571803494363</v>
      </c>
      <c r="H406">
        <v>0.103078511856376</v>
      </c>
      <c r="I406">
        <v>2.2323155913636201</v>
      </c>
      <c r="J406">
        <v>13.98</v>
      </c>
      <c r="K406">
        <v>2974</v>
      </c>
      <c r="L406">
        <v>1488.2806748466257</v>
      </c>
    </row>
    <row r="407" spans="1:12">
      <c r="A407" s="14">
        <v>43265</v>
      </c>
      <c r="B407">
        <v>2994</v>
      </c>
      <c r="C407">
        <v>2974</v>
      </c>
      <c r="D407">
        <v>1828</v>
      </c>
      <c r="E407">
        <v>1808</v>
      </c>
      <c r="F407">
        <v>1.64491150442477</v>
      </c>
      <c r="G407">
        <v>1.4107033754842999</v>
      </c>
      <c r="H407">
        <v>0.10088736007947</v>
      </c>
      <c r="I407">
        <v>2.3214813902949301</v>
      </c>
      <c r="J407">
        <v>14.24</v>
      </c>
      <c r="K407">
        <v>2974</v>
      </c>
      <c r="L407">
        <v>1489.1042944785274</v>
      </c>
    </row>
    <row r="408" spans="1:12">
      <c r="A408" s="14">
        <v>43264</v>
      </c>
      <c r="B408">
        <v>2961</v>
      </c>
      <c r="C408">
        <v>2988</v>
      </c>
      <c r="D408">
        <v>1827</v>
      </c>
      <c r="E408">
        <v>1816</v>
      </c>
      <c r="F408">
        <v>1.6453744493392</v>
      </c>
      <c r="G408">
        <v>1.4056388343851101</v>
      </c>
      <c r="H408">
        <v>9.8508957453600707E-2</v>
      </c>
      <c r="I408">
        <v>2.4336427991029002</v>
      </c>
      <c r="J408">
        <v>14.57</v>
      </c>
      <c r="K408">
        <v>2988</v>
      </c>
      <c r="L408">
        <v>1495.6932515337423</v>
      </c>
    </row>
    <row r="409" spans="1:12">
      <c r="A409" s="14">
        <v>43263</v>
      </c>
      <c r="B409">
        <v>2941</v>
      </c>
      <c r="C409">
        <v>2959</v>
      </c>
      <c r="D409">
        <v>1866</v>
      </c>
      <c r="E409">
        <v>1837</v>
      </c>
      <c r="F409">
        <v>1.6107784431137699</v>
      </c>
      <c r="G409">
        <v>1.4008182801166</v>
      </c>
      <c r="H409">
        <v>9.5458318811680903E-2</v>
      </c>
      <c r="I409">
        <v>2.1994957130072099</v>
      </c>
      <c r="J409">
        <v>13.03</v>
      </c>
      <c r="K409">
        <v>2959</v>
      </c>
      <c r="L409">
        <v>1512.9892638036808</v>
      </c>
    </row>
    <row r="410" spans="1:12">
      <c r="A410" s="14">
        <v>43262</v>
      </c>
      <c r="B410">
        <v>2920</v>
      </c>
      <c r="C410">
        <v>2937</v>
      </c>
      <c r="D410">
        <v>1864</v>
      </c>
      <c r="E410">
        <v>1855</v>
      </c>
      <c r="F410">
        <v>1.5832884097035</v>
      </c>
      <c r="G410">
        <v>1.3961192072605499</v>
      </c>
      <c r="H410">
        <v>9.3664665520387394E-2</v>
      </c>
      <c r="I410">
        <v>1.99829040549133</v>
      </c>
      <c r="J410">
        <v>11.82</v>
      </c>
      <c r="K410">
        <v>2937</v>
      </c>
      <c r="L410">
        <v>1527.814417177914</v>
      </c>
    </row>
    <row r="411" spans="1:12">
      <c r="A411" s="14">
        <v>43259</v>
      </c>
      <c r="B411">
        <v>2906</v>
      </c>
      <c r="C411">
        <v>2917</v>
      </c>
      <c r="D411">
        <v>1893</v>
      </c>
      <c r="E411">
        <v>1881</v>
      </c>
      <c r="F411">
        <v>1.5507708665603399</v>
      </c>
      <c r="G411">
        <v>1.3916651053875799</v>
      </c>
      <c r="H411">
        <v>9.2594902210294205E-2</v>
      </c>
      <c r="I411">
        <v>1.71829935962784</v>
      </c>
      <c r="J411">
        <v>10.26</v>
      </c>
      <c r="K411">
        <v>2917</v>
      </c>
      <c r="L411">
        <v>1549.2285276073619</v>
      </c>
    </row>
    <row r="412" spans="1:12">
      <c r="A412" s="14">
        <v>43258</v>
      </c>
      <c r="B412">
        <v>2941</v>
      </c>
      <c r="C412">
        <v>2919</v>
      </c>
      <c r="D412">
        <v>1920</v>
      </c>
      <c r="E412">
        <v>1922</v>
      </c>
      <c r="F412">
        <v>1.51873048907388</v>
      </c>
      <c r="G412">
        <v>1.38757010616181</v>
      </c>
      <c r="H412">
        <v>9.2258589618899295E-2</v>
      </c>
      <c r="I412">
        <v>1.4216603944831401</v>
      </c>
      <c r="J412">
        <v>8.64</v>
      </c>
      <c r="K412">
        <v>2919</v>
      </c>
      <c r="L412">
        <v>1582.9969325153374</v>
      </c>
    </row>
    <row r="413" spans="1:12">
      <c r="A413" s="14">
        <v>43257</v>
      </c>
      <c r="B413">
        <v>2923</v>
      </c>
      <c r="C413">
        <v>2896</v>
      </c>
      <c r="D413">
        <v>1930</v>
      </c>
      <c r="E413">
        <v>1910</v>
      </c>
      <c r="F413">
        <v>1.5162303664921399</v>
      </c>
      <c r="G413">
        <v>1.38379024763542</v>
      </c>
      <c r="H413">
        <v>9.2614115720037901E-2</v>
      </c>
      <c r="I413">
        <v>1.4300208756197901</v>
      </c>
      <c r="J413">
        <v>8.73</v>
      </c>
      <c r="K413">
        <v>2896</v>
      </c>
      <c r="L413">
        <v>1573.1134969325153</v>
      </c>
    </row>
    <row r="414" spans="1:12">
      <c r="A414" s="14">
        <v>43256</v>
      </c>
      <c r="B414">
        <v>2970</v>
      </c>
      <c r="C414">
        <v>2912</v>
      </c>
      <c r="D414">
        <v>1986</v>
      </c>
      <c r="E414">
        <v>1945</v>
      </c>
      <c r="F414">
        <v>1.49717223650385</v>
      </c>
      <c r="G414">
        <v>1.3799112725774101</v>
      </c>
      <c r="H414">
        <v>9.3077106262511297E-2</v>
      </c>
      <c r="I414">
        <v>1.2598260585768499</v>
      </c>
      <c r="J414">
        <v>7.83</v>
      </c>
      <c r="K414">
        <v>2912</v>
      </c>
      <c r="L414">
        <v>1601.9401840490798</v>
      </c>
    </row>
    <row r="415" spans="1:12">
      <c r="A415" s="14">
        <v>43255</v>
      </c>
      <c r="B415">
        <v>2908</v>
      </c>
      <c r="C415">
        <v>2943</v>
      </c>
      <c r="D415">
        <v>1937</v>
      </c>
      <c r="E415">
        <v>1967</v>
      </c>
      <c r="F415">
        <v>1.49618708693441</v>
      </c>
      <c r="G415">
        <v>1.3763316640178</v>
      </c>
      <c r="H415">
        <v>9.3659261263407206E-2</v>
      </c>
      <c r="I415">
        <v>1.2796964368481401</v>
      </c>
      <c r="J415">
        <v>8.01</v>
      </c>
      <c r="K415">
        <v>2943</v>
      </c>
      <c r="L415">
        <v>1620.0598159509202</v>
      </c>
    </row>
    <row r="416" spans="1:12">
      <c r="A416" s="14">
        <v>43252</v>
      </c>
      <c r="B416">
        <v>2828</v>
      </c>
      <c r="C416">
        <v>2867</v>
      </c>
      <c r="D416">
        <v>1874</v>
      </c>
      <c r="E416">
        <v>1915</v>
      </c>
      <c r="F416">
        <v>1.49712793733681</v>
      </c>
      <c r="G416">
        <v>1.3726368768127299</v>
      </c>
      <c r="H416">
        <v>9.4321705554033602E-2</v>
      </c>
      <c r="I416">
        <v>1.31985591007748</v>
      </c>
      <c r="J416">
        <v>8.32</v>
      </c>
      <c r="K416">
        <v>2867</v>
      </c>
      <c r="L416">
        <v>1577.2315950920245</v>
      </c>
    </row>
    <row r="417" spans="1:12">
      <c r="A417" s="14">
        <v>43251</v>
      </c>
      <c r="B417">
        <v>2870</v>
      </c>
      <c r="C417">
        <v>2850</v>
      </c>
      <c r="D417">
        <v>1872</v>
      </c>
      <c r="E417">
        <v>1910</v>
      </c>
      <c r="F417">
        <v>1.49214659685863</v>
      </c>
      <c r="G417">
        <v>1.3687650586220199</v>
      </c>
      <c r="H417">
        <v>9.5088920830593698E-2</v>
      </c>
      <c r="I417">
        <v>1.2975385266641399</v>
      </c>
      <c r="J417">
        <v>8.27</v>
      </c>
      <c r="K417">
        <v>2850</v>
      </c>
      <c r="L417">
        <v>1573.1134969325153</v>
      </c>
    </row>
    <row r="418" spans="1:12">
      <c r="A418" s="14">
        <v>43250</v>
      </c>
      <c r="B418">
        <v>2918</v>
      </c>
      <c r="C418">
        <v>2877</v>
      </c>
      <c r="D418">
        <v>1879</v>
      </c>
      <c r="E418">
        <v>1871</v>
      </c>
      <c r="F418">
        <v>1.5376803848209499</v>
      </c>
      <c r="G418">
        <v>1.3647687693578601</v>
      </c>
      <c r="H418">
        <v>9.6112280665679395E-2</v>
      </c>
      <c r="I418">
        <v>1.7990584997618799</v>
      </c>
      <c r="J418">
        <v>11.24</v>
      </c>
      <c r="K418">
        <v>2877</v>
      </c>
      <c r="L418">
        <v>1540.9923312883434</v>
      </c>
    </row>
    <row r="419" spans="1:12">
      <c r="A419" s="14">
        <v>43249</v>
      </c>
      <c r="B419">
        <v>2894</v>
      </c>
      <c r="C419">
        <v>2932</v>
      </c>
      <c r="D419">
        <v>1956</v>
      </c>
      <c r="E419">
        <v>1942</v>
      </c>
      <c r="F419">
        <v>1.5097837281153399</v>
      </c>
      <c r="G419">
        <v>1.3599070511489699</v>
      </c>
      <c r="H419">
        <v>9.6464303696558396E-2</v>
      </c>
      <c r="I419">
        <v>1.55370091549955</v>
      </c>
      <c r="J419">
        <v>9.93</v>
      </c>
      <c r="K419">
        <v>2932</v>
      </c>
      <c r="L419">
        <v>1599.4693251533743</v>
      </c>
    </row>
    <row r="420" spans="1:12">
      <c r="A420" s="14">
        <v>43248</v>
      </c>
      <c r="B420">
        <v>2883</v>
      </c>
      <c r="C420">
        <v>2891</v>
      </c>
      <c r="D420">
        <v>1944</v>
      </c>
      <c r="E420">
        <v>1954</v>
      </c>
      <c r="F420">
        <v>1.47952917093142</v>
      </c>
      <c r="G420">
        <v>1.3549466101591601</v>
      </c>
      <c r="H420">
        <v>9.8179912406616901E-2</v>
      </c>
      <c r="I420">
        <v>1.26892108292265</v>
      </c>
      <c r="J420">
        <v>8.42</v>
      </c>
      <c r="K420">
        <v>2891</v>
      </c>
      <c r="L420">
        <v>1609.3527607361962</v>
      </c>
    </row>
    <row r="421" spans="1:12">
      <c r="A421" s="14">
        <v>43245</v>
      </c>
      <c r="B421">
        <v>2876</v>
      </c>
      <c r="C421">
        <v>2872</v>
      </c>
      <c r="D421">
        <v>1919</v>
      </c>
      <c r="E421">
        <v>1944</v>
      </c>
      <c r="F421">
        <v>1.4773662551440301</v>
      </c>
      <c r="G421">
        <v>1.3503686060372599</v>
      </c>
      <c r="H421">
        <v>0.100247280539065</v>
      </c>
      <c r="I421">
        <v>1.2668438328088101</v>
      </c>
      <c r="J421">
        <v>8.6</v>
      </c>
      <c r="K421">
        <v>2872</v>
      </c>
      <c r="L421">
        <v>1601.1165644171779</v>
      </c>
    </row>
    <row r="422" spans="1:12">
      <c r="A422" s="14">
        <v>43244</v>
      </c>
      <c r="B422">
        <v>2883</v>
      </c>
      <c r="C422">
        <v>2870</v>
      </c>
      <c r="D422">
        <v>1967</v>
      </c>
      <c r="E422">
        <v>1928</v>
      </c>
      <c r="F422">
        <v>1.48858921161825</v>
      </c>
      <c r="G422">
        <v>1.34578636532494</v>
      </c>
      <c r="H422">
        <v>0.10217349203801999</v>
      </c>
      <c r="I422">
        <v>1.3976506376054401</v>
      </c>
      <c r="J422">
        <v>9.59</v>
      </c>
      <c r="K422">
        <v>2870</v>
      </c>
      <c r="L422">
        <v>1587.9386503067483</v>
      </c>
    </row>
    <row r="423" spans="1:12">
      <c r="A423" s="14">
        <v>43243</v>
      </c>
      <c r="B423">
        <v>2900</v>
      </c>
      <c r="C423">
        <v>2881</v>
      </c>
      <c r="D423">
        <v>1983</v>
      </c>
      <c r="E423">
        <v>1973</v>
      </c>
      <c r="F423">
        <v>1.4602128737962401</v>
      </c>
      <c r="G423">
        <v>1.3412092532292399</v>
      </c>
      <c r="H423">
        <v>0.103356034585367</v>
      </c>
      <c r="I423">
        <v>1.1513949915397601</v>
      </c>
      <c r="J423">
        <v>8.15</v>
      </c>
      <c r="K423">
        <v>2881</v>
      </c>
      <c r="L423">
        <v>1625.0015337423313</v>
      </c>
    </row>
    <row r="424" spans="1:12">
      <c r="A424" s="14">
        <v>43242</v>
      </c>
      <c r="B424">
        <v>2937</v>
      </c>
      <c r="C424">
        <v>2921</v>
      </c>
      <c r="D424">
        <v>1993</v>
      </c>
      <c r="E424">
        <v>1988</v>
      </c>
      <c r="F424">
        <v>1.4693158953722301</v>
      </c>
      <c r="G424">
        <v>1.3368224149119601</v>
      </c>
      <c r="H424">
        <v>0.105178194181308</v>
      </c>
      <c r="I424">
        <v>1.2597048417837799</v>
      </c>
      <c r="J424">
        <v>9.02</v>
      </c>
      <c r="K424">
        <v>2921</v>
      </c>
      <c r="L424">
        <v>1637.3558282208589</v>
      </c>
    </row>
    <row r="425" spans="1:12">
      <c r="A425" s="14">
        <v>43241</v>
      </c>
      <c r="B425">
        <v>2941</v>
      </c>
      <c r="C425">
        <v>2937</v>
      </c>
      <c r="D425">
        <v>2007</v>
      </c>
      <c r="E425">
        <v>2006</v>
      </c>
      <c r="F425">
        <v>1.4641076769690899</v>
      </c>
      <c r="G425">
        <v>1.33226857334403</v>
      </c>
      <c r="H425">
        <v>0.106725427605373</v>
      </c>
      <c r="I425">
        <v>1.2353110836204999</v>
      </c>
      <c r="J425">
        <v>9</v>
      </c>
      <c r="K425">
        <v>2937</v>
      </c>
      <c r="L425">
        <v>1652.1809815950919</v>
      </c>
    </row>
    <row r="426" spans="1:12">
      <c r="A426" s="14">
        <v>43238</v>
      </c>
      <c r="B426">
        <v>2927</v>
      </c>
      <c r="C426">
        <v>2941</v>
      </c>
      <c r="D426">
        <v>2010</v>
      </c>
      <c r="E426">
        <v>2004</v>
      </c>
      <c r="F426">
        <v>1.4675648702594799</v>
      </c>
      <c r="G426">
        <v>1.3279689718252199</v>
      </c>
      <c r="H426">
        <v>0.10781749438520399</v>
      </c>
      <c r="I426">
        <v>1.29474255759941</v>
      </c>
      <c r="J426">
        <v>9.51</v>
      </c>
      <c r="K426">
        <v>2941</v>
      </c>
      <c r="L426">
        <v>1650.5337423312883</v>
      </c>
    </row>
    <row r="427" spans="1:12">
      <c r="A427" s="14">
        <v>43237</v>
      </c>
      <c r="B427">
        <v>2924</v>
      </c>
      <c r="C427">
        <v>2936</v>
      </c>
      <c r="D427">
        <v>1985</v>
      </c>
      <c r="E427">
        <v>1999</v>
      </c>
      <c r="F427">
        <v>1.46873436718359</v>
      </c>
      <c r="G427">
        <v>1.32384339975317</v>
      </c>
      <c r="H427">
        <v>0.108315704031315</v>
      </c>
      <c r="I427">
        <v>1.33767276616256</v>
      </c>
      <c r="J427">
        <v>9.8699999999999992</v>
      </c>
      <c r="K427">
        <v>2936</v>
      </c>
      <c r="L427">
        <v>1646.4156441717791</v>
      </c>
    </row>
    <row r="428" spans="1:12">
      <c r="A428" s="14">
        <v>43236</v>
      </c>
      <c r="B428">
        <v>2912</v>
      </c>
      <c r="C428">
        <v>2920</v>
      </c>
      <c r="D428">
        <v>1965</v>
      </c>
      <c r="E428">
        <v>1962</v>
      </c>
      <c r="F428">
        <v>1.4882772680937799</v>
      </c>
      <c r="G428">
        <v>1.3197290877346499</v>
      </c>
      <c r="H428">
        <v>0.108594098057838</v>
      </c>
      <c r="I428">
        <v>1.55209337683667</v>
      </c>
      <c r="J428">
        <v>11.33</v>
      </c>
      <c r="K428">
        <v>2920</v>
      </c>
      <c r="L428">
        <v>1615.9417177914111</v>
      </c>
    </row>
    <row r="429" spans="1:12">
      <c r="A429" s="14">
        <v>43235</v>
      </c>
      <c r="B429">
        <v>2941</v>
      </c>
      <c r="C429">
        <v>2915</v>
      </c>
      <c r="D429">
        <v>2004</v>
      </c>
      <c r="E429">
        <v>1984</v>
      </c>
      <c r="F429">
        <v>1.4692540322580601</v>
      </c>
      <c r="G429">
        <v>1.31555178932499</v>
      </c>
      <c r="H429">
        <v>0.108054675371835</v>
      </c>
      <c r="I429">
        <v>1.4224487964463199</v>
      </c>
      <c r="J429">
        <v>10.46</v>
      </c>
      <c r="K429">
        <v>2915</v>
      </c>
      <c r="L429">
        <v>1634.0613496932515</v>
      </c>
    </row>
    <row r="430" spans="1:12">
      <c r="A430" s="14">
        <v>43234</v>
      </c>
      <c r="B430">
        <v>2925</v>
      </c>
      <c r="C430">
        <v>2969</v>
      </c>
      <c r="D430">
        <v>2000</v>
      </c>
      <c r="E430">
        <v>2004</v>
      </c>
      <c r="F430">
        <v>1.4815369261477001</v>
      </c>
      <c r="G430">
        <v>1.3115589190343799</v>
      </c>
      <c r="H430">
        <v>0.10783399095165901</v>
      </c>
      <c r="I430">
        <v>1.57629338961881</v>
      </c>
      <c r="J430">
        <v>11.47</v>
      </c>
      <c r="K430">
        <v>2969</v>
      </c>
      <c r="L430">
        <v>1650.5337423312883</v>
      </c>
    </row>
    <row r="431" spans="1:12">
      <c r="A431" s="14">
        <v>43231</v>
      </c>
      <c r="B431">
        <v>2941</v>
      </c>
      <c r="C431">
        <v>2919</v>
      </c>
      <c r="D431">
        <v>1964</v>
      </c>
      <c r="E431">
        <v>2011</v>
      </c>
      <c r="F431">
        <v>1.4515166583789101</v>
      </c>
      <c r="G431">
        <v>1.3075151919402099</v>
      </c>
      <c r="H431">
        <v>0.107067773821567</v>
      </c>
      <c r="I431">
        <v>1.34495620202848</v>
      </c>
      <c r="J431">
        <v>9.92</v>
      </c>
      <c r="K431">
        <v>2919</v>
      </c>
      <c r="L431">
        <v>1656.2990797546011</v>
      </c>
    </row>
    <row r="432" spans="1:12">
      <c r="A432" s="14">
        <v>43230</v>
      </c>
      <c r="B432">
        <v>2948</v>
      </c>
      <c r="C432">
        <v>2969</v>
      </c>
      <c r="D432">
        <v>1948</v>
      </c>
      <c r="E432">
        <v>1952</v>
      </c>
      <c r="F432">
        <v>1.5210040983606501</v>
      </c>
      <c r="G432">
        <v>1.30377601816248</v>
      </c>
      <c r="H432">
        <v>0.10687020303408</v>
      </c>
      <c r="I432">
        <v>2.0326346730050902</v>
      </c>
      <c r="J432">
        <v>14.28</v>
      </c>
      <c r="K432">
        <v>2969</v>
      </c>
      <c r="L432">
        <v>1607.7055214723925</v>
      </c>
    </row>
    <row r="433" spans="1:12">
      <c r="A433" s="14">
        <v>43229</v>
      </c>
      <c r="B433">
        <v>2796</v>
      </c>
      <c r="C433">
        <v>2822</v>
      </c>
      <c r="D433">
        <v>1900</v>
      </c>
      <c r="E433">
        <v>1985</v>
      </c>
      <c r="F433">
        <v>1.4216624685138499</v>
      </c>
      <c r="G433">
        <v>1.2993780756748601</v>
      </c>
      <c r="H433">
        <v>0.104603190921395</v>
      </c>
      <c r="I433">
        <v>1.1690311907490401</v>
      </c>
      <c r="J433">
        <v>8.6</v>
      </c>
      <c r="K433">
        <v>2822</v>
      </c>
      <c r="L433">
        <v>1634.8849693251534</v>
      </c>
    </row>
    <row r="434" spans="1:12">
      <c r="A434" s="14">
        <v>43228</v>
      </c>
      <c r="B434">
        <v>2783</v>
      </c>
      <c r="C434">
        <v>2773</v>
      </c>
      <c r="D434">
        <v>1912</v>
      </c>
      <c r="E434">
        <v>1906</v>
      </c>
      <c r="F434">
        <v>1.45487932843651</v>
      </c>
      <c r="G434">
        <v>1.2958707444500901</v>
      </c>
      <c r="H434">
        <v>0.104853923932407</v>
      </c>
      <c r="I434">
        <v>1.5164771905810699</v>
      </c>
      <c r="J434">
        <v>10.93</v>
      </c>
      <c r="K434">
        <v>2773</v>
      </c>
      <c r="L434">
        <v>1569.8190184049079</v>
      </c>
    </row>
    <row r="435" spans="1:12">
      <c r="A435" s="14">
        <v>43227</v>
      </c>
      <c r="B435">
        <v>2795</v>
      </c>
      <c r="C435">
        <v>2818</v>
      </c>
      <c r="D435">
        <v>1919</v>
      </c>
      <c r="E435">
        <v>1918</v>
      </c>
      <c r="F435">
        <v>1.4692387904066699</v>
      </c>
      <c r="G435">
        <v>1.2923021185528401</v>
      </c>
      <c r="H435">
        <v>0.103931986324811</v>
      </c>
      <c r="I435">
        <v>1.70242750197098</v>
      </c>
      <c r="J435">
        <v>12.04</v>
      </c>
      <c r="K435">
        <v>2818</v>
      </c>
      <c r="L435">
        <v>1579.70245398773</v>
      </c>
    </row>
    <row r="436" spans="1:12">
      <c r="A436" s="14">
        <v>43222</v>
      </c>
      <c r="B436">
        <v>2825</v>
      </c>
      <c r="C436">
        <v>2815</v>
      </c>
      <c r="D436">
        <v>1946</v>
      </c>
      <c r="E436">
        <v>1947</v>
      </c>
      <c r="F436">
        <v>1.44581407293271</v>
      </c>
      <c r="G436">
        <v>1.28842152944433</v>
      </c>
      <c r="H436">
        <v>0.102679037068863</v>
      </c>
      <c r="I436">
        <v>1.5328595590823999</v>
      </c>
      <c r="J436">
        <v>10.89</v>
      </c>
      <c r="K436">
        <v>2815</v>
      </c>
      <c r="L436">
        <v>1603.5874233128834</v>
      </c>
    </row>
    <row r="437" spans="1:12">
      <c r="A437" s="14">
        <v>43221</v>
      </c>
      <c r="B437">
        <v>2849</v>
      </c>
      <c r="C437">
        <v>2794</v>
      </c>
      <c r="D437">
        <v>1920</v>
      </c>
      <c r="E437">
        <v>1935</v>
      </c>
      <c r="F437">
        <v>1.44392764857881</v>
      </c>
      <c r="G437">
        <v>1.2844794057887099</v>
      </c>
      <c r="H437">
        <v>0.10223525808339699</v>
      </c>
      <c r="I437">
        <v>1.55962087619542</v>
      </c>
      <c r="J437">
        <v>11.04</v>
      </c>
      <c r="K437">
        <v>2794</v>
      </c>
      <c r="L437">
        <v>1593.7039877300613</v>
      </c>
    </row>
    <row r="438" spans="1:12">
      <c r="A438" s="14">
        <v>43217</v>
      </c>
      <c r="B438">
        <v>2849</v>
      </c>
      <c r="C438">
        <v>2850</v>
      </c>
      <c r="D438">
        <v>1968</v>
      </c>
      <c r="E438">
        <v>1942</v>
      </c>
      <c r="F438">
        <v>1.46755921730175</v>
      </c>
      <c r="G438">
        <v>1.2801685129679701</v>
      </c>
      <c r="H438">
        <v>0.102237568420883</v>
      </c>
      <c r="I438">
        <v>1.8328947688030099</v>
      </c>
      <c r="J438">
        <v>12.77</v>
      </c>
      <c r="K438">
        <v>2850</v>
      </c>
      <c r="L438">
        <v>1599.4693251533743</v>
      </c>
    </row>
    <row r="439" spans="1:12">
      <c r="A439" s="14">
        <v>43216</v>
      </c>
      <c r="B439">
        <v>2820</v>
      </c>
      <c r="C439">
        <v>2825</v>
      </c>
      <c r="D439">
        <v>1934</v>
      </c>
      <c r="E439">
        <v>1943</v>
      </c>
      <c r="F439">
        <v>1.4539372104992201</v>
      </c>
      <c r="G439">
        <v>1.2756226687382901</v>
      </c>
      <c r="H439">
        <v>0.10138052216726801</v>
      </c>
      <c r="I439">
        <v>1.75886391142003</v>
      </c>
      <c r="J439">
        <v>12.26</v>
      </c>
      <c r="K439">
        <v>2825</v>
      </c>
      <c r="L439">
        <v>1600.2929447852759</v>
      </c>
    </row>
    <row r="440" spans="1:12">
      <c r="A440" s="14">
        <v>43215</v>
      </c>
      <c r="B440">
        <v>2800</v>
      </c>
      <c r="C440">
        <v>2856</v>
      </c>
      <c r="D440">
        <v>1962</v>
      </c>
      <c r="E440">
        <v>1958</v>
      </c>
      <c r="F440">
        <v>1.45863125638406</v>
      </c>
      <c r="G440">
        <v>1.27117756059281</v>
      </c>
      <c r="H440">
        <v>0.100771625104893</v>
      </c>
      <c r="I440">
        <v>1.86018331644573</v>
      </c>
      <c r="J440">
        <v>12.85</v>
      </c>
      <c r="K440">
        <v>2856</v>
      </c>
      <c r="L440">
        <v>1612.6472392638036</v>
      </c>
    </row>
    <row r="441" spans="1:12">
      <c r="A441" s="14">
        <v>43214</v>
      </c>
      <c r="B441">
        <v>2805</v>
      </c>
      <c r="C441">
        <v>2804</v>
      </c>
      <c r="D441">
        <v>2003</v>
      </c>
      <c r="E441">
        <v>1986</v>
      </c>
      <c r="F441">
        <v>1.4118831822759299</v>
      </c>
      <c r="G441">
        <v>1.2668007338937799</v>
      </c>
      <c r="H441">
        <v>9.9657438406214396E-2</v>
      </c>
      <c r="I441">
        <v>1.45581153501836</v>
      </c>
      <c r="J441">
        <v>10.28</v>
      </c>
      <c r="K441">
        <v>2804</v>
      </c>
      <c r="L441">
        <v>1635.7085889570551</v>
      </c>
    </row>
    <row r="442" spans="1:12">
      <c r="A442" s="14">
        <v>43213</v>
      </c>
      <c r="B442">
        <v>2780</v>
      </c>
      <c r="C442">
        <v>2777</v>
      </c>
      <c r="D442">
        <v>2020</v>
      </c>
      <c r="E442">
        <v>2014</v>
      </c>
      <c r="F442">
        <v>1.3788480635551099</v>
      </c>
      <c r="G442">
        <v>1.26310256682026</v>
      </c>
      <c r="H442">
        <v>9.9350809260188702E-2</v>
      </c>
      <c r="I442">
        <v>1.16501815734309</v>
      </c>
      <c r="J442">
        <v>8.39</v>
      </c>
      <c r="K442">
        <v>2777</v>
      </c>
      <c r="L442">
        <v>1658.7699386503066</v>
      </c>
    </row>
    <row r="443" spans="1:12">
      <c r="A443" s="14">
        <v>43210</v>
      </c>
      <c r="B443">
        <v>2780</v>
      </c>
      <c r="C443">
        <v>2789</v>
      </c>
      <c r="D443">
        <v>2024</v>
      </c>
      <c r="E443">
        <v>2013</v>
      </c>
      <c r="F443">
        <v>1.38549428713363</v>
      </c>
      <c r="G443">
        <v>1.25994632586845</v>
      </c>
      <c r="H443">
        <v>9.9383697662575002E-2</v>
      </c>
      <c r="I443">
        <v>1.2632651452699799</v>
      </c>
      <c r="J443">
        <v>9.06</v>
      </c>
      <c r="K443">
        <v>2789</v>
      </c>
      <c r="L443">
        <v>1657.9463190184049</v>
      </c>
    </row>
    <row r="444" spans="1:12">
      <c r="A444" s="14">
        <v>43209</v>
      </c>
      <c r="B444">
        <v>2820</v>
      </c>
      <c r="C444">
        <v>2787</v>
      </c>
      <c r="D444">
        <v>2020</v>
      </c>
      <c r="E444">
        <v>2047</v>
      </c>
      <c r="F444">
        <v>1.3615046409379501</v>
      </c>
      <c r="G444">
        <v>1.25671636821226</v>
      </c>
      <c r="H444">
        <v>9.9187219548529396E-2</v>
      </c>
      <c r="I444">
        <v>1.05646950486826</v>
      </c>
      <c r="J444">
        <v>7.7</v>
      </c>
      <c r="K444">
        <v>2787</v>
      </c>
      <c r="L444">
        <v>1685.9493865030674</v>
      </c>
    </row>
    <row r="445" spans="1:12">
      <c r="A445" s="14">
        <v>43208</v>
      </c>
      <c r="B445">
        <v>2839</v>
      </c>
      <c r="C445">
        <v>2826</v>
      </c>
      <c r="D445">
        <v>1975</v>
      </c>
      <c r="E445">
        <v>1993</v>
      </c>
      <c r="F445">
        <v>1.4179628700451501</v>
      </c>
      <c r="G445">
        <v>1.25429536552556</v>
      </c>
      <c r="H445">
        <v>9.8815241429789397E-2</v>
      </c>
      <c r="I445">
        <v>1.6562981798297101</v>
      </c>
      <c r="J445">
        <v>11.54</v>
      </c>
      <c r="K445">
        <v>2826</v>
      </c>
      <c r="L445">
        <v>1641.4739263803681</v>
      </c>
    </row>
    <row r="446" spans="1:12">
      <c r="A446" s="14">
        <v>43207</v>
      </c>
      <c r="B446">
        <v>2784</v>
      </c>
      <c r="C446">
        <v>2818</v>
      </c>
      <c r="D446">
        <v>1969</v>
      </c>
      <c r="E446">
        <v>1958</v>
      </c>
      <c r="F446">
        <v>1.43922369765066</v>
      </c>
      <c r="G446">
        <v>1.2509647381825499</v>
      </c>
      <c r="H446">
        <v>9.7442848974408594E-2</v>
      </c>
      <c r="I446">
        <v>1.93199358854492</v>
      </c>
      <c r="J446">
        <v>13.08</v>
      </c>
      <c r="K446">
        <v>2818</v>
      </c>
      <c r="L446">
        <v>1612.6472392638036</v>
      </c>
    </row>
    <row r="447" spans="1:12">
      <c r="A447" s="14">
        <v>43206</v>
      </c>
      <c r="B447">
        <v>2792</v>
      </c>
      <c r="C447">
        <v>2779</v>
      </c>
      <c r="D447">
        <v>1980</v>
      </c>
      <c r="E447">
        <v>1967</v>
      </c>
      <c r="F447">
        <v>1.4128113879003501</v>
      </c>
      <c r="G447">
        <v>1.2472409273898599</v>
      </c>
      <c r="H447">
        <v>9.54943352808727E-2</v>
      </c>
      <c r="I447">
        <v>1.73382494389335</v>
      </c>
      <c r="J447">
        <v>11.72</v>
      </c>
      <c r="K447">
        <v>2779</v>
      </c>
      <c r="L447">
        <v>1620.0598159509202</v>
      </c>
    </row>
    <row r="448" spans="1:12">
      <c r="A448" s="14">
        <v>43203</v>
      </c>
      <c r="B448">
        <v>2787</v>
      </c>
      <c r="C448">
        <v>2764</v>
      </c>
      <c r="D448">
        <v>1941</v>
      </c>
      <c r="E448">
        <v>1972</v>
      </c>
      <c r="F448">
        <v>1.4016227180527301</v>
      </c>
      <c r="G448">
        <v>1.2435980800110999</v>
      </c>
      <c r="H448">
        <v>9.4312656491265898E-2</v>
      </c>
      <c r="I448">
        <v>1.67554010162218</v>
      </c>
      <c r="J448">
        <v>11.27</v>
      </c>
      <c r="K448">
        <v>2764</v>
      </c>
      <c r="L448">
        <v>1624.1779141104294</v>
      </c>
    </row>
    <row r="449" spans="1:12">
      <c r="A449" s="14">
        <v>43202</v>
      </c>
      <c r="B449">
        <v>2785</v>
      </c>
      <c r="C449">
        <v>2765</v>
      </c>
      <c r="D449">
        <v>1970</v>
      </c>
      <c r="E449">
        <v>1935</v>
      </c>
      <c r="F449">
        <v>1.4289405684754499</v>
      </c>
      <c r="G449">
        <v>1.24000197568529</v>
      </c>
      <c r="H449">
        <v>9.3355752438633102E-2</v>
      </c>
      <c r="I449">
        <v>2.0238559259040301</v>
      </c>
      <c r="J449">
        <v>13.22</v>
      </c>
      <c r="K449">
        <v>2765</v>
      </c>
      <c r="L449">
        <v>1593.7039877300613</v>
      </c>
    </row>
    <row r="450" spans="1:12">
      <c r="A450" s="14">
        <v>43201</v>
      </c>
      <c r="B450">
        <v>2864</v>
      </c>
      <c r="C450">
        <v>2785</v>
      </c>
      <c r="D450">
        <v>1987</v>
      </c>
      <c r="E450">
        <v>1962</v>
      </c>
      <c r="F450">
        <v>1.41946992864424</v>
      </c>
      <c r="G450">
        <v>1.2360243701728</v>
      </c>
      <c r="H450">
        <v>9.1558886583094801E-2</v>
      </c>
      <c r="I450">
        <v>2.0035800490534301</v>
      </c>
      <c r="J450">
        <v>12.92</v>
      </c>
      <c r="K450">
        <v>2785</v>
      </c>
      <c r="L450">
        <v>1615.9417177914111</v>
      </c>
    </row>
    <row r="451" spans="1:12">
      <c r="A451" s="14">
        <v>43200</v>
      </c>
      <c r="B451">
        <v>2850</v>
      </c>
      <c r="C451">
        <v>2853</v>
      </c>
      <c r="D451">
        <v>1906</v>
      </c>
      <c r="E451">
        <v>1969</v>
      </c>
      <c r="F451">
        <v>1.44895886236668</v>
      </c>
      <c r="G451">
        <v>1.2320181200642499</v>
      </c>
      <c r="H451">
        <v>9.00048614811646E-2</v>
      </c>
      <c r="I451">
        <v>2.4103224951668101</v>
      </c>
      <c r="J451">
        <v>14.97</v>
      </c>
      <c r="K451">
        <v>2853</v>
      </c>
      <c r="L451">
        <v>1621.7070552147238</v>
      </c>
    </row>
    <row r="452" spans="1:12">
      <c r="A452" s="14">
        <v>43199</v>
      </c>
      <c r="B452">
        <v>2750</v>
      </c>
      <c r="C452">
        <v>2831</v>
      </c>
      <c r="D452">
        <v>1884</v>
      </c>
      <c r="E452">
        <v>1912</v>
      </c>
      <c r="F452">
        <v>1.48064853556485</v>
      </c>
      <c r="G452">
        <v>1.22767359598752</v>
      </c>
      <c r="H452">
        <v>8.7250262770238299E-2</v>
      </c>
      <c r="I452">
        <v>2.8994175094177899</v>
      </c>
      <c r="J452">
        <v>17.09</v>
      </c>
      <c r="K452">
        <v>2831</v>
      </c>
      <c r="L452">
        <v>1574.7607361963189</v>
      </c>
    </row>
    <row r="453" spans="1:12">
      <c r="A453" s="14">
        <v>43196</v>
      </c>
      <c r="B453">
        <v>2729</v>
      </c>
      <c r="C453">
        <v>2728</v>
      </c>
      <c r="D453">
        <v>1909</v>
      </c>
      <c r="E453">
        <v>1878</v>
      </c>
      <c r="F453">
        <v>1.4526091586794401</v>
      </c>
      <c r="G453">
        <v>1.2237338800811199</v>
      </c>
      <c r="H453">
        <v>8.2267188550728995E-2</v>
      </c>
      <c r="I453">
        <v>2.7820967585052601</v>
      </c>
      <c r="J453">
        <v>15.76</v>
      </c>
      <c r="K453">
        <v>2728</v>
      </c>
      <c r="L453">
        <v>1546.7576687116564</v>
      </c>
    </row>
    <row r="454" spans="1:12">
      <c r="A454" s="14">
        <v>43195</v>
      </c>
      <c r="B454">
        <v>2785</v>
      </c>
      <c r="C454">
        <v>2716</v>
      </c>
      <c r="D454">
        <v>1916</v>
      </c>
      <c r="E454">
        <v>1912</v>
      </c>
      <c r="F454">
        <v>1.4205020920502001</v>
      </c>
      <c r="G454">
        <v>1.21876702679965</v>
      </c>
      <c r="H454">
        <v>7.9497567179050294E-2</v>
      </c>
      <c r="I454">
        <v>2.5376256457784701</v>
      </c>
      <c r="J454">
        <v>14.2</v>
      </c>
      <c r="K454">
        <v>2716</v>
      </c>
      <c r="L454">
        <v>1574.7607361963189</v>
      </c>
    </row>
    <row r="455" spans="1:12">
      <c r="A455" s="14">
        <v>43194</v>
      </c>
      <c r="B455">
        <v>2756</v>
      </c>
      <c r="C455">
        <v>2753</v>
      </c>
      <c r="D455">
        <v>1986</v>
      </c>
      <c r="E455">
        <v>1903</v>
      </c>
      <c r="F455">
        <v>1.44666316342616</v>
      </c>
      <c r="G455">
        <v>1.21391778590538</v>
      </c>
      <c r="H455">
        <v>7.8124640719138494E-2</v>
      </c>
      <c r="I455">
        <v>2.9791545327871098</v>
      </c>
      <c r="J455">
        <v>16.09</v>
      </c>
      <c r="K455">
        <v>2753</v>
      </c>
      <c r="L455">
        <v>1567.3481595092023</v>
      </c>
    </row>
    <row r="456" spans="1:12">
      <c r="A456" s="14">
        <v>43193</v>
      </c>
      <c r="B456">
        <v>2754</v>
      </c>
      <c r="C456">
        <v>2768</v>
      </c>
      <c r="D456">
        <v>2051</v>
      </c>
      <c r="E456">
        <v>2062</v>
      </c>
      <c r="F456">
        <v>1.34238603297769</v>
      </c>
      <c r="G456">
        <v>1.2086545028317901</v>
      </c>
      <c r="H456">
        <v>7.5520916839723395E-2</v>
      </c>
      <c r="I456">
        <v>1.7707879583838799</v>
      </c>
      <c r="J456">
        <v>9.9600000000000009</v>
      </c>
      <c r="K456">
        <v>2768</v>
      </c>
      <c r="L456">
        <v>1698.3036809815951</v>
      </c>
    </row>
    <row r="457" spans="1:12">
      <c r="A457" s="14">
        <v>43192</v>
      </c>
      <c r="B457">
        <v>2826</v>
      </c>
      <c r="C457">
        <v>2796</v>
      </c>
      <c r="D457">
        <v>2088</v>
      </c>
      <c r="E457">
        <v>2083</v>
      </c>
      <c r="F457">
        <v>1.3422947671627401</v>
      </c>
      <c r="G457">
        <v>1.2046484274553799</v>
      </c>
      <c r="H457">
        <v>7.6285850946083603E-2</v>
      </c>
      <c r="I457">
        <v>1.80434953533707</v>
      </c>
      <c r="J457">
        <v>10.25</v>
      </c>
      <c r="K457">
        <v>2796</v>
      </c>
      <c r="L457">
        <v>1715.5996932515336</v>
      </c>
    </row>
    <row r="458" spans="1:12">
      <c r="A458" s="14">
        <v>43189</v>
      </c>
      <c r="B458">
        <v>2839</v>
      </c>
      <c r="C458">
        <v>2846</v>
      </c>
      <c r="D458">
        <v>2108</v>
      </c>
      <c r="E458">
        <v>2088</v>
      </c>
      <c r="F458">
        <v>1.3630268199233699</v>
      </c>
      <c r="G458">
        <v>1.20087068580556</v>
      </c>
      <c r="H458">
        <v>7.6391262587016007E-2</v>
      </c>
      <c r="I458">
        <v>2.12270524961012</v>
      </c>
      <c r="J458">
        <v>11.9</v>
      </c>
      <c r="K458">
        <v>2846</v>
      </c>
      <c r="L458">
        <v>1719.717791411043</v>
      </c>
    </row>
    <row r="459" spans="1:12">
      <c r="A459" s="14">
        <v>43188</v>
      </c>
      <c r="B459">
        <v>2750</v>
      </c>
      <c r="C459">
        <v>2805</v>
      </c>
      <c r="D459">
        <v>2082</v>
      </c>
      <c r="E459">
        <v>2065</v>
      </c>
      <c r="F459">
        <v>1.35835351089588</v>
      </c>
      <c r="G459">
        <v>1.1971808924785401</v>
      </c>
      <c r="H459">
        <v>7.5142919103175804E-2</v>
      </c>
      <c r="I459">
        <v>2.1448809860053899</v>
      </c>
      <c r="J459">
        <v>11.87</v>
      </c>
      <c r="K459">
        <v>2805</v>
      </c>
      <c r="L459">
        <v>1700.7745398773006</v>
      </c>
    </row>
    <row r="460" spans="1:12">
      <c r="A460" s="14">
        <v>43187</v>
      </c>
      <c r="B460">
        <v>2684</v>
      </c>
      <c r="C460">
        <v>2691</v>
      </c>
      <c r="D460">
        <v>2028</v>
      </c>
      <c r="E460">
        <v>2059</v>
      </c>
      <c r="F460">
        <v>1.3069451189898</v>
      </c>
      <c r="G460">
        <v>1.19343994399786</v>
      </c>
      <c r="H460">
        <v>7.4001275914357803E-2</v>
      </c>
      <c r="I460">
        <v>1.53382726972574</v>
      </c>
      <c r="J460">
        <v>8.68</v>
      </c>
      <c r="K460">
        <v>2691</v>
      </c>
      <c r="L460">
        <v>1695.8328220858896</v>
      </c>
    </row>
    <row r="461" spans="1:12">
      <c r="A461" s="14">
        <v>43186</v>
      </c>
      <c r="B461">
        <v>2699</v>
      </c>
      <c r="C461">
        <v>2743</v>
      </c>
      <c r="D461">
        <v>2052</v>
      </c>
      <c r="E461">
        <v>2070</v>
      </c>
      <c r="F461">
        <v>1.3251207729468599</v>
      </c>
      <c r="G461">
        <v>1.1905783641593799</v>
      </c>
      <c r="H461">
        <v>7.3705765683834606E-2</v>
      </c>
      <c r="I461">
        <v>1.8253986989919699</v>
      </c>
      <c r="J461">
        <v>10.15</v>
      </c>
      <c r="K461">
        <v>2743</v>
      </c>
      <c r="L461">
        <v>1704.8926380368098</v>
      </c>
    </row>
    <row r="462" spans="1:12">
      <c r="A462" s="14">
        <v>43185</v>
      </c>
      <c r="B462">
        <v>2600</v>
      </c>
      <c r="C462">
        <v>2650</v>
      </c>
      <c r="D462">
        <v>1955</v>
      </c>
      <c r="E462">
        <v>2043</v>
      </c>
      <c r="F462">
        <v>1.2971120900636299</v>
      </c>
      <c r="G462">
        <v>1.1874014291780901</v>
      </c>
      <c r="H462">
        <v>7.2969518978313205E-2</v>
      </c>
      <c r="I462">
        <v>1.5035135549973999</v>
      </c>
      <c r="J462">
        <v>8.4600000000000009</v>
      </c>
      <c r="K462">
        <v>2650</v>
      </c>
      <c r="L462">
        <v>1682.65490797546</v>
      </c>
    </row>
    <row r="463" spans="1:12">
      <c r="A463" s="14">
        <v>43182</v>
      </c>
      <c r="B463">
        <v>2602</v>
      </c>
      <c r="C463">
        <v>2630</v>
      </c>
      <c r="D463">
        <v>2043</v>
      </c>
      <c r="E463">
        <v>1998</v>
      </c>
      <c r="F463">
        <v>1.3163163163163101</v>
      </c>
      <c r="G463">
        <v>1.1844668163643399</v>
      </c>
      <c r="H463">
        <v>7.2924060176170397E-2</v>
      </c>
      <c r="I463">
        <v>1.80803838449816</v>
      </c>
      <c r="J463">
        <v>10.02</v>
      </c>
      <c r="K463">
        <v>2630</v>
      </c>
      <c r="L463">
        <v>1645.5920245398772</v>
      </c>
    </row>
    <row r="464" spans="1:12">
      <c r="A464" s="14">
        <v>43181</v>
      </c>
      <c r="B464">
        <v>2653</v>
      </c>
      <c r="C464">
        <v>2685</v>
      </c>
      <c r="D464">
        <v>2105</v>
      </c>
      <c r="E464">
        <v>2114</v>
      </c>
      <c r="F464">
        <v>1.2701040681173099</v>
      </c>
      <c r="G464">
        <v>1.18142715979235</v>
      </c>
      <c r="H464">
        <v>7.2111636010361899E-2</v>
      </c>
      <c r="I464">
        <v>1.2297170502721599</v>
      </c>
      <c r="J464">
        <v>6.98</v>
      </c>
      <c r="K464">
        <v>2685</v>
      </c>
      <c r="L464">
        <v>1741.1319018404906</v>
      </c>
    </row>
    <row r="465" spans="1:12">
      <c r="A465" s="14">
        <v>43179</v>
      </c>
      <c r="B465">
        <v>2657</v>
      </c>
      <c r="C465">
        <v>2678</v>
      </c>
      <c r="D465">
        <v>2074</v>
      </c>
      <c r="E465">
        <v>2106</v>
      </c>
      <c r="F465">
        <v>1.2716049382715999</v>
      </c>
      <c r="G465">
        <v>1.1788930890263301</v>
      </c>
      <c r="H465">
        <v>7.2290061626528707E-2</v>
      </c>
      <c r="I465">
        <v>1.28249785875467</v>
      </c>
      <c r="J465">
        <v>7.29</v>
      </c>
      <c r="K465">
        <v>2678</v>
      </c>
      <c r="L465">
        <v>1734.5429447852759</v>
      </c>
    </row>
    <row r="466" spans="1:12">
      <c r="A466" s="14">
        <v>43178</v>
      </c>
      <c r="B466">
        <v>2644</v>
      </c>
      <c r="C466">
        <v>2666</v>
      </c>
      <c r="D466">
        <v>2130</v>
      </c>
      <c r="E466">
        <v>2108</v>
      </c>
      <c r="F466">
        <v>1.26470588235294</v>
      </c>
      <c r="G466">
        <v>1.1763846466600101</v>
      </c>
      <c r="H466">
        <v>7.2293549496034601E-2</v>
      </c>
      <c r="I466">
        <v>1.22170285327836</v>
      </c>
      <c r="J466">
        <v>6.98</v>
      </c>
      <c r="K466">
        <v>2666</v>
      </c>
      <c r="L466">
        <v>1736.1901840490798</v>
      </c>
    </row>
    <row r="467" spans="1:12">
      <c r="A467" s="14">
        <v>43175</v>
      </c>
      <c r="B467">
        <v>2703</v>
      </c>
      <c r="C467">
        <v>2669</v>
      </c>
      <c r="D467">
        <v>2168</v>
      </c>
      <c r="E467">
        <v>2141</v>
      </c>
      <c r="F467">
        <v>1.24661373190098</v>
      </c>
      <c r="G467">
        <v>1.17383522672871</v>
      </c>
      <c r="H467">
        <v>7.2505086500489299E-2</v>
      </c>
      <c r="I467">
        <v>1.00377102745445</v>
      </c>
      <c r="J467">
        <v>5.84</v>
      </c>
      <c r="K467">
        <v>2669</v>
      </c>
      <c r="L467">
        <v>1763.3696319018404</v>
      </c>
    </row>
    <row r="468" spans="1:12">
      <c r="A468" s="14">
        <v>43174</v>
      </c>
      <c r="B468">
        <v>2694</v>
      </c>
      <c r="C468">
        <v>2693</v>
      </c>
      <c r="D468">
        <v>2141</v>
      </c>
      <c r="E468">
        <v>2147</v>
      </c>
      <c r="F468">
        <v>1.2543083372147099</v>
      </c>
      <c r="G468">
        <v>1.17146123770245</v>
      </c>
      <c r="H468">
        <v>7.2996491638658303E-2</v>
      </c>
      <c r="I468">
        <v>1.1349463193706</v>
      </c>
      <c r="J468">
        <v>6.61</v>
      </c>
      <c r="K468">
        <v>2693</v>
      </c>
      <c r="L468">
        <v>1768.3113496932515</v>
      </c>
    </row>
    <row r="469" spans="1:12">
      <c r="A469" s="14">
        <v>43173</v>
      </c>
      <c r="B469">
        <v>2679</v>
      </c>
      <c r="C469">
        <v>2694</v>
      </c>
      <c r="D469">
        <v>2157</v>
      </c>
      <c r="E469">
        <v>2146</v>
      </c>
      <c r="F469">
        <v>1.25535880708294</v>
      </c>
      <c r="G469">
        <v>1.16900783361029</v>
      </c>
      <c r="H469">
        <v>7.3262494817850493E-2</v>
      </c>
      <c r="I469">
        <v>1.1786518284333001</v>
      </c>
      <c r="J469">
        <v>6.88</v>
      </c>
      <c r="K469">
        <v>2694</v>
      </c>
      <c r="L469">
        <v>1767.4877300613496</v>
      </c>
    </row>
    <row r="470" spans="1:12">
      <c r="A470" s="14">
        <v>43172</v>
      </c>
      <c r="B470">
        <v>2670</v>
      </c>
      <c r="C470">
        <v>2699</v>
      </c>
      <c r="D470">
        <v>2180</v>
      </c>
      <c r="E470">
        <v>2175</v>
      </c>
      <c r="F470">
        <v>1.24091954022988</v>
      </c>
      <c r="G470">
        <v>1.16615326319107</v>
      </c>
      <c r="H470">
        <v>7.4009442819402305E-2</v>
      </c>
      <c r="I470">
        <v>1.0102261845323599</v>
      </c>
      <c r="J470">
        <v>6.03</v>
      </c>
      <c r="K470">
        <v>2699</v>
      </c>
      <c r="L470">
        <v>1791.372699386503</v>
      </c>
    </row>
    <row r="471" spans="1:12">
      <c r="A471" s="14">
        <v>43171</v>
      </c>
      <c r="B471">
        <v>2772</v>
      </c>
      <c r="C471">
        <v>2706</v>
      </c>
      <c r="D471">
        <v>2168</v>
      </c>
      <c r="E471">
        <v>2130</v>
      </c>
      <c r="F471">
        <v>1.2704225352112599</v>
      </c>
      <c r="G471">
        <v>1.1636887172132699</v>
      </c>
      <c r="H471">
        <v>7.45542943136768E-2</v>
      </c>
      <c r="I471">
        <v>1.4316253541200601</v>
      </c>
      <c r="J471">
        <v>8.4</v>
      </c>
      <c r="K471">
        <v>2706</v>
      </c>
      <c r="L471">
        <v>1754.3098159509202</v>
      </c>
    </row>
    <row r="472" spans="1:12">
      <c r="A472" s="14">
        <v>43168</v>
      </c>
      <c r="B472">
        <v>2751</v>
      </c>
      <c r="C472">
        <v>2750</v>
      </c>
      <c r="D472">
        <v>2118</v>
      </c>
      <c r="E472">
        <v>2118</v>
      </c>
      <c r="F472">
        <v>1.2983947119924399</v>
      </c>
      <c r="G472">
        <v>1.16023235703434</v>
      </c>
      <c r="H472">
        <v>7.5528519546360195E-2</v>
      </c>
      <c r="I472">
        <v>1.8292739721092299</v>
      </c>
      <c r="J472">
        <v>10.64</v>
      </c>
      <c r="K472">
        <v>2750</v>
      </c>
      <c r="L472">
        <v>1744.4263803680981</v>
      </c>
    </row>
    <row r="473" spans="1:12">
      <c r="A473" s="14">
        <v>43167</v>
      </c>
      <c r="B473">
        <v>2770</v>
      </c>
      <c r="C473">
        <v>2721</v>
      </c>
      <c r="D473">
        <v>2116</v>
      </c>
      <c r="E473">
        <v>2097</v>
      </c>
      <c r="F473">
        <v>1.29756795422031</v>
      </c>
      <c r="G473">
        <v>1.15636141798654</v>
      </c>
      <c r="H473">
        <v>7.5787529776676202E-2</v>
      </c>
      <c r="I473">
        <v>1.86318958606864</v>
      </c>
      <c r="J473">
        <v>10.88</v>
      </c>
      <c r="K473">
        <v>2721</v>
      </c>
      <c r="L473">
        <v>1727.1303680981594</v>
      </c>
    </row>
    <row r="474" spans="1:12">
      <c r="A474" s="14">
        <v>43166</v>
      </c>
      <c r="B474">
        <v>2749</v>
      </c>
      <c r="C474">
        <v>2767</v>
      </c>
      <c r="D474">
        <v>2089</v>
      </c>
      <c r="E474">
        <v>2100</v>
      </c>
      <c r="F474">
        <v>1.3176190476190399</v>
      </c>
      <c r="G474">
        <v>1.15244270519846</v>
      </c>
      <c r="H474">
        <v>7.5983030242261607E-2</v>
      </c>
      <c r="I474">
        <v>2.1738583193371501</v>
      </c>
      <c r="J474">
        <v>12.54</v>
      </c>
      <c r="K474">
        <v>2767</v>
      </c>
      <c r="L474">
        <v>1729.6012269938649</v>
      </c>
    </row>
    <row r="475" spans="1:12">
      <c r="A475" s="14">
        <v>43165</v>
      </c>
      <c r="B475">
        <v>2768</v>
      </c>
      <c r="C475">
        <v>2771</v>
      </c>
      <c r="D475">
        <v>2128</v>
      </c>
      <c r="E475">
        <v>2111</v>
      </c>
      <c r="F475">
        <v>1.3126480341070501</v>
      </c>
      <c r="G475">
        <v>1.14802556407675</v>
      </c>
      <c r="H475">
        <v>7.5881687493825303E-2</v>
      </c>
      <c r="I475">
        <v>2.1694624285168</v>
      </c>
      <c r="J475">
        <v>12.54</v>
      </c>
      <c r="K475">
        <v>2771</v>
      </c>
      <c r="L475">
        <v>1738.6610429447851</v>
      </c>
    </row>
    <row r="476" spans="1:12">
      <c r="A476" s="14">
        <v>43164</v>
      </c>
      <c r="B476">
        <v>2713</v>
      </c>
      <c r="C476">
        <v>2741</v>
      </c>
      <c r="D476">
        <v>2132</v>
      </c>
      <c r="E476">
        <v>2088</v>
      </c>
      <c r="F476">
        <v>1.3127394636015299</v>
      </c>
      <c r="G476">
        <v>1.1435497519442499</v>
      </c>
      <c r="H476">
        <v>7.5939621896491505E-2</v>
      </c>
      <c r="I476">
        <v>2.2279504089167599</v>
      </c>
      <c r="J476">
        <v>12.89</v>
      </c>
      <c r="K476">
        <v>2741</v>
      </c>
      <c r="L476">
        <v>1719.717791411043</v>
      </c>
    </row>
    <row r="477" spans="1:12">
      <c r="A477" s="14">
        <v>43161</v>
      </c>
      <c r="B477">
        <v>2706</v>
      </c>
      <c r="C477">
        <v>2718</v>
      </c>
      <c r="D477">
        <v>2150</v>
      </c>
      <c r="E477">
        <v>2155</v>
      </c>
      <c r="F477">
        <v>1.2612529002320101</v>
      </c>
      <c r="G477">
        <v>1.13817376041386</v>
      </c>
      <c r="H477">
        <v>7.8015359674650994E-2</v>
      </c>
      <c r="I477">
        <v>1.5776270253887801</v>
      </c>
      <c r="J477">
        <v>9.76</v>
      </c>
      <c r="K477">
        <v>2718</v>
      </c>
      <c r="L477">
        <v>1774.9003067484662</v>
      </c>
    </row>
    <row r="478" spans="1:12">
      <c r="A478" s="14">
        <v>43160</v>
      </c>
      <c r="B478">
        <v>2809</v>
      </c>
      <c r="C478">
        <v>2789</v>
      </c>
      <c r="D478">
        <v>2210</v>
      </c>
      <c r="E478">
        <v>2215</v>
      </c>
      <c r="F478">
        <v>1.2591422121896101</v>
      </c>
      <c r="G478">
        <v>1.13349335584444</v>
      </c>
      <c r="H478">
        <v>8.0965016157784106E-2</v>
      </c>
      <c r="I478">
        <v>1.5518907091960601</v>
      </c>
      <c r="J478">
        <v>9.98</v>
      </c>
      <c r="K478">
        <v>2789</v>
      </c>
      <c r="L478">
        <v>1824.3174846625766</v>
      </c>
    </row>
    <row r="479" spans="1:12">
      <c r="A479" s="14">
        <v>43159</v>
      </c>
      <c r="B479">
        <v>2905</v>
      </c>
      <c r="C479">
        <v>2859</v>
      </c>
      <c r="D479">
        <v>2282</v>
      </c>
      <c r="E479">
        <v>2250</v>
      </c>
      <c r="F479">
        <v>1.2706666666666599</v>
      </c>
      <c r="G479">
        <v>1.12899057994634</v>
      </c>
      <c r="H479">
        <v>8.3211452792448098E-2</v>
      </c>
      <c r="I479">
        <v>1.70260321104719</v>
      </c>
      <c r="J479">
        <v>11.15</v>
      </c>
      <c r="K479">
        <v>2859</v>
      </c>
      <c r="L479">
        <v>1853.1441717791411</v>
      </c>
    </row>
    <row r="480" spans="1:12">
      <c r="A480" s="14">
        <v>43158</v>
      </c>
      <c r="B480">
        <v>2921</v>
      </c>
      <c r="C480">
        <v>2910</v>
      </c>
      <c r="D480">
        <v>2298</v>
      </c>
      <c r="E480">
        <v>2296</v>
      </c>
      <c r="F480">
        <v>1.2674216027874501</v>
      </c>
      <c r="G480">
        <v>1.12479429664549</v>
      </c>
      <c r="H480">
        <v>8.3893805517409506E-2</v>
      </c>
      <c r="I480">
        <v>1.70009341288447</v>
      </c>
      <c r="J480">
        <v>11.25</v>
      </c>
      <c r="K480">
        <v>2910</v>
      </c>
      <c r="L480">
        <v>1891.0306748466257</v>
      </c>
    </row>
    <row r="481" spans="1:12">
      <c r="A481" s="14">
        <v>43157</v>
      </c>
      <c r="B481">
        <v>2877</v>
      </c>
      <c r="C481">
        <v>2881</v>
      </c>
      <c r="D481">
        <v>2286</v>
      </c>
      <c r="E481">
        <v>2269</v>
      </c>
      <c r="F481">
        <v>1.2697223446452099</v>
      </c>
      <c r="G481">
        <v>1.12112826570966</v>
      </c>
      <c r="H481">
        <v>8.3588051178589806E-2</v>
      </c>
      <c r="I481">
        <v>1.77769521887851</v>
      </c>
      <c r="J481">
        <v>11.7</v>
      </c>
      <c r="K481">
        <v>2881</v>
      </c>
      <c r="L481">
        <v>1868.7929447852759</v>
      </c>
    </row>
    <row r="482" spans="1:12">
      <c r="A482" s="14">
        <v>43154</v>
      </c>
      <c r="B482">
        <v>2812</v>
      </c>
      <c r="C482">
        <v>2854</v>
      </c>
      <c r="D482">
        <v>2218</v>
      </c>
      <c r="E482">
        <v>2256</v>
      </c>
      <c r="F482">
        <v>1.2650709219858101</v>
      </c>
      <c r="G482">
        <v>1.1170524627539899</v>
      </c>
      <c r="H482">
        <v>8.3695773416995606E-2</v>
      </c>
      <c r="I482">
        <v>1.7685296782473301</v>
      </c>
      <c r="J482">
        <v>11.7</v>
      </c>
      <c r="K482">
        <v>2854</v>
      </c>
      <c r="L482">
        <v>1858.0858895705521</v>
      </c>
    </row>
    <row r="483" spans="1:12">
      <c r="A483" s="14">
        <v>43153</v>
      </c>
      <c r="B483">
        <v>2814</v>
      </c>
      <c r="C483">
        <v>2827</v>
      </c>
      <c r="D483">
        <v>2235</v>
      </c>
      <c r="E483">
        <v>2202</v>
      </c>
      <c r="F483">
        <v>1.2838328792007201</v>
      </c>
      <c r="G483">
        <v>1.1137562790322699</v>
      </c>
      <c r="H483">
        <v>8.26630971088234E-2</v>
      </c>
      <c r="I483">
        <v>2.0574670695503499</v>
      </c>
      <c r="J483">
        <v>13.25</v>
      </c>
      <c r="K483">
        <v>2827</v>
      </c>
      <c r="L483">
        <v>1813.6104294478528</v>
      </c>
    </row>
    <row r="484" spans="1:12">
      <c r="A484" s="14">
        <v>43152</v>
      </c>
      <c r="B484">
        <v>2850</v>
      </c>
      <c r="C484">
        <v>2864</v>
      </c>
      <c r="D484">
        <v>2285</v>
      </c>
      <c r="E484">
        <v>2276</v>
      </c>
      <c r="F484">
        <v>1.25834797891036</v>
      </c>
      <c r="G484">
        <v>1.11009762680645</v>
      </c>
      <c r="H484">
        <v>8.1112451770325694E-2</v>
      </c>
      <c r="I484">
        <v>1.8277138573457199</v>
      </c>
      <c r="J484">
        <v>11.78</v>
      </c>
      <c r="K484">
        <v>2864</v>
      </c>
      <c r="L484">
        <v>1874.5582822085889</v>
      </c>
    </row>
    <row r="485" spans="1:12">
      <c r="A485" s="14">
        <v>43151</v>
      </c>
      <c r="B485">
        <v>2825</v>
      </c>
      <c r="C485">
        <v>2842</v>
      </c>
      <c r="D485">
        <v>2270</v>
      </c>
      <c r="E485">
        <v>2275</v>
      </c>
      <c r="F485">
        <v>1.24923076923076</v>
      </c>
      <c r="G485">
        <v>1.10595095900653</v>
      </c>
      <c r="H485">
        <v>8.1376649561025305E-2</v>
      </c>
      <c r="I485">
        <v>1.76069930375779</v>
      </c>
      <c r="J485">
        <v>11.47</v>
      </c>
      <c r="K485">
        <v>2842</v>
      </c>
      <c r="L485">
        <v>1873.734662576687</v>
      </c>
    </row>
    <row r="486" spans="1:12">
      <c r="A486" s="14">
        <v>43150</v>
      </c>
      <c r="B486">
        <v>2789</v>
      </c>
      <c r="C486">
        <v>2838</v>
      </c>
      <c r="D486">
        <v>2245</v>
      </c>
      <c r="E486">
        <v>2282</v>
      </c>
      <c r="F486">
        <v>1.24364592462751</v>
      </c>
      <c r="G486">
        <v>1.1021308880954701</v>
      </c>
      <c r="H486">
        <v>8.1285661183662997E-2</v>
      </c>
      <c r="I486">
        <v>1.7409594074936801</v>
      </c>
      <c r="J486">
        <v>11.38</v>
      </c>
      <c r="K486">
        <v>2838</v>
      </c>
      <c r="L486">
        <v>1879.5</v>
      </c>
    </row>
    <row r="487" spans="1:12">
      <c r="A487" s="14">
        <v>43147</v>
      </c>
      <c r="B487">
        <v>2725</v>
      </c>
      <c r="C487">
        <v>2741</v>
      </c>
      <c r="D487">
        <v>2209</v>
      </c>
      <c r="E487">
        <v>2219</v>
      </c>
      <c r="F487">
        <v>1.2352410995944101</v>
      </c>
      <c r="G487">
        <v>1.09845788683345</v>
      </c>
      <c r="H487">
        <v>8.1031588473577096E-2</v>
      </c>
      <c r="I487">
        <v>1.68802334173122</v>
      </c>
      <c r="J487">
        <v>11.07</v>
      </c>
      <c r="K487">
        <v>2741</v>
      </c>
      <c r="L487">
        <v>1827.611963190184</v>
      </c>
    </row>
    <row r="488" spans="1:12">
      <c r="A488" s="14">
        <v>43146</v>
      </c>
      <c r="B488">
        <v>2725</v>
      </c>
      <c r="C488">
        <v>2692</v>
      </c>
      <c r="D488">
        <v>2235</v>
      </c>
      <c r="E488">
        <v>2197</v>
      </c>
      <c r="F488">
        <v>1.2253072371415501</v>
      </c>
      <c r="G488">
        <v>1.09425304429479</v>
      </c>
      <c r="H488">
        <v>8.2001136850117007E-2</v>
      </c>
      <c r="I488">
        <v>1.5981997065029001</v>
      </c>
      <c r="J488">
        <v>10.7</v>
      </c>
      <c r="K488">
        <v>2692</v>
      </c>
      <c r="L488">
        <v>1809.4923312883434</v>
      </c>
    </row>
    <row r="489" spans="1:12">
      <c r="A489" s="14">
        <v>43145</v>
      </c>
      <c r="B489">
        <v>2688</v>
      </c>
      <c r="C489">
        <v>2697</v>
      </c>
      <c r="D489">
        <v>2194</v>
      </c>
      <c r="E489">
        <v>2195</v>
      </c>
      <c r="F489">
        <v>1.22870159453302</v>
      </c>
      <c r="G489">
        <v>1.0903176323164501</v>
      </c>
      <c r="H489">
        <v>8.2696762660551204E-2</v>
      </c>
      <c r="I489">
        <v>1.6733903210287</v>
      </c>
      <c r="J489">
        <v>11.26</v>
      </c>
      <c r="K489">
        <v>2697</v>
      </c>
      <c r="L489">
        <v>1807.8450920245398</v>
      </c>
    </row>
    <row r="490" spans="1:12">
      <c r="A490" s="14">
        <v>43144</v>
      </c>
      <c r="B490">
        <v>2769</v>
      </c>
      <c r="C490">
        <v>2671</v>
      </c>
      <c r="D490">
        <v>2257</v>
      </c>
      <c r="E490">
        <v>2191</v>
      </c>
      <c r="F490">
        <v>1.21907804655408</v>
      </c>
      <c r="G490">
        <v>1.0861775102898801</v>
      </c>
      <c r="H490">
        <v>8.3434445785689801E-2</v>
      </c>
      <c r="I490">
        <v>1.5928737227496399</v>
      </c>
      <c r="J490">
        <v>10.9</v>
      </c>
      <c r="K490">
        <v>2671</v>
      </c>
      <c r="L490">
        <v>1804.5506134969323</v>
      </c>
    </row>
    <row r="491" spans="1:12">
      <c r="A491" s="14">
        <v>43140</v>
      </c>
      <c r="B491">
        <v>2656</v>
      </c>
      <c r="C491">
        <v>2685</v>
      </c>
      <c r="D491">
        <v>2210</v>
      </c>
      <c r="E491">
        <v>2225</v>
      </c>
      <c r="F491">
        <v>1.2067415730337001</v>
      </c>
      <c r="G491">
        <v>1.08249744631459</v>
      </c>
      <c r="H491">
        <v>8.3578192345632907E-2</v>
      </c>
      <c r="I491">
        <v>1.48656154473058</v>
      </c>
      <c r="J491">
        <v>10.3</v>
      </c>
      <c r="K491">
        <v>2685</v>
      </c>
      <c r="L491">
        <v>1832.5536809815951</v>
      </c>
    </row>
    <row r="492" spans="1:12">
      <c r="A492" s="14">
        <v>43139</v>
      </c>
      <c r="B492">
        <v>2720</v>
      </c>
      <c r="C492">
        <v>2739</v>
      </c>
      <c r="D492">
        <v>2277</v>
      </c>
      <c r="E492">
        <v>2297</v>
      </c>
      <c r="F492">
        <v>1.1924249020461399</v>
      </c>
      <c r="G492">
        <v>1.0791724795024</v>
      </c>
      <c r="H492">
        <v>8.3529629223545204E-2</v>
      </c>
      <c r="I492">
        <v>1.35583533168396</v>
      </c>
      <c r="J492">
        <v>9.5</v>
      </c>
      <c r="K492">
        <v>2739</v>
      </c>
      <c r="L492">
        <v>1891.8542944785274</v>
      </c>
    </row>
    <row r="493" spans="1:12">
      <c r="A493" s="14">
        <v>43138</v>
      </c>
      <c r="B493">
        <v>2860</v>
      </c>
      <c r="C493">
        <v>2664</v>
      </c>
      <c r="D493">
        <v>2389</v>
      </c>
      <c r="E493">
        <v>2271</v>
      </c>
      <c r="F493">
        <v>1.1730515191545501</v>
      </c>
      <c r="G493">
        <v>1.0763599005615401</v>
      </c>
      <c r="H493">
        <v>8.3219712947243701E-2</v>
      </c>
      <c r="I493">
        <v>1.1618835870572299</v>
      </c>
      <c r="J493">
        <v>8.24</v>
      </c>
      <c r="K493">
        <v>2664</v>
      </c>
      <c r="L493">
        <v>1870.4401840490796</v>
      </c>
    </row>
    <row r="494" spans="1:12">
      <c r="A494" s="14">
        <v>43137</v>
      </c>
      <c r="B494">
        <v>2670</v>
      </c>
      <c r="C494">
        <v>2610</v>
      </c>
      <c r="D494">
        <v>2325</v>
      </c>
      <c r="E494">
        <v>2294</v>
      </c>
      <c r="F494">
        <v>1.13775065387968</v>
      </c>
      <c r="G494">
        <v>1.0742465871668501</v>
      </c>
      <c r="H494">
        <v>8.2748608186945197E-2</v>
      </c>
      <c r="I494">
        <v>0.76743365361946003</v>
      </c>
      <c r="J494">
        <v>5.58</v>
      </c>
      <c r="K494">
        <v>2610</v>
      </c>
      <c r="L494">
        <v>1889.3834355828219</v>
      </c>
    </row>
    <row r="495" spans="1:12">
      <c r="A495" s="14">
        <v>43136</v>
      </c>
      <c r="B495">
        <v>2811</v>
      </c>
      <c r="C495">
        <v>2795</v>
      </c>
      <c r="D495">
        <v>2501</v>
      </c>
      <c r="E495">
        <v>2460</v>
      </c>
      <c r="F495">
        <v>1.1361788617886099</v>
      </c>
      <c r="G495">
        <v>1.0728153171871899</v>
      </c>
      <c r="H495">
        <v>8.2565978018658101E-2</v>
      </c>
      <c r="I495">
        <v>0.76742922595918095</v>
      </c>
      <c r="J495">
        <v>5.58</v>
      </c>
      <c r="K495">
        <v>2795</v>
      </c>
      <c r="L495">
        <v>2026.1042944785274</v>
      </c>
    </row>
    <row r="496" spans="1:12">
      <c r="A496" s="14">
        <v>43133</v>
      </c>
      <c r="B496">
        <v>2900</v>
      </c>
      <c r="C496">
        <v>2900</v>
      </c>
      <c r="D496">
        <v>2548</v>
      </c>
      <c r="E496">
        <v>2558</v>
      </c>
      <c r="F496">
        <v>1.1336982017200901</v>
      </c>
      <c r="G496">
        <v>1.0711267410974501</v>
      </c>
      <c r="H496">
        <v>8.2547851547024903E-2</v>
      </c>
      <c r="I496">
        <v>0.75800229139814301</v>
      </c>
      <c r="J496">
        <v>5.52</v>
      </c>
      <c r="K496">
        <v>2900</v>
      </c>
      <c r="L496">
        <v>2106.8190184049081</v>
      </c>
    </row>
    <row r="497" spans="1:12">
      <c r="A497" s="14">
        <v>43132</v>
      </c>
      <c r="B497">
        <v>2863</v>
      </c>
      <c r="C497">
        <v>2940</v>
      </c>
      <c r="D497">
        <v>2536</v>
      </c>
      <c r="E497">
        <v>2567</v>
      </c>
      <c r="F497">
        <v>1.1453058044409801</v>
      </c>
      <c r="G497">
        <v>1.0690212971494699</v>
      </c>
      <c r="H497">
        <v>8.2937931979278304E-2</v>
      </c>
      <c r="I497">
        <v>0.91977826636145898</v>
      </c>
      <c r="J497">
        <v>6.66</v>
      </c>
      <c r="K497">
        <v>2940</v>
      </c>
      <c r="L497">
        <v>2114.2315950920242</v>
      </c>
    </row>
    <row r="498" spans="1:12">
      <c r="A498" s="14">
        <v>43131</v>
      </c>
      <c r="B498">
        <v>2823</v>
      </c>
      <c r="C498">
        <v>2828</v>
      </c>
      <c r="D498">
        <v>2518</v>
      </c>
      <c r="E498">
        <v>2500</v>
      </c>
      <c r="F498">
        <v>1.1312</v>
      </c>
      <c r="G498">
        <v>1.06662392749135</v>
      </c>
      <c r="H498">
        <v>8.3296113049867407E-2</v>
      </c>
      <c r="I498">
        <v>0.77525913448063899</v>
      </c>
      <c r="J498">
        <v>5.71</v>
      </c>
      <c r="K498">
        <v>2828</v>
      </c>
      <c r="L498">
        <v>2059.0490797546013</v>
      </c>
    </row>
    <row r="499" spans="1:12">
      <c r="A499" s="14">
        <v>43130</v>
      </c>
      <c r="B499">
        <v>2918</v>
      </c>
      <c r="C499">
        <v>2842</v>
      </c>
      <c r="D499">
        <v>2559</v>
      </c>
      <c r="E499">
        <v>2520</v>
      </c>
      <c r="F499">
        <v>1.12777777777777</v>
      </c>
      <c r="G499">
        <v>1.06367868542474</v>
      </c>
      <c r="H499">
        <v>8.4851443595312603E-2</v>
      </c>
      <c r="I499">
        <v>0.75542724598470701</v>
      </c>
      <c r="J499">
        <v>5.68</v>
      </c>
      <c r="K499">
        <v>2842</v>
      </c>
      <c r="L499">
        <v>2075.5214723926379</v>
      </c>
    </row>
    <row r="500" spans="1:12">
      <c r="A500" s="14">
        <v>43129</v>
      </c>
      <c r="B500">
        <v>2950</v>
      </c>
      <c r="C500">
        <v>2942</v>
      </c>
      <c r="D500">
        <v>2504</v>
      </c>
      <c r="E500">
        <v>2577</v>
      </c>
      <c r="F500">
        <v>1.1416375630578099</v>
      </c>
      <c r="G500">
        <v>1.06054024601445</v>
      </c>
      <c r="H500">
        <v>8.6754311639075904E-2</v>
      </c>
      <c r="I500">
        <v>0.93479292857222795</v>
      </c>
      <c r="J500">
        <v>7.1</v>
      </c>
      <c r="K500">
        <v>2942</v>
      </c>
      <c r="L500">
        <v>2122.467791411043</v>
      </c>
    </row>
    <row r="501" spans="1:12">
      <c r="A501" s="14">
        <v>43126</v>
      </c>
      <c r="B501">
        <v>2867</v>
      </c>
      <c r="C501">
        <v>2900</v>
      </c>
      <c r="D501">
        <v>2485</v>
      </c>
      <c r="E501">
        <v>2504</v>
      </c>
      <c r="F501">
        <v>1.1581469648562299</v>
      </c>
      <c r="G501">
        <v>1.0574664386053401</v>
      </c>
      <c r="H501">
        <v>8.7902952891996303E-2</v>
      </c>
      <c r="I501">
        <v>1.1453600014392</v>
      </c>
      <c r="J501">
        <v>8.69</v>
      </c>
      <c r="K501">
        <v>2900</v>
      </c>
      <c r="L501">
        <v>2062.3435582822085</v>
      </c>
    </row>
    <row r="502" spans="1:12">
      <c r="A502" s="14">
        <v>43125</v>
      </c>
      <c r="B502">
        <v>2899</v>
      </c>
      <c r="C502">
        <v>2883</v>
      </c>
      <c r="D502">
        <v>2452</v>
      </c>
      <c r="E502">
        <v>2485</v>
      </c>
      <c r="F502">
        <v>1.16016096579476</v>
      </c>
      <c r="G502">
        <v>1.0539889091466801</v>
      </c>
      <c r="H502">
        <v>8.9003301957194095E-2</v>
      </c>
      <c r="I502">
        <v>1.1929001993560699</v>
      </c>
      <c r="J502">
        <v>9.15</v>
      </c>
      <c r="K502">
        <v>2883</v>
      </c>
      <c r="L502">
        <v>2046.6947852760736</v>
      </c>
    </row>
    <row r="503" spans="1:12">
      <c r="A503" s="14">
        <v>43124</v>
      </c>
      <c r="B503">
        <v>2932</v>
      </c>
      <c r="C503">
        <v>2921</v>
      </c>
      <c r="D503">
        <v>2498</v>
      </c>
      <c r="E503">
        <v>2486</v>
      </c>
      <c r="F503">
        <v>1.1749798873692601</v>
      </c>
      <c r="G503">
        <v>1.05046431724018</v>
      </c>
      <c r="H503">
        <v>8.9958016741755797E-2</v>
      </c>
      <c r="I503">
        <v>1.38415201489521</v>
      </c>
      <c r="J503">
        <v>10.6</v>
      </c>
      <c r="K503">
        <v>2921</v>
      </c>
      <c r="L503">
        <v>2047.5184049079753</v>
      </c>
    </row>
    <row r="504" spans="1:12">
      <c r="A504" s="14">
        <v>43123</v>
      </c>
      <c r="B504">
        <v>2944</v>
      </c>
      <c r="C504">
        <v>2935</v>
      </c>
      <c r="D504">
        <v>2508</v>
      </c>
      <c r="E504">
        <v>2509</v>
      </c>
      <c r="F504">
        <v>1.16978876046233</v>
      </c>
      <c r="G504">
        <v>1.04674168732803</v>
      </c>
      <c r="H504">
        <v>9.0503502918829803E-2</v>
      </c>
      <c r="I504">
        <v>1.35958354280117</v>
      </c>
      <c r="J504">
        <v>10.52</v>
      </c>
      <c r="K504">
        <v>2935</v>
      </c>
      <c r="L504">
        <v>2066.4616564417179</v>
      </c>
    </row>
    <row r="505" spans="1:12">
      <c r="A505" s="14">
        <v>43122</v>
      </c>
      <c r="B505">
        <v>2952</v>
      </c>
      <c r="C505">
        <v>2948</v>
      </c>
      <c r="D505">
        <v>2505</v>
      </c>
      <c r="E505">
        <v>2502</v>
      </c>
      <c r="F505">
        <v>1.1782573940847301</v>
      </c>
      <c r="G505">
        <v>1.04289529249873</v>
      </c>
      <c r="H505">
        <v>9.1318785167026406E-2</v>
      </c>
      <c r="I505">
        <v>1.4823029165183199</v>
      </c>
      <c r="J505">
        <v>11.49</v>
      </c>
      <c r="K505">
        <v>2948</v>
      </c>
      <c r="L505">
        <v>2060.6963190184047</v>
      </c>
    </row>
    <row r="506" spans="1:12">
      <c r="A506" s="14">
        <v>43119</v>
      </c>
      <c r="B506">
        <v>2932</v>
      </c>
      <c r="C506">
        <v>2964</v>
      </c>
      <c r="D506">
        <v>2500</v>
      </c>
      <c r="E506">
        <v>2531</v>
      </c>
      <c r="F506">
        <v>1.1710786250493801</v>
      </c>
      <c r="G506">
        <v>1.0386560110315599</v>
      </c>
      <c r="H506">
        <v>9.2311082604665806E-2</v>
      </c>
      <c r="I506">
        <v>1.4345256309574399</v>
      </c>
      <c r="J506">
        <v>11.31</v>
      </c>
      <c r="K506">
        <v>2964</v>
      </c>
      <c r="L506">
        <v>2084.5812883435583</v>
      </c>
    </row>
    <row r="507" spans="1:12">
      <c r="A507" s="14">
        <v>43118</v>
      </c>
      <c r="B507">
        <v>2969</v>
      </c>
      <c r="C507">
        <v>2910</v>
      </c>
      <c r="D507">
        <v>2608</v>
      </c>
      <c r="E507">
        <v>2443</v>
      </c>
      <c r="F507">
        <v>1.1911584117887799</v>
      </c>
      <c r="G507">
        <v>1.0345458222363499</v>
      </c>
      <c r="H507">
        <v>9.3182092302628999E-2</v>
      </c>
      <c r="I507">
        <v>1.68071552894299</v>
      </c>
      <c r="J507">
        <v>13.15</v>
      </c>
      <c r="K507">
        <v>2910</v>
      </c>
      <c r="L507">
        <v>2012.1027607361962</v>
      </c>
    </row>
    <row r="508" spans="1:12">
      <c r="A508" s="14">
        <v>43117</v>
      </c>
      <c r="B508">
        <v>3010</v>
      </c>
      <c r="C508">
        <v>2973</v>
      </c>
      <c r="D508">
        <v>2540</v>
      </c>
      <c r="E508">
        <v>2566</v>
      </c>
      <c r="F508">
        <v>1.15861262665627</v>
      </c>
      <c r="G508">
        <v>1.03032375773604</v>
      </c>
      <c r="H508">
        <v>9.3164138681728695E-2</v>
      </c>
      <c r="I508">
        <v>1.3770198569483501</v>
      </c>
      <c r="J508">
        <v>11.07</v>
      </c>
      <c r="K508">
        <v>2973</v>
      </c>
      <c r="L508">
        <v>2113.4079754601225</v>
      </c>
    </row>
    <row r="509" spans="1:12">
      <c r="A509" s="14">
        <v>43116</v>
      </c>
      <c r="B509">
        <v>3050</v>
      </c>
      <c r="C509">
        <v>3050</v>
      </c>
      <c r="D509">
        <v>2534</v>
      </c>
      <c r="E509">
        <v>2569</v>
      </c>
      <c r="F509">
        <v>1.1872323861424601</v>
      </c>
      <c r="G509">
        <v>1.0264174858870601</v>
      </c>
      <c r="H509">
        <v>9.3842726750716102E-2</v>
      </c>
      <c r="I509">
        <v>1.71366397613951</v>
      </c>
      <c r="J509">
        <v>13.55</v>
      </c>
      <c r="K509">
        <v>3050</v>
      </c>
      <c r="L509">
        <v>2115.8788343558281</v>
      </c>
    </row>
    <row r="510" spans="1:12">
      <c r="A510" s="14">
        <v>43115</v>
      </c>
      <c r="B510">
        <v>3005</v>
      </c>
      <c r="C510">
        <v>3015</v>
      </c>
      <c r="D510">
        <v>2598</v>
      </c>
      <c r="E510">
        <v>2559</v>
      </c>
      <c r="F510">
        <v>1.1781946072684599</v>
      </c>
      <c r="G510">
        <v>1.02223449878145</v>
      </c>
      <c r="H510">
        <v>9.3572914131140203E-2</v>
      </c>
      <c r="I510">
        <v>1.6667227897640799</v>
      </c>
      <c r="J510">
        <v>13.24</v>
      </c>
      <c r="K510">
        <v>3015</v>
      </c>
      <c r="L510">
        <v>2107.6426380368098</v>
      </c>
    </row>
    <row r="511" spans="1:12">
      <c r="A511" s="14">
        <v>43112</v>
      </c>
      <c r="B511">
        <v>2937</v>
      </c>
      <c r="C511">
        <v>2972</v>
      </c>
      <c r="D511">
        <v>2609</v>
      </c>
      <c r="E511">
        <v>2584</v>
      </c>
      <c r="F511">
        <v>1.1501547987616001</v>
      </c>
      <c r="G511">
        <v>1.0177194221902499</v>
      </c>
      <c r="H511">
        <v>9.4106877640364905E-2</v>
      </c>
      <c r="I511">
        <v>1.40728690497485</v>
      </c>
      <c r="J511">
        <v>11.51</v>
      </c>
      <c r="K511">
        <v>2972</v>
      </c>
      <c r="L511">
        <v>2128.2331288343557</v>
      </c>
    </row>
    <row r="512" spans="1:12">
      <c r="A512" s="14">
        <v>43111</v>
      </c>
      <c r="B512">
        <v>2930</v>
      </c>
      <c r="C512">
        <v>2936</v>
      </c>
      <c r="D512">
        <v>2601</v>
      </c>
      <c r="E512">
        <v>2620</v>
      </c>
      <c r="F512">
        <v>1.1206106870229</v>
      </c>
      <c r="G512">
        <v>1.0132744534082001</v>
      </c>
      <c r="H512">
        <v>9.5607716755778394E-2</v>
      </c>
      <c r="I512">
        <v>1.12267332864856</v>
      </c>
      <c r="J512">
        <v>9.58</v>
      </c>
      <c r="K512">
        <v>2936</v>
      </c>
      <c r="L512">
        <v>2157.8834355828221</v>
      </c>
    </row>
    <row r="513" spans="1:12">
      <c r="A513" s="14">
        <v>43110</v>
      </c>
      <c r="B513">
        <v>2979</v>
      </c>
      <c r="C513">
        <v>2954</v>
      </c>
      <c r="D513">
        <v>2658</v>
      </c>
      <c r="E513">
        <v>2622</v>
      </c>
      <c r="F513">
        <v>1.1266209000762699</v>
      </c>
      <c r="G513">
        <v>1.00908915042073</v>
      </c>
      <c r="H513">
        <v>9.7665789844761694E-2</v>
      </c>
      <c r="I513">
        <v>1.2034075579827499</v>
      </c>
      <c r="J513">
        <v>10.43</v>
      </c>
      <c r="K513">
        <v>2954</v>
      </c>
      <c r="L513">
        <v>2159.5306748466255</v>
      </c>
    </row>
    <row r="514" spans="1:12">
      <c r="A514" s="14">
        <v>43109</v>
      </c>
      <c r="B514">
        <v>3000</v>
      </c>
      <c r="C514">
        <v>2993</v>
      </c>
      <c r="D514">
        <v>2680</v>
      </c>
      <c r="E514">
        <v>2671</v>
      </c>
      <c r="F514">
        <v>1.12055409958816</v>
      </c>
      <c r="G514">
        <v>1.0046368965977699</v>
      </c>
      <c r="H514">
        <v>9.9794357988099602E-2</v>
      </c>
      <c r="I514">
        <v>1.1615606866694701</v>
      </c>
      <c r="J514">
        <v>10.34</v>
      </c>
      <c r="K514">
        <v>2993</v>
      </c>
      <c r="L514">
        <v>2199.8880368098157</v>
      </c>
    </row>
    <row r="515" spans="1:12">
      <c r="A515" s="14">
        <v>43105</v>
      </c>
      <c r="B515">
        <v>3020</v>
      </c>
      <c r="C515">
        <v>3000</v>
      </c>
      <c r="D515">
        <v>2650</v>
      </c>
      <c r="E515">
        <v>2654</v>
      </c>
      <c r="F515">
        <v>1.13036925395629</v>
      </c>
      <c r="G515">
        <v>1.0004342892704501</v>
      </c>
      <c r="H515">
        <v>0.101447455023187</v>
      </c>
      <c r="I515">
        <v>1.2808104910678799</v>
      </c>
      <c r="J515">
        <v>11.49</v>
      </c>
      <c r="K515">
        <v>3000</v>
      </c>
      <c r="L515">
        <v>2185.8865030674847</v>
      </c>
    </row>
    <row r="516" spans="1:12">
      <c r="A516" s="14">
        <v>43104</v>
      </c>
      <c r="B516">
        <v>2942</v>
      </c>
      <c r="C516">
        <v>2994</v>
      </c>
      <c r="D516">
        <v>2585</v>
      </c>
      <c r="E516">
        <v>2639</v>
      </c>
      <c r="F516">
        <v>1.1345206517620301</v>
      </c>
      <c r="G516">
        <v>0.99587610917939096</v>
      </c>
      <c r="H516">
        <v>0.103172431479073</v>
      </c>
      <c r="I516">
        <v>1.34381385216031</v>
      </c>
      <c r="J516">
        <v>12.22</v>
      </c>
      <c r="K516">
        <v>2994</v>
      </c>
      <c r="L516">
        <v>2173.532208588957</v>
      </c>
    </row>
    <row r="517" spans="1:12">
      <c r="A517" s="14">
        <v>43098</v>
      </c>
      <c r="B517">
        <v>2909</v>
      </c>
      <c r="C517">
        <v>2917</v>
      </c>
      <c r="D517">
        <v>2556</v>
      </c>
      <c r="E517">
        <v>2554</v>
      </c>
      <c r="F517">
        <v>1.1421299921691399</v>
      </c>
      <c r="G517">
        <v>0.99134193082025401</v>
      </c>
      <c r="H517">
        <v>0.10444434728201001</v>
      </c>
      <c r="I517">
        <v>1.44371682405893</v>
      </c>
      <c r="J517">
        <v>13.2</v>
      </c>
      <c r="K517">
        <v>2917</v>
      </c>
      <c r="L517">
        <v>2103.5245398773004</v>
      </c>
    </row>
    <row r="518" spans="1:12">
      <c r="A518" s="14">
        <v>43097</v>
      </c>
      <c r="B518">
        <v>2991</v>
      </c>
      <c r="C518">
        <v>2929</v>
      </c>
      <c r="D518">
        <v>2550</v>
      </c>
      <c r="E518">
        <v>2562</v>
      </c>
      <c r="F518">
        <v>1.1432474629195899</v>
      </c>
      <c r="G518">
        <v>0.98692294390630497</v>
      </c>
      <c r="H518">
        <v>0.104980911098077</v>
      </c>
      <c r="I518">
        <v>1.48907565554697</v>
      </c>
      <c r="J518">
        <v>13.67</v>
      </c>
      <c r="K518">
        <v>2929</v>
      </c>
      <c r="L518">
        <v>2110.1134969325153</v>
      </c>
    </row>
    <row r="519" spans="1:12">
      <c r="A519" s="14">
        <v>43096</v>
      </c>
      <c r="B519">
        <v>3000</v>
      </c>
      <c r="C519">
        <v>3010</v>
      </c>
      <c r="D519">
        <v>2548</v>
      </c>
      <c r="E519">
        <v>2551</v>
      </c>
      <c r="F519">
        <v>1.17992943943551</v>
      </c>
      <c r="G519">
        <v>0.98241835492015706</v>
      </c>
      <c r="H519">
        <v>0.105423878248162</v>
      </c>
      <c r="I519">
        <v>1.8734947698511499</v>
      </c>
      <c r="J519">
        <v>16.739999999999998</v>
      </c>
      <c r="K519">
        <v>3010</v>
      </c>
      <c r="L519">
        <v>2101.0536809815949</v>
      </c>
    </row>
    <row r="520" spans="1:12">
      <c r="A520" s="14">
        <v>43095</v>
      </c>
      <c r="B520">
        <v>3010</v>
      </c>
      <c r="C520">
        <v>2987</v>
      </c>
      <c r="D520">
        <v>2577</v>
      </c>
      <c r="E520">
        <v>2557</v>
      </c>
      <c r="F520">
        <v>1.1681658193195099</v>
      </c>
      <c r="G520">
        <v>0.97762098616614101</v>
      </c>
      <c r="H520">
        <v>0.10450941761018701</v>
      </c>
      <c r="I520">
        <v>1.8232312217458799</v>
      </c>
      <c r="J520">
        <v>16.309999999999999</v>
      </c>
      <c r="K520">
        <v>2987</v>
      </c>
      <c r="L520">
        <v>2105.9953987730059</v>
      </c>
    </row>
    <row r="521" spans="1:12">
      <c r="A521" s="14">
        <v>43094</v>
      </c>
      <c r="B521">
        <v>2961</v>
      </c>
      <c r="C521">
        <v>2988</v>
      </c>
      <c r="D521">
        <v>2553</v>
      </c>
      <c r="E521">
        <v>2576</v>
      </c>
      <c r="F521">
        <v>1.1599378881987501</v>
      </c>
      <c r="G521">
        <v>0.97289913247854998</v>
      </c>
      <c r="H521">
        <v>0.10379145190884601</v>
      </c>
      <c r="I521">
        <v>1.8020631976944601</v>
      </c>
      <c r="J521">
        <v>16.12</v>
      </c>
      <c r="K521">
        <v>2988</v>
      </c>
      <c r="L521">
        <v>2121.6441717791408</v>
      </c>
    </row>
    <row r="522" spans="1:12">
      <c r="A522" s="14">
        <v>43091</v>
      </c>
      <c r="B522">
        <v>2929</v>
      </c>
      <c r="C522">
        <v>2947</v>
      </c>
      <c r="D522">
        <v>2585</v>
      </c>
      <c r="E522">
        <v>2586</v>
      </c>
      <c r="F522">
        <v>1.1395978344934199</v>
      </c>
      <c r="G522">
        <v>0.96855331535389</v>
      </c>
      <c r="H522">
        <v>0.102686739133013</v>
      </c>
      <c r="I522">
        <v>1.6656923823238201</v>
      </c>
      <c r="J522">
        <v>15.01</v>
      </c>
      <c r="K522">
        <v>2947</v>
      </c>
      <c r="L522">
        <v>2129.8803680981596</v>
      </c>
    </row>
    <row r="523" spans="1:12">
      <c r="A523" s="14">
        <v>43090</v>
      </c>
      <c r="B523">
        <v>2884</v>
      </c>
      <c r="C523">
        <v>2926</v>
      </c>
      <c r="D523">
        <v>2585</v>
      </c>
      <c r="E523">
        <v>2585</v>
      </c>
      <c r="F523">
        <v>1.13191489361702</v>
      </c>
      <c r="G523">
        <v>0.96446091398236999</v>
      </c>
      <c r="H523">
        <v>0.101901590612081</v>
      </c>
      <c r="I523">
        <v>1.6432911265547701</v>
      </c>
      <c r="J523">
        <v>14.79</v>
      </c>
      <c r="K523">
        <v>2926</v>
      </c>
      <c r="L523">
        <v>2129.0567484662574</v>
      </c>
    </row>
    <row r="524" spans="1:12">
      <c r="A524" s="14">
        <v>43089</v>
      </c>
      <c r="B524">
        <v>2868</v>
      </c>
      <c r="C524">
        <v>2917</v>
      </c>
      <c r="D524">
        <v>2559</v>
      </c>
      <c r="E524">
        <v>2580</v>
      </c>
      <c r="F524">
        <v>1.13062015503875</v>
      </c>
      <c r="G524">
        <v>0.96040283613571797</v>
      </c>
      <c r="H524">
        <v>0.101210094797881</v>
      </c>
      <c r="I524">
        <v>1.68182155389704</v>
      </c>
      <c r="J524">
        <v>15.06</v>
      </c>
      <c r="K524">
        <v>2917</v>
      </c>
      <c r="L524">
        <v>2124.9386503067485</v>
      </c>
    </row>
    <row r="525" spans="1:12">
      <c r="A525" s="14">
        <v>43088</v>
      </c>
      <c r="B525">
        <v>2850</v>
      </c>
      <c r="C525">
        <v>2868</v>
      </c>
      <c r="D525">
        <v>2523</v>
      </c>
      <c r="E525">
        <v>2563</v>
      </c>
      <c r="F525">
        <v>1.11900117050331</v>
      </c>
      <c r="G525">
        <v>0.95602557515380604</v>
      </c>
      <c r="H525">
        <v>0.10085228131339</v>
      </c>
      <c r="I525">
        <v>1.61598323039491</v>
      </c>
      <c r="J525">
        <v>14.56</v>
      </c>
      <c r="K525">
        <v>2868</v>
      </c>
      <c r="L525">
        <v>2110.937116564417</v>
      </c>
    </row>
    <row r="526" spans="1:12">
      <c r="A526" s="14">
        <v>43087</v>
      </c>
      <c r="B526">
        <v>2911</v>
      </c>
      <c r="C526">
        <v>2837</v>
      </c>
      <c r="D526">
        <v>2446</v>
      </c>
      <c r="E526">
        <v>2526</v>
      </c>
      <c r="F526">
        <v>1.12311955661124</v>
      </c>
      <c r="G526">
        <v>0.95193823619537399</v>
      </c>
      <c r="H526">
        <v>0.100375190102665</v>
      </c>
      <c r="I526">
        <v>1.7054146571556199</v>
      </c>
      <c r="J526">
        <v>15.24</v>
      </c>
      <c r="K526">
        <v>2837</v>
      </c>
      <c r="L526">
        <v>2080.4631901840489</v>
      </c>
    </row>
    <row r="527" spans="1:12">
      <c r="A527" s="14">
        <v>43084</v>
      </c>
      <c r="B527">
        <v>2900</v>
      </c>
      <c r="C527">
        <v>2861</v>
      </c>
      <c r="D527">
        <v>2496</v>
      </c>
      <c r="E527">
        <v>2414</v>
      </c>
      <c r="F527">
        <v>1.18516984258492</v>
      </c>
      <c r="G527">
        <v>0.94800548564463905</v>
      </c>
      <c r="H527">
        <v>9.9364354343209102E-2</v>
      </c>
      <c r="I527">
        <v>2.3868152569190402</v>
      </c>
      <c r="J527">
        <v>20.010000000000002</v>
      </c>
      <c r="K527">
        <v>2861</v>
      </c>
      <c r="L527">
        <v>1988.2177914110428</v>
      </c>
    </row>
    <row r="528" spans="1:12">
      <c r="A528" s="14">
        <v>43083</v>
      </c>
      <c r="B528">
        <v>2700</v>
      </c>
      <c r="C528">
        <v>2724</v>
      </c>
      <c r="D528">
        <v>2493</v>
      </c>
      <c r="E528">
        <v>2522</v>
      </c>
      <c r="F528">
        <v>1.08009516256938</v>
      </c>
      <c r="G528">
        <v>0.94328887301355602</v>
      </c>
      <c r="H528">
        <v>9.6344622473356595E-2</v>
      </c>
      <c r="I528">
        <v>1.4199680900059</v>
      </c>
      <c r="J528">
        <v>12.67</v>
      </c>
      <c r="K528">
        <v>2724</v>
      </c>
      <c r="L528">
        <v>2077.1687116564417</v>
      </c>
    </row>
    <row r="529" spans="1:12">
      <c r="A529" s="14">
        <v>43082</v>
      </c>
      <c r="B529">
        <v>2620</v>
      </c>
      <c r="C529">
        <v>2623</v>
      </c>
      <c r="D529">
        <v>2505</v>
      </c>
      <c r="E529">
        <v>2482</v>
      </c>
      <c r="F529">
        <v>1.0568090249798501</v>
      </c>
      <c r="G529">
        <v>0.93980705088393601</v>
      </c>
      <c r="H529">
        <v>9.6055839291379896E-2</v>
      </c>
      <c r="I529">
        <v>1.21806206638828</v>
      </c>
      <c r="J529">
        <v>11.07</v>
      </c>
      <c r="K529">
        <v>2623</v>
      </c>
      <c r="L529">
        <v>2044.2239263803681</v>
      </c>
    </row>
    <row r="530" spans="1:12">
      <c r="A530" s="14">
        <v>43081</v>
      </c>
      <c r="B530">
        <v>2618</v>
      </c>
      <c r="C530">
        <v>2634</v>
      </c>
      <c r="D530">
        <v>2509</v>
      </c>
      <c r="E530">
        <v>2504</v>
      </c>
      <c r="F530">
        <v>1.0519169329073399</v>
      </c>
      <c r="G530">
        <v>0.936767314935255</v>
      </c>
      <c r="H530">
        <v>9.5912322731280503E-2</v>
      </c>
      <c r="I530">
        <v>1.2005716751820199</v>
      </c>
      <c r="J530">
        <v>10.95</v>
      </c>
      <c r="K530">
        <v>2634</v>
      </c>
      <c r="L530">
        <v>2062.3435582822085</v>
      </c>
    </row>
    <row r="531" spans="1:12">
      <c r="A531" s="14">
        <v>43080</v>
      </c>
      <c r="B531">
        <v>2642</v>
      </c>
      <c r="C531">
        <v>2634</v>
      </c>
      <c r="D531">
        <v>2527</v>
      </c>
      <c r="E531">
        <v>2528</v>
      </c>
      <c r="F531">
        <v>1.04193037974683</v>
      </c>
      <c r="G531">
        <v>0.93392015190183697</v>
      </c>
      <c r="H531">
        <v>9.5620830071592805E-2</v>
      </c>
      <c r="I531">
        <v>1.1295679797396501</v>
      </c>
      <c r="J531">
        <v>10.37</v>
      </c>
      <c r="K531">
        <v>2634</v>
      </c>
      <c r="L531">
        <v>2082.1104294478528</v>
      </c>
    </row>
    <row r="532" spans="1:12">
      <c r="A532" s="14">
        <v>43077</v>
      </c>
      <c r="B532">
        <v>2581</v>
      </c>
      <c r="C532">
        <v>2658</v>
      </c>
      <c r="D532">
        <v>2422</v>
      </c>
      <c r="E532">
        <v>2510</v>
      </c>
      <c r="F532">
        <v>1.05896414342629</v>
      </c>
      <c r="G532">
        <v>0.93141218941085702</v>
      </c>
      <c r="H532">
        <v>9.5220915542655493E-2</v>
      </c>
      <c r="I532">
        <v>1.3395371519852499</v>
      </c>
      <c r="J532">
        <v>12.04</v>
      </c>
      <c r="K532">
        <v>2658</v>
      </c>
      <c r="L532">
        <v>2067.2852760736196</v>
      </c>
    </row>
    <row r="533" spans="1:12">
      <c r="A533" s="14">
        <v>43076</v>
      </c>
      <c r="B533">
        <v>2616</v>
      </c>
      <c r="C533">
        <v>2631</v>
      </c>
      <c r="D533">
        <v>2423</v>
      </c>
      <c r="E533">
        <v>2422</v>
      </c>
      <c r="F533">
        <v>1.0862923203963599</v>
      </c>
      <c r="G533">
        <v>0.92881140517108995</v>
      </c>
      <c r="H533">
        <v>9.4361508859526697E-2</v>
      </c>
      <c r="I533">
        <v>1.6689105243083</v>
      </c>
      <c r="J533">
        <v>14.5</v>
      </c>
      <c r="K533">
        <v>2631</v>
      </c>
      <c r="L533">
        <v>1994.8067484662577</v>
      </c>
    </row>
    <row r="534" spans="1:12">
      <c r="A534" s="14">
        <v>43075</v>
      </c>
      <c r="B534">
        <v>2650</v>
      </c>
      <c r="C534">
        <v>2605</v>
      </c>
      <c r="D534">
        <v>2424</v>
      </c>
      <c r="E534">
        <v>2417</v>
      </c>
      <c r="F534">
        <v>1.0777823748448401</v>
      </c>
      <c r="G534">
        <v>0.92552905795340201</v>
      </c>
      <c r="H534">
        <v>9.3099633229361198E-2</v>
      </c>
      <c r="I534">
        <v>1.6353804156924301</v>
      </c>
      <c r="J534">
        <v>14.13</v>
      </c>
      <c r="K534">
        <v>2605</v>
      </c>
      <c r="L534">
        <v>1990.6886503067483</v>
      </c>
    </row>
    <row r="535" spans="1:12">
      <c r="A535" s="14">
        <v>43074</v>
      </c>
      <c r="B535">
        <v>2657</v>
      </c>
      <c r="C535">
        <v>2662</v>
      </c>
      <c r="D535">
        <v>2451</v>
      </c>
      <c r="E535">
        <v>2437</v>
      </c>
      <c r="F535">
        <v>1.09232663110381</v>
      </c>
      <c r="G535">
        <v>0.922537072404092</v>
      </c>
      <c r="H535">
        <v>9.1754610764325104E-2</v>
      </c>
      <c r="I535">
        <v>1.85047440434174</v>
      </c>
      <c r="J535">
        <v>15.54</v>
      </c>
      <c r="K535">
        <v>2662</v>
      </c>
      <c r="L535">
        <v>2007.1610429447851</v>
      </c>
    </row>
    <row r="536" spans="1:12">
      <c r="A536" s="14">
        <v>43073</v>
      </c>
      <c r="B536">
        <v>2717</v>
      </c>
      <c r="C536">
        <v>2678</v>
      </c>
      <c r="D536">
        <v>2490</v>
      </c>
      <c r="E536">
        <v>2464</v>
      </c>
      <c r="F536">
        <v>1.08685064935064</v>
      </c>
      <c r="G536">
        <v>0.91921034108508504</v>
      </c>
      <c r="H536">
        <v>9.0045480537755199E-2</v>
      </c>
      <c r="I536">
        <v>1.86172928684937</v>
      </c>
      <c r="J536">
        <v>15.42</v>
      </c>
      <c r="K536">
        <v>2678</v>
      </c>
      <c r="L536">
        <v>2029.3987730061349</v>
      </c>
    </row>
    <row r="537" spans="1:12">
      <c r="A537" s="14">
        <v>43070</v>
      </c>
      <c r="B537">
        <v>2698</v>
      </c>
      <c r="C537">
        <v>2671</v>
      </c>
      <c r="D537">
        <v>2490</v>
      </c>
      <c r="E537">
        <v>2480</v>
      </c>
      <c r="F537">
        <v>1.07701612903225</v>
      </c>
      <c r="G537">
        <v>0.91617785543962804</v>
      </c>
      <c r="H537">
        <v>8.8158701377103701E-2</v>
      </c>
      <c r="I537">
        <v>1.8244174548878</v>
      </c>
      <c r="J537">
        <v>14.93</v>
      </c>
      <c r="K537">
        <v>2671</v>
      </c>
      <c r="L537">
        <v>2042.5766871165642</v>
      </c>
    </row>
    <row r="538" spans="1:12">
      <c r="A538" s="14">
        <v>43069</v>
      </c>
      <c r="B538">
        <v>2662</v>
      </c>
      <c r="C538">
        <v>2698</v>
      </c>
      <c r="D538">
        <v>2478</v>
      </c>
      <c r="E538">
        <v>2479</v>
      </c>
      <c r="F538">
        <v>1.0883420734167</v>
      </c>
      <c r="G538">
        <v>0.91377622537292202</v>
      </c>
      <c r="H538">
        <v>8.6175563574273806E-2</v>
      </c>
      <c r="I538">
        <v>2.0257001034094801</v>
      </c>
      <c r="J538">
        <v>16.04</v>
      </c>
      <c r="K538">
        <v>2698</v>
      </c>
      <c r="L538">
        <v>2041.7530674846626</v>
      </c>
    </row>
    <row r="539" spans="1:12">
      <c r="A539" s="14">
        <v>43068</v>
      </c>
      <c r="B539">
        <v>2631</v>
      </c>
      <c r="C539">
        <v>2658</v>
      </c>
      <c r="D539">
        <v>2433</v>
      </c>
      <c r="E539">
        <v>2461</v>
      </c>
      <c r="F539">
        <v>1.08004876066639</v>
      </c>
      <c r="G539">
        <v>0.91154292208972398</v>
      </c>
      <c r="H539">
        <v>8.3759157214323907E-2</v>
      </c>
      <c r="I539">
        <v>2.0117900439888201</v>
      </c>
      <c r="J539">
        <v>15.6</v>
      </c>
      <c r="K539">
        <v>2658</v>
      </c>
      <c r="L539">
        <v>2026.9279141104294</v>
      </c>
    </row>
    <row r="540" spans="1:12">
      <c r="A540" s="14">
        <v>43067</v>
      </c>
      <c r="B540">
        <v>2621</v>
      </c>
      <c r="C540">
        <v>2609</v>
      </c>
      <c r="D540">
        <v>2430</v>
      </c>
      <c r="E540">
        <v>2408</v>
      </c>
      <c r="F540">
        <v>1.0834717607973401</v>
      </c>
      <c r="G540">
        <v>0.909077003882237</v>
      </c>
      <c r="H540">
        <v>8.1452617387477694E-2</v>
      </c>
      <c r="I540">
        <v>2.1410577401766302</v>
      </c>
      <c r="J540">
        <v>16.100000000000001</v>
      </c>
      <c r="K540">
        <v>2609</v>
      </c>
      <c r="L540">
        <v>1983.2760736196319</v>
      </c>
    </row>
    <row r="541" spans="1:12">
      <c r="A541" s="14">
        <v>43066</v>
      </c>
      <c r="B541">
        <v>2668</v>
      </c>
      <c r="C541">
        <v>2629</v>
      </c>
      <c r="D541">
        <v>2494</v>
      </c>
      <c r="E541">
        <v>2449</v>
      </c>
      <c r="F541">
        <v>1.0734993875051</v>
      </c>
      <c r="G541">
        <v>0.90637811858256301</v>
      </c>
      <c r="H541">
        <v>7.8944288238054106E-2</v>
      </c>
      <c r="I541">
        <v>2.11695200061328</v>
      </c>
      <c r="J541">
        <v>15.57</v>
      </c>
      <c r="K541">
        <v>2629</v>
      </c>
      <c r="L541">
        <v>2017.0444785276072</v>
      </c>
    </row>
    <row r="542" spans="1:12">
      <c r="A542" s="14">
        <v>43063</v>
      </c>
      <c r="B542">
        <v>2635</v>
      </c>
      <c r="C542">
        <v>2665</v>
      </c>
      <c r="D542">
        <v>2476</v>
      </c>
      <c r="E542">
        <v>2494</v>
      </c>
      <c r="F542">
        <v>1.0685645549318299</v>
      </c>
      <c r="G542">
        <v>0.90357380242483698</v>
      </c>
      <c r="H542">
        <v>7.6660478020022599E-2</v>
      </c>
      <c r="I542">
        <v>2.1522270245158799</v>
      </c>
      <c r="J542">
        <v>15.44</v>
      </c>
      <c r="K542">
        <v>2665</v>
      </c>
      <c r="L542">
        <v>2054.1073619631902</v>
      </c>
    </row>
    <row r="543" spans="1:12">
      <c r="A543" s="14">
        <v>43061</v>
      </c>
      <c r="B543">
        <v>2669</v>
      </c>
      <c r="C543">
        <v>2649</v>
      </c>
      <c r="D543">
        <v>2517</v>
      </c>
      <c r="E543">
        <v>2475</v>
      </c>
      <c r="F543">
        <v>1.0703030303030301</v>
      </c>
      <c r="G543">
        <v>0.90062708803387603</v>
      </c>
      <c r="H543">
        <v>7.4478311894289106E-2</v>
      </c>
      <c r="I543">
        <v>2.2781926436515199</v>
      </c>
      <c r="J543">
        <v>15.85</v>
      </c>
      <c r="K543">
        <v>2649</v>
      </c>
      <c r="L543">
        <v>2038.4585889570551</v>
      </c>
    </row>
    <row r="544" spans="1:12">
      <c r="A544" s="14">
        <v>43060</v>
      </c>
      <c r="B544">
        <v>2581</v>
      </c>
      <c r="C544">
        <v>2599</v>
      </c>
      <c r="D544">
        <v>2480</v>
      </c>
      <c r="E544">
        <v>2496</v>
      </c>
      <c r="F544">
        <v>1.04126602564102</v>
      </c>
      <c r="G544">
        <v>0.89739574658197396</v>
      </c>
      <c r="H544">
        <v>7.2271246925475596E-2</v>
      </c>
      <c r="I544">
        <v>1.9906987243129599</v>
      </c>
      <c r="J544">
        <v>13.82</v>
      </c>
      <c r="K544">
        <v>2599</v>
      </c>
      <c r="L544">
        <v>2055.7546012269936</v>
      </c>
    </row>
    <row r="545" spans="1:12">
      <c r="A545" s="14">
        <v>43059</v>
      </c>
      <c r="B545">
        <v>2529</v>
      </c>
      <c r="C545">
        <v>2580</v>
      </c>
      <c r="D545">
        <v>2479</v>
      </c>
      <c r="E545">
        <v>2443</v>
      </c>
      <c r="F545">
        <v>1.05607859189521</v>
      </c>
      <c r="G545">
        <v>0.89469425306781802</v>
      </c>
      <c r="H545">
        <v>7.0610628477356704E-2</v>
      </c>
      <c r="I545">
        <v>2.2855530719308699</v>
      </c>
      <c r="J545">
        <v>15.28</v>
      </c>
      <c r="K545">
        <v>2580</v>
      </c>
      <c r="L545">
        <v>2012.1027607361962</v>
      </c>
    </row>
    <row r="546" spans="1:12">
      <c r="A546" s="14">
        <v>43056</v>
      </c>
      <c r="B546">
        <v>2521</v>
      </c>
      <c r="C546">
        <v>2529</v>
      </c>
      <c r="D546">
        <v>2510</v>
      </c>
      <c r="E546">
        <v>2501</v>
      </c>
      <c r="F546">
        <v>1.01119552179128</v>
      </c>
      <c r="G546">
        <v>0.89146276769352295</v>
      </c>
      <c r="H546">
        <v>6.8670105755287203E-2</v>
      </c>
      <c r="I546">
        <v>1.7435935591018299</v>
      </c>
      <c r="J546">
        <v>11.84</v>
      </c>
      <c r="K546">
        <v>2529</v>
      </c>
      <c r="L546">
        <v>2059.872699386503</v>
      </c>
    </row>
    <row r="547" spans="1:12">
      <c r="A547" s="14">
        <v>43055</v>
      </c>
      <c r="B547">
        <v>2452</v>
      </c>
      <c r="C547">
        <v>2497</v>
      </c>
      <c r="D547">
        <v>2424</v>
      </c>
      <c r="E547">
        <v>2477</v>
      </c>
      <c r="F547">
        <v>1.00807428340734</v>
      </c>
      <c r="G547">
        <v>0.88753149153478506</v>
      </c>
      <c r="H547">
        <v>7.0127336800398801E-2</v>
      </c>
      <c r="I547">
        <v>1.71891301413112</v>
      </c>
      <c r="J547">
        <v>11.96</v>
      </c>
      <c r="K547">
        <v>2497</v>
      </c>
      <c r="L547">
        <v>2040.1058282208587</v>
      </c>
    </row>
    <row r="548" spans="1:12">
      <c r="A548" s="14">
        <v>43054</v>
      </c>
      <c r="B548">
        <v>2527</v>
      </c>
      <c r="C548">
        <v>2465</v>
      </c>
      <c r="D548">
        <v>2493</v>
      </c>
      <c r="E548">
        <v>2456</v>
      </c>
      <c r="F548">
        <v>1.0036644951139999</v>
      </c>
      <c r="G548">
        <v>0.883955084422687</v>
      </c>
      <c r="H548">
        <v>7.0725766661907705E-2</v>
      </c>
      <c r="I548">
        <v>1.69258555037755</v>
      </c>
      <c r="J548">
        <v>11.93</v>
      </c>
      <c r="K548">
        <v>2465</v>
      </c>
      <c r="L548">
        <v>2022.8098159509202</v>
      </c>
    </row>
    <row r="549" spans="1:12">
      <c r="A549" s="14">
        <v>43053</v>
      </c>
      <c r="B549">
        <v>2515</v>
      </c>
      <c r="C549">
        <v>2526</v>
      </c>
      <c r="D549">
        <v>2566</v>
      </c>
      <c r="E549">
        <v>2561</v>
      </c>
      <c r="F549">
        <v>0.98633346349082296</v>
      </c>
      <c r="G549">
        <v>0.88022174611633197</v>
      </c>
      <c r="H549">
        <v>7.1691707443064606E-2</v>
      </c>
      <c r="I549">
        <v>1.4801114544351099</v>
      </c>
      <c r="J549">
        <v>10.76</v>
      </c>
      <c r="K549">
        <v>2526</v>
      </c>
      <c r="L549">
        <v>2109.2898773006136</v>
      </c>
    </row>
    <row r="550" spans="1:12">
      <c r="A550" s="14">
        <v>43052</v>
      </c>
      <c r="B550">
        <v>2426</v>
      </c>
      <c r="C550">
        <v>2502</v>
      </c>
      <c r="D550">
        <v>2610</v>
      </c>
      <c r="E550">
        <v>2561</v>
      </c>
      <c r="F550">
        <v>0.97696212417024597</v>
      </c>
      <c r="G550">
        <v>0.87657699459294303</v>
      </c>
      <c r="H550">
        <v>7.3138437502984793E-2</v>
      </c>
      <c r="I550">
        <v>1.37253587859606</v>
      </c>
      <c r="J550">
        <v>10.28</v>
      </c>
      <c r="K550">
        <v>2502</v>
      </c>
      <c r="L550">
        <v>2109.2898773006136</v>
      </c>
    </row>
    <row r="551" spans="1:12">
      <c r="A551" s="14">
        <v>43049</v>
      </c>
      <c r="B551">
        <v>2381</v>
      </c>
      <c r="C551">
        <v>2393</v>
      </c>
      <c r="D551">
        <v>2615</v>
      </c>
      <c r="E551">
        <v>2631</v>
      </c>
      <c r="F551">
        <v>0.90954009882174003</v>
      </c>
      <c r="G551">
        <v>0.87295577494440002</v>
      </c>
      <c r="H551">
        <v>7.4783534164051896E-2</v>
      </c>
      <c r="I551">
        <v>0.48920292797457199</v>
      </c>
      <c r="J551">
        <v>4.0199999999999996</v>
      </c>
      <c r="K551">
        <v>2393</v>
      </c>
      <c r="L551">
        <v>2166.9432515337421</v>
      </c>
    </row>
    <row r="552" spans="1:12">
      <c r="A552" s="14">
        <v>43048</v>
      </c>
      <c r="B552">
        <v>2426</v>
      </c>
      <c r="C552">
        <v>2413</v>
      </c>
      <c r="D552">
        <v>2640</v>
      </c>
      <c r="E552">
        <v>2651</v>
      </c>
      <c r="F552">
        <v>0.91022255752546199</v>
      </c>
      <c r="G552">
        <v>0.87030357990660601</v>
      </c>
      <c r="H552">
        <v>7.6935334586507101E-2</v>
      </c>
      <c r="I552">
        <v>0.51886402825700795</v>
      </c>
      <c r="J552">
        <v>4.3899999999999997</v>
      </c>
      <c r="K552">
        <v>2413</v>
      </c>
      <c r="L552">
        <v>2183.4156441717791</v>
      </c>
    </row>
    <row r="553" spans="1:12">
      <c r="A553" s="14">
        <v>43047</v>
      </c>
      <c r="B553">
        <v>2452</v>
      </c>
      <c r="C553">
        <v>2416</v>
      </c>
      <c r="D553">
        <v>2563</v>
      </c>
      <c r="E553">
        <v>2622</v>
      </c>
      <c r="F553">
        <v>0.92143401983218898</v>
      </c>
      <c r="G553">
        <v>0.86771682868914901</v>
      </c>
      <c r="H553">
        <v>7.8788829396954294E-2</v>
      </c>
      <c r="I553">
        <v>0.68178689230679301</v>
      </c>
      <c r="J553">
        <v>5.83</v>
      </c>
      <c r="K553">
        <v>2416</v>
      </c>
      <c r="L553">
        <v>2159.5306748466255</v>
      </c>
    </row>
    <row r="554" spans="1:12">
      <c r="A554" s="14">
        <v>43046</v>
      </c>
      <c r="B554">
        <v>2505</v>
      </c>
      <c r="C554">
        <v>2452</v>
      </c>
      <c r="D554">
        <v>2489</v>
      </c>
      <c r="E554">
        <v>2565</v>
      </c>
      <c r="F554">
        <v>0.95594541910331299</v>
      </c>
      <c r="G554">
        <v>0.86512801145502305</v>
      </c>
      <c r="H554">
        <v>8.0159202734613702E-2</v>
      </c>
      <c r="I554">
        <v>1.1329629605843601</v>
      </c>
      <c r="J554">
        <v>9.5</v>
      </c>
      <c r="K554">
        <v>2452</v>
      </c>
      <c r="L554">
        <v>2112.5843558282209</v>
      </c>
    </row>
    <row r="555" spans="1:12">
      <c r="A555" s="14">
        <v>43045</v>
      </c>
      <c r="B555">
        <v>2512</v>
      </c>
      <c r="C555">
        <v>2504</v>
      </c>
      <c r="D555">
        <v>2565</v>
      </c>
      <c r="E555">
        <v>2523</v>
      </c>
      <c r="F555">
        <v>0.99246928260007905</v>
      </c>
      <c r="G555">
        <v>0.86232759782547397</v>
      </c>
      <c r="H555">
        <v>8.06050655445264E-2</v>
      </c>
      <c r="I555">
        <v>1.61455962966389</v>
      </c>
      <c r="J555">
        <v>13.11</v>
      </c>
      <c r="K555">
        <v>2504</v>
      </c>
      <c r="L555">
        <v>2077.9923312883434</v>
      </c>
    </row>
    <row r="556" spans="1:12">
      <c r="A556" s="14">
        <v>43041</v>
      </c>
      <c r="B556">
        <v>2518</v>
      </c>
      <c r="C556">
        <v>2493</v>
      </c>
      <c r="D556">
        <v>2489</v>
      </c>
      <c r="E556">
        <v>2586</v>
      </c>
      <c r="F556">
        <v>0.96403712296983701</v>
      </c>
      <c r="G556">
        <v>0.85901362830583905</v>
      </c>
      <c r="H556">
        <v>8.0295096939891605E-2</v>
      </c>
      <c r="I556">
        <v>1.30796896281995</v>
      </c>
      <c r="J556">
        <v>10.89</v>
      </c>
      <c r="K556">
        <v>2493</v>
      </c>
      <c r="L556">
        <v>2129.8803680981596</v>
      </c>
    </row>
    <row r="557" spans="1:12">
      <c r="A557" s="14">
        <v>43040</v>
      </c>
      <c r="B557">
        <v>2497</v>
      </c>
      <c r="C557">
        <v>2508</v>
      </c>
      <c r="D557">
        <v>2439</v>
      </c>
      <c r="E557">
        <v>2464</v>
      </c>
      <c r="F557">
        <v>1.0178571428571399</v>
      </c>
      <c r="G557">
        <v>0.85600354999957495</v>
      </c>
      <c r="H557">
        <v>8.0532769671995505E-2</v>
      </c>
      <c r="I557">
        <v>2.0097855011914501</v>
      </c>
      <c r="J557">
        <v>15.9</v>
      </c>
      <c r="K557">
        <v>2508</v>
      </c>
      <c r="L557">
        <v>2029.3987730061349</v>
      </c>
    </row>
    <row r="558" spans="1:12">
      <c r="A558" s="14">
        <v>43039</v>
      </c>
      <c r="B558">
        <v>2440</v>
      </c>
      <c r="C558">
        <v>2461</v>
      </c>
      <c r="D558">
        <v>2546</v>
      </c>
      <c r="E558">
        <v>2438</v>
      </c>
      <c r="F558">
        <v>1.0094339622641499</v>
      </c>
      <c r="G558">
        <v>0.852456063966055</v>
      </c>
      <c r="H558">
        <v>7.9173511356144297E-2</v>
      </c>
      <c r="I558">
        <v>1.98270729198766</v>
      </c>
      <c r="J558">
        <v>15.55</v>
      </c>
      <c r="K558">
        <v>2461</v>
      </c>
      <c r="L558">
        <v>2007.984662576687</v>
      </c>
    </row>
    <row r="559" spans="1:12">
      <c r="A559" s="14">
        <v>43038</v>
      </c>
      <c r="B559">
        <v>2396</v>
      </c>
      <c r="C559">
        <v>2429</v>
      </c>
      <c r="D559">
        <v>2496</v>
      </c>
      <c r="E559">
        <v>2564</v>
      </c>
      <c r="F559">
        <v>0.94734789391575602</v>
      </c>
      <c r="G559">
        <v>0.84924708041264696</v>
      </c>
      <c r="H559">
        <v>7.7607902276085106E-2</v>
      </c>
      <c r="I559">
        <v>1.2640570177263799</v>
      </c>
      <c r="J559">
        <v>10.36</v>
      </c>
      <c r="K559">
        <v>2429</v>
      </c>
      <c r="L559">
        <v>2111.7607361963187</v>
      </c>
    </row>
    <row r="560" spans="1:12">
      <c r="A560" s="14">
        <v>43035</v>
      </c>
      <c r="B560">
        <v>2410</v>
      </c>
      <c r="C560">
        <v>2402</v>
      </c>
      <c r="D560">
        <v>2487</v>
      </c>
      <c r="E560">
        <v>2495</v>
      </c>
      <c r="F560">
        <v>0.96272545090180295</v>
      </c>
      <c r="G560">
        <v>0.846877160231846</v>
      </c>
      <c r="H560">
        <v>7.7289241835041503E-2</v>
      </c>
      <c r="I560">
        <v>1.4988928331993701</v>
      </c>
      <c r="J560">
        <v>12.03</v>
      </c>
      <c r="K560">
        <v>2402</v>
      </c>
      <c r="L560">
        <v>2054.9309815950919</v>
      </c>
    </row>
    <row r="561" spans="1:12">
      <c r="A561" s="14">
        <v>43034</v>
      </c>
      <c r="B561">
        <v>2415</v>
      </c>
      <c r="C561">
        <v>2403</v>
      </c>
      <c r="D561">
        <v>2490</v>
      </c>
      <c r="E561">
        <v>2482</v>
      </c>
      <c r="F561">
        <v>0.96817082997582504</v>
      </c>
      <c r="G561">
        <v>0.84419121738635206</v>
      </c>
      <c r="H561">
        <v>7.6714799824971494E-2</v>
      </c>
      <c r="I561">
        <v>1.61611074880386</v>
      </c>
      <c r="J561">
        <v>12.81</v>
      </c>
      <c r="K561">
        <v>2403</v>
      </c>
      <c r="L561">
        <v>2044.2239263803681</v>
      </c>
    </row>
    <row r="562" spans="1:12">
      <c r="A562" s="14">
        <v>43033</v>
      </c>
      <c r="B562">
        <v>2417</v>
      </c>
      <c r="C562">
        <v>2411</v>
      </c>
      <c r="D562">
        <v>2587</v>
      </c>
      <c r="E562">
        <v>2621</v>
      </c>
      <c r="F562">
        <v>0.91987790919496304</v>
      </c>
      <c r="G562">
        <v>0.84191045634830497</v>
      </c>
      <c r="H562">
        <v>7.5528558968848802E-2</v>
      </c>
      <c r="I562">
        <v>1.0322910156251699</v>
      </c>
      <c r="J562">
        <v>8.48</v>
      </c>
      <c r="K562">
        <v>2411</v>
      </c>
      <c r="L562">
        <v>2158.7070552147238</v>
      </c>
    </row>
    <row r="563" spans="1:12">
      <c r="A563" s="14">
        <v>43032</v>
      </c>
      <c r="B563">
        <v>2377</v>
      </c>
      <c r="C563">
        <v>2397</v>
      </c>
      <c r="D563">
        <v>2570</v>
      </c>
      <c r="E563">
        <v>2577</v>
      </c>
      <c r="F563">
        <v>0.93015133876600697</v>
      </c>
      <c r="G563">
        <v>0.84050728970515698</v>
      </c>
      <c r="H563">
        <v>7.5043037200291596E-2</v>
      </c>
      <c r="I563">
        <v>1.19456850902219</v>
      </c>
      <c r="J563">
        <v>9.64</v>
      </c>
      <c r="K563">
        <v>2397</v>
      </c>
      <c r="L563">
        <v>2122.467791411043</v>
      </c>
    </row>
    <row r="564" spans="1:12">
      <c r="A564" s="14">
        <v>43031</v>
      </c>
      <c r="B564">
        <v>2385</v>
      </c>
      <c r="C564">
        <v>2357</v>
      </c>
      <c r="D564">
        <v>2541</v>
      </c>
      <c r="E564">
        <v>2567</v>
      </c>
      <c r="F564">
        <v>0.91819244253992904</v>
      </c>
      <c r="G564">
        <v>0.83877193852161003</v>
      </c>
      <c r="H564">
        <v>7.4452511408350505E-2</v>
      </c>
      <c r="I564">
        <v>1.0667269984046699</v>
      </c>
      <c r="J564">
        <v>8.65</v>
      </c>
      <c r="K564">
        <v>2357</v>
      </c>
      <c r="L564">
        <v>2114.2315950920242</v>
      </c>
    </row>
    <row r="565" spans="1:12">
      <c r="A565" s="14">
        <v>43028</v>
      </c>
      <c r="B565">
        <v>2358</v>
      </c>
      <c r="C565">
        <v>2369</v>
      </c>
      <c r="D565">
        <v>2455</v>
      </c>
      <c r="E565">
        <v>2512</v>
      </c>
      <c r="F565">
        <v>0.94307324840764295</v>
      </c>
      <c r="G565">
        <v>0.83731183177842905</v>
      </c>
      <c r="H565">
        <v>7.3952776107407206E-2</v>
      </c>
      <c r="I565">
        <v>1.43012097984811</v>
      </c>
      <c r="J565">
        <v>11.21</v>
      </c>
      <c r="K565">
        <v>2369</v>
      </c>
      <c r="L565">
        <v>2068.9325153374234</v>
      </c>
    </row>
    <row r="566" spans="1:12">
      <c r="A566" s="14">
        <v>43027</v>
      </c>
      <c r="B566">
        <v>2366</v>
      </c>
      <c r="C566">
        <v>2358</v>
      </c>
      <c r="D566">
        <v>2445</v>
      </c>
      <c r="E566">
        <v>2463</v>
      </c>
      <c r="F566">
        <v>0.95736906211936601</v>
      </c>
      <c r="G566">
        <v>0.83548141731357395</v>
      </c>
      <c r="H566">
        <v>7.3005270403732794E-2</v>
      </c>
      <c r="I566">
        <v>1.6695732257648099</v>
      </c>
      <c r="J566">
        <v>12.73</v>
      </c>
      <c r="K566">
        <v>2358</v>
      </c>
      <c r="L566">
        <v>2028.575153374233</v>
      </c>
    </row>
    <row r="567" spans="1:12">
      <c r="A567" s="14">
        <v>43026</v>
      </c>
      <c r="B567">
        <v>2416</v>
      </c>
      <c r="C567">
        <v>2385</v>
      </c>
      <c r="D567">
        <v>2411</v>
      </c>
      <c r="E567">
        <v>2430</v>
      </c>
      <c r="F567">
        <v>0.98148148148148096</v>
      </c>
      <c r="G567">
        <v>0.83365770702687303</v>
      </c>
      <c r="H567">
        <v>7.1633176845234001E-2</v>
      </c>
      <c r="I567">
        <v>2.0636216480247098</v>
      </c>
      <c r="J567">
        <v>15.06</v>
      </c>
      <c r="K567">
        <v>2385</v>
      </c>
      <c r="L567">
        <v>2001.3957055214723</v>
      </c>
    </row>
    <row r="568" spans="1:12">
      <c r="A568" s="14">
        <v>43025</v>
      </c>
      <c r="B568">
        <v>2450</v>
      </c>
      <c r="C568">
        <v>2440</v>
      </c>
      <c r="D568">
        <v>2370</v>
      </c>
      <c r="E568">
        <v>2405</v>
      </c>
      <c r="F568">
        <v>1.0145530145530099</v>
      </c>
      <c r="G568">
        <v>0.83164385159873599</v>
      </c>
      <c r="H568">
        <v>6.9541613559628193E-2</v>
      </c>
      <c r="I568">
        <v>2.63021166164692</v>
      </c>
      <c r="J568">
        <v>18.03</v>
      </c>
      <c r="K568">
        <v>2440</v>
      </c>
      <c r="L568">
        <v>1980.8052147239264</v>
      </c>
    </row>
    <row r="569" spans="1:12">
      <c r="A569" s="14">
        <v>43024</v>
      </c>
      <c r="B569">
        <v>2433</v>
      </c>
      <c r="C569">
        <v>2440</v>
      </c>
      <c r="D569">
        <v>2381</v>
      </c>
      <c r="E569">
        <v>2368</v>
      </c>
      <c r="F569">
        <v>1.0304054054053999</v>
      </c>
      <c r="G569">
        <v>0.82915056241567198</v>
      </c>
      <c r="H569">
        <v>6.6211520688250994E-2</v>
      </c>
      <c r="I569">
        <v>3.0395743957810102</v>
      </c>
      <c r="J569">
        <v>19.53</v>
      </c>
      <c r="K569">
        <v>2440</v>
      </c>
      <c r="L569">
        <v>1950.3312883435583</v>
      </c>
    </row>
    <row r="570" spans="1:12">
      <c r="A570" s="14">
        <v>43021</v>
      </c>
      <c r="B570">
        <v>2385</v>
      </c>
      <c r="C570">
        <v>2435</v>
      </c>
      <c r="D570">
        <v>2416</v>
      </c>
      <c r="E570">
        <v>2412</v>
      </c>
      <c r="F570">
        <v>1.0095356550580401</v>
      </c>
      <c r="G570">
        <v>0.82663897772393102</v>
      </c>
      <c r="H570">
        <v>6.19663180557588E-2</v>
      </c>
      <c r="I570">
        <v>2.9515498592241101</v>
      </c>
      <c r="J570">
        <v>18.12</v>
      </c>
      <c r="K570">
        <v>2435</v>
      </c>
      <c r="L570">
        <v>1986.5705521472391</v>
      </c>
    </row>
    <row r="571" spans="1:12">
      <c r="A571" s="14">
        <v>43020</v>
      </c>
      <c r="B571">
        <v>2373</v>
      </c>
      <c r="C571">
        <v>2378</v>
      </c>
      <c r="D571">
        <v>2456</v>
      </c>
      <c r="E571">
        <v>2437</v>
      </c>
      <c r="F571">
        <v>0.97578990562166601</v>
      </c>
      <c r="G571">
        <v>0.82463738826480204</v>
      </c>
      <c r="H571">
        <v>5.8344897954477698E-2</v>
      </c>
      <c r="I571">
        <v>2.5906724093475502</v>
      </c>
      <c r="J571">
        <v>15.49</v>
      </c>
      <c r="K571">
        <v>2378</v>
      </c>
      <c r="L571">
        <v>2007.1610429447851</v>
      </c>
    </row>
    <row r="572" spans="1:12">
      <c r="A572" s="14">
        <v>43019</v>
      </c>
      <c r="B572">
        <v>2320</v>
      </c>
      <c r="C572">
        <v>2351</v>
      </c>
      <c r="D572">
        <v>2522</v>
      </c>
      <c r="E572">
        <v>2435</v>
      </c>
      <c r="F572">
        <v>0.96550308008213503</v>
      </c>
      <c r="G572">
        <v>0.82309257723003504</v>
      </c>
      <c r="H572">
        <v>5.5800713325900003E-2</v>
      </c>
      <c r="I572">
        <v>2.55212692390438</v>
      </c>
      <c r="J572">
        <v>14.75</v>
      </c>
      <c r="K572">
        <v>2351</v>
      </c>
      <c r="L572">
        <v>2005.5138036809815</v>
      </c>
    </row>
    <row r="573" spans="1:12">
      <c r="A573" s="14">
        <v>43018</v>
      </c>
      <c r="B573">
        <v>2219</v>
      </c>
      <c r="C573">
        <v>2314</v>
      </c>
      <c r="D573">
        <v>2470</v>
      </c>
      <c r="E573">
        <v>2542</v>
      </c>
      <c r="F573">
        <v>0.910306845003933</v>
      </c>
      <c r="G573">
        <v>0.82172305125996403</v>
      </c>
      <c r="H573">
        <v>5.35018162856679E-2</v>
      </c>
      <c r="I573">
        <v>1.65571563535309</v>
      </c>
      <c r="J573">
        <v>9.73</v>
      </c>
      <c r="K573">
        <v>2314</v>
      </c>
      <c r="L573">
        <v>2093.6411042944783</v>
      </c>
    </row>
    <row r="574" spans="1:12">
      <c r="A574" s="14">
        <v>43014</v>
      </c>
      <c r="B574">
        <v>2216</v>
      </c>
      <c r="C574">
        <v>2206</v>
      </c>
      <c r="D574">
        <v>2490</v>
      </c>
      <c r="E574">
        <v>2472</v>
      </c>
      <c r="F574">
        <v>0.89239482200647202</v>
      </c>
      <c r="G574">
        <v>0.82114356529559895</v>
      </c>
      <c r="H574">
        <v>5.2769571822309798E-2</v>
      </c>
      <c r="I574">
        <v>1.3502337474102799</v>
      </c>
      <c r="J574">
        <v>7.98</v>
      </c>
      <c r="K574">
        <v>2206</v>
      </c>
      <c r="L574">
        <v>2035.9877300613496</v>
      </c>
    </row>
    <row r="575" spans="1:12">
      <c r="A575" s="14">
        <v>43013</v>
      </c>
      <c r="B575">
        <v>2218</v>
      </c>
      <c r="C575">
        <v>2224</v>
      </c>
      <c r="D575">
        <v>2448</v>
      </c>
      <c r="E575">
        <v>2441</v>
      </c>
      <c r="F575">
        <v>0.91110200737402702</v>
      </c>
      <c r="G575">
        <v>0.82080849532205902</v>
      </c>
      <c r="H575">
        <v>5.2394537086978998E-2</v>
      </c>
      <c r="I575">
        <v>1.7233382919687299</v>
      </c>
      <c r="J575">
        <v>9.91</v>
      </c>
      <c r="K575">
        <v>2224</v>
      </c>
      <c r="L575">
        <v>2010.4555214723925</v>
      </c>
    </row>
    <row r="576" spans="1:12">
      <c r="A576" s="14">
        <v>43012</v>
      </c>
      <c r="B576">
        <v>2214</v>
      </c>
      <c r="C576">
        <v>2220</v>
      </c>
      <c r="D576">
        <v>2469</v>
      </c>
      <c r="E576">
        <v>2474</v>
      </c>
      <c r="F576">
        <v>0.89733225545674999</v>
      </c>
      <c r="G576">
        <v>0.82045722399019105</v>
      </c>
      <c r="H576">
        <v>5.1873725976447703E-2</v>
      </c>
      <c r="I576">
        <v>1.4819647137254399</v>
      </c>
      <c r="J576">
        <v>8.57</v>
      </c>
      <c r="K576">
        <v>2220</v>
      </c>
      <c r="L576">
        <v>2037.6349693251532</v>
      </c>
    </row>
    <row r="577" spans="1:12">
      <c r="A577" s="14">
        <v>43011</v>
      </c>
      <c r="B577">
        <v>2205</v>
      </c>
      <c r="C577">
        <v>2227</v>
      </c>
      <c r="D577">
        <v>2486</v>
      </c>
      <c r="E577">
        <v>2486</v>
      </c>
      <c r="F577">
        <v>0.89581657280772298</v>
      </c>
      <c r="G577">
        <v>0.82022096119910803</v>
      </c>
      <c r="H577">
        <v>5.1562473908444803E-2</v>
      </c>
      <c r="I577">
        <v>1.46609745185702</v>
      </c>
      <c r="J577">
        <v>8.44</v>
      </c>
      <c r="K577">
        <v>2227</v>
      </c>
      <c r="L577">
        <v>2047.5184049079753</v>
      </c>
    </row>
    <row r="578" spans="1:12">
      <c r="A578" s="14">
        <v>43010</v>
      </c>
      <c r="B578">
        <v>2234</v>
      </c>
      <c r="C578">
        <v>2209</v>
      </c>
      <c r="D578">
        <v>2535</v>
      </c>
      <c r="E578">
        <v>2466</v>
      </c>
      <c r="F578">
        <v>0.89578264395782603</v>
      </c>
      <c r="G578">
        <v>0.82030695741436199</v>
      </c>
      <c r="H578">
        <v>5.1693692500771403E-2</v>
      </c>
      <c r="I578">
        <v>1.4600560124881199</v>
      </c>
      <c r="J578">
        <v>8.43</v>
      </c>
      <c r="K578">
        <v>2209</v>
      </c>
      <c r="L578">
        <v>2031.0460122699385</v>
      </c>
    </row>
    <row r="579" spans="1:12">
      <c r="A579" s="14">
        <v>43007</v>
      </c>
      <c r="B579">
        <v>2220</v>
      </c>
      <c r="C579">
        <v>2235</v>
      </c>
      <c r="D579">
        <v>2571</v>
      </c>
      <c r="E579">
        <v>2536</v>
      </c>
      <c r="F579">
        <v>0.88130914826498397</v>
      </c>
      <c r="G579">
        <v>0.82022329405883698</v>
      </c>
      <c r="H579">
        <v>5.1576416249996898E-2</v>
      </c>
      <c r="I579">
        <v>1.1843757020661601</v>
      </c>
      <c r="J579">
        <v>6.93</v>
      </c>
      <c r="K579">
        <v>2235</v>
      </c>
      <c r="L579">
        <v>2088.6993865030672</v>
      </c>
    </row>
    <row r="580" spans="1:12">
      <c r="A580" s="14">
        <v>43006</v>
      </c>
      <c r="B580">
        <v>2209</v>
      </c>
      <c r="C580">
        <v>2211</v>
      </c>
      <c r="D580">
        <v>2585</v>
      </c>
      <c r="E580">
        <v>2570</v>
      </c>
      <c r="F580">
        <v>0.86031128404669199</v>
      </c>
      <c r="G580">
        <v>0.820563641495204</v>
      </c>
      <c r="H580">
        <v>5.2060344148673499E-2</v>
      </c>
      <c r="I580">
        <v>0.76349173639684897</v>
      </c>
      <c r="J580">
        <v>4.62</v>
      </c>
      <c r="K580">
        <v>2211</v>
      </c>
      <c r="L580">
        <v>2116.7024539877298</v>
      </c>
    </row>
    <row r="581" spans="1:12">
      <c r="A581" s="14">
        <v>43005</v>
      </c>
      <c r="B581">
        <v>2200</v>
      </c>
      <c r="C581">
        <v>2195</v>
      </c>
      <c r="D581">
        <v>2514</v>
      </c>
      <c r="E581">
        <v>2544</v>
      </c>
      <c r="F581">
        <v>0.86281446540880502</v>
      </c>
      <c r="G581">
        <v>0.82075486569434697</v>
      </c>
      <c r="H581">
        <v>5.2232047542565302E-2</v>
      </c>
      <c r="I581">
        <v>0.80524508789708404</v>
      </c>
      <c r="J581">
        <v>4.87</v>
      </c>
      <c r="K581">
        <v>2195</v>
      </c>
      <c r="L581">
        <v>2095.2883435582821</v>
      </c>
    </row>
    <row r="582" spans="1:12">
      <c r="A582" s="14">
        <v>43004</v>
      </c>
      <c r="B582">
        <v>2185</v>
      </c>
      <c r="C582">
        <v>2202</v>
      </c>
      <c r="D582">
        <v>2500</v>
      </c>
      <c r="E582">
        <v>2518</v>
      </c>
      <c r="F582">
        <v>0.87450357426528902</v>
      </c>
      <c r="G582">
        <v>0.82055502064831598</v>
      </c>
      <c r="H582">
        <v>5.2099245679243497E-2</v>
      </c>
      <c r="I582">
        <v>1.03549586781188</v>
      </c>
      <c r="J582">
        <v>6.17</v>
      </c>
      <c r="K582">
        <v>2202</v>
      </c>
      <c r="L582">
        <v>2073.8742331288345</v>
      </c>
    </row>
    <row r="583" spans="1:12">
      <c r="A583" s="14">
        <v>43003</v>
      </c>
      <c r="B583">
        <v>2200</v>
      </c>
      <c r="C583">
        <v>2197</v>
      </c>
      <c r="D583">
        <v>2542</v>
      </c>
      <c r="E583">
        <v>2538</v>
      </c>
      <c r="F583">
        <v>0.86564223798266304</v>
      </c>
      <c r="G583">
        <v>0.82028025437672702</v>
      </c>
      <c r="H583">
        <v>5.1867828716579897E-2</v>
      </c>
      <c r="I583">
        <v>0.87456877853526505</v>
      </c>
      <c r="J583">
        <v>5.24</v>
      </c>
      <c r="K583">
        <v>2197</v>
      </c>
      <c r="L583">
        <v>2090.3466257668711</v>
      </c>
    </row>
    <row r="584" spans="1:12">
      <c r="A584" s="14">
        <v>43000</v>
      </c>
      <c r="B584">
        <v>2200</v>
      </c>
      <c r="C584">
        <v>2196</v>
      </c>
      <c r="D584">
        <v>2586</v>
      </c>
      <c r="E584">
        <v>2514</v>
      </c>
      <c r="F584">
        <v>0.87350835322195697</v>
      </c>
      <c r="G584">
        <v>0.82026037044890798</v>
      </c>
      <c r="H584">
        <v>5.1850718070054598E-2</v>
      </c>
      <c r="I584">
        <v>1.02694783707924</v>
      </c>
      <c r="J584">
        <v>6.1</v>
      </c>
      <c r="K584">
        <v>2196</v>
      </c>
      <c r="L584">
        <v>2070.5797546012268</v>
      </c>
    </row>
    <row r="585" spans="1:12">
      <c r="A585" s="14">
        <v>42999</v>
      </c>
      <c r="B585">
        <v>2133</v>
      </c>
      <c r="C585">
        <v>2156</v>
      </c>
      <c r="D585">
        <v>2602</v>
      </c>
      <c r="E585">
        <v>2568</v>
      </c>
      <c r="F585">
        <v>0.83956386292834895</v>
      </c>
      <c r="G585">
        <v>0.82039608918844598</v>
      </c>
      <c r="H585">
        <v>5.2003014443716397E-2</v>
      </c>
      <c r="I585">
        <v>0.36858966629037399</v>
      </c>
      <c r="J585">
        <v>2.2799999999999998</v>
      </c>
      <c r="K585">
        <v>2156</v>
      </c>
      <c r="L585">
        <v>2115.0552147239264</v>
      </c>
    </row>
    <row r="586" spans="1:12">
      <c r="A586" s="14">
        <v>42998</v>
      </c>
      <c r="B586">
        <v>2095</v>
      </c>
      <c r="C586">
        <v>2122</v>
      </c>
      <c r="D586">
        <v>2592</v>
      </c>
      <c r="E586">
        <v>2598</v>
      </c>
      <c r="F586">
        <v>0.81678214010777495</v>
      </c>
      <c r="G586">
        <v>0.82131008290919205</v>
      </c>
      <c r="H586">
        <v>5.2926084452820599E-2</v>
      </c>
      <c r="I586">
        <v>-8.5552196959777893E-2</v>
      </c>
      <c r="J586">
        <v>-0.55000000000000004</v>
      </c>
      <c r="K586">
        <v>2122</v>
      </c>
      <c r="L586">
        <v>2139.7638036809817</v>
      </c>
    </row>
    <row r="587" spans="1:12">
      <c r="A587" s="14">
        <v>42997</v>
      </c>
      <c r="B587">
        <v>2061</v>
      </c>
      <c r="C587">
        <v>2091</v>
      </c>
      <c r="D587">
        <v>2604</v>
      </c>
      <c r="E587">
        <v>2592</v>
      </c>
      <c r="F587">
        <v>0.80671296296296202</v>
      </c>
      <c r="G587">
        <v>0.82246666710703698</v>
      </c>
      <c r="H587">
        <v>5.3755793732559398E-2</v>
      </c>
      <c r="I587">
        <v>-0.29306058101292098</v>
      </c>
      <c r="J587">
        <v>-1.95</v>
      </c>
      <c r="K587">
        <v>2091</v>
      </c>
      <c r="L587">
        <v>2134.8220858895706</v>
      </c>
    </row>
    <row r="588" spans="1:12">
      <c r="A588" s="14">
        <v>42993</v>
      </c>
      <c r="B588">
        <v>2041</v>
      </c>
      <c r="C588">
        <v>2042</v>
      </c>
      <c r="D588">
        <v>2538</v>
      </c>
      <c r="E588">
        <v>2576</v>
      </c>
      <c r="F588">
        <v>0.79270186335403703</v>
      </c>
      <c r="G588">
        <v>0.82427880027846001</v>
      </c>
      <c r="H588">
        <v>5.5458028371055602E-2</v>
      </c>
      <c r="I588">
        <v>-0.56938441289599695</v>
      </c>
      <c r="J588">
        <v>-3.98</v>
      </c>
      <c r="K588">
        <v>2042</v>
      </c>
      <c r="L588">
        <v>2121.6441717791408</v>
      </c>
    </row>
    <row r="589" spans="1:12">
      <c r="A589" s="14">
        <v>42992</v>
      </c>
      <c r="B589">
        <v>2037</v>
      </c>
      <c r="C589">
        <v>2044</v>
      </c>
      <c r="D589">
        <v>2570</v>
      </c>
      <c r="E589">
        <v>2538</v>
      </c>
      <c r="F589">
        <v>0.80535855003940104</v>
      </c>
      <c r="G589">
        <v>0.82674521964202896</v>
      </c>
      <c r="H589">
        <v>5.80515941620608E-2</v>
      </c>
      <c r="I589">
        <v>-0.36840796383512397</v>
      </c>
      <c r="J589">
        <v>-2.66</v>
      </c>
      <c r="K589">
        <v>2044</v>
      </c>
      <c r="L589">
        <v>2090.3466257668711</v>
      </c>
    </row>
    <row r="590" spans="1:12">
      <c r="A590" s="14">
        <v>42991</v>
      </c>
      <c r="B590">
        <v>2063</v>
      </c>
      <c r="C590">
        <v>2058</v>
      </c>
      <c r="D590">
        <v>2614</v>
      </c>
      <c r="E590">
        <v>2610</v>
      </c>
      <c r="F590">
        <v>0.78850574712643595</v>
      </c>
      <c r="G590">
        <v>0.82919134419315399</v>
      </c>
      <c r="H590">
        <v>6.0894495180145503E-2</v>
      </c>
      <c r="I590">
        <v>-0.66813259468456598</v>
      </c>
      <c r="J590">
        <v>-5.16</v>
      </c>
      <c r="K590">
        <v>2058</v>
      </c>
      <c r="L590">
        <v>2149.6472392638034</v>
      </c>
    </row>
    <row r="591" spans="1:12">
      <c r="A591" s="14">
        <v>42990</v>
      </c>
      <c r="B591">
        <v>2101</v>
      </c>
      <c r="C591">
        <v>2064</v>
      </c>
      <c r="D591">
        <v>2608</v>
      </c>
      <c r="E591">
        <v>2598</v>
      </c>
      <c r="F591">
        <v>0.79445727482678896</v>
      </c>
      <c r="G591">
        <v>0.83189767154066196</v>
      </c>
      <c r="H591">
        <v>6.3481602263494794E-2</v>
      </c>
      <c r="I591">
        <v>-0.58978342352588797</v>
      </c>
      <c r="J591">
        <v>-4.71</v>
      </c>
      <c r="K591">
        <v>2064</v>
      </c>
      <c r="L591">
        <v>2139.7638036809817</v>
      </c>
    </row>
    <row r="592" spans="1:12">
      <c r="A592" s="14">
        <v>42989</v>
      </c>
      <c r="B592">
        <v>2064</v>
      </c>
      <c r="C592">
        <v>2090</v>
      </c>
      <c r="D592">
        <v>2580</v>
      </c>
      <c r="E592">
        <v>2578</v>
      </c>
      <c r="F592">
        <v>0.81070597362296304</v>
      </c>
      <c r="G592">
        <v>0.83457447925427197</v>
      </c>
      <c r="H592">
        <v>6.6028058476145401E-2</v>
      </c>
      <c r="I592">
        <v>-0.36149034489529602</v>
      </c>
      <c r="J592">
        <v>-2.94</v>
      </c>
      <c r="K592">
        <v>2090</v>
      </c>
      <c r="L592">
        <v>2123.2914110429447</v>
      </c>
    </row>
    <row r="593" spans="1:12">
      <c r="A593" s="14">
        <v>42986</v>
      </c>
      <c r="B593">
        <v>2054</v>
      </c>
      <c r="C593">
        <v>2057</v>
      </c>
      <c r="D593">
        <v>2524</v>
      </c>
      <c r="E593">
        <v>2554</v>
      </c>
      <c r="F593">
        <v>0.805403288958496</v>
      </c>
      <c r="G593">
        <v>0.83707712301022097</v>
      </c>
      <c r="H593">
        <v>6.8583631282437704E-2</v>
      </c>
      <c r="I593">
        <v>-0.46182789478275399</v>
      </c>
      <c r="J593">
        <v>-3.93</v>
      </c>
      <c r="K593">
        <v>2057</v>
      </c>
      <c r="L593">
        <v>2103.5245398773004</v>
      </c>
    </row>
    <row r="594" spans="1:12">
      <c r="A594" s="14">
        <v>42985</v>
      </c>
      <c r="B594">
        <v>2064</v>
      </c>
      <c r="C594">
        <v>2070</v>
      </c>
      <c r="D594">
        <v>2550</v>
      </c>
      <c r="E594">
        <v>2524</v>
      </c>
      <c r="F594">
        <v>0.82012678288430996</v>
      </c>
      <c r="G594">
        <v>0.83914362511080198</v>
      </c>
      <c r="H594">
        <v>6.9920084951527794E-2</v>
      </c>
      <c r="I594">
        <v>-0.27197967850975702</v>
      </c>
      <c r="J594">
        <v>-2.3199999999999998</v>
      </c>
      <c r="K594">
        <v>2070</v>
      </c>
      <c r="L594">
        <v>2078.8159509202451</v>
      </c>
    </row>
    <row r="595" spans="1:12">
      <c r="A595" s="14">
        <v>42984</v>
      </c>
      <c r="B595">
        <v>2069</v>
      </c>
      <c r="C595">
        <v>2066</v>
      </c>
      <c r="D595">
        <v>2452</v>
      </c>
      <c r="E595">
        <v>2538</v>
      </c>
      <c r="F595">
        <v>0.81402679275019696</v>
      </c>
      <c r="G595">
        <v>0.84143024182766701</v>
      </c>
      <c r="H595">
        <v>7.2033099375797105E-2</v>
      </c>
      <c r="I595">
        <v>-0.38042857123926599</v>
      </c>
      <c r="J595">
        <v>-3.37</v>
      </c>
      <c r="K595">
        <v>2066</v>
      </c>
      <c r="L595">
        <v>2090.3466257668711</v>
      </c>
    </row>
    <row r="596" spans="1:12">
      <c r="A596" s="14">
        <v>42983</v>
      </c>
      <c r="B596">
        <v>2087</v>
      </c>
      <c r="C596">
        <v>2080</v>
      </c>
      <c r="D596">
        <v>2526</v>
      </c>
      <c r="E596">
        <v>2494</v>
      </c>
      <c r="F596">
        <v>0.83400160384923805</v>
      </c>
      <c r="G596">
        <v>0.84355175786923497</v>
      </c>
      <c r="H596">
        <v>7.3522480475985905E-2</v>
      </c>
      <c r="I596">
        <v>-0.12989433923024801</v>
      </c>
      <c r="J596">
        <v>-1.1499999999999999</v>
      </c>
      <c r="K596">
        <v>2080</v>
      </c>
      <c r="L596">
        <v>2054.1073619631902</v>
      </c>
    </row>
    <row r="597" spans="1:12">
      <c r="A597" s="14">
        <v>42982</v>
      </c>
      <c r="B597">
        <v>2104</v>
      </c>
      <c r="C597">
        <v>2085</v>
      </c>
      <c r="D597">
        <v>2510</v>
      </c>
      <c r="E597">
        <v>2504</v>
      </c>
      <c r="F597">
        <v>0.832667731629393</v>
      </c>
      <c r="G597">
        <v>0.84531332443803497</v>
      </c>
      <c r="H597">
        <v>7.4843431994343498E-2</v>
      </c>
      <c r="I597">
        <v>-0.16896062181646099</v>
      </c>
      <c r="J597">
        <v>-1.52</v>
      </c>
      <c r="K597">
        <v>2085</v>
      </c>
      <c r="L597">
        <v>2062.3435582822085</v>
      </c>
    </row>
    <row r="598" spans="1:12">
      <c r="A598" s="14">
        <v>42979</v>
      </c>
      <c r="B598">
        <v>2080</v>
      </c>
      <c r="C598">
        <v>2102</v>
      </c>
      <c r="D598">
        <v>2556</v>
      </c>
      <c r="E598">
        <v>2540</v>
      </c>
      <c r="F598">
        <v>0.82755905511811001</v>
      </c>
      <c r="G598">
        <v>0.84730757007830904</v>
      </c>
      <c r="H598">
        <v>7.6455226347810601E-2</v>
      </c>
      <c r="I598">
        <v>-0.25830170027041599</v>
      </c>
      <c r="J598">
        <v>-2.39</v>
      </c>
      <c r="K598">
        <v>2102</v>
      </c>
      <c r="L598">
        <v>2091.9938650306749</v>
      </c>
    </row>
    <row r="599" spans="1:12">
      <c r="A599" s="14">
        <v>42978</v>
      </c>
      <c r="B599">
        <v>2081</v>
      </c>
      <c r="C599">
        <v>2070</v>
      </c>
      <c r="D599">
        <v>2600</v>
      </c>
      <c r="E599">
        <v>2580</v>
      </c>
      <c r="F599">
        <v>0.80232558139534804</v>
      </c>
      <c r="G599">
        <v>0.84921743841443897</v>
      </c>
      <c r="H599">
        <v>7.77167272317799E-2</v>
      </c>
      <c r="I599">
        <v>-0.60336891026357398</v>
      </c>
      <c r="J599">
        <v>-5.84</v>
      </c>
      <c r="K599">
        <v>2070</v>
      </c>
      <c r="L599">
        <v>2124.9386503067485</v>
      </c>
    </row>
    <row r="600" spans="1:12">
      <c r="A600" s="14">
        <v>42977</v>
      </c>
      <c r="B600">
        <v>2034</v>
      </c>
      <c r="C600">
        <v>2062</v>
      </c>
      <c r="D600">
        <v>2502</v>
      </c>
      <c r="E600">
        <v>2538</v>
      </c>
      <c r="F600">
        <v>0.81245074862096101</v>
      </c>
      <c r="G600">
        <v>0.85089596871501005</v>
      </c>
      <c r="H600">
        <v>7.8044623259267004E-2</v>
      </c>
      <c r="I600">
        <v>-0.49260562084248399</v>
      </c>
      <c r="J600">
        <v>-4.7300000000000004</v>
      </c>
      <c r="K600">
        <v>2062</v>
      </c>
      <c r="L600">
        <v>2090.3466257668711</v>
      </c>
    </row>
    <row r="601" spans="1:12">
      <c r="A601" s="14">
        <v>42976</v>
      </c>
      <c r="B601">
        <v>2022</v>
      </c>
      <c r="C601">
        <v>2029</v>
      </c>
      <c r="D601">
        <v>2426</v>
      </c>
      <c r="E601">
        <v>2450</v>
      </c>
      <c r="F601">
        <v>0.82816326530612205</v>
      </c>
      <c r="G601">
        <v>0.85255651699898005</v>
      </c>
      <c r="H601">
        <v>7.8532363111166695E-2</v>
      </c>
      <c r="I601">
        <v>-0.31061400327821098</v>
      </c>
      <c r="J601">
        <v>-2.95</v>
      </c>
      <c r="K601">
        <v>2029</v>
      </c>
      <c r="L601">
        <v>2017.8680981595091</v>
      </c>
    </row>
    <row r="602" spans="1:12">
      <c r="A602" s="14">
        <v>42975</v>
      </c>
      <c r="B602">
        <v>2020</v>
      </c>
      <c r="C602">
        <v>2032</v>
      </c>
      <c r="D602">
        <v>2466</v>
      </c>
      <c r="E602">
        <v>2444</v>
      </c>
      <c r="F602">
        <v>0.83142389525368199</v>
      </c>
      <c r="G602">
        <v>0.85346858849424501</v>
      </c>
      <c r="H602">
        <v>7.8640917996012097E-2</v>
      </c>
      <c r="I602">
        <v>-0.280320904210204</v>
      </c>
      <c r="J602">
        <v>-2.65</v>
      </c>
      <c r="K602">
        <v>2032</v>
      </c>
      <c r="L602">
        <v>2012.9263803680981</v>
      </c>
    </row>
    <row r="603" spans="1:12">
      <c r="A603" s="14">
        <v>42972</v>
      </c>
      <c r="B603">
        <v>2022</v>
      </c>
      <c r="C603">
        <v>2013</v>
      </c>
      <c r="D603">
        <v>2454</v>
      </c>
      <c r="E603">
        <v>2458</v>
      </c>
      <c r="F603">
        <v>0.818958502847843</v>
      </c>
      <c r="G603">
        <v>0.85392164113888802</v>
      </c>
      <c r="H603">
        <v>7.8610483816231994E-2</v>
      </c>
      <c r="I603">
        <v>-0.44476431887606299</v>
      </c>
      <c r="J603">
        <v>-4.2699999999999996</v>
      </c>
      <c r="K603">
        <v>2013</v>
      </c>
      <c r="L603">
        <v>2024.4570552147238</v>
      </c>
    </row>
    <row r="604" spans="1:12">
      <c r="A604" s="14">
        <v>42971</v>
      </c>
      <c r="B604">
        <v>2033</v>
      </c>
      <c r="C604">
        <v>2024</v>
      </c>
      <c r="D604">
        <v>2460</v>
      </c>
      <c r="E604">
        <v>2442</v>
      </c>
      <c r="F604">
        <v>0.82882882882882802</v>
      </c>
      <c r="G604">
        <v>0.85456489134666302</v>
      </c>
      <c r="H604">
        <v>7.8519087585676398E-2</v>
      </c>
      <c r="I604">
        <v>-0.327768232020686</v>
      </c>
      <c r="J604">
        <v>-3.11</v>
      </c>
      <c r="K604">
        <v>2024</v>
      </c>
      <c r="L604">
        <v>2011.2791411042945</v>
      </c>
    </row>
    <row r="605" spans="1:12">
      <c r="A605" s="14">
        <v>42970</v>
      </c>
      <c r="B605">
        <v>2051</v>
      </c>
      <c r="C605">
        <v>2049</v>
      </c>
      <c r="D605">
        <v>2424</v>
      </c>
      <c r="E605">
        <v>2444</v>
      </c>
      <c r="F605">
        <v>0.83837970540098194</v>
      </c>
      <c r="G605">
        <v>0.85467603697505001</v>
      </c>
      <c r="H605">
        <v>7.8488472794150596E-2</v>
      </c>
      <c r="I605">
        <v>-0.20762706922337801</v>
      </c>
      <c r="J605">
        <v>-1.94</v>
      </c>
      <c r="K605">
        <v>2049</v>
      </c>
      <c r="L605">
        <v>2012.9263803680981</v>
      </c>
    </row>
    <row r="606" spans="1:12">
      <c r="A606" s="14">
        <v>42969</v>
      </c>
      <c r="B606">
        <v>2023</v>
      </c>
      <c r="C606">
        <v>2027</v>
      </c>
      <c r="D606">
        <v>2368</v>
      </c>
      <c r="E606">
        <v>2374</v>
      </c>
      <c r="F606">
        <v>0.85383319292333604</v>
      </c>
      <c r="G606">
        <v>0.85435765345796499</v>
      </c>
      <c r="H606">
        <v>7.8602280914836106E-2</v>
      </c>
      <c r="I606">
        <v>-6.6723322596336197E-3</v>
      </c>
      <c r="J606">
        <v>-0.06</v>
      </c>
      <c r="K606">
        <v>2027</v>
      </c>
      <c r="L606">
        <v>1955.2730061349691</v>
      </c>
    </row>
    <row r="607" spans="1:12">
      <c r="A607" s="14">
        <v>42968</v>
      </c>
      <c r="B607">
        <v>2029</v>
      </c>
      <c r="C607">
        <v>2044</v>
      </c>
      <c r="D607">
        <v>2348</v>
      </c>
      <c r="E607">
        <v>2366</v>
      </c>
      <c r="F607">
        <v>0.86390532544378695</v>
      </c>
      <c r="G607">
        <v>0.85375471008820503</v>
      </c>
      <c r="H607">
        <v>7.8777236669910197E-2</v>
      </c>
      <c r="I607">
        <v>0.12885213780871699</v>
      </c>
      <c r="J607">
        <v>1.17</v>
      </c>
      <c r="K607">
        <v>2044</v>
      </c>
      <c r="L607">
        <v>1948.6840490797545</v>
      </c>
    </row>
    <row r="608" spans="1:12">
      <c r="A608" s="14">
        <v>42965</v>
      </c>
      <c r="B608">
        <v>2024</v>
      </c>
      <c r="C608">
        <v>2023</v>
      </c>
      <c r="D608">
        <v>2370</v>
      </c>
      <c r="E608">
        <v>2408</v>
      </c>
      <c r="F608">
        <v>0.84011627906976705</v>
      </c>
      <c r="G608">
        <v>0.85292922977554497</v>
      </c>
      <c r="H608">
        <v>7.8990630231184994E-2</v>
      </c>
      <c r="I608">
        <v>-0.16220848812420099</v>
      </c>
      <c r="J608">
        <v>-1.53</v>
      </c>
      <c r="K608">
        <v>2023</v>
      </c>
      <c r="L608">
        <v>1983.2760736196319</v>
      </c>
    </row>
    <row r="609" spans="1:12">
      <c r="A609" s="14">
        <v>42964</v>
      </c>
      <c r="B609">
        <v>2040</v>
      </c>
      <c r="C609">
        <v>2043</v>
      </c>
      <c r="D609">
        <v>2430</v>
      </c>
      <c r="E609">
        <v>2394</v>
      </c>
      <c r="F609">
        <v>0.85338345864661602</v>
      </c>
      <c r="G609">
        <v>0.85245037916509003</v>
      </c>
      <c r="H609">
        <v>7.9175492975933598E-2</v>
      </c>
      <c r="I609">
        <v>1.17849532280153E-2</v>
      </c>
      <c r="J609">
        <v>0.11</v>
      </c>
      <c r="K609">
        <v>2043</v>
      </c>
      <c r="L609">
        <v>1971.7453987730059</v>
      </c>
    </row>
    <row r="610" spans="1:12">
      <c r="A610" s="14">
        <v>42963</v>
      </c>
      <c r="B610">
        <v>2049</v>
      </c>
      <c r="C610">
        <v>2043</v>
      </c>
      <c r="D610">
        <v>2400</v>
      </c>
      <c r="E610">
        <v>2424</v>
      </c>
      <c r="F610">
        <v>0.84282178217821702</v>
      </c>
      <c r="G610">
        <v>0.85170152716932901</v>
      </c>
      <c r="H610">
        <v>7.9428325427226096E-2</v>
      </c>
      <c r="I610">
        <v>-0.111795696854354</v>
      </c>
      <c r="J610">
        <v>-1.05</v>
      </c>
      <c r="K610">
        <v>2043</v>
      </c>
      <c r="L610">
        <v>1996.4539877300613</v>
      </c>
    </row>
    <row r="611" spans="1:12">
      <c r="A611" s="14">
        <v>42962</v>
      </c>
      <c r="B611">
        <v>2100</v>
      </c>
      <c r="C611">
        <v>2054</v>
      </c>
      <c r="D611">
        <v>2350</v>
      </c>
      <c r="E611">
        <v>2390</v>
      </c>
      <c r="F611">
        <v>0.85941422594142203</v>
      </c>
      <c r="G611">
        <v>0.85113694965894604</v>
      </c>
      <c r="H611">
        <v>7.9639643541644295E-2</v>
      </c>
      <c r="I611">
        <v>0.103934120174055</v>
      </c>
      <c r="J611">
        <v>0.96</v>
      </c>
      <c r="K611">
        <v>2054</v>
      </c>
      <c r="L611">
        <v>1968.4509202453987</v>
      </c>
    </row>
    <row r="612" spans="1:12">
      <c r="A612" s="14">
        <v>42961</v>
      </c>
      <c r="B612">
        <v>2073</v>
      </c>
      <c r="C612">
        <v>2079</v>
      </c>
      <c r="D612">
        <v>2250</v>
      </c>
      <c r="E612">
        <v>2318</v>
      </c>
      <c r="F612">
        <v>0.89689387402933496</v>
      </c>
      <c r="G612">
        <v>0.85056258176190502</v>
      </c>
      <c r="H612">
        <v>7.9733160651651994E-2</v>
      </c>
      <c r="I612">
        <v>0.58107933874398499</v>
      </c>
      <c r="J612">
        <v>5.17</v>
      </c>
      <c r="K612">
        <v>2079</v>
      </c>
      <c r="L612">
        <v>1909.1503067484662</v>
      </c>
    </row>
    <row r="613" spans="1:12">
      <c r="A613" s="14">
        <v>42957</v>
      </c>
      <c r="B613">
        <v>2075</v>
      </c>
      <c r="C613">
        <v>2094</v>
      </c>
      <c r="D613">
        <v>2286</v>
      </c>
      <c r="E613">
        <v>2274</v>
      </c>
      <c r="F613">
        <v>0.920844327176781</v>
      </c>
      <c r="G613">
        <v>0.84953920051566201</v>
      </c>
      <c r="H613">
        <v>7.9624422354091395E-2</v>
      </c>
      <c r="I613">
        <v>0.89551829141092698</v>
      </c>
      <c r="J613">
        <v>7.74</v>
      </c>
      <c r="K613">
        <v>2094</v>
      </c>
      <c r="L613">
        <v>1872.9110429447851</v>
      </c>
    </row>
    <row r="614" spans="1:12">
      <c r="A614" s="14">
        <v>42956</v>
      </c>
      <c r="B614">
        <v>2055</v>
      </c>
      <c r="C614">
        <v>2048</v>
      </c>
      <c r="D614">
        <v>2316</v>
      </c>
      <c r="E614">
        <v>2288</v>
      </c>
      <c r="F614">
        <v>0.89510489510489499</v>
      </c>
      <c r="G614">
        <v>0.84785888571505796</v>
      </c>
      <c r="H614">
        <v>7.9431444624928196E-2</v>
      </c>
      <c r="I614">
        <v>0.59480234323988301</v>
      </c>
      <c r="J614">
        <v>5.28</v>
      </c>
      <c r="K614">
        <v>2048</v>
      </c>
      <c r="L614">
        <v>1884.4417177914111</v>
      </c>
    </row>
    <row r="615" spans="1:12">
      <c r="A615" s="14">
        <v>42955</v>
      </c>
      <c r="B615">
        <v>2050</v>
      </c>
      <c r="C615">
        <v>2037</v>
      </c>
      <c r="D615">
        <v>2376</v>
      </c>
      <c r="E615">
        <v>2312</v>
      </c>
      <c r="F615">
        <v>0.88105536332179901</v>
      </c>
      <c r="G615">
        <v>0.84668557510012299</v>
      </c>
      <c r="H615">
        <v>7.9374798164637994E-2</v>
      </c>
      <c r="I615">
        <v>0.433006306994145</v>
      </c>
      <c r="J615">
        <v>3.9</v>
      </c>
      <c r="K615">
        <v>2037</v>
      </c>
      <c r="L615">
        <v>1904.2085889570551</v>
      </c>
    </row>
    <row r="616" spans="1:12">
      <c r="A616" s="14">
        <v>42954</v>
      </c>
      <c r="B616">
        <v>1980</v>
      </c>
      <c r="C616">
        <v>2044</v>
      </c>
      <c r="D616">
        <v>2308</v>
      </c>
      <c r="E616">
        <v>2368</v>
      </c>
      <c r="F616">
        <v>0.86317567567567499</v>
      </c>
      <c r="G616">
        <v>0.84564010311442905</v>
      </c>
      <c r="H616">
        <v>7.9431581540276006E-2</v>
      </c>
      <c r="I616">
        <v>0.22076323071012999</v>
      </c>
      <c r="J616">
        <v>2.0299999999999998</v>
      </c>
      <c r="K616">
        <v>2044</v>
      </c>
      <c r="L616">
        <v>1950.3312883435583</v>
      </c>
    </row>
    <row r="617" spans="1:12">
      <c r="A617" s="14">
        <v>42951</v>
      </c>
      <c r="B617">
        <v>1951</v>
      </c>
      <c r="C617">
        <v>1946</v>
      </c>
      <c r="D617">
        <v>2316</v>
      </c>
      <c r="E617">
        <v>2296</v>
      </c>
      <c r="F617">
        <v>0.84756097560975596</v>
      </c>
      <c r="G617">
        <v>0.84497820154343595</v>
      </c>
      <c r="H617">
        <v>7.9489514484445897E-2</v>
      </c>
      <c r="I617">
        <v>3.2492009582279303E-2</v>
      </c>
      <c r="J617">
        <v>0.3</v>
      </c>
      <c r="K617">
        <v>1946</v>
      </c>
      <c r="L617">
        <v>1891.0306748466257</v>
      </c>
    </row>
    <row r="618" spans="1:12">
      <c r="A618" s="14">
        <v>42950</v>
      </c>
      <c r="B618">
        <v>1949</v>
      </c>
      <c r="C618">
        <v>1949</v>
      </c>
      <c r="D618">
        <v>2336</v>
      </c>
      <c r="E618">
        <v>2354</v>
      </c>
      <c r="F618">
        <v>0.82795242141036496</v>
      </c>
      <c r="G618">
        <v>0.84475333790239504</v>
      </c>
      <c r="H618">
        <v>7.9505742431817295E-2</v>
      </c>
      <c r="I618">
        <v>-0.211317019100074</v>
      </c>
      <c r="J618">
        <v>-2.0299999999999998</v>
      </c>
      <c r="K618">
        <v>1949</v>
      </c>
      <c r="L618">
        <v>1938.8006134969323</v>
      </c>
    </row>
    <row r="619" spans="1:12">
      <c r="A619" s="14">
        <v>42949</v>
      </c>
      <c r="B619">
        <v>1930</v>
      </c>
      <c r="C619">
        <v>1944</v>
      </c>
      <c r="D619">
        <v>2400</v>
      </c>
      <c r="E619">
        <v>2318</v>
      </c>
      <c r="F619">
        <v>0.83865401207937795</v>
      </c>
      <c r="G619">
        <v>0.84457586221090097</v>
      </c>
      <c r="H619">
        <v>7.9557887177438794E-2</v>
      </c>
      <c r="I619">
        <v>-7.44344821314155E-2</v>
      </c>
      <c r="J619">
        <v>-0.71</v>
      </c>
      <c r="K619">
        <v>1944</v>
      </c>
      <c r="L619">
        <v>1909.1503067484662</v>
      </c>
    </row>
    <row r="620" spans="1:12">
      <c r="A620" s="14">
        <v>42948</v>
      </c>
      <c r="B620">
        <v>1875</v>
      </c>
      <c r="C620">
        <v>1922</v>
      </c>
      <c r="D620">
        <v>2636</v>
      </c>
      <c r="E620">
        <v>2362</v>
      </c>
      <c r="F620">
        <v>0.81371718882303101</v>
      </c>
      <c r="G620">
        <v>0.84454927090138299</v>
      </c>
      <c r="H620">
        <v>7.9560195304376302E-2</v>
      </c>
      <c r="I620">
        <v>-0.38753150316432</v>
      </c>
      <c r="J620">
        <v>-3.79</v>
      </c>
      <c r="K620">
        <v>1922</v>
      </c>
      <c r="L620">
        <v>1945.3895705521472</v>
      </c>
    </row>
    <row r="621" spans="1:12">
      <c r="A621" s="14">
        <v>42947</v>
      </c>
      <c r="B621">
        <v>1883</v>
      </c>
      <c r="C621">
        <v>1884</v>
      </c>
      <c r="D621">
        <v>2560</v>
      </c>
      <c r="E621">
        <v>2630</v>
      </c>
      <c r="F621">
        <v>0.716349809885931</v>
      </c>
      <c r="G621">
        <v>0.84482462211735199</v>
      </c>
      <c r="H621">
        <v>7.9488715726864501E-2</v>
      </c>
      <c r="I621">
        <v>-1.6162647874810201</v>
      </c>
      <c r="J621">
        <v>-17.93</v>
      </c>
      <c r="K621">
        <v>1884</v>
      </c>
      <c r="L621">
        <v>2166.1196319018404</v>
      </c>
    </row>
    <row r="622" spans="1:12">
      <c r="A622" s="14">
        <v>42944</v>
      </c>
      <c r="B622">
        <v>1893</v>
      </c>
      <c r="C622">
        <v>1894</v>
      </c>
      <c r="D622">
        <v>2620</v>
      </c>
      <c r="E622">
        <v>2560</v>
      </c>
      <c r="F622">
        <v>0.73984375000000002</v>
      </c>
      <c r="G622">
        <v>0.84617254757309901</v>
      </c>
      <c r="H622">
        <v>7.8144467576295895E-2</v>
      </c>
      <c r="I622">
        <v>-1.3606695505255699</v>
      </c>
      <c r="J622">
        <v>-14.37</v>
      </c>
      <c r="K622">
        <v>1894</v>
      </c>
      <c r="L622">
        <v>2108.4662576687115</v>
      </c>
    </row>
    <row r="623" spans="1:12">
      <c r="A623" s="14">
        <v>42943</v>
      </c>
      <c r="B623">
        <v>1894</v>
      </c>
      <c r="C623">
        <v>1896</v>
      </c>
      <c r="D623">
        <v>2612</v>
      </c>
      <c r="E623">
        <v>2620</v>
      </c>
      <c r="F623">
        <v>0.72366412213740405</v>
      </c>
      <c r="G623">
        <v>0.84714807264084901</v>
      </c>
      <c r="H623">
        <v>7.7262714394124202E-2</v>
      </c>
      <c r="I623">
        <v>-1.59823469149093</v>
      </c>
      <c r="J623">
        <v>-17.059999999999999</v>
      </c>
      <c r="K623">
        <v>1896</v>
      </c>
      <c r="L623">
        <v>2157.8834355828221</v>
      </c>
    </row>
    <row r="624" spans="1:12">
      <c r="A624" s="14">
        <v>42942</v>
      </c>
      <c r="B624">
        <v>1869</v>
      </c>
      <c r="C624">
        <v>1868</v>
      </c>
      <c r="D624">
        <v>2682</v>
      </c>
      <c r="E624">
        <v>2620</v>
      </c>
      <c r="F624">
        <v>0.71297709923664099</v>
      </c>
      <c r="G624">
        <v>0.84849020867000802</v>
      </c>
      <c r="H624">
        <v>7.59694732935383E-2</v>
      </c>
      <c r="I624">
        <v>-1.7837837167799999</v>
      </c>
      <c r="J624">
        <v>-19.010000000000002</v>
      </c>
      <c r="K624">
        <v>1868</v>
      </c>
      <c r="L624">
        <v>2157.8834355828221</v>
      </c>
    </row>
    <row r="625" spans="1:12">
      <c r="A625" s="14">
        <v>42941</v>
      </c>
      <c r="B625">
        <v>1886</v>
      </c>
      <c r="C625">
        <v>1865</v>
      </c>
      <c r="D625">
        <v>2654</v>
      </c>
      <c r="E625">
        <v>2644</v>
      </c>
      <c r="F625">
        <v>0.70537065052949999</v>
      </c>
      <c r="G625">
        <v>0.84992974612521199</v>
      </c>
      <c r="H625">
        <v>7.4394598711074705E-2</v>
      </c>
      <c r="I625">
        <v>-1.9431396647105199</v>
      </c>
      <c r="J625">
        <v>-20.49</v>
      </c>
      <c r="K625">
        <v>1865</v>
      </c>
      <c r="L625">
        <v>2177.6503067484664</v>
      </c>
    </row>
    <row r="626" spans="1:12">
      <c r="A626" s="14">
        <v>42940</v>
      </c>
      <c r="B626">
        <v>1892</v>
      </c>
      <c r="C626">
        <v>1886</v>
      </c>
      <c r="D626">
        <v>2668</v>
      </c>
      <c r="E626">
        <v>2654</v>
      </c>
      <c r="F626">
        <v>0.71062547098718898</v>
      </c>
      <c r="G626">
        <v>0.85164510746182698</v>
      </c>
      <c r="H626">
        <v>7.2500734648839202E-2</v>
      </c>
      <c r="I626">
        <v>-1.94507872448015</v>
      </c>
      <c r="J626">
        <v>-19.84</v>
      </c>
      <c r="K626">
        <v>1886</v>
      </c>
      <c r="L626">
        <v>2185.8865030674847</v>
      </c>
    </row>
    <row r="627" spans="1:12">
      <c r="A627" s="14">
        <v>42937</v>
      </c>
      <c r="B627">
        <v>1905</v>
      </c>
      <c r="C627">
        <v>1908</v>
      </c>
      <c r="D627">
        <v>2642</v>
      </c>
      <c r="E627">
        <v>2664</v>
      </c>
      <c r="F627">
        <v>0.71621621621621601</v>
      </c>
      <c r="G627">
        <v>0.85340660414263902</v>
      </c>
      <c r="H627">
        <v>7.0633969891578996E-2</v>
      </c>
      <c r="I627">
        <v>-1.9422720843385299</v>
      </c>
      <c r="J627">
        <v>-19.149999999999999</v>
      </c>
      <c r="K627">
        <v>1908</v>
      </c>
      <c r="L627">
        <v>2194.122699386503</v>
      </c>
    </row>
    <row r="628" spans="1:12">
      <c r="A628" s="14">
        <v>42936</v>
      </c>
      <c r="B628">
        <v>1927</v>
      </c>
      <c r="C628">
        <v>1920</v>
      </c>
      <c r="D628">
        <v>2600</v>
      </c>
      <c r="E628">
        <v>2640</v>
      </c>
      <c r="F628">
        <v>0.72727272727272696</v>
      </c>
      <c r="G628">
        <v>0.854833076207409</v>
      </c>
      <c r="H628">
        <v>6.8908185722718104E-2</v>
      </c>
      <c r="I628">
        <v>-1.8511639451367301</v>
      </c>
      <c r="J628">
        <v>-17.54</v>
      </c>
      <c r="K628">
        <v>1920</v>
      </c>
      <c r="L628">
        <v>2174.3558282208587</v>
      </c>
    </row>
    <row r="629" spans="1:12">
      <c r="A629" s="14">
        <v>42935</v>
      </c>
      <c r="B629">
        <v>1897</v>
      </c>
      <c r="C629">
        <v>1917</v>
      </c>
      <c r="D629">
        <v>2558</v>
      </c>
      <c r="E629">
        <v>2570</v>
      </c>
      <c r="F629">
        <v>0.74591439688715899</v>
      </c>
      <c r="G629">
        <v>0.85611770160246303</v>
      </c>
      <c r="H629">
        <v>6.7399725150221398E-2</v>
      </c>
      <c r="I629">
        <v>-1.63507053581719</v>
      </c>
      <c r="J629">
        <v>-14.77</v>
      </c>
      <c r="K629">
        <v>1917</v>
      </c>
      <c r="L629">
        <v>2116.7024539877298</v>
      </c>
    </row>
    <row r="630" spans="1:12">
      <c r="A630" s="14">
        <v>42934</v>
      </c>
      <c r="B630">
        <v>1892</v>
      </c>
      <c r="C630">
        <v>1897</v>
      </c>
      <c r="D630">
        <v>2542</v>
      </c>
      <c r="E630">
        <v>2550</v>
      </c>
      <c r="F630">
        <v>0.74392156862745096</v>
      </c>
      <c r="G630">
        <v>0.85704936929309095</v>
      </c>
      <c r="H630">
        <v>6.6344627365479497E-2</v>
      </c>
      <c r="I630">
        <v>-1.7051539085816401</v>
      </c>
      <c r="J630">
        <v>-15.21</v>
      </c>
      <c r="K630">
        <v>1897</v>
      </c>
      <c r="L630">
        <v>2100.2300613496932</v>
      </c>
    </row>
    <row r="631" spans="1:12">
      <c r="A631" s="14">
        <v>42930</v>
      </c>
      <c r="B631">
        <v>1888</v>
      </c>
      <c r="C631">
        <v>1890</v>
      </c>
      <c r="D631">
        <v>2534</v>
      </c>
      <c r="E631">
        <v>2560</v>
      </c>
      <c r="F631">
        <v>0.73828125</v>
      </c>
      <c r="G631">
        <v>0.85810446290451603</v>
      </c>
      <c r="H631">
        <v>6.5155715082308302E-2</v>
      </c>
      <c r="I631">
        <v>-1.8390284375384101</v>
      </c>
      <c r="J631">
        <v>-16.23</v>
      </c>
      <c r="K631">
        <v>1890</v>
      </c>
      <c r="L631">
        <v>2108.4662576687115</v>
      </c>
    </row>
    <row r="632" spans="1:12">
      <c r="A632" s="14">
        <v>42929</v>
      </c>
      <c r="B632">
        <v>1892</v>
      </c>
      <c r="C632">
        <v>1884</v>
      </c>
      <c r="D632">
        <v>2482</v>
      </c>
      <c r="E632">
        <v>2506</v>
      </c>
      <c r="F632">
        <v>0.75179569034317595</v>
      </c>
      <c r="G632">
        <v>0.859437183492751</v>
      </c>
      <c r="H632">
        <v>6.3697096877494405E-2</v>
      </c>
      <c r="I632">
        <v>-1.68989637560086</v>
      </c>
      <c r="J632">
        <v>-14.32</v>
      </c>
      <c r="K632">
        <v>1884</v>
      </c>
      <c r="L632">
        <v>2063.9907975460123</v>
      </c>
    </row>
    <row r="633" spans="1:12">
      <c r="A633" s="14">
        <v>42928</v>
      </c>
      <c r="B633">
        <v>1903</v>
      </c>
      <c r="C633">
        <v>1885</v>
      </c>
      <c r="D633">
        <v>2474</v>
      </c>
      <c r="E633">
        <v>2452</v>
      </c>
      <c r="F633">
        <v>0.76876019575856402</v>
      </c>
      <c r="G633">
        <v>0.86077513576501297</v>
      </c>
      <c r="H633">
        <v>6.24639927866735E-2</v>
      </c>
      <c r="I633">
        <v>-1.4730877086371501</v>
      </c>
      <c r="J633">
        <v>-11.97</v>
      </c>
      <c r="K633">
        <v>1885</v>
      </c>
      <c r="L633">
        <v>2019.5153374233128</v>
      </c>
    </row>
    <row r="634" spans="1:12">
      <c r="A634" s="14">
        <v>42927</v>
      </c>
      <c r="B634">
        <v>1862</v>
      </c>
      <c r="C634">
        <v>1904</v>
      </c>
      <c r="D634">
        <v>2450</v>
      </c>
      <c r="E634">
        <v>2474</v>
      </c>
      <c r="F634">
        <v>0.76960388035569904</v>
      </c>
      <c r="G634">
        <v>0.86182186944660799</v>
      </c>
      <c r="H634">
        <v>6.15645866114434E-2</v>
      </c>
      <c r="I634">
        <v>-1.4979064128689801</v>
      </c>
      <c r="J634">
        <v>-11.98</v>
      </c>
      <c r="K634">
        <v>1904</v>
      </c>
      <c r="L634">
        <v>2037.6349693251532</v>
      </c>
    </row>
    <row r="635" spans="1:12">
      <c r="A635" s="14">
        <v>42926</v>
      </c>
      <c r="B635">
        <v>1886</v>
      </c>
      <c r="C635">
        <v>1856</v>
      </c>
      <c r="D635">
        <v>2394</v>
      </c>
      <c r="E635">
        <v>2438</v>
      </c>
      <c r="F635">
        <v>0.76127973748974498</v>
      </c>
      <c r="G635">
        <v>0.86288754811605595</v>
      </c>
      <c r="H635">
        <v>6.06439485255785E-2</v>
      </c>
      <c r="I635">
        <v>-1.67548144698154</v>
      </c>
      <c r="J635">
        <v>-13.35</v>
      </c>
      <c r="K635">
        <v>1856</v>
      </c>
      <c r="L635">
        <v>2007.984662576687</v>
      </c>
    </row>
    <row r="636" spans="1:12">
      <c r="A636" s="14">
        <v>42923</v>
      </c>
      <c r="B636">
        <v>1883</v>
      </c>
      <c r="C636">
        <v>1878</v>
      </c>
      <c r="D636">
        <v>2332</v>
      </c>
      <c r="E636">
        <v>2356</v>
      </c>
      <c r="F636">
        <v>0.797113752122241</v>
      </c>
      <c r="G636">
        <v>0.86421668991629697</v>
      </c>
      <c r="H636">
        <v>5.9483744355623397E-2</v>
      </c>
      <c r="I636">
        <v>-1.1280886655836899</v>
      </c>
      <c r="J636">
        <v>-8.42</v>
      </c>
      <c r="K636">
        <v>1878</v>
      </c>
      <c r="L636">
        <v>1940.4478527607362</v>
      </c>
    </row>
    <row r="637" spans="1:12">
      <c r="A637" s="14">
        <v>42922</v>
      </c>
      <c r="B637">
        <v>1896</v>
      </c>
      <c r="C637">
        <v>1903</v>
      </c>
      <c r="D637">
        <v>2354</v>
      </c>
      <c r="E637">
        <v>2336</v>
      </c>
      <c r="F637">
        <v>0.81464041095890405</v>
      </c>
      <c r="G637">
        <v>0.86468183988800096</v>
      </c>
      <c r="H637">
        <v>5.90923087723767E-2</v>
      </c>
      <c r="I637">
        <v>-0.84683489219986596</v>
      </c>
      <c r="J637">
        <v>-6.14</v>
      </c>
      <c r="K637">
        <v>1903</v>
      </c>
      <c r="L637">
        <v>1923.9754601226994</v>
      </c>
    </row>
    <row r="638" spans="1:12">
      <c r="A638" s="14">
        <v>42921</v>
      </c>
      <c r="B638">
        <v>1872</v>
      </c>
      <c r="C638">
        <v>1896</v>
      </c>
      <c r="D638">
        <v>2326</v>
      </c>
      <c r="E638">
        <v>2370</v>
      </c>
      <c r="F638">
        <v>0.8</v>
      </c>
      <c r="G638">
        <v>0.86500254730637105</v>
      </c>
      <c r="H638">
        <v>5.8884758481713401E-2</v>
      </c>
      <c r="I638">
        <v>-1.10389426708029</v>
      </c>
      <c r="J638">
        <v>-8.1300000000000008</v>
      </c>
      <c r="K638">
        <v>1896</v>
      </c>
      <c r="L638">
        <v>1951.9785276073619</v>
      </c>
    </row>
    <row r="639" spans="1:12">
      <c r="A639" s="14">
        <v>42920</v>
      </c>
      <c r="B639">
        <v>1917</v>
      </c>
      <c r="C639">
        <v>1881</v>
      </c>
      <c r="D639">
        <v>2374</v>
      </c>
      <c r="E639">
        <v>2326</v>
      </c>
      <c r="F639">
        <v>0.80868443680137503</v>
      </c>
      <c r="G639">
        <v>0.865309331967138</v>
      </c>
      <c r="H639">
        <v>5.8604571987849498E-2</v>
      </c>
      <c r="I639">
        <v>-0.96621975462089804</v>
      </c>
      <c r="J639">
        <v>-7</v>
      </c>
      <c r="K639">
        <v>1881</v>
      </c>
      <c r="L639">
        <v>1915.7392638036808</v>
      </c>
    </row>
    <row r="640" spans="1:12">
      <c r="A640" s="14">
        <v>42919</v>
      </c>
      <c r="B640">
        <v>1896</v>
      </c>
      <c r="C640">
        <v>1892</v>
      </c>
      <c r="D640">
        <v>2310</v>
      </c>
      <c r="E640">
        <v>2348</v>
      </c>
      <c r="F640">
        <v>0.80579216354344096</v>
      </c>
      <c r="G640">
        <v>0.86558943487532802</v>
      </c>
      <c r="H640">
        <v>5.8383046576505102E-2</v>
      </c>
      <c r="I640">
        <v>-1.0242232092757999</v>
      </c>
      <c r="J640">
        <v>-7.42</v>
      </c>
      <c r="K640">
        <v>1892</v>
      </c>
      <c r="L640">
        <v>1933.8588957055215</v>
      </c>
    </row>
    <row r="641" spans="1:12">
      <c r="A641" s="14">
        <v>42916</v>
      </c>
      <c r="B641">
        <v>1891</v>
      </c>
      <c r="C641">
        <v>1889</v>
      </c>
      <c r="D641">
        <v>2272</v>
      </c>
      <c r="E641">
        <v>2302</v>
      </c>
      <c r="F641">
        <v>0.82059079061685403</v>
      </c>
      <c r="G641">
        <v>0.86566510528302199</v>
      </c>
      <c r="H641">
        <v>5.8309125225280402E-2</v>
      </c>
      <c r="I641">
        <v>-0.773023338834536</v>
      </c>
      <c r="J641">
        <v>-5.49</v>
      </c>
      <c r="K641">
        <v>1889</v>
      </c>
      <c r="L641">
        <v>1895.9723926380368</v>
      </c>
    </row>
    <row r="642" spans="1:12">
      <c r="A642" s="14">
        <v>42915</v>
      </c>
      <c r="B642">
        <v>1912</v>
      </c>
      <c r="C642">
        <v>1915</v>
      </c>
      <c r="D642">
        <v>2320</v>
      </c>
      <c r="E642">
        <v>2306</v>
      </c>
      <c r="F642">
        <v>0.83044232437120502</v>
      </c>
      <c r="G642">
        <v>0.86557190517851501</v>
      </c>
      <c r="H642">
        <v>5.8386631427184199E-2</v>
      </c>
      <c r="I642">
        <v>-0.601671648947949</v>
      </c>
      <c r="J642">
        <v>-4.2300000000000004</v>
      </c>
      <c r="K642">
        <v>1915</v>
      </c>
      <c r="L642">
        <v>1899.266871165644</v>
      </c>
    </row>
    <row r="643" spans="1:12">
      <c r="A643" s="14">
        <v>42914</v>
      </c>
      <c r="B643">
        <v>1920</v>
      </c>
      <c r="C643">
        <v>1910</v>
      </c>
      <c r="D643">
        <v>2298</v>
      </c>
      <c r="E643">
        <v>2308</v>
      </c>
      <c r="F643">
        <v>0.82755632582322303</v>
      </c>
      <c r="G643">
        <v>0.865228814193441</v>
      </c>
      <c r="H643">
        <v>5.8666981000913401E-2</v>
      </c>
      <c r="I643">
        <v>-0.64214124755510604</v>
      </c>
      <c r="J643">
        <v>-4.55</v>
      </c>
      <c r="K643">
        <v>1910</v>
      </c>
      <c r="L643">
        <v>1900.9141104294479</v>
      </c>
    </row>
    <row r="644" spans="1:12">
      <c r="A644" s="14">
        <v>42913</v>
      </c>
      <c r="B644">
        <v>1944</v>
      </c>
      <c r="C644">
        <v>1935</v>
      </c>
      <c r="D644">
        <v>2282</v>
      </c>
      <c r="E644">
        <v>2298</v>
      </c>
      <c r="F644">
        <v>0.842036553524804</v>
      </c>
      <c r="G644">
        <v>0.86463231028671195</v>
      </c>
      <c r="H644">
        <v>5.9271314175869498E-2</v>
      </c>
      <c r="I644">
        <v>-0.38122584383505598</v>
      </c>
      <c r="J644">
        <v>-2.68</v>
      </c>
      <c r="K644">
        <v>1935</v>
      </c>
      <c r="L644">
        <v>1892.6779141104294</v>
      </c>
    </row>
    <row r="645" spans="1:12">
      <c r="A645" s="14">
        <v>42912</v>
      </c>
      <c r="B645">
        <v>1952</v>
      </c>
      <c r="C645">
        <v>1944</v>
      </c>
      <c r="D645">
        <v>2256</v>
      </c>
      <c r="E645">
        <v>2262</v>
      </c>
      <c r="F645">
        <v>0.85941644562334196</v>
      </c>
      <c r="G645">
        <v>0.863838522156952</v>
      </c>
      <c r="H645">
        <v>5.9963226573975702E-2</v>
      </c>
      <c r="I645">
        <v>-7.3746474068645901E-2</v>
      </c>
      <c r="J645">
        <v>-0.51</v>
      </c>
      <c r="K645">
        <v>1944</v>
      </c>
      <c r="L645">
        <v>1863.0276073619632</v>
      </c>
    </row>
    <row r="646" spans="1:12">
      <c r="A646" s="14">
        <v>42909</v>
      </c>
      <c r="B646">
        <v>1947</v>
      </c>
      <c r="C646">
        <v>1940</v>
      </c>
      <c r="D646">
        <v>2274</v>
      </c>
      <c r="E646">
        <v>2256</v>
      </c>
      <c r="F646">
        <v>0.85992907801418395</v>
      </c>
      <c r="G646">
        <v>0.86279507618913798</v>
      </c>
      <c r="H646">
        <v>6.0707385210631203E-2</v>
      </c>
      <c r="I646">
        <v>-4.72100414967618E-2</v>
      </c>
      <c r="J646">
        <v>-0.33</v>
      </c>
      <c r="K646">
        <v>1940</v>
      </c>
      <c r="L646">
        <v>1858.0858895705521</v>
      </c>
    </row>
    <row r="647" spans="1:12">
      <c r="A647" s="14">
        <v>42908</v>
      </c>
      <c r="B647">
        <v>1953</v>
      </c>
      <c r="C647">
        <v>1943</v>
      </c>
      <c r="D647">
        <v>2242</v>
      </c>
      <c r="E647">
        <v>2252</v>
      </c>
      <c r="F647">
        <v>0.86278863232682002</v>
      </c>
      <c r="G647">
        <v>0.86169167398952795</v>
      </c>
      <c r="H647">
        <v>6.1496390553724502E-2</v>
      </c>
      <c r="I647">
        <v>1.7837767833437299E-2</v>
      </c>
      <c r="J647">
        <v>0.13</v>
      </c>
      <c r="K647">
        <v>1943</v>
      </c>
      <c r="L647">
        <v>1854.7914110429447</v>
      </c>
    </row>
    <row r="648" spans="1:12">
      <c r="A648" s="14">
        <v>42907</v>
      </c>
      <c r="B648">
        <v>1926</v>
      </c>
      <c r="C648">
        <v>1940</v>
      </c>
      <c r="D648">
        <v>2230</v>
      </c>
      <c r="E648">
        <v>2238</v>
      </c>
      <c r="F648">
        <v>0.86684539767649604</v>
      </c>
      <c r="G648">
        <v>0.86065825566603105</v>
      </c>
      <c r="H648">
        <v>6.2117367711161497E-2</v>
      </c>
      <c r="I648">
        <v>9.9604059837741898E-2</v>
      </c>
      <c r="J648">
        <v>0.71</v>
      </c>
      <c r="K648">
        <v>1940</v>
      </c>
      <c r="L648">
        <v>1843.2607361963189</v>
      </c>
    </row>
    <row r="649" spans="1:12">
      <c r="A649" s="14">
        <v>42906</v>
      </c>
      <c r="B649">
        <v>1930</v>
      </c>
      <c r="C649">
        <v>1934</v>
      </c>
      <c r="D649">
        <v>2192</v>
      </c>
      <c r="E649">
        <v>2230</v>
      </c>
      <c r="F649">
        <v>0.86726457399103096</v>
      </c>
      <c r="G649">
        <v>0.85960333513899601</v>
      </c>
      <c r="H649">
        <v>6.2672680864162694E-2</v>
      </c>
      <c r="I649">
        <v>0.12224207974508</v>
      </c>
      <c r="J649">
        <v>0.88</v>
      </c>
      <c r="K649">
        <v>1934</v>
      </c>
      <c r="L649">
        <v>1836.6717791411043</v>
      </c>
    </row>
    <row r="650" spans="1:12">
      <c r="A650" s="14">
        <v>42905</v>
      </c>
      <c r="B650">
        <v>1916</v>
      </c>
      <c r="C650">
        <v>1927</v>
      </c>
      <c r="D650">
        <v>2180</v>
      </c>
      <c r="E650">
        <v>2178</v>
      </c>
      <c r="F650">
        <v>0.88475665748392995</v>
      </c>
      <c r="G650">
        <v>0.85850145039141701</v>
      </c>
      <c r="H650">
        <v>6.32521021152503E-2</v>
      </c>
      <c r="I650">
        <v>0.41508829294991201</v>
      </c>
      <c r="J650">
        <v>2.97</v>
      </c>
      <c r="K650">
        <v>1927</v>
      </c>
      <c r="L650">
        <v>1793.8435582822085</v>
      </c>
    </row>
    <row r="651" spans="1:12">
      <c r="A651" s="14">
        <v>42902</v>
      </c>
      <c r="B651">
        <v>1912</v>
      </c>
      <c r="C651">
        <v>1907</v>
      </c>
      <c r="D651">
        <v>2144</v>
      </c>
      <c r="E651">
        <v>2168</v>
      </c>
      <c r="F651">
        <v>0.87961254612546103</v>
      </c>
      <c r="G651">
        <v>0.85733587885457896</v>
      </c>
      <c r="H651">
        <v>6.3562229322062194E-2</v>
      </c>
      <c r="I651">
        <v>0.35047020075411001</v>
      </c>
      <c r="J651">
        <v>2.5299999999999998</v>
      </c>
      <c r="K651">
        <v>1907</v>
      </c>
      <c r="L651">
        <v>1785.6073619631902</v>
      </c>
    </row>
    <row r="652" spans="1:12">
      <c r="A652" s="14">
        <v>42901</v>
      </c>
      <c r="B652">
        <v>1907</v>
      </c>
      <c r="C652">
        <v>1911</v>
      </c>
      <c r="D652">
        <v>2134</v>
      </c>
      <c r="E652">
        <v>2118</v>
      </c>
      <c r="F652">
        <v>0.90226628895184102</v>
      </c>
      <c r="G652">
        <v>0.85655071675425298</v>
      </c>
      <c r="H652">
        <v>6.3645855257238898E-2</v>
      </c>
      <c r="I652">
        <v>0.71828042867548803</v>
      </c>
      <c r="J652">
        <v>5.07</v>
      </c>
      <c r="K652">
        <v>1911</v>
      </c>
      <c r="L652">
        <v>1744.4263803680981</v>
      </c>
    </row>
    <row r="653" spans="1:12">
      <c r="A653" s="14">
        <v>42900</v>
      </c>
      <c r="B653">
        <v>1944</v>
      </c>
      <c r="C653">
        <v>1916</v>
      </c>
      <c r="D653">
        <v>2196</v>
      </c>
      <c r="E653">
        <v>2154</v>
      </c>
      <c r="F653">
        <v>0.88950789229340699</v>
      </c>
      <c r="G653">
        <v>0.85525484812998898</v>
      </c>
      <c r="H653">
        <v>6.3691275120563107E-2</v>
      </c>
      <c r="I653">
        <v>0.537798059445034</v>
      </c>
      <c r="J653">
        <v>3.85</v>
      </c>
      <c r="K653">
        <v>1916</v>
      </c>
      <c r="L653">
        <v>1774.0766871165642</v>
      </c>
    </row>
    <row r="654" spans="1:12">
      <c r="A654" s="14">
        <v>42899</v>
      </c>
      <c r="B654">
        <v>1894</v>
      </c>
      <c r="C654">
        <v>1937</v>
      </c>
      <c r="D654">
        <v>2142</v>
      </c>
      <c r="E654">
        <v>2136</v>
      </c>
      <c r="F654">
        <v>0.906835205992509</v>
      </c>
      <c r="G654">
        <v>0.85393429933767495</v>
      </c>
      <c r="H654">
        <v>6.3993419416610894E-2</v>
      </c>
      <c r="I654">
        <v>0.82666166516962103</v>
      </c>
      <c r="J654">
        <v>5.83</v>
      </c>
      <c r="K654">
        <v>1937</v>
      </c>
      <c r="L654">
        <v>1759.2515337423313</v>
      </c>
    </row>
    <row r="655" spans="1:12">
      <c r="A655" s="14">
        <v>42898</v>
      </c>
      <c r="B655">
        <v>1846</v>
      </c>
      <c r="C655">
        <v>1891</v>
      </c>
      <c r="D655">
        <v>2186</v>
      </c>
      <c r="E655">
        <v>2162</v>
      </c>
      <c r="F655">
        <v>0.87465309898242305</v>
      </c>
      <c r="G655">
        <v>0.85230145537778801</v>
      </c>
      <c r="H655">
        <v>6.4184867003255597E-2</v>
      </c>
      <c r="I655">
        <v>0.34823852799291699</v>
      </c>
      <c r="J655">
        <v>2.56</v>
      </c>
      <c r="K655">
        <v>1891</v>
      </c>
      <c r="L655">
        <v>1780.6656441717791</v>
      </c>
    </row>
    <row r="656" spans="1:12">
      <c r="A656" s="14">
        <v>42895</v>
      </c>
      <c r="B656">
        <v>1841</v>
      </c>
      <c r="C656">
        <v>1833</v>
      </c>
      <c r="D656">
        <v>2160</v>
      </c>
      <c r="E656">
        <v>2162</v>
      </c>
      <c r="F656">
        <v>0.84782608695652095</v>
      </c>
      <c r="G656">
        <v>0.85103678680022299</v>
      </c>
      <c r="H656">
        <v>6.4664649684338105E-2</v>
      </c>
      <c r="I656">
        <v>-4.9651546237005899E-2</v>
      </c>
      <c r="J656">
        <v>-0.38</v>
      </c>
      <c r="K656">
        <v>1833</v>
      </c>
      <c r="L656">
        <v>1780.6656441717791</v>
      </c>
    </row>
    <row r="657" spans="1:12">
      <c r="A657" s="14">
        <v>42894</v>
      </c>
      <c r="B657">
        <v>1840</v>
      </c>
      <c r="C657">
        <v>1841</v>
      </c>
      <c r="D657">
        <v>2150</v>
      </c>
      <c r="E657">
        <v>2156</v>
      </c>
      <c r="F657">
        <v>0.85389610389610304</v>
      </c>
      <c r="G657">
        <v>0.85030348811092205</v>
      </c>
      <c r="H657">
        <v>6.5007826593299095E-2</v>
      </c>
      <c r="I657">
        <v>5.5264357746603002E-2</v>
      </c>
      <c r="J657">
        <v>0.42</v>
      </c>
      <c r="K657">
        <v>1841</v>
      </c>
      <c r="L657">
        <v>1775.7239263803681</v>
      </c>
    </row>
    <row r="658" spans="1:12">
      <c r="A658" s="14">
        <v>42893</v>
      </c>
      <c r="B658">
        <v>1848</v>
      </c>
      <c r="C658">
        <v>1832</v>
      </c>
      <c r="D658">
        <v>2084</v>
      </c>
      <c r="E658">
        <v>2120</v>
      </c>
      <c r="F658">
        <v>0.864150943396226</v>
      </c>
      <c r="G658">
        <v>0.84960231135340802</v>
      </c>
      <c r="H658">
        <v>6.5248459104875298E-2</v>
      </c>
      <c r="I658">
        <v>0.22297280644488501</v>
      </c>
      <c r="J658">
        <v>1.68</v>
      </c>
      <c r="K658">
        <v>1832</v>
      </c>
      <c r="L658">
        <v>1746.0736196319017</v>
      </c>
    </row>
    <row r="659" spans="1:12">
      <c r="A659" s="14">
        <v>42892</v>
      </c>
      <c r="B659">
        <v>1853</v>
      </c>
      <c r="C659">
        <v>1831</v>
      </c>
      <c r="D659">
        <v>2032</v>
      </c>
      <c r="E659">
        <v>2072</v>
      </c>
      <c r="F659">
        <v>0.88368725868725795</v>
      </c>
      <c r="G659">
        <v>0.848738941369241</v>
      </c>
      <c r="H659">
        <v>6.54782397679953E-2</v>
      </c>
      <c r="I659">
        <v>0.53373941391593904</v>
      </c>
      <c r="J659">
        <v>3.95</v>
      </c>
      <c r="K659">
        <v>1831</v>
      </c>
      <c r="L659">
        <v>1706.5398773006134</v>
      </c>
    </row>
    <row r="660" spans="1:12">
      <c r="A660" s="14">
        <v>42891</v>
      </c>
      <c r="B660">
        <v>1850</v>
      </c>
      <c r="C660">
        <v>1858</v>
      </c>
      <c r="D660">
        <v>2060</v>
      </c>
      <c r="E660">
        <v>2046</v>
      </c>
      <c r="F660">
        <v>0.90811339198435903</v>
      </c>
      <c r="G660">
        <v>0.84765145133438302</v>
      </c>
      <c r="H660">
        <v>6.5566019767071895E-2</v>
      </c>
      <c r="I660">
        <v>0.92215359213159398</v>
      </c>
      <c r="J660">
        <v>6.66</v>
      </c>
      <c r="K660">
        <v>1858</v>
      </c>
      <c r="L660">
        <v>1685.1257668711655</v>
      </c>
    </row>
    <row r="661" spans="1:12">
      <c r="A661" s="14">
        <v>42888</v>
      </c>
      <c r="B661">
        <v>1839</v>
      </c>
      <c r="C661">
        <v>1845</v>
      </c>
      <c r="D661">
        <v>1980</v>
      </c>
      <c r="E661">
        <v>2042</v>
      </c>
      <c r="F661">
        <v>0.90352595494613097</v>
      </c>
      <c r="G661">
        <v>0.84651666213033405</v>
      </c>
      <c r="H661">
        <v>6.5245483191325407E-2</v>
      </c>
      <c r="I661">
        <v>0.87376612184208102</v>
      </c>
      <c r="J661">
        <v>6.31</v>
      </c>
      <c r="K661">
        <v>1845</v>
      </c>
      <c r="L661">
        <v>1681.8312883435583</v>
      </c>
    </row>
    <row r="662" spans="1:12">
      <c r="A662" s="14">
        <v>42887</v>
      </c>
      <c r="B662">
        <v>1839</v>
      </c>
      <c r="C662">
        <v>1840</v>
      </c>
      <c r="D662">
        <v>1924</v>
      </c>
      <c r="E662">
        <v>1952</v>
      </c>
      <c r="F662">
        <v>0.94262295081967196</v>
      </c>
      <c r="G662">
        <v>0.84551263741745097</v>
      </c>
      <c r="H662">
        <v>6.4939144245588401E-2</v>
      </c>
      <c r="I662">
        <v>1.49540488299271</v>
      </c>
      <c r="J662">
        <v>10.3</v>
      </c>
      <c r="K662">
        <v>1840</v>
      </c>
      <c r="L662">
        <v>1607.7055214723925</v>
      </c>
    </row>
    <row r="663" spans="1:12">
      <c r="A663" s="14">
        <v>42886</v>
      </c>
      <c r="B663">
        <v>1854</v>
      </c>
      <c r="C663">
        <v>1840</v>
      </c>
      <c r="D663">
        <v>1874</v>
      </c>
      <c r="E663">
        <v>1882</v>
      </c>
      <c r="F663">
        <v>0.97768331562167898</v>
      </c>
      <c r="G663">
        <v>0.84407923504677895</v>
      </c>
      <c r="H663">
        <v>6.3958890568995994E-2</v>
      </c>
      <c r="I663">
        <v>2.08890553582654</v>
      </c>
      <c r="J663">
        <v>13.67</v>
      </c>
      <c r="K663">
        <v>1840</v>
      </c>
      <c r="L663">
        <v>1550.0521472392638</v>
      </c>
    </row>
    <row r="664" spans="1:12">
      <c r="A664" s="14">
        <v>42885</v>
      </c>
      <c r="B664">
        <v>1859</v>
      </c>
      <c r="C664">
        <v>1857</v>
      </c>
      <c r="D664">
        <v>1878</v>
      </c>
      <c r="E664">
        <v>1878</v>
      </c>
      <c r="F664">
        <v>0.98881789137380105</v>
      </c>
      <c r="G664">
        <v>0.84236504340824003</v>
      </c>
      <c r="H664">
        <v>6.2049489983992401E-2</v>
      </c>
      <c r="I664">
        <v>2.3602586903348102</v>
      </c>
      <c r="J664">
        <v>14.81</v>
      </c>
      <c r="K664">
        <v>1857</v>
      </c>
      <c r="L664">
        <v>1546.7576687116564</v>
      </c>
    </row>
    <row r="665" spans="1:12">
      <c r="A665" s="14">
        <v>42884</v>
      </c>
      <c r="B665">
        <v>1872</v>
      </c>
      <c r="C665">
        <v>1862</v>
      </c>
      <c r="D665">
        <v>1890</v>
      </c>
      <c r="E665">
        <v>1878</v>
      </c>
      <c r="F665">
        <v>0.99148029818956296</v>
      </c>
      <c r="G665">
        <v>0.84062928303774098</v>
      </c>
      <c r="H665">
        <v>5.9704916453368499E-2</v>
      </c>
      <c r="I665">
        <v>2.5266096012317698</v>
      </c>
      <c r="J665">
        <v>15.21</v>
      </c>
      <c r="K665">
        <v>1862</v>
      </c>
      <c r="L665">
        <v>1546.7576687116564</v>
      </c>
    </row>
    <row r="666" spans="1:12">
      <c r="A666" s="14">
        <v>42881</v>
      </c>
      <c r="B666">
        <v>1879</v>
      </c>
      <c r="C666">
        <v>1873</v>
      </c>
      <c r="D666">
        <v>1866</v>
      </c>
      <c r="E666">
        <v>1882</v>
      </c>
      <c r="F666">
        <v>0.99521785334750201</v>
      </c>
      <c r="G666">
        <v>0.83908550262189496</v>
      </c>
      <c r="H666">
        <v>5.72300310401265E-2</v>
      </c>
      <c r="I666">
        <v>2.7281542205723399</v>
      </c>
      <c r="J666">
        <v>15.69</v>
      </c>
      <c r="K666">
        <v>1873</v>
      </c>
      <c r="L666">
        <v>1550.0521472392638</v>
      </c>
    </row>
    <row r="667" spans="1:12">
      <c r="A667" s="14">
        <v>42880</v>
      </c>
      <c r="B667">
        <v>1861</v>
      </c>
      <c r="C667">
        <v>1877</v>
      </c>
      <c r="D667">
        <v>1942</v>
      </c>
      <c r="E667">
        <v>1880</v>
      </c>
      <c r="F667">
        <v>0.998404255319148</v>
      </c>
      <c r="G667">
        <v>0.83777715421186305</v>
      </c>
      <c r="H667">
        <v>5.4711944023142202E-2</v>
      </c>
      <c r="I667">
        <v>2.9358690131599601</v>
      </c>
      <c r="J667">
        <v>16.09</v>
      </c>
      <c r="K667">
        <v>1877</v>
      </c>
      <c r="L667">
        <v>1548.40490797546</v>
      </c>
    </row>
    <row r="668" spans="1:12">
      <c r="A668" s="14">
        <v>42879</v>
      </c>
      <c r="B668">
        <v>1890</v>
      </c>
      <c r="C668">
        <v>1867</v>
      </c>
      <c r="D668">
        <v>1938</v>
      </c>
      <c r="E668">
        <v>1944</v>
      </c>
      <c r="F668">
        <v>0.96039094650205703</v>
      </c>
      <c r="G668">
        <v>0.83705684059354002</v>
      </c>
      <c r="H668">
        <v>5.2918692996329397E-2</v>
      </c>
      <c r="I668">
        <v>2.33063401465852</v>
      </c>
      <c r="J668">
        <v>12.84</v>
      </c>
      <c r="K668">
        <v>1867</v>
      </c>
      <c r="L668">
        <v>1601.1165644171779</v>
      </c>
    </row>
    <row r="669" spans="1:12">
      <c r="A669" s="14">
        <v>42878</v>
      </c>
      <c r="B669">
        <v>1880</v>
      </c>
      <c r="C669">
        <v>1894</v>
      </c>
      <c r="D669">
        <v>1928</v>
      </c>
      <c r="E669">
        <v>1910</v>
      </c>
      <c r="F669">
        <v>0.99162303664921403</v>
      </c>
      <c r="G669">
        <v>0.83636814714755403</v>
      </c>
      <c r="H669">
        <v>5.1629520515462102E-2</v>
      </c>
      <c r="I669">
        <v>3.0070953197243799</v>
      </c>
      <c r="J669">
        <v>15.66</v>
      </c>
      <c r="K669">
        <v>1894</v>
      </c>
      <c r="L669">
        <v>1573.1134969325153</v>
      </c>
    </row>
    <row r="670" spans="1:12">
      <c r="A670" s="14">
        <v>42877</v>
      </c>
      <c r="B670">
        <v>1898</v>
      </c>
      <c r="C670">
        <v>1884</v>
      </c>
      <c r="D670">
        <v>1972</v>
      </c>
      <c r="E670">
        <v>1936</v>
      </c>
      <c r="F670">
        <v>0.97314049586776796</v>
      </c>
      <c r="G670">
        <v>0.83600970511747197</v>
      </c>
      <c r="H670">
        <v>5.06341308219172E-2</v>
      </c>
      <c r="I670">
        <v>2.70826789211791</v>
      </c>
      <c r="J670">
        <v>14.09</v>
      </c>
      <c r="K670">
        <v>1884</v>
      </c>
      <c r="L670">
        <v>1594.5276073619632</v>
      </c>
    </row>
    <row r="671" spans="1:12">
      <c r="A671" s="14">
        <v>42874</v>
      </c>
      <c r="B671">
        <v>1885</v>
      </c>
      <c r="C671">
        <v>1882</v>
      </c>
      <c r="D671">
        <v>1918</v>
      </c>
      <c r="E671">
        <v>1948</v>
      </c>
      <c r="F671">
        <v>0.96611909650923999</v>
      </c>
      <c r="G671">
        <v>0.83606373827198299</v>
      </c>
      <c r="H671">
        <v>5.0782383476487697E-2</v>
      </c>
      <c r="I671">
        <v>2.56103296721927</v>
      </c>
      <c r="J671">
        <v>13.46</v>
      </c>
      <c r="K671">
        <v>1882</v>
      </c>
      <c r="L671">
        <v>1604.4110429447851</v>
      </c>
    </row>
    <row r="672" spans="1:12">
      <c r="A672" s="14">
        <v>42873</v>
      </c>
      <c r="B672">
        <v>1865</v>
      </c>
      <c r="C672">
        <v>1880</v>
      </c>
      <c r="D672">
        <v>1922</v>
      </c>
      <c r="E672">
        <v>1914</v>
      </c>
      <c r="F672">
        <v>0.98223615464994696</v>
      </c>
      <c r="G672">
        <v>0.83594470739615201</v>
      </c>
      <c r="H672">
        <v>5.0487005486696698E-2</v>
      </c>
      <c r="I672">
        <v>2.8976059452039</v>
      </c>
      <c r="J672">
        <v>14.89</v>
      </c>
      <c r="K672">
        <v>1880</v>
      </c>
      <c r="L672">
        <v>1576.4079754601225</v>
      </c>
    </row>
    <row r="673" spans="1:12">
      <c r="A673" s="14">
        <v>42872</v>
      </c>
      <c r="B673">
        <v>1862</v>
      </c>
      <c r="C673">
        <v>1895</v>
      </c>
      <c r="D673">
        <v>1966</v>
      </c>
      <c r="E673">
        <v>1952</v>
      </c>
      <c r="F673">
        <v>0.97079918032786805</v>
      </c>
      <c r="G673">
        <v>0.83563998734788303</v>
      </c>
      <c r="H673">
        <v>4.96654111837916E-2</v>
      </c>
      <c r="I673">
        <v>2.7213948250587401</v>
      </c>
      <c r="J673">
        <v>13.92</v>
      </c>
      <c r="K673">
        <v>1895</v>
      </c>
      <c r="L673">
        <v>1607.7055214723925</v>
      </c>
    </row>
    <row r="674" spans="1:12">
      <c r="A674" s="14">
        <v>42871</v>
      </c>
      <c r="B674">
        <v>1850</v>
      </c>
      <c r="C674">
        <v>1862</v>
      </c>
      <c r="D674">
        <v>2008</v>
      </c>
      <c r="E674">
        <v>2006</v>
      </c>
      <c r="F674">
        <v>0.92821535393818499</v>
      </c>
      <c r="G674">
        <v>0.835483256524854</v>
      </c>
      <c r="H674">
        <v>4.9255493315054098E-2</v>
      </c>
      <c r="I674">
        <v>1.88267523421573</v>
      </c>
      <c r="J674">
        <v>9.99</v>
      </c>
      <c r="K674">
        <v>1862</v>
      </c>
      <c r="L674">
        <v>1652.1809815950919</v>
      </c>
    </row>
    <row r="675" spans="1:12">
      <c r="A675" s="14">
        <v>42870</v>
      </c>
      <c r="B675">
        <v>1829</v>
      </c>
      <c r="C675">
        <v>1844</v>
      </c>
      <c r="D675">
        <v>2020</v>
      </c>
      <c r="E675">
        <v>1968</v>
      </c>
      <c r="F675">
        <v>0.93699186991869898</v>
      </c>
      <c r="G675">
        <v>0.83627625852705401</v>
      </c>
      <c r="H675">
        <v>5.11831237863586E-2</v>
      </c>
      <c r="I675">
        <v>1.96775038217749</v>
      </c>
      <c r="J675">
        <v>10.75</v>
      </c>
      <c r="K675">
        <v>1844</v>
      </c>
      <c r="L675">
        <v>1620.8834355828221</v>
      </c>
    </row>
    <row r="676" spans="1:12">
      <c r="A676" s="14">
        <v>42867</v>
      </c>
      <c r="B676">
        <v>1824</v>
      </c>
      <c r="C676">
        <v>1829</v>
      </c>
      <c r="D676">
        <v>2112</v>
      </c>
      <c r="E676">
        <v>2040</v>
      </c>
      <c r="F676">
        <v>0.89656862745097998</v>
      </c>
      <c r="G676">
        <v>0.83714014814097903</v>
      </c>
      <c r="H676">
        <v>5.3375585162377497E-2</v>
      </c>
      <c r="I676">
        <v>1.1134019257907699</v>
      </c>
      <c r="J676">
        <v>6.63</v>
      </c>
      <c r="K676">
        <v>1829</v>
      </c>
      <c r="L676">
        <v>1680.1840490797545</v>
      </c>
    </row>
    <row r="677" spans="1:12">
      <c r="A677" s="14">
        <v>42866</v>
      </c>
      <c r="B677">
        <v>1830</v>
      </c>
      <c r="C677">
        <v>1826</v>
      </c>
      <c r="D677">
        <v>2118</v>
      </c>
      <c r="E677">
        <v>2110</v>
      </c>
      <c r="F677">
        <v>0.86540284360189501</v>
      </c>
      <c r="G677">
        <v>0.83878302207712496</v>
      </c>
      <c r="H677">
        <v>5.6955672797863802E-2</v>
      </c>
      <c r="I677">
        <v>0.46737787856961199</v>
      </c>
      <c r="J677">
        <v>3.08</v>
      </c>
      <c r="K677">
        <v>1826</v>
      </c>
      <c r="L677">
        <v>1737.8374233128834</v>
      </c>
    </row>
    <row r="678" spans="1:12">
      <c r="A678" s="14">
        <v>42865</v>
      </c>
      <c r="B678">
        <v>1828</v>
      </c>
      <c r="C678">
        <v>1835</v>
      </c>
      <c r="D678">
        <v>2042</v>
      </c>
      <c r="E678">
        <v>2116</v>
      </c>
      <c r="F678">
        <v>0.86720226843100101</v>
      </c>
      <c r="G678">
        <v>0.84082397581916701</v>
      </c>
      <c r="H678">
        <v>6.0504997592544803E-2</v>
      </c>
      <c r="I678">
        <v>0.43596882342632698</v>
      </c>
      <c r="J678">
        <v>3.04</v>
      </c>
      <c r="K678">
        <v>1835</v>
      </c>
      <c r="L678">
        <v>1742.7791411042945</v>
      </c>
    </row>
    <row r="679" spans="1:12">
      <c r="A679" s="14">
        <v>42864</v>
      </c>
      <c r="B679">
        <v>1730</v>
      </c>
      <c r="C679">
        <v>1748</v>
      </c>
      <c r="D679">
        <v>2126</v>
      </c>
      <c r="E679">
        <v>2088</v>
      </c>
      <c r="F679">
        <v>0.83716475095785403</v>
      </c>
      <c r="G679">
        <v>0.84291628493811699</v>
      </c>
      <c r="H679">
        <v>6.39936861671975E-2</v>
      </c>
      <c r="I679">
        <v>-8.9876585093654204E-2</v>
      </c>
      <c r="J679">
        <v>-0.69</v>
      </c>
      <c r="K679">
        <v>1748</v>
      </c>
      <c r="L679">
        <v>1719.717791411043</v>
      </c>
    </row>
    <row r="680" spans="1:12">
      <c r="A680" s="14">
        <v>42863</v>
      </c>
      <c r="B680">
        <v>1706</v>
      </c>
      <c r="C680">
        <v>1730</v>
      </c>
      <c r="D680">
        <v>2126</v>
      </c>
      <c r="E680">
        <v>2124</v>
      </c>
      <c r="F680">
        <v>0.81450094161958497</v>
      </c>
      <c r="G680">
        <v>0.84533884089452604</v>
      </c>
      <c r="H680">
        <v>6.7094072526894699E-2</v>
      </c>
      <c r="I680">
        <v>-0.45962181327686502</v>
      </c>
      <c r="J680">
        <v>-3.79</v>
      </c>
      <c r="K680">
        <v>1730</v>
      </c>
      <c r="L680">
        <v>1749.3680981595091</v>
      </c>
    </row>
    <row r="681" spans="1:12">
      <c r="A681" s="14">
        <v>42857</v>
      </c>
      <c r="B681">
        <v>1698</v>
      </c>
      <c r="C681">
        <v>1690</v>
      </c>
      <c r="D681">
        <v>2116</v>
      </c>
      <c r="E681">
        <v>2090</v>
      </c>
      <c r="F681">
        <v>0.80861244019138701</v>
      </c>
      <c r="G681">
        <v>0.84813936003694002</v>
      </c>
      <c r="H681">
        <v>7.0066150645953895E-2</v>
      </c>
      <c r="I681">
        <v>-0.56413716867768604</v>
      </c>
      <c r="J681">
        <v>-4.8899999999999997</v>
      </c>
      <c r="K681">
        <v>1690</v>
      </c>
      <c r="L681">
        <v>1721.3650306748466</v>
      </c>
    </row>
    <row r="682" spans="1:12">
      <c r="A682" s="14">
        <v>42856</v>
      </c>
      <c r="B682">
        <v>1679</v>
      </c>
      <c r="C682">
        <v>1689</v>
      </c>
      <c r="D682">
        <v>2100</v>
      </c>
      <c r="E682">
        <v>2106</v>
      </c>
      <c r="F682">
        <v>0.80199430199430199</v>
      </c>
      <c r="G682">
        <v>0.85096363006515696</v>
      </c>
      <c r="H682">
        <v>7.2637849393519693E-2</v>
      </c>
      <c r="I682">
        <v>-0.67415718498989996</v>
      </c>
      <c r="J682">
        <v>-6.11</v>
      </c>
      <c r="K682">
        <v>1689</v>
      </c>
      <c r="L682">
        <v>1734.5429447852759</v>
      </c>
    </row>
    <row r="683" spans="1:12">
      <c r="A683" s="14">
        <v>42853</v>
      </c>
      <c r="B683">
        <v>1663</v>
      </c>
      <c r="C683">
        <v>1684</v>
      </c>
      <c r="D683">
        <v>2100</v>
      </c>
      <c r="E683">
        <v>2094</v>
      </c>
      <c r="F683">
        <v>0.80420248328557697</v>
      </c>
      <c r="G683">
        <v>0.85389840934402295</v>
      </c>
      <c r="H683">
        <v>7.5007903601085099E-2</v>
      </c>
      <c r="I683">
        <v>-0.66254252782137701</v>
      </c>
      <c r="J683">
        <v>-6.18</v>
      </c>
      <c r="K683">
        <v>1684</v>
      </c>
      <c r="L683">
        <v>1724.6595092024538</v>
      </c>
    </row>
    <row r="684" spans="1:12">
      <c r="A684" s="14">
        <v>42852</v>
      </c>
      <c r="B684">
        <v>1654</v>
      </c>
      <c r="C684">
        <v>1663</v>
      </c>
      <c r="D684">
        <v>2072</v>
      </c>
      <c r="E684">
        <v>2086</v>
      </c>
      <c r="F684">
        <v>0.79721955896452501</v>
      </c>
      <c r="G684">
        <v>0.85678915494503305</v>
      </c>
      <c r="H684">
        <v>7.7183180764650805E-2</v>
      </c>
      <c r="I684">
        <v>-0.77179503863865395</v>
      </c>
      <c r="J684">
        <v>-7.47</v>
      </c>
      <c r="K684">
        <v>1663</v>
      </c>
      <c r="L684">
        <v>1718.0705521472391</v>
      </c>
    </row>
    <row r="685" spans="1:12">
      <c r="A685" s="14">
        <v>42851</v>
      </c>
      <c r="B685">
        <v>1665</v>
      </c>
      <c r="C685">
        <v>1673</v>
      </c>
      <c r="D685">
        <v>2042</v>
      </c>
      <c r="E685">
        <v>2090</v>
      </c>
      <c r="F685">
        <v>0.80047846889952101</v>
      </c>
      <c r="G685">
        <v>0.86005992534555398</v>
      </c>
      <c r="H685">
        <v>7.9744679680197494E-2</v>
      </c>
      <c r="I685">
        <v>-0.74715274655280495</v>
      </c>
      <c r="J685">
        <v>-7.44</v>
      </c>
      <c r="K685">
        <v>1673</v>
      </c>
      <c r="L685">
        <v>1721.3650306748466</v>
      </c>
    </row>
    <row r="686" spans="1:12">
      <c r="A686" s="14">
        <v>42850</v>
      </c>
      <c r="B686">
        <v>1630</v>
      </c>
      <c r="C686">
        <v>1649</v>
      </c>
      <c r="D686">
        <v>1996</v>
      </c>
      <c r="E686">
        <v>2020</v>
      </c>
      <c r="F686">
        <v>0.81633663366336595</v>
      </c>
      <c r="G686">
        <v>0.86361020006595501</v>
      </c>
      <c r="H686">
        <v>8.2878719848526405E-2</v>
      </c>
      <c r="I686">
        <v>-0.57039450523594404</v>
      </c>
      <c r="J686">
        <v>-5.79</v>
      </c>
      <c r="K686">
        <v>1649</v>
      </c>
      <c r="L686">
        <v>1663.7116564417177</v>
      </c>
    </row>
    <row r="687" spans="1:12">
      <c r="A687" s="14">
        <v>42849</v>
      </c>
      <c r="B687">
        <v>1617</v>
      </c>
      <c r="C687">
        <v>1637</v>
      </c>
      <c r="D687">
        <v>2028</v>
      </c>
      <c r="E687">
        <v>1996</v>
      </c>
      <c r="F687">
        <v>0.82014028056112198</v>
      </c>
      <c r="G687">
        <v>0.86710773408901998</v>
      </c>
      <c r="H687">
        <v>8.6275277246184903E-2</v>
      </c>
      <c r="I687">
        <v>-0.54439064152615901</v>
      </c>
      <c r="J687">
        <v>-5.73</v>
      </c>
      <c r="K687">
        <v>1637</v>
      </c>
      <c r="L687">
        <v>1643.9447852760736</v>
      </c>
    </row>
    <row r="688" spans="1:12">
      <c r="A688" s="14">
        <v>42846</v>
      </c>
      <c r="B688">
        <v>1616</v>
      </c>
      <c r="C688">
        <v>1596</v>
      </c>
      <c r="D688">
        <v>1992</v>
      </c>
      <c r="E688">
        <v>2008</v>
      </c>
      <c r="F688">
        <v>0.79482071713147395</v>
      </c>
      <c r="G688">
        <v>0.870108224283899</v>
      </c>
      <c r="H688">
        <v>8.8474800709784501E-2</v>
      </c>
      <c r="I688">
        <v>-0.85094859268893297</v>
      </c>
      <c r="J688">
        <v>-9.4700000000000006</v>
      </c>
      <c r="K688">
        <v>1596</v>
      </c>
      <c r="L688">
        <v>1653.8282208588957</v>
      </c>
    </row>
    <row r="689" spans="1:12">
      <c r="A689" s="14">
        <v>42845</v>
      </c>
      <c r="B689">
        <v>1577</v>
      </c>
      <c r="C689">
        <v>1590</v>
      </c>
      <c r="D689">
        <v>1962</v>
      </c>
      <c r="E689">
        <v>1970</v>
      </c>
      <c r="F689">
        <v>0.807106598984771</v>
      </c>
      <c r="G689">
        <v>0.87304859189648598</v>
      </c>
      <c r="H689">
        <v>8.9581420121019897E-2</v>
      </c>
      <c r="I689">
        <v>-0.73611238605763396</v>
      </c>
      <c r="J689">
        <v>-8.17</v>
      </c>
      <c r="K689">
        <v>1590</v>
      </c>
      <c r="L689">
        <v>1622.5306748466257</v>
      </c>
    </row>
    <row r="690" spans="1:12">
      <c r="A690" s="14">
        <v>42844</v>
      </c>
      <c r="B690">
        <v>1559</v>
      </c>
      <c r="C690">
        <v>1578</v>
      </c>
      <c r="D690">
        <v>1920</v>
      </c>
      <c r="E690">
        <v>1966</v>
      </c>
      <c r="F690">
        <v>0.80264496439471</v>
      </c>
      <c r="G690">
        <v>0.87584621934734597</v>
      </c>
      <c r="H690">
        <v>9.0747153145494405E-2</v>
      </c>
      <c r="I690">
        <v>-0.80665070379974901</v>
      </c>
      <c r="J690">
        <v>-9.1199999999999992</v>
      </c>
      <c r="K690">
        <v>1578</v>
      </c>
      <c r="L690">
        <v>1619.2361963190183</v>
      </c>
    </row>
    <row r="691" spans="1:12">
      <c r="A691" s="14">
        <v>42843</v>
      </c>
      <c r="B691">
        <v>1570</v>
      </c>
      <c r="C691">
        <v>1575</v>
      </c>
      <c r="D691">
        <v>1924</v>
      </c>
      <c r="E691">
        <v>1936</v>
      </c>
      <c r="F691">
        <v>0.81353305785123897</v>
      </c>
      <c r="G691">
        <v>0.87877880012326404</v>
      </c>
      <c r="H691">
        <v>9.1880960152015898E-2</v>
      </c>
      <c r="I691">
        <v>-0.71011167236472394</v>
      </c>
      <c r="J691">
        <v>-8.02</v>
      </c>
      <c r="K691">
        <v>1575</v>
      </c>
      <c r="L691">
        <v>1594.5276073619632</v>
      </c>
    </row>
    <row r="692" spans="1:12">
      <c r="A692" s="14">
        <v>42842</v>
      </c>
      <c r="B692">
        <v>1567</v>
      </c>
      <c r="C692">
        <v>1575</v>
      </c>
      <c r="D692">
        <v>1906</v>
      </c>
      <c r="E692">
        <v>1896</v>
      </c>
      <c r="F692">
        <v>0.830696202531645</v>
      </c>
      <c r="G692">
        <v>0.88109448338292196</v>
      </c>
      <c r="H692">
        <v>9.2394538123961603E-2</v>
      </c>
      <c r="I692">
        <v>-0.54546818323459101</v>
      </c>
      <c r="J692">
        <v>-6.07</v>
      </c>
      <c r="K692">
        <v>1575</v>
      </c>
      <c r="L692">
        <v>1561.5828220858896</v>
      </c>
    </row>
    <row r="693" spans="1:12">
      <c r="A693" s="14">
        <v>42839</v>
      </c>
      <c r="B693">
        <v>1592</v>
      </c>
      <c r="C693">
        <v>1569</v>
      </c>
      <c r="D693">
        <v>1916</v>
      </c>
      <c r="E693">
        <v>1926</v>
      </c>
      <c r="F693">
        <v>0.81464174454828597</v>
      </c>
      <c r="G693">
        <v>0.88317829732944197</v>
      </c>
      <c r="H693">
        <v>9.29948286509414E-2</v>
      </c>
      <c r="I693">
        <v>-0.73699316161342598</v>
      </c>
      <c r="J693">
        <v>-8.41</v>
      </c>
      <c r="K693">
        <v>1569</v>
      </c>
      <c r="L693">
        <v>1586.2914110429447</v>
      </c>
    </row>
    <row r="694" spans="1:12">
      <c r="A694" s="14">
        <v>42838</v>
      </c>
      <c r="B694">
        <v>1588</v>
      </c>
      <c r="C694">
        <v>1593</v>
      </c>
      <c r="D694">
        <v>1896</v>
      </c>
      <c r="E694">
        <v>1904</v>
      </c>
      <c r="F694">
        <v>0.83665966386554602</v>
      </c>
      <c r="G694">
        <v>0.88576138347868705</v>
      </c>
      <c r="H694">
        <v>9.3742835648560494E-2</v>
      </c>
      <c r="I694">
        <v>-0.52379170390388197</v>
      </c>
      <c r="J694">
        <v>-5.87</v>
      </c>
      <c r="K694">
        <v>1593</v>
      </c>
      <c r="L694">
        <v>1568.1717791411043</v>
      </c>
    </row>
    <row r="695" spans="1:12">
      <c r="A695" s="14">
        <v>42837</v>
      </c>
      <c r="B695">
        <v>1596</v>
      </c>
      <c r="C695">
        <v>1612</v>
      </c>
      <c r="D695">
        <v>1942</v>
      </c>
      <c r="E695">
        <v>1932</v>
      </c>
      <c r="F695">
        <v>0.83436853002070299</v>
      </c>
      <c r="G695">
        <v>0.88803483407756501</v>
      </c>
      <c r="H695">
        <v>9.4588230303785201E-2</v>
      </c>
      <c r="I695">
        <v>-0.567367672325649</v>
      </c>
      <c r="J695">
        <v>-6.43</v>
      </c>
      <c r="K695">
        <v>1612</v>
      </c>
      <c r="L695">
        <v>1591.2331288343557</v>
      </c>
    </row>
    <row r="696" spans="1:12">
      <c r="A696" s="14">
        <v>42836</v>
      </c>
      <c r="B696">
        <v>1589</v>
      </c>
      <c r="C696">
        <v>1612</v>
      </c>
      <c r="D696">
        <v>1950</v>
      </c>
      <c r="E696">
        <v>1972</v>
      </c>
      <c r="F696">
        <v>0.81744421906693698</v>
      </c>
      <c r="G696">
        <v>0.89041890237988297</v>
      </c>
      <c r="H696">
        <v>9.5454936419138298E-2</v>
      </c>
      <c r="I696">
        <v>-0.76449355109847905</v>
      </c>
      <c r="J696">
        <v>-8.93</v>
      </c>
      <c r="K696">
        <v>1612</v>
      </c>
      <c r="L696">
        <v>1624.1779141104294</v>
      </c>
    </row>
    <row r="697" spans="1:12">
      <c r="A697" s="14">
        <v>42835</v>
      </c>
      <c r="B697">
        <v>1610</v>
      </c>
      <c r="C697">
        <v>1600</v>
      </c>
      <c r="D697">
        <v>1932</v>
      </c>
      <c r="E697">
        <v>1968</v>
      </c>
      <c r="F697">
        <v>0.81300813008130002</v>
      </c>
      <c r="G697">
        <v>0.892852979458991</v>
      </c>
      <c r="H697">
        <v>9.5889639636240698E-2</v>
      </c>
      <c r="I697">
        <v>-0.83267441279979204</v>
      </c>
      <c r="J697">
        <v>-9.82</v>
      </c>
      <c r="K697">
        <v>1600</v>
      </c>
      <c r="L697">
        <v>1620.8834355828221</v>
      </c>
    </row>
    <row r="698" spans="1:12">
      <c r="A698" s="14">
        <v>42832</v>
      </c>
      <c r="B698">
        <v>1577</v>
      </c>
      <c r="C698">
        <v>1586</v>
      </c>
      <c r="D698">
        <v>1924</v>
      </c>
      <c r="E698">
        <v>1924</v>
      </c>
      <c r="F698">
        <v>0.82432432432432401</v>
      </c>
      <c r="G698">
        <v>0.89528382622359903</v>
      </c>
      <c r="H698">
        <v>9.6145249417169495E-2</v>
      </c>
      <c r="I698">
        <v>-0.73804480543167506</v>
      </c>
      <c r="J698">
        <v>-8.61</v>
      </c>
      <c r="K698">
        <v>1586</v>
      </c>
      <c r="L698">
        <v>1584.6441717791411</v>
      </c>
    </row>
    <row r="699" spans="1:12">
      <c r="A699" s="14">
        <v>42831</v>
      </c>
      <c r="B699">
        <v>1604</v>
      </c>
      <c r="C699">
        <v>1568</v>
      </c>
      <c r="D699">
        <v>1934</v>
      </c>
      <c r="E699">
        <v>1910</v>
      </c>
      <c r="F699">
        <v>0.82094240837696297</v>
      </c>
      <c r="G699">
        <v>0.89753346868181605</v>
      </c>
      <c r="H699">
        <v>9.6432089663984893E-2</v>
      </c>
      <c r="I699">
        <v>-0.79424868393635795</v>
      </c>
      <c r="J699">
        <v>-9.33</v>
      </c>
      <c r="K699">
        <v>1568</v>
      </c>
      <c r="L699">
        <v>1573.1134969325153</v>
      </c>
    </row>
    <row r="700" spans="1:12">
      <c r="A700" s="14">
        <v>42830</v>
      </c>
      <c r="B700">
        <v>1608</v>
      </c>
      <c r="C700">
        <v>1613</v>
      </c>
      <c r="D700">
        <v>1920</v>
      </c>
      <c r="E700">
        <v>1934</v>
      </c>
      <c r="F700">
        <v>0.83402275077559396</v>
      </c>
      <c r="G700">
        <v>0.90004668940031196</v>
      </c>
      <c r="H700">
        <v>9.6858515567059295E-2</v>
      </c>
      <c r="I700">
        <v>-0.68165342239842897</v>
      </c>
      <c r="J700">
        <v>-7.92</v>
      </c>
      <c r="K700">
        <v>1613</v>
      </c>
      <c r="L700">
        <v>1592.8803680981594</v>
      </c>
    </row>
    <row r="701" spans="1:12">
      <c r="A701" s="14">
        <v>42829</v>
      </c>
      <c r="B701">
        <v>1620</v>
      </c>
      <c r="C701">
        <v>1613</v>
      </c>
      <c r="D701">
        <v>1966</v>
      </c>
      <c r="E701">
        <v>1914</v>
      </c>
      <c r="F701">
        <v>0.84273772204806596</v>
      </c>
      <c r="G701">
        <v>0.90224419746525197</v>
      </c>
      <c r="H701">
        <v>9.7204654457004699E-2</v>
      </c>
      <c r="I701">
        <v>-0.612177222887061</v>
      </c>
      <c r="J701">
        <v>-7.06</v>
      </c>
      <c r="K701">
        <v>1613</v>
      </c>
      <c r="L701">
        <v>1576.4079754601225</v>
      </c>
    </row>
    <row r="702" spans="1:12">
      <c r="A702" s="14">
        <v>42828</v>
      </c>
      <c r="B702">
        <v>1632</v>
      </c>
      <c r="C702">
        <v>1625</v>
      </c>
      <c r="D702">
        <v>1966</v>
      </c>
      <c r="E702">
        <v>1974</v>
      </c>
      <c r="F702">
        <v>0.823201621073961</v>
      </c>
      <c r="G702">
        <v>0.90452794372579504</v>
      </c>
      <c r="H702">
        <v>9.7790062089098601E-2</v>
      </c>
      <c r="I702">
        <v>-0.83164199832223795</v>
      </c>
      <c r="J702">
        <v>-9.8800000000000008</v>
      </c>
      <c r="K702">
        <v>1625</v>
      </c>
      <c r="L702">
        <v>1625.825153374233</v>
      </c>
    </row>
    <row r="703" spans="1:12">
      <c r="A703" s="14">
        <v>42825</v>
      </c>
      <c r="B703">
        <v>1621</v>
      </c>
      <c r="C703">
        <v>1611</v>
      </c>
      <c r="D703">
        <v>1990</v>
      </c>
      <c r="E703">
        <v>1956</v>
      </c>
      <c r="F703">
        <v>0.82361963190183995</v>
      </c>
      <c r="G703">
        <v>0.90663891210377701</v>
      </c>
      <c r="H703">
        <v>9.7720517431237497E-2</v>
      </c>
      <c r="I703">
        <v>-0.84955833620462295</v>
      </c>
      <c r="J703">
        <v>-10.08</v>
      </c>
      <c r="K703">
        <v>1611</v>
      </c>
      <c r="L703">
        <v>1611</v>
      </c>
    </row>
    <row r="704" spans="1:12">
      <c r="A704" s="14">
        <v>42824</v>
      </c>
      <c r="B704">
        <v>1619</v>
      </c>
      <c r="C704">
        <v>1612</v>
      </c>
      <c r="D704">
        <v>1984</v>
      </c>
      <c r="E704">
        <v>1976</v>
      </c>
      <c r="F704">
        <v>0.81578947368420995</v>
      </c>
    </row>
    <row r="705" spans="1:6">
      <c r="A705" s="14">
        <v>42823</v>
      </c>
      <c r="B705">
        <v>1644</v>
      </c>
      <c r="C705">
        <v>1628</v>
      </c>
      <c r="D705">
        <v>1982</v>
      </c>
      <c r="E705">
        <v>1978</v>
      </c>
      <c r="F705">
        <v>0.82305358948432705</v>
      </c>
    </row>
    <row r="706" spans="1:6">
      <c r="A706" s="14">
        <v>42822</v>
      </c>
      <c r="B706">
        <v>1645</v>
      </c>
      <c r="C706">
        <v>1653</v>
      </c>
      <c r="D706">
        <v>1946</v>
      </c>
      <c r="E706">
        <v>1972</v>
      </c>
      <c r="F706">
        <v>0.83823529411764697</v>
      </c>
    </row>
    <row r="707" spans="1:6">
      <c r="A707" s="14">
        <v>42821</v>
      </c>
      <c r="B707">
        <v>1640</v>
      </c>
      <c r="C707">
        <v>1631</v>
      </c>
      <c r="D707">
        <v>1900</v>
      </c>
      <c r="E707">
        <v>1914</v>
      </c>
      <c r="F707">
        <v>0.8521421107628</v>
      </c>
    </row>
    <row r="708" spans="1:6">
      <c r="A708" s="14">
        <v>42818</v>
      </c>
      <c r="B708">
        <v>1635</v>
      </c>
      <c r="C708">
        <v>1642</v>
      </c>
      <c r="D708">
        <v>1916</v>
      </c>
      <c r="E708">
        <v>1938</v>
      </c>
      <c r="F708">
        <v>0.84726522187822495</v>
      </c>
    </row>
    <row r="709" spans="1:6">
      <c r="A709" s="14">
        <v>42817</v>
      </c>
      <c r="B709">
        <v>1635</v>
      </c>
      <c r="C709">
        <v>1626</v>
      </c>
      <c r="D709">
        <v>1916</v>
      </c>
      <c r="E709">
        <v>1914</v>
      </c>
      <c r="F709">
        <v>0.84952978056426298</v>
      </c>
    </row>
    <row r="710" spans="1:6">
      <c r="A710" s="14">
        <v>42816</v>
      </c>
      <c r="B710">
        <v>1636</v>
      </c>
      <c r="C710">
        <v>1641</v>
      </c>
      <c r="D710">
        <v>1946</v>
      </c>
      <c r="E710">
        <v>1906</v>
      </c>
      <c r="F710">
        <v>0.86096537250786898</v>
      </c>
    </row>
    <row r="711" spans="1:6">
      <c r="A711" s="14">
        <v>42815</v>
      </c>
      <c r="B711">
        <v>1672</v>
      </c>
      <c r="C711">
        <v>1664</v>
      </c>
      <c r="D711">
        <v>1990</v>
      </c>
      <c r="E711">
        <v>2000</v>
      </c>
      <c r="F711">
        <v>0.83199999999999996</v>
      </c>
    </row>
    <row r="712" spans="1:6">
      <c r="A712" s="14">
        <v>42811</v>
      </c>
      <c r="B712">
        <v>1664</v>
      </c>
      <c r="C712">
        <v>1669</v>
      </c>
      <c r="D712">
        <v>2000</v>
      </c>
      <c r="E712">
        <v>1990</v>
      </c>
      <c r="F712">
        <v>0.83869346733668304</v>
      </c>
    </row>
    <row r="713" spans="1:6">
      <c r="A713" s="14">
        <v>42810</v>
      </c>
      <c r="B713">
        <v>1668</v>
      </c>
      <c r="C713">
        <v>1674</v>
      </c>
      <c r="D713">
        <v>2000</v>
      </c>
      <c r="E713">
        <v>2034</v>
      </c>
      <c r="F713">
        <v>0.82300884955752196</v>
      </c>
    </row>
    <row r="714" spans="1:6">
      <c r="A714" s="14">
        <v>42809</v>
      </c>
      <c r="B714">
        <v>1673</v>
      </c>
      <c r="C714">
        <v>1671</v>
      </c>
      <c r="D714">
        <v>2034</v>
      </c>
      <c r="E714">
        <v>2014</v>
      </c>
      <c r="F714">
        <v>0.82969215491559001</v>
      </c>
    </row>
    <row r="715" spans="1:6">
      <c r="A715" s="14">
        <v>42808</v>
      </c>
      <c r="B715">
        <v>1674</v>
      </c>
      <c r="C715">
        <v>1670</v>
      </c>
      <c r="D715">
        <v>2050</v>
      </c>
      <c r="E715">
        <v>2058</v>
      </c>
      <c r="F715">
        <v>0.81146744412050498</v>
      </c>
    </row>
    <row r="716" spans="1:6">
      <c r="A716" s="14">
        <v>42807</v>
      </c>
      <c r="B716">
        <v>1650</v>
      </c>
      <c r="C716">
        <v>1663</v>
      </c>
      <c r="D716">
        <v>2030</v>
      </c>
      <c r="E716">
        <v>2044</v>
      </c>
      <c r="F716">
        <v>0.81360078277886405</v>
      </c>
    </row>
    <row r="717" spans="1:6">
      <c r="A717" s="14">
        <v>42804</v>
      </c>
      <c r="B717">
        <v>1655</v>
      </c>
      <c r="C717">
        <v>1640</v>
      </c>
      <c r="D717">
        <v>2100</v>
      </c>
      <c r="E717">
        <v>2038</v>
      </c>
      <c r="F717">
        <v>0.80471050049067705</v>
      </c>
    </row>
    <row r="718" spans="1:6">
      <c r="A718" s="14">
        <v>42803</v>
      </c>
      <c r="B718">
        <v>1608</v>
      </c>
      <c r="C718">
        <v>1622</v>
      </c>
      <c r="D718">
        <v>2052</v>
      </c>
      <c r="E718">
        <v>2072</v>
      </c>
      <c r="F718">
        <v>0.78281853281853198</v>
      </c>
    </row>
    <row r="719" spans="1:6">
      <c r="A719" s="14">
        <v>42802</v>
      </c>
      <c r="B719">
        <v>1598</v>
      </c>
      <c r="C719">
        <v>1601</v>
      </c>
      <c r="D719">
        <v>2020</v>
      </c>
      <c r="E719">
        <v>2046</v>
      </c>
      <c r="F719">
        <v>0.78250244379276601</v>
      </c>
    </row>
    <row r="720" spans="1:6">
      <c r="A720" s="14">
        <v>42801</v>
      </c>
      <c r="B720">
        <v>1574</v>
      </c>
      <c r="C720">
        <v>1592</v>
      </c>
      <c r="D720">
        <v>2032</v>
      </c>
      <c r="E720">
        <v>2038</v>
      </c>
      <c r="F720">
        <v>0.78115799803729102</v>
      </c>
    </row>
    <row r="721" spans="1:6">
      <c r="A721" s="14">
        <v>42800</v>
      </c>
      <c r="B721">
        <v>1564</v>
      </c>
      <c r="C721">
        <v>1573</v>
      </c>
      <c r="D721">
        <v>1984</v>
      </c>
      <c r="E721">
        <v>2024</v>
      </c>
      <c r="F721">
        <v>0.77717391304347805</v>
      </c>
    </row>
    <row r="722" spans="1:6">
      <c r="A722" s="14">
        <v>42797</v>
      </c>
      <c r="B722">
        <v>1577</v>
      </c>
      <c r="C722">
        <v>1558</v>
      </c>
      <c r="D722">
        <v>1994</v>
      </c>
      <c r="E722">
        <v>1984</v>
      </c>
      <c r="F722">
        <v>0.78528225806451601</v>
      </c>
    </row>
    <row r="723" spans="1:6">
      <c r="A723" s="14">
        <v>42796</v>
      </c>
      <c r="B723">
        <v>1558</v>
      </c>
      <c r="C723">
        <v>1566</v>
      </c>
      <c r="D723">
        <v>2020</v>
      </c>
      <c r="E723">
        <v>1988</v>
      </c>
      <c r="F723">
        <v>0.78772635814889302</v>
      </c>
    </row>
    <row r="724" spans="1:6">
      <c r="A724" s="14">
        <v>42795</v>
      </c>
      <c r="B724">
        <v>1500</v>
      </c>
      <c r="C724">
        <v>1541</v>
      </c>
      <c r="D724">
        <v>1960</v>
      </c>
      <c r="E724">
        <v>1964</v>
      </c>
      <c r="F724">
        <v>0.78462321792260603</v>
      </c>
    </row>
    <row r="725" spans="1:6">
      <c r="A725" s="14">
        <v>42794</v>
      </c>
      <c r="B725">
        <v>1580</v>
      </c>
      <c r="C725">
        <v>1558</v>
      </c>
      <c r="D725">
        <v>1950</v>
      </c>
      <c r="E725">
        <v>1954</v>
      </c>
      <c r="F725">
        <v>0.79733879222108495</v>
      </c>
    </row>
    <row r="726" spans="1:6">
      <c r="A726" s="14">
        <v>42793</v>
      </c>
      <c r="B726">
        <v>1575</v>
      </c>
      <c r="C726">
        <v>1584</v>
      </c>
      <c r="D726">
        <v>1916</v>
      </c>
      <c r="E726">
        <v>1930</v>
      </c>
      <c r="F726">
        <v>0.82072538860103605</v>
      </c>
    </row>
    <row r="727" spans="1:6">
      <c r="A727" s="14">
        <v>42790</v>
      </c>
      <c r="B727">
        <v>1575</v>
      </c>
      <c r="C727">
        <v>1586</v>
      </c>
      <c r="D727">
        <v>1982</v>
      </c>
      <c r="E727">
        <v>1970</v>
      </c>
      <c r="F727">
        <v>0.80507614213197898</v>
      </c>
    </row>
    <row r="728" spans="1:6">
      <c r="A728" s="14">
        <v>42789</v>
      </c>
      <c r="B728">
        <v>1591</v>
      </c>
      <c r="C728">
        <v>1592</v>
      </c>
      <c r="D728">
        <v>2040</v>
      </c>
      <c r="E728">
        <v>2014</v>
      </c>
      <c r="F728">
        <v>0.79046673286990998</v>
      </c>
    </row>
    <row r="729" spans="1:6">
      <c r="A729" s="14">
        <v>42788</v>
      </c>
      <c r="B729">
        <v>1591</v>
      </c>
      <c r="C729">
        <v>1586</v>
      </c>
      <c r="D729">
        <v>2026</v>
      </c>
      <c r="E729">
        <v>2022</v>
      </c>
      <c r="F729">
        <v>0.78437190900098896</v>
      </c>
    </row>
    <row r="730" spans="1:6">
      <c r="A730" s="14">
        <v>42787</v>
      </c>
      <c r="B730">
        <v>1586</v>
      </c>
      <c r="C730">
        <v>1583</v>
      </c>
      <c r="D730">
        <v>2030</v>
      </c>
      <c r="E730">
        <v>2030</v>
      </c>
      <c r="F730">
        <v>0.779802955665024</v>
      </c>
    </row>
    <row r="731" spans="1:6">
      <c r="A731" s="14">
        <v>42786</v>
      </c>
      <c r="B731">
        <v>1590</v>
      </c>
      <c r="C731">
        <v>1592</v>
      </c>
      <c r="D731">
        <v>1976</v>
      </c>
      <c r="E731">
        <v>2008</v>
      </c>
      <c r="F731">
        <v>0.79282868525896399</v>
      </c>
    </row>
    <row r="732" spans="1:6">
      <c r="A732" s="14">
        <v>42783</v>
      </c>
      <c r="B732">
        <v>1590</v>
      </c>
      <c r="C732">
        <v>1593</v>
      </c>
      <c r="D732">
        <v>1994</v>
      </c>
      <c r="E732">
        <v>1988</v>
      </c>
      <c r="F732">
        <v>0.80130784708249403</v>
      </c>
    </row>
    <row r="733" spans="1:6">
      <c r="A733" s="14">
        <v>42782</v>
      </c>
      <c r="B733">
        <v>1600</v>
      </c>
      <c r="C733">
        <v>1594</v>
      </c>
      <c r="D733">
        <v>1978</v>
      </c>
      <c r="E733">
        <v>1994</v>
      </c>
      <c r="F733">
        <v>0.79939819458375105</v>
      </c>
    </row>
    <row r="734" spans="1:6">
      <c r="A734" s="14">
        <v>42781</v>
      </c>
      <c r="B734">
        <v>1577</v>
      </c>
      <c r="C734">
        <v>1585</v>
      </c>
      <c r="D734">
        <v>1934</v>
      </c>
      <c r="E734">
        <v>1976</v>
      </c>
      <c r="F734">
        <v>0.80212550607287403</v>
      </c>
    </row>
    <row r="735" spans="1:6">
      <c r="A735" s="14">
        <v>42780</v>
      </c>
      <c r="B735">
        <v>1573</v>
      </c>
      <c r="C735">
        <v>1567</v>
      </c>
      <c r="D735">
        <v>1906</v>
      </c>
      <c r="E735">
        <v>1904</v>
      </c>
      <c r="F735">
        <v>0.82300420168067201</v>
      </c>
    </row>
    <row r="736" spans="1:6">
      <c r="A736" s="14">
        <v>42779</v>
      </c>
      <c r="B736">
        <v>1568</v>
      </c>
      <c r="C736">
        <v>1567</v>
      </c>
      <c r="D736">
        <v>1896</v>
      </c>
      <c r="E736">
        <v>1892</v>
      </c>
      <c r="F736">
        <v>0.82822410147991499</v>
      </c>
    </row>
    <row r="737" spans="1:6">
      <c r="A737" s="14">
        <v>42776</v>
      </c>
      <c r="B737">
        <v>1566</v>
      </c>
      <c r="C737">
        <v>1560</v>
      </c>
      <c r="D737">
        <v>1838</v>
      </c>
      <c r="E737">
        <v>1868</v>
      </c>
      <c r="F737">
        <v>0.83511777301927104</v>
      </c>
    </row>
    <row r="738" spans="1:6">
      <c r="A738" s="14">
        <v>42775</v>
      </c>
      <c r="B738">
        <v>1548</v>
      </c>
      <c r="C738">
        <v>1542</v>
      </c>
      <c r="D738">
        <v>1820</v>
      </c>
      <c r="E738">
        <v>1816</v>
      </c>
      <c r="F738">
        <v>0.84911894273127697</v>
      </c>
    </row>
    <row r="739" spans="1:6">
      <c r="A739" s="14">
        <v>42774</v>
      </c>
      <c r="B739">
        <v>1549</v>
      </c>
      <c r="C739">
        <v>1561</v>
      </c>
      <c r="D739">
        <v>1796</v>
      </c>
      <c r="E739">
        <v>1818</v>
      </c>
      <c r="F739">
        <v>0.85863586358635802</v>
      </c>
    </row>
    <row r="740" spans="1:6">
      <c r="A740" s="14">
        <v>42773</v>
      </c>
      <c r="B740">
        <v>1595</v>
      </c>
      <c r="C740">
        <v>1571</v>
      </c>
      <c r="D740">
        <v>1768</v>
      </c>
      <c r="E740">
        <v>1794</v>
      </c>
      <c r="F740">
        <v>0.87569676700111398</v>
      </c>
    </row>
    <row r="741" spans="1:6">
      <c r="A741" s="14">
        <v>42772</v>
      </c>
      <c r="B741">
        <v>1652</v>
      </c>
      <c r="C741">
        <v>1604</v>
      </c>
      <c r="D741">
        <v>1764</v>
      </c>
      <c r="E741">
        <v>1788</v>
      </c>
      <c r="F741">
        <v>0.89709172259507797</v>
      </c>
    </row>
    <row r="742" spans="1:6">
      <c r="A742" s="14">
        <v>42769</v>
      </c>
      <c r="B742">
        <v>1644</v>
      </c>
      <c r="C742">
        <v>1647</v>
      </c>
      <c r="D742">
        <v>1798</v>
      </c>
      <c r="E742">
        <v>1744</v>
      </c>
      <c r="F742">
        <v>0.94438073394495403</v>
      </c>
    </row>
    <row r="743" spans="1:6">
      <c r="A743" s="14">
        <v>42768</v>
      </c>
      <c r="B743">
        <v>1662</v>
      </c>
      <c r="C743">
        <v>1643</v>
      </c>
      <c r="D743">
        <v>1746</v>
      </c>
      <c r="E743">
        <v>1808</v>
      </c>
      <c r="F743">
        <v>0.90873893805309702</v>
      </c>
    </row>
    <row r="744" spans="1:6">
      <c r="A744" s="14">
        <v>42767</v>
      </c>
      <c r="B744">
        <v>1651</v>
      </c>
      <c r="C744">
        <v>1669</v>
      </c>
      <c r="D744">
        <v>1680</v>
      </c>
      <c r="E744">
        <v>1730</v>
      </c>
      <c r="F744">
        <v>0.96473988439306302</v>
      </c>
    </row>
    <row r="745" spans="1:6">
      <c r="A745" s="14">
        <v>42766</v>
      </c>
      <c r="B745">
        <v>1673</v>
      </c>
      <c r="C745">
        <v>1671</v>
      </c>
      <c r="D745">
        <v>1728</v>
      </c>
      <c r="E745">
        <v>1710</v>
      </c>
      <c r="F745">
        <v>0.97719298245613995</v>
      </c>
    </row>
    <row r="746" spans="1:6">
      <c r="A746" s="14">
        <v>42765</v>
      </c>
      <c r="B746">
        <v>1664</v>
      </c>
      <c r="C746">
        <v>1677</v>
      </c>
      <c r="D746">
        <v>1740</v>
      </c>
      <c r="E746">
        <v>1752</v>
      </c>
      <c r="F746">
        <v>0.95719178082191703</v>
      </c>
    </row>
    <row r="747" spans="1:6">
      <c r="A747" s="14">
        <v>42762</v>
      </c>
      <c r="B747">
        <v>1689</v>
      </c>
      <c r="C747">
        <v>1677</v>
      </c>
      <c r="D747">
        <v>1760</v>
      </c>
      <c r="E747">
        <v>1748</v>
      </c>
      <c r="F747">
        <v>0.959382151029748</v>
      </c>
    </row>
    <row r="748" spans="1:6">
      <c r="A748" s="14">
        <v>42761</v>
      </c>
      <c r="B748">
        <v>1695</v>
      </c>
      <c r="C748">
        <v>1686</v>
      </c>
      <c r="D748">
        <v>1720</v>
      </c>
      <c r="E748">
        <v>1758</v>
      </c>
      <c r="F748">
        <v>0.95904436860068198</v>
      </c>
    </row>
    <row r="749" spans="1:6">
      <c r="A749" s="14">
        <v>42760</v>
      </c>
      <c r="B749">
        <v>1705</v>
      </c>
      <c r="C749">
        <v>1685</v>
      </c>
      <c r="D749">
        <v>1706</v>
      </c>
      <c r="E749">
        <v>1706</v>
      </c>
      <c r="F749">
        <v>0.98769050410316495</v>
      </c>
    </row>
    <row r="750" spans="1:6">
      <c r="A750" s="14">
        <v>42759</v>
      </c>
      <c r="B750">
        <v>1698</v>
      </c>
      <c r="C750">
        <v>1685</v>
      </c>
      <c r="D750">
        <v>1668</v>
      </c>
      <c r="E750">
        <v>1682</v>
      </c>
      <c r="F750">
        <v>1.0017835909631301</v>
      </c>
    </row>
    <row r="751" spans="1:6">
      <c r="A751" s="14">
        <v>42758</v>
      </c>
      <c r="B751">
        <v>1679</v>
      </c>
      <c r="C751">
        <v>1701</v>
      </c>
      <c r="D751">
        <v>1692</v>
      </c>
      <c r="E751">
        <v>1668</v>
      </c>
      <c r="F751">
        <v>1.0197841726618699</v>
      </c>
    </row>
    <row r="752" spans="1:6">
      <c r="A752" s="14">
        <v>42755</v>
      </c>
      <c r="B752">
        <v>1704</v>
      </c>
      <c r="C752">
        <v>1709</v>
      </c>
      <c r="D752">
        <v>1650</v>
      </c>
      <c r="E752">
        <v>1678</v>
      </c>
      <c r="F752">
        <v>1.0184743742550599</v>
      </c>
    </row>
    <row r="753" spans="1:6">
      <c r="A753" s="14">
        <v>42754</v>
      </c>
      <c r="B753">
        <v>1704</v>
      </c>
      <c r="C753">
        <v>1698</v>
      </c>
      <c r="D753">
        <v>1656</v>
      </c>
      <c r="E753">
        <v>1658</v>
      </c>
      <c r="F753">
        <v>1.0241254523522301</v>
      </c>
    </row>
    <row r="754" spans="1:6">
      <c r="A754" s="14">
        <v>42753</v>
      </c>
      <c r="B754">
        <v>1690</v>
      </c>
      <c r="C754">
        <v>1675</v>
      </c>
      <c r="D754">
        <v>1608</v>
      </c>
      <c r="E754">
        <v>1644</v>
      </c>
      <c r="F754">
        <v>1.01885644768856</v>
      </c>
    </row>
    <row r="755" spans="1:6">
      <c r="A755" s="14">
        <v>42752</v>
      </c>
      <c r="B755">
        <v>1701</v>
      </c>
      <c r="C755">
        <v>1670</v>
      </c>
      <c r="D755">
        <v>1676</v>
      </c>
      <c r="E755">
        <v>1630</v>
      </c>
      <c r="F755">
        <v>1.02453987730061</v>
      </c>
    </row>
    <row r="756" spans="1:6">
      <c r="A756" s="14">
        <v>42751</v>
      </c>
      <c r="B756">
        <v>1691</v>
      </c>
      <c r="C756">
        <v>1698</v>
      </c>
      <c r="D756">
        <v>1668</v>
      </c>
      <c r="E756">
        <v>1664</v>
      </c>
      <c r="F756">
        <v>1.0204326923076901</v>
      </c>
    </row>
    <row r="757" spans="1:6">
      <c r="A757" s="14">
        <v>42748</v>
      </c>
      <c r="B757">
        <v>1694</v>
      </c>
      <c r="C757">
        <v>1711</v>
      </c>
      <c r="D757">
        <v>1664</v>
      </c>
      <c r="E757">
        <v>1674</v>
      </c>
      <c r="F757">
        <v>1.02210274790919</v>
      </c>
    </row>
    <row r="758" spans="1:6">
      <c r="A758" s="14">
        <v>42747</v>
      </c>
      <c r="B758">
        <v>1714</v>
      </c>
      <c r="C758">
        <v>1701</v>
      </c>
      <c r="D758">
        <v>1656</v>
      </c>
      <c r="E758">
        <v>1666</v>
      </c>
      <c r="F758">
        <v>1.02100840336134</v>
      </c>
    </row>
    <row r="759" spans="1:6">
      <c r="A759" s="14">
        <v>42746</v>
      </c>
      <c r="B759">
        <v>1722</v>
      </c>
      <c r="C759">
        <v>1716</v>
      </c>
      <c r="D759">
        <v>1632</v>
      </c>
      <c r="E759">
        <v>1646</v>
      </c>
      <c r="F759">
        <v>1.04252733900364</v>
      </c>
    </row>
    <row r="760" spans="1:6">
      <c r="A760" s="14">
        <v>42745</v>
      </c>
      <c r="B760">
        <v>1715</v>
      </c>
      <c r="C760">
        <v>1726</v>
      </c>
      <c r="D760">
        <v>1602</v>
      </c>
      <c r="E760">
        <v>1618</v>
      </c>
      <c r="F760">
        <v>1.0667490729295399</v>
      </c>
    </row>
    <row r="761" spans="1:6">
      <c r="A761" s="14">
        <v>42741</v>
      </c>
      <c r="B761">
        <v>1705</v>
      </c>
      <c r="C761">
        <v>1728</v>
      </c>
      <c r="D761">
        <v>1578</v>
      </c>
      <c r="E761">
        <v>1602</v>
      </c>
      <c r="F761">
        <v>1.07865168539325</v>
      </c>
    </row>
    <row r="762" spans="1:6">
      <c r="A762" s="14">
        <v>42740</v>
      </c>
      <c r="B762">
        <v>1728</v>
      </c>
      <c r="C762">
        <v>1712</v>
      </c>
      <c r="D762">
        <v>1692</v>
      </c>
      <c r="E762">
        <v>1638</v>
      </c>
      <c r="F762">
        <v>1.0451770451770399</v>
      </c>
    </row>
    <row r="763" spans="1:6">
      <c r="A763" s="14">
        <v>42739</v>
      </c>
      <c r="B763">
        <v>1697</v>
      </c>
      <c r="C763">
        <v>1720</v>
      </c>
      <c r="D763">
        <v>1658</v>
      </c>
      <c r="E763">
        <v>1694</v>
      </c>
      <c r="F763">
        <v>1.01534828807556</v>
      </c>
    </row>
    <row r="764" spans="1:6">
      <c r="A764" s="14">
        <v>42734</v>
      </c>
      <c r="B764">
        <v>1663</v>
      </c>
      <c r="C764">
        <v>1682</v>
      </c>
      <c r="D764">
        <v>1624</v>
      </c>
      <c r="E764">
        <v>1654</v>
      </c>
      <c r="F764">
        <v>1.01692865779927</v>
      </c>
    </row>
    <row r="765" spans="1:6">
      <c r="A765" s="14">
        <v>42733</v>
      </c>
      <c r="B765">
        <v>1693</v>
      </c>
      <c r="C765">
        <v>1675</v>
      </c>
      <c r="D765">
        <v>1696</v>
      </c>
      <c r="E765">
        <v>1638</v>
      </c>
      <c r="F765">
        <v>1.0225885225885201</v>
      </c>
    </row>
    <row r="766" spans="1:6">
      <c r="A766" s="14">
        <v>42732</v>
      </c>
      <c r="B766">
        <v>1672</v>
      </c>
      <c r="C766">
        <v>1698</v>
      </c>
      <c r="D766">
        <v>1690</v>
      </c>
      <c r="E766">
        <v>1720</v>
      </c>
      <c r="F766">
        <v>0.98720930232558102</v>
      </c>
    </row>
    <row r="767" spans="1:6">
      <c r="A767" s="14">
        <v>42731</v>
      </c>
      <c r="B767">
        <v>1682</v>
      </c>
      <c r="C767">
        <v>1668</v>
      </c>
      <c r="D767">
        <v>1692</v>
      </c>
      <c r="E767">
        <v>1690</v>
      </c>
      <c r="F767">
        <v>0.98698224852071004</v>
      </c>
    </row>
    <row r="768" spans="1:6">
      <c r="A768" s="14">
        <v>42730</v>
      </c>
      <c r="B768">
        <v>1679</v>
      </c>
      <c r="C768">
        <v>1686</v>
      </c>
      <c r="D768">
        <v>1668</v>
      </c>
      <c r="E768">
        <v>1672</v>
      </c>
      <c r="F768">
        <v>1.0083732057416199</v>
      </c>
    </row>
    <row r="769" spans="1:6">
      <c r="A769" s="14">
        <v>42726</v>
      </c>
      <c r="B769">
        <v>1689</v>
      </c>
      <c r="C769">
        <v>1686</v>
      </c>
      <c r="D769">
        <v>1662</v>
      </c>
      <c r="E769">
        <v>1674</v>
      </c>
      <c r="F769">
        <v>1.0071684587813601</v>
      </c>
    </row>
    <row r="770" spans="1:6">
      <c r="A770" s="14">
        <v>42725</v>
      </c>
      <c r="B770">
        <v>1711</v>
      </c>
      <c r="C770">
        <v>1692</v>
      </c>
      <c r="D770">
        <v>1718</v>
      </c>
      <c r="E770">
        <v>1670</v>
      </c>
      <c r="F770">
        <v>1.01317365269461</v>
      </c>
    </row>
    <row r="771" spans="1:6">
      <c r="A771" s="14">
        <v>42724</v>
      </c>
      <c r="B771">
        <v>1701</v>
      </c>
      <c r="C771">
        <v>1718</v>
      </c>
      <c r="D771">
        <v>1694</v>
      </c>
      <c r="E771">
        <v>1718</v>
      </c>
      <c r="F771">
        <v>1</v>
      </c>
    </row>
    <row r="772" spans="1:6">
      <c r="A772" s="14">
        <v>42723</v>
      </c>
      <c r="B772">
        <v>1702</v>
      </c>
      <c r="C772">
        <v>1702</v>
      </c>
      <c r="D772">
        <v>1720</v>
      </c>
      <c r="E772">
        <v>1710</v>
      </c>
      <c r="F772">
        <v>0.99532163742690005</v>
      </c>
    </row>
    <row r="773" spans="1:6">
      <c r="A773" s="14">
        <v>42720</v>
      </c>
      <c r="B773">
        <v>1735</v>
      </c>
      <c r="C773">
        <v>1714</v>
      </c>
      <c r="D773">
        <v>1716</v>
      </c>
      <c r="E773">
        <v>1726</v>
      </c>
      <c r="F773">
        <v>0.99304750869061398</v>
      </c>
    </row>
    <row r="774" spans="1:6">
      <c r="A774" s="14">
        <v>42719</v>
      </c>
      <c r="B774">
        <v>1720</v>
      </c>
      <c r="C774">
        <v>1712</v>
      </c>
      <c r="D774">
        <v>1718</v>
      </c>
      <c r="E774">
        <v>1696</v>
      </c>
      <c r="F774">
        <v>1.0094339622641499</v>
      </c>
    </row>
    <row r="775" spans="1:6">
      <c r="A775" s="14">
        <v>42718</v>
      </c>
      <c r="B775">
        <v>1735</v>
      </c>
      <c r="C775">
        <v>1716</v>
      </c>
      <c r="D775">
        <v>1712</v>
      </c>
      <c r="E775">
        <v>1718</v>
      </c>
      <c r="F775">
        <v>0.9988358556461</v>
      </c>
    </row>
    <row r="776" spans="1:6">
      <c r="A776" s="14">
        <v>42717</v>
      </c>
      <c r="B776">
        <v>1711</v>
      </c>
      <c r="C776">
        <v>1736</v>
      </c>
      <c r="D776">
        <v>1702</v>
      </c>
      <c r="E776">
        <v>1712</v>
      </c>
      <c r="F776">
        <v>1.0140186915887801</v>
      </c>
    </row>
    <row r="777" spans="1:6">
      <c r="A777" s="14">
        <v>42716</v>
      </c>
      <c r="B777">
        <v>1718</v>
      </c>
      <c r="C777">
        <v>1700</v>
      </c>
      <c r="D777">
        <v>1758</v>
      </c>
      <c r="E777">
        <v>1732</v>
      </c>
      <c r="F777">
        <v>0.98152424942263194</v>
      </c>
    </row>
    <row r="778" spans="1:6">
      <c r="A778" s="14"/>
    </row>
    <row r="779" spans="1:6">
      <c r="A779" s="14"/>
    </row>
    <row r="780" spans="1:6">
      <c r="A780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20</v>
      </c>
    </row>
    <row r="2" spans="1:1">
      <c r="A2" s="1" t="s">
        <v>21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topLeftCell="D1" workbookViewId="0">
      <selection activeCell="P2" sqref="P2"/>
    </sheetView>
  </sheetViews>
  <sheetFormatPr defaultRowHeight="14.25"/>
  <cols>
    <col min="1" max="1" width="9" style="102"/>
    <col min="4" max="4" width="9.875" customWidth="1"/>
    <col min="19" max="19" width="15" customWidth="1"/>
    <col min="22" max="22" width="11.25" customWidth="1"/>
  </cols>
  <sheetData>
    <row r="1" spans="1:34">
      <c r="B1" s="106" t="s">
        <v>304</v>
      </c>
      <c r="C1" s="106" t="s">
        <v>34</v>
      </c>
      <c r="D1" s="106" t="s">
        <v>35</v>
      </c>
      <c r="E1" s="106" t="s">
        <v>36</v>
      </c>
      <c r="F1" s="106" t="s">
        <v>37</v>
      </c>
      <c r="G1" s="106" t="s">
        <v>38</v>
      </c>
      <c r="H1" s="106" t="s">
        <v>39</v>
      </c>
      <c r="I1" s="106" t="s">
        <v>40</v>
      </c>
      <c r="J1" s="106" t="s">
        <v>25</v>
      </c>
      <c r="K1" s="106" t="s">
        <v>41</v>
      </c>
      <c r="L1" s="106" t="s">
        <v>42</v>
      </c>
      <c r="M1" s="106" t="s">
        <v>43</v>
      </c>
      <c r="N1" s="106" t="s">
        <v>44</v>
      </c>
      <c r="O1" s="106" t="s">
        <v>45</v>
      </c>
      <c r="P1" s="106" t="s">
        <v>46</v>
      </c>
      <c r="Q1" s="106" t="s">
        <v>47</v>
      </c>
      <c r="R1" s="106" t="s">
        <v>48</v>
      </c>
      <c r="S1" s="106" t="s">
        <v>49</v>
      </c>
      <c r="T1" s="106" t="s">
        <v>74</v>
      </c>
      <c r="U1" s="106" t="s">
        <v>50</v>
      </c>
      <c r="V1" s="106" t="s">
        <v>51</v>
      </c>
      <c r="W1" s="106" t="s">
        <v>52</v>
      </c>
      <c r="X1" s="106" t="s">
        <v>53</v>
      </c>
      <c r="Y1" s="106" t="s">
        <v>54</v>
      </c>
      <c r="Z1" s="106" t="s">
        <v>55</v>
      </c>
      <c r="AA1" s="106" t="s">
        <v>56</v>
      </c>
      <c r="AB1" s="106" t="s">
        <v>57</v>
      </c>
      <c r="AC1" s="106" t="s">
        <v>58</v>
      </c>
      <c r="AD1" s="106" t="s">
        <v>59</v>
      </c>
      <c r="AE1" s="106" t="s">
        <v>60</v>
      </c>
      <c r="AF1" s="106" t="s">
        <v>75</v>
      </c>
      <c r="AG1" s="106" t="s">
        <v>76</v>
      </c>
      <c r="AH1" s="106" t="s">
        <v>77</v>
      </c>
    </row>
    <row r="2" spans="1:34">
      <c r="A2" s="102">
        <v>84</v>
      </c>
      <c r="B2" s="106">
        <v>7189</v>
      </c>
      <c r="C2" s="106" t="s">
        <v>81</v>
      </c>
      <c r="D2" s="106" t="s">
        <v>82</v>
      </c>
      <c r="E2" s="106">
        <v>867</v>
      </c>
      <c r="F2" s="106">
        <v>868</v>
      </c>
      <c r="G2" s="106">
        <v>1200</v>
      </c>
      <c r="H2" s="106" t="s">
        <v>61</v>
      </c>
      <c r="I2" s="106">
        <v>7278</v>
      </c>
      <c r="J2" s="106" t="s">
        <v>83</v>
      </c>
      <c r="K2" s="106" t="s">
        <v>84</v>
      </c>
      <c r="L2" s="106">
        <v>2511</v>
      </c>
      <c r="M2" s="106">
        <v>2520</v>
      </c>
      <c r="N2" s="106">
        <v>400</v>
      </c>
      <c r="O2" s="106" t="s">
        <v>63</v>
      </c>
      <c r="P2" s="106">
        <v>0.91162431546821099</v>
      </c>
      <c r="Q2" s="106">
        <v>0.93041745913221696</v>
      </c>
      <c r="R2" s="15">
        <v>0.13302012412310199</v>
      </c>
      <c r="S2" s="106">
        <v>1.6291370015816199E-2</v>
      </c>
      <c r="T2" s="106">
        <v>-0.109574655109155</v>
      </c>
      <c r="U2" s="106">
        <v>0.109574655109155</v>
      </c>
      <c r="V2" s="106">
        <v>-0.36</v>
      </c>
      <c r="W2" s="106">
        <v>3.33</v>
      </c>
      <c r="X2" s="106">
        <v>709033</v>
      </c>
      <c r="Y2" s="106">
        <v>35452</v>
      </c>
      <c r="Z2" s="106">
        <v>1.81</v>
      </c>
      <c r="AA2" s="106">
        <v>20</v>
      </c>
      <c r="AB2" s="106">
        <v>13</v>
      </c>
      <c r="AC2" s="106">
        <v>7</v>
      </c>
      <c r="AD2" s="106">
        <v>65</v>
      </c>
      <c r="AE2" s="106">
        <v>11</v>
      </c>
      <c r="AF2" s="106">
        <v>11</v>
      </c>
      <c r="AG2" s="106">
        <v>3</v>
      </c>
      <c r="AH2" s="106">
        <v>6</v>
      </c>
    </row>
    <row r="3" spans="1:34">
      <c r="A3" s="102">
        <v>174</v>
      </c>
      <c r="B3">
        <v>1973</v>
      </c>
      <c r="C3" s="106" t="s">
        <v>308</v>
      </c>
      <c r="D3" s="106" t="s">
        <v>79</v>
      </c>
      <c r="E3">
        <v>3570</v>
      </c>
      <c r="F3">
        <v>3570</v>
      </c>
      <c r="G3">
        <v>300</v>
      </c>
      <c r="H3" s="106" t="s">
        <v>61</v>
      </c>
      <c r="I3">
        <v>4062</v>
      </c>
      <c r="J3" s="106" t="s">
        <v>323</v>
      </c>
      <c r="K3" s="106" t="s">
        <v>87</v>
      </c>
      <c r="L3">
        <v>2669</v>
      </c>
      <c r="M3">
        <v>2667</v>
      </c>
      <c r="N3">
        <v>400</v>
      </c>
      <c r="O3" s="106" t="s">
        <v>63</v>
      </c>
      <c r="P3">
        <v>0.90879723612808705</v>
      </c>
      <c r="Q3">
        <v>0.90845675802817805</v>
      </c>
      <c r="R3" s="15">
        <v>7.6186954309343205E-2</v>
      </c>
      <c r="S3" s="106">
        <v>5.50211244747906E-2</v>
      </c>
      <c r="T3">
        <v>-0.33426840636074201</v>
      </c>
      <c r="U3">
        <v>0.33426840636074201</v>
      </c>
      <c r="V3">
        <v>-0.93</v>
      </c>
      <c r="W3">
        <v>0.39</v>
      </c>
      <c r="X3">
        <v>630606</v>
      </c>
      <c r="Y3">
        <v>45043</v>
      </c>
      <c r="Z3">
        <v>2.14</v>
      </c>
      <c r="AA3">
        <v>14</v>
      </c>
      <c r="AB3">
        <v>9</v>
      </c>
      <c r="AC3">
        <v>5</v>
      </c>
      <c r="AD3">
        <v>64.290000000000006</v>
      </c>
      <c r="AE3">
        <v>12</v>
      </c>
      <c r="AF3">
        <v>9</v>
      </c>
      <c r="AG3">
        <v>2</v>
      </c>
      <c r="AH3">
        <v>3</v>
      </c>
    </row>
    <row r="4" spans="1:34">
      <c r="A4" s="102">
        <v>135</v>
      </c>
      <c r="B4">
        <v>3105</v>
      </c>
      <c r="C4" s="106" t="s">
        <v>90</v>
      </c>
      <c r="D4" s="106" t="s">
        <v>87</v>
      </c>
      <c r="E4">
        <v>1050</v>
      </c>
      <c r="F4">
        <v>1045</v>
      </c>
      <c r="G4">
        <v>900</v>
      </c>
      <c r="H4" s="106" t="s">
        <v>63</v>
      </c>
      <c r="I4">
        <v>6995</v>
      </c>
      <c r="J4" s="106" t="s">
        <v>91</v>
      </c>
      <c r="K4" s="106" t="s">
        <v>84</v>
      </c>
      <c r="L4">
        <v>2237</v>
      </c>
      <c r="M4">
        <v>2255</v>
      </c>
      <c r="N4">
        <v>400</v>
      </c>
      <c r="O4" s="106" t="s">
        <v>61</v>
      </c>
      <c r="P4">
        <v>0.93563718424165698</v>
      </c>
      <c r="Q4">
        <v>0.91656174450406003</v>
      </c>
      <c r="R4">
        <v>0.22264458796814701</v>
      </c>
      <c r="S4">
        <v>0.12741047085368701</v>
      </c>
      <c r="T4">
        <v>7.4344677976831502E-2</v>
      </c>
      <c r="U4">
        <v>7.4344677976831502E-2</v>
      </c>
      <c r="V4">
        <v>0.2</v>
      </c>
      <c r="W4">
        <v>4.2699999999999996</v>
      </c>
      <c r="X4">
        <v>612244</v>
      </c>
      <c r="Y4">
        <v>32223</v>
      </c>
      <c r="Z4">
        <v>1.55</v>
      </c>
      <c r="AA4">
        <v>19</v>
      </c>
      <c r="AB4">
        <v>12</v>
      </c>
      <c r="AC4">
        <v>7</v>
      </c>
      <c r="AD4">
        <v>63.16</v>
      </c>
      <c r="AE4">
        <v>12</v>
      </c>
      <c r="AF4">
        <v>10</v>
      </c>
      <c r="AG4">
        <v>1</v>
      </c>
      <c r="AH4">
        <v>8</v>
      </c>
    </row>
    <row r="5" spans="1:34">
      <c r="A5" s="102">
        <v>90</v>
      </c>
      <c r="B5">
        <v>4626</v>
      </c>
      <c r="C5" s="106" t="s">
        <v>781</v>
      </c>
      <c r="D5" s="106" t="s">
        <v>62</v>
      </c>
      <c r="E5">
        <v>4370</v>
      </c>
      <c r="F5">
        <v>4360</v>
      </c>
      <c r="G5">
        <v>200</v>
      </c>
      <c r="H5" s="106" t="s">
        <v>61</v>
      </c>
      <c r="I5">
        <v>6134</v>
      </c>
      <c r="J5" s="106" t="s">
        <v>782</v>
      </c>
      <c r="K5" s="106" t="s">
        <v>99</v>
      </c>
      <c r="L5">
        <v>1988</v>
      </c>
      <c r="M5">
        <v>1980</v>
      </c>
      <c r="N5">
        <v>400</v>
      </c>
      <c r="O5" s="106" t="s">
        <v>63</v>
      </c>
      <c r="P5">
        <v>0.92654722608894702</v>
      </c>
      <c r="Q5">
        <v>0.92869308949141005</v>
      </c>
      <c r="R5">
        <v>4.3042258470550897E-2</v>
      </c>
      <c r="S5">
        <v>0.17401336582346799</v>
      </c>
      <c r="T5">
        <v>-0.202384141215605</v>
      </c>
      <c r="U5">
        <v>0.202384141215605</v>
      </c>
      <c r="V5">
        <v>-0.67</v>
      </c>
      <c r="W5">
        <v>9.17</v>
      </c>
      <c r="X5">
        <v>550688</v>
      </c>
      <c r="Y5">
        <v>32393</v>
      </c>
      <c r="Z5">
        <v>1.85</v>
      </c>
      <c r="AA5">
        <v>17</v>
      </c>
      <c r="AB5">
        <v>13</v>
      </c>
      <c r="AC5">
        <v>4</v>
      </c>
      <c r="AD5">
        <v>76.47</v>
      </c>
      <c r="AE5">
        <v>12</v>
      </c>
      <c r="AF5">
        <v>9</v>
      </c>
      <c r="AG5">
        <v>2</v>
      </c>
      <c r="AH5">
        <v>6</v>
      </c>
    </row>
    <row r="6" spans="1:34">
      <c r="A6" s="102">
        <v>162</v>
      </c>
      <c r="B6">
        <v>1963</v>
      </c>
      <c r="C6" s="106" t="s">
        <v>129</v>
      </c>
      <c r="D6" s="106" t="s">
        <v>78</v>
      </c>
      <c r="E6">
        <v>1782</v>
      </c>
      <c r="F6">
        <v>1780</v>
      </c>
      <c r="G6">
        <v>600</v>
      </c>
      <c r="H6" s="106" t="s">
        <v>63</v>
      </c>
      <c r="I6">
        <v>7186</v>
      </c>
      <c r="J6" s="106" t="s">
        <v>1034</v>
      </c>
      <c r="K6" s="106" t="s">
        <v>82</v>
      </c>
      <c r="L6">
        <v>457</v>
      </c>
      <c r="M6">
        <v>458</v>
      </c>
      <c r="N6">
        <v>2300</v>
      </c>
      <c r="O6" s="106" t="s">
        <v>61</v>
      </c>
      <c r="P6">
        <v>0.90394201318131495</v>
      </c>
      <c r="Q6">
        <v>0.91073402574747397</v>
      </c>
      <c r="R6">
        <v>9.9114508616189395E-2</v>
      </c>
      <c r="S6" s="15">
        <v>4.6015164765562297E-5</v>
      </c>
      <c r="T6">
        <v>2.0664338801727502</v>
      </c>
      <c r="U6">
        <v>2.0664338801727502</v>
      </c>
      <c r="V6">
        <v>8.23</v>
      </c>
      <c r="W6">
        <v>1.37</v>
      </c>
      <c r="X6">
        <v>542326</v>
      </c>
      <c r="Y6">
        <v>27116</v>
      </c>
      <c r="Z6">
        <v>1.27</v>
      </c>
      <c r="AA6">
        <v>20</v>
      </c>
      <c r="AB6">
        <v>14</v>
      </c>
      <c r="AC6">
        <v>6</v>
      </c>
      <c r="AD6">
        <v>70</v>
      </c>
      <c r="AE6">
        <v>11</v>
      </c>
      <c r="AF6">
        <v>14</v>
      </c>
      <c r="AG6">
        <v>5</v>
      </c>
      <c r="AH6">
        <v>1</v>
      </c>
    </row>
    <row r="7" spans="1:34">
      <c r="A7" s="102">
        <v>67</v>
      </c>
      <c r="B7">
        <v>2914</v>
      </c>
      <c r="C7" s="106" t="s">
        <v>96</v>
      </c>
      <c r="D7" s="106" t="s">
        <v>97</v>
      </c>
      <c r="E7">
        <v>2539.5</v>
      </c>
      <c r="F7">
        <v>2525.5</v>
      </c>
      <c r="G7">
        <v>400</v>
      </c>
      <c r="H7" s="106" t="s">
        <v>61</v>
      </c>
      <c r="I7">
        <v>7189</v>
      </c>
      <c r="J7" s="106" t="s">
        <v>81</v>
      </c>
      <c r="K7" s="106" t="s">
        <v>82</v>
      </c>
      <c r="L7">
        <v>867</v>
      </c>
      <c r="M7">
        <v>868</v>
      </c>
      <c r="N7">
        <v>1200</v>
      </c>
      <c r="O7" s="106" t="s">
        <v>63</v>
      </c>
      <c r="P7">
        <v>0.90280562949548404</v>
      </c>
      <c r="Q7">
        <v>0.93525006470382599</v>
      </c>
      <c r="R7">
        <v>0.12546933966851101</v>
      </c>
      <c r="S7">
        <v>3.55335936200857E-2</v>
      </c>
      <c r="T7">
        <v>-0.80922229768554599</v>
      </c>
      <c r="U7">
        <v>0.80922229768554599</v>
      </c>
      <c r="V7">
        <v>-4.78</v>
      </c>
      <c r="W7">
        <v>3.11</v>
      </c>
      <c r="X7">
        <v>526842</v>
      </c>
      <c r="Y7">
        <v>23947</v>
      </c>
      <c r="Z7">
        <v>1.21</v>
      </c>
      <c r="AA7">
        <v>22</v>
      </c>
      <c r="AB7">
        <v>16</v>
      </c>
      <c r="AC7">
        <v>6</v>
      </c>
      <c r="AD7">
        <v>72.73</v>
      </c>
      <c r="AE7">
        <v>14</v>
      </c>
      <c r="AF7">
        <v>12</v>
      </c>
      <c r="AG7">
        <v>3</v>
      </c>
      <c r="AH7">
        <v>7</v>
      </c>
    </row>
    <row r="8" spans="1:34">
      <c r="A8" s="102">
        <v>2</v>
      </c>
      <c r="B8">
        <v>3635</v>
      </c>
      <c r="C8" s="106" t="s">
        <v>85</v>
      </c>
      <c r="D8" s="106" t="s">
        <v>79</v>
      </c>
      <c r="E8">
        <v>2779</v>
      </c>
      <c r="F8">
        <v>2820</v>
      </c>
      <c r="G8">
        <v>400</v>
      </c>
      <c r="H8" s="106" t="s">
        <v>61</v>
      </c>
      <c r="I8">
        <v>6920</v>
      </c>
      <c r="J8" s="106" t="s">
        <v>86</v>
      </c>
      <c r="K8" s="106" t="s">
        <v>87</v>
      </c>
      <c r="L8">
        <v>10100</v>
      </c>
      <c r="M8">
        <v>10200</v>
      </c>
      <c r="N8">
        <v>100</v>
      </c>
      <c r="O8" s="106" t="s">
        <v>63</v>
      </c>
      <c r="P8">
        <v>0.94037592055429897</v>
      </c>
      <c r="Q8">
        <v>0.971344050707171</v>
      </c>
      <c r="R8">
        <v>3.1860044143178501E-2</v>
      </c>
      <c r="S8" s="15">
        <v>4.7641095935734002E-4</v>
      </c>
      <c r="T8">
        <v>-1.27255351172641</v>
      </c>
      <c r="U8">
        <v>1.27255351172641</v>
      </c>
      <c r="V8">
        <v>-12.66</v>
      </c>
      <c r="W8">
        <v>10.59</v>
      </c>
      <c r="X8">
        <v>518439</v>
      </c>
      <c r="Y8">
        <v>25922</v>
      </c>
      <c r="Z8">
        <v>1.37</v>
      </c>
      <c r="AA8">
        <v>20</v>
      </c>
      <c r="AB8">
        <v>13</v>
      </c>
      <c r="AC8">
        <v>7</v>
      </c>
      <c r="AD8">
        <v>65</v>
      </c>
      <c r="AE8">
        <v>10</v>
      </c>
      <c r="AF8">
        <v>10</v>
      </c>
      <c r="AG8">
        <v>6</v>
      </c>
      <c r="AH8">
        <v>4</v>
      </c>
    </row>
    <row r="9" spans="1:34">
      <c r="A9" s="102">
        <v>141</v>
      </c>
      <c r="B9">
        <v>5393</v>
      </c>
      <c r="C9" s="106" t="s">
        <v>330</v>
      </c>
      <c r="D9" s="106" t="s">
        <v>106</v>
      </c>
      <c r="E9">
        <v>2766</v>
      </c>
      <c r="F9">
        <v>2762</v>
      </c>
      <c r="G9">
        <v>300</v>
      </c>
      <c r="H9" s="106" t="s">
        <v>63</v>
      </c>
      <c r="I9">
        <v>8253</v>
      </c>
      <c r="J9" s="106" t="s">
        <v>1004</v>
      </c>
      <c r="K9" s="106" t="s">
        <v>297</v>
      </c>
      <c r="L9">
        <v>1878</v>
      </c>
      <c r="M9">
        <v>1868</v>
      </c>
      <c r="N9">
        <v>400</v>
      </c>
      <c r="O9" s="106" t="s">
        <v>61</v>
      </c>
      <c r="P9">
        <v>0.96904491074523402</v>
      </c>
      <c r="Q9">
        <v>0.91506362583467804</v>
      </c>
      <c r="R9">
        <v>0.24423766285867901</v>
      </c>
      <c r="S9" s="15">
        <v>0.161333167966934</v>
      </c>
      <c r="T9">
        <v>0.99127448745206803</v>
      </c>
      <c r="U9">
        <v>0.99127448745206803</v>
      </c>
      <c r="V9">
        <v>4.08</v>
      </c>
      <c r="W9">
        <v>9.82</v>
      </c>
      <c r="X9">
        <v>477201</v>
      </c>
      <c r="Y9">
        <v>28071</v>
      </c>
      <c r="Z9">
        <v>1.44</v>
      </c>
      <c r="AA9">
        <v>17</v>
      </c>
      <c r="AB9">
        <v>14</v>
      </c>
      <c r="AC9">
        <v>3</v>
      </c>
      <c r="AD9">
        <v>82.35</v>
      </c>
      <c r="AE9">
        <v>12</v>
      </c>
      <c r="AF9">
        <v>9</v>
      </c>
      <c r="AG9">
        <v>1</v>
      </c>
      <c r="AH9">
        <v>7</v>
      </c>
    </row>
    <row r="10" spans="1:34">
      <c r="A10" s="102">
        <v>15</v>
      </c>
      <c r="B10">
        <v>1928</v>
      </c>
      <c r="C10" s="106" t="s">
        <v>300</v>
      </c>
      <c r="D10" s="106" t="s">
        <v>78</v>
      </c>
      <c r="E10">
        <v>2371</v>
      </c>
      <c r="F10">
        <v>2377.5</v>
      </c>
      <c r="G10">
        <v>400</v>
      </c>
      <c r="H10" s="106" t="s">
        <v>61</v>
      </c>
      <c r="I10">
        <v>4062</v>
      </c>
      <c r="J10" s="106" t="s">
        <v>323</v>
      </c>
      <c r="K10" s="106" t="s">
        <v>87</v>
      </c>
      <c r="L10">
        <v>2669</v>
      </c>
      <c r="M10">
        <v>2667</v>
      </c>
      <c r="N10">
        <v>400</v>
      </c>
      <c r="O10" s="106" t="s">
        <v>63</v>
      </c>
      <c r="P10">
        <v>0.91330870139597597</v>
      </c>
      <c r="Q10">
        <v>0.95472008263175001</v>
      </c>
      <c r="R10">
        <v>1.55952540900577E-2</v>
      </c>
      <c r="S10">
        <v>6.0773230579700702E-2</v>
      </c>
      <c r="T10">
        <v>-1.9845356394879401</v>
      </c>
      <c r="U10">
        <v>1.9845356394879401</v>
      </c>
      <c r="V10">
        <v>-6.08</v>
      </c>
      <c r="W10">
        <v>10.85</v>
      </c>
      <c r="X10">
        <v>454397</v>
      </c>
      <c r="Y10">
        <v>28400</v>
      </c>
      <c r="Z10">
        <v>1.52</v>
      </c>
      <c r="AA10">
        <v>16</v>
      </c>
      <c r="AB10">
        <v>13</v>
      </c>
      <c r="AC10">
        <v>3</v>
      </c>
      <c r="AD10">
        <v>81.25</v>
      </c>
      <c r="AE10">
        <v>11</v>
      </c>
      <c r="AF10">
        <v>9</v>
      </c>
      <c r="AG10">
        <v>2</v>
      </c>
      <c r="AH10">
        <v>5</v>
      </c>
    </row>
    <row r="11" spans="1:34">
      <c r="A11" s="102">
        <v>42</v>
      </c>
      <c r="B11">
        <v>4204</v>
      </c>
      <c r="C11" s="106" t="s">
        <v>321</v>
      </c>
      <c r="D11" s="106" t="s">
        <v>62</v>
      </c>
      <c r="E11">
        <v>1917</v>
      </c>
      <c r="F11">
        <v>1927</v>
      </c>
      <c r="G11">
        <v>500</v>
      </c>
      <c r="H11" s="106" t="s">
        <v>61</v>
      </c>
      <c r="I11">
        <v>4626</v>
      </c>
      <c r="J11" s="106" t="s">
        <v>781</v>
      </c>
      <c r="K11" s="106" t="s">
        <v>62</v>
      </c>
      <c r="L11">
        <v>4370</v>
      </c>
      <c r="M11">
        <v>4360</v>
      </c>
      <c r="N11">
        <v>200</v>
      </c>
      <c r="O11" s="106" t="s">
        <v>63</v>
      </c>
      <c r="P11">
        <v>0.93861398594134104</v>
      </c>
      <c r="Q11">
        <v>0.94155892486137505</v>
      </c>
      <c r="R11">
        <v>0.204967214164441</v>
      </c>
      <c r="S11">
        <v>6.0861384829278602E-2</v>
      </c>
      <c r="T11">
        <v>-1.2042931294039101</v>
      </c>
      <c r="U11">
        <v>1.2042931294039101</v>
      </c>
      <c r="V11">
        <v>-4.4400000000000004</v>
      </c>
      <c r="W11">
        <v>10.49</v>
      </c>
      <c r="X11">
        <v>440364</v>
      </c>
      <c r="Y11">
        <v>23177</v>
      </c>
      <c r="Z11">
        <v>1.21</v>
      </c>
      <c r="AA11">
        <v>19</v>
      </c>
      <c r="AB11">
        <v>13</v>
      </c>
      <c r="AC11">
        <v>6</v>
      </c>
      <c r="AD11">
        <v>68.42</v>
      </c>
      <c r="AE11">
        <v>15</v>
      </c>
      <c r="AF11">
        <v>9</v>
      </c>
      <c r="AG11">
        <v>1</v>
      </c>
      <c r="AH11">
        <v>9</v>
      </c>
    </row>
    <row r="12" spans="1:34">
      <c r="A12" s="102">
        <v>22</v>
      </c>
      <c r="B12">
        <v>5991</v>
      </c>
      <c r="C12" s="106" t="s">
        <v>115</v>
      </c>
      <c r="D12" s="106" t="s">
        <v>116</v>
      </c>
      <c r="E12">
        <v>1030</v>
      </c>
      <c r="F12">
        <v>1029</v>
      </c>
      <c r="G12">
        <v>1000</v>
      </c>
      <c r="H12" s="106" t="s">
        <v>63</v>
      </c>
      <c r="I12">
        <v>7278</v>
      </c>
      <c r="J12" s="106" t="s">
        <v>83</v>
      </c>
      <c r="K12" s="106" t="s">
        <v>84</v>
      </c>
      <c r="L12">
        <v>2511</v>
      </c>
      <c r="M12">
        <v>2520</v>
      </c>
      <c r="N12">
        <v>400</v>
      </c>
      <c r="O12" s="106" t="s">
        <v>61</v>
      </c>
      <c r="P12">
        <v>0.92962983169945301</v>
      </c>
      <c r="Q12">
        <v>0.95046279988284998</v>
      </c>
      <c r="R12">
        <v>0.14788121581533301</v>
      </c>
      <c r="S12" s="15">
        <v>1.02428892707595E-2</v>
      </c>
      <c r="T12">
        <v>1.8589089619382999</v>
      </c>
      <c r="U12">
        <v>1.8589089619382999</v>
      </c>
      <c r="V12">
        <v>4.45</v>
      </c>
      <c r="W12">
        <v>2.08</v>
      </c>
      <c r="X12">
        <v>437615</v>
      </c>
      <c r="Y12">
        <v>24312</v>
      </c>
      <c r="Z12">
        <v>1.1399999999999999</v>
      </c>
      <c r="AA12">
        <v>18</v>
      </c>
      <c r="AB12">
        <v>13</v>
      </c>
      <c r="AC12">
        <v>5</v>
      </c>
      <c r="AD12">
        <v>72.22</v>
      </c>
      <c r="AE12">
        <v>13</v>
      </c>
      <c r="AF12">
        <v>8</v>
      </c>
      <c r="AG12">
        <v>1</v>
      </c>
      <c r="AH12">
        <v>9</v>
      </c>
    </row>
    <row r="13" spans="1:34">
      <c r="A13" s="102">
        <v>27</v>
      </c>
      <c r="B13">
        <v>1973</v>
      </c>
      <c r="C13" s="106" t="s">
        <v>308</v>
      </c>
      <c r="D13" s="106" t="s">
        <v>79</v>
      </c>
      <c r="E13">
        <v>3570</v>
      </c>
      <c r="F13">
        <v>3570</v>
      </c>
      <c r="G13">
        <v>300</v>
      </c>
      <c r="H13" s="106" t="s">
        <v>61</v>
      </c>
      <c r="I13">
        <v>3635</v>
      </c>
      <c r="J13" s="106" t="s">
        <v>85</v>
      </c>
      <c r="K13" s="106" t="s">
        <v>79</v>
      </c>
      <c r="L13">
        <v>2779</v>
      </c>
      <c r="M13">
        <v>2820</v>
      </c>
      <c r="N13">
        <v>400</v>
      </c>
      <c r="O13" s="106" t="s">
        <v>63</v>
      </c>
      <c r="P13">
        <v>0.93712727524550099</v>
      </c>
      <c r="Q13">
        <v>0.94816536716513999</v>
      </c>
      <c r="R13">
        <v>0.11141076732966</v>
      </c>
      <c r="S13" s="15">
        <v>1.9051447693850299E-2</v>
      </c>
      <c r="T13">
        <v>-1.1450574305939301</v>
      </c>
      <c r="U13">
        <v>1.1450574305939301</v>
      </c>
      <c r="V13">
        <v>-3.27</v>
      </c>
      <c r="W13">
        <v>5.32</v>
      </c>
      <c r="X13">
        <v>416117</v>
      </c>
      <c r="Y13">
        <v>26007</v>
      </c>
      <c r="Z13">
        <v>1.37</v>
      </c>
      <c r="AA13">
        <v>16</v>
      </c>
      <c r="AB13">
        <v>12</v>
      </c>
      <c r="AC13">
        <v>4</v>
      </c>
      <c r="AD13">
        <v>75</v>
      </c>
      <c r="AE13">
        <v>13</v>
      </c>
      <c r="AF13">
        <v>8</v>
      </c>
      <c r="AG13">
        <v>1</v>
      </c>
      <c r="AH13">
        <v>7</v>
      </c>
    </row>
    <row r="14" spans="1:34">
      <c r="A14" s="102">
        <v>161</v>
      </c>
      <c r="B14">
        <v>8593</v>
      </c>
      <c r="C14" s="106" t="s">
        <v>309</v>
      </c>
      <c r="D14" s="106" t="s">
        <v>297</v>
      </c>
      <c r="E14">
        <v>716</v>
      </c>
      <c r="F14">
        <v>721</v>
      </c>
      <c r="G14">
        <v>1300</v>
      </c>
      <c r="H14" s="106" t="s">
        <v>63</v>
      </c>
      <c r="I14">
        <v>9437</v>
      </c>
      <c r="J14" s="106" t="s">
        <v>849</v>
      </c>
      <c r="K14" s="106" t="s">
        <v>79</v>
      </c>
      <c r="L14">
        <v>3062</v>
      </c>
      <c r="M14">
        <v>3065</v>
      </c>
      <c r="N14">
        <v>300</v>
      </c>
      <c r="O14" s="106" t="s">
        <v>61</v>
      </c>
      <c r="P14">
        <v>0.90666890897235497</v>
      </c>
      <c r="Q14">
        <v>0.91086075085116502</v>
      </c>
      <c r="R14">
        <v>3.6583779350308397E-2</v>
      </c>
      <c r="S14" s="15">
        <v>0.115739280923163</v>
      </c>
      <c r="T14">
        <v>1.0297755590761799</v>
      </c>
      <c r="U14">
        <v>1.0297755590761799</v>
      </c>
      <c r="V14">
        <v>2.76</v>
      </c>
      <c r="W14">
        <v>1.94</v>
      </c>
      <c r="X14">
        <v>399560</v>
      </c>
      <c r="Y14">
        <v>33297</v>
      </c>
      <c r="Z14">
        <v>1.73</v>
      </c>
      <c r="AA14">
        <v>12</v>
      </c>
      <c r="AB14">
        <v>9</v>
      </c>
      <c r="AC14">
        <v>3</v>
      </c>
      <c r="AD14">
        <v>75</v>
      </c>
      <c r="AE14">
        <v>12</v>
      </c>
      <c r="AF14">
        <v>7</v>
      </c>
      <c r="AG14">
        <v>1</v>
      </c>
      <c r="AH14">
        <v>4</v>
      </c>
    </row>
    <row r="15" spans="1:34">
      <c r="A15" s="102">
        <v>143</v>
      </c>
      <c r="B15">
        <v>4182</v>
      </c>
      <c r="C15" s="106" t="s">
        <v>88</v>
      </c>
      <c r="D15" s="106" t="s">
        <v>62</v>
      </c>
      <c r="E15">
        <v>1698</v>
      </c>
      <c r="F15">
        <v>1693</v>
      </c>
      <c r="G15">
        <v>500</v>
      </c>
      <c r="H15" s="106" t="s">
        <v>63</v>
      </c>
      <c r="I15">
        <v>7259</v>
      </c>
      <c r="J15" s="106" t="s">
        <v>29</v>
      </c>
      <c r="K15" s="106" t="s">
        <v>84</v>
      </c>
      <c r="L15">
        <v>4150</v>
      </c>
      <c r="M15">
        <v>4150</v>
      </c>
      <c r="N15">
        <v>200</v>
      </c>
      <c r="O15" s="106" t="s">
        <v>61</v>
      </c>
      <c r="P15">
        <v>0.91107628613443403</v>
      </c>
      <c r="Q15">
        <v>0.91475372933107002</v>
      </c>
      <c r="R15" s="106">
        <v>0.241257563623828</v>
      </c>
      <c r="S15" s="15">
        <v>3.7176640812975101E-2</v>
      </c>
      <c r="T15">
        <v>0.35390686720973602</v>
      </c>
      <c r="U15">
        <v>0.35390686720973602</v>
      </c>
      <c r="V15">
        <v>1.29</v>
      </c>
      <c r="W15">
        <v>1.99</v>
      </c>
      <c r="X15">
        <v>398323</v>
      </c>
      <c r="Y15">
        <v>22129</v>
      </c>
      <c r="Z15">
        <v>1.2</v>
      </c>
      <c r="AA15">
        <v>18</v>
      </c>
      <c r="AB15">
        <v>13</v>
      </c>
      <c r="AC15">
        <v>5</v>
      </c>
      <c r="AD15">
        <v>72.22</v>
      </c>
      <c r="AE15">
        <v>12</v>
      </c>
      <c r="AF15">
        <v>9</v>
      </c>
      <c r="AG15">
        <v>2</v>
      </c>
      <c r="AH15">
        <v>7</v>
      </c>
    </row>
    <row r="16" spans="1:34">
      <c r="A16" s="102">
        <v>119</v>
      </c>
      <c r="B16">
        <v>6952</v>
      </c>
      <c r="C16" s="106" t="s">
        <v>790</v>
      </c>
      <c r="D16" s="106" t="s">
        <v>87</v>
      </c>
      <c r="E16">
        <v>2158</v>
      </c>
      <c r="F16">
        <v>2199</v>
      </c>
      <c r="G16">
        <v>400</v>
      </c>
      <c r="H16" s="106" t="s">
        <v>63</v>
      </c>
      <c r="I16">
        <v>7729</v>
      </c>
      <c r="J16" s="106" t="s">
        <v>1036</v>
      </c>
      <c r="K16" s="106" t="s">
        <v>93</v>
      </c>
      <c r="L16">
        <v>4170</v>
      </c>
      <c r="M16">
        <v>4210</v>
      </c>
      <c r="N16">
        <v>200</v>
      </c>
      <c r="O16" s="106" t="s">
        <v>61</v>
      </c>
      <c r="P16">
        <v>0.954022992899484</v>
      </c>
      <c r="Q16">
        <v>0.91941521415076699</v>
      </c>
      <c r="R16">
        <v>6.7530761025058894E-2</v>
      </c>
      <c r="S16" s="15">
        <v>6.9786434415448295E-2</v>
      </c>
      <c r="T16">
        <v>0.38531753913833999</v>
      </c>
      <c r="U16">
        <v>0.38531753913833999</v>
      </c>
      <c r="V16">
        <v>1.21</v>
      </c>
      <c r="W16">
        <v>4.47</v>
      </c>
      <c r="X16">
        <v>385325</v>
      </c>
      <c r="Y16">
        <v>18349</v>
      </c>
      <c r="Z16">
        <v>0.8</v>
      </c>
      <c r="AA16">
        <v>21</v>
      </c>
      <c r="AB16">
        <v>12</v>
      </c>
      <c r="AC16">
        <v>9</v>
      </c>
      <c r="AD16">
        <v>57.14</v>
      </c>
      <c r="AE16">
        <v>11</v>
      </c>
      <c r="AF16">
        <v>11</v>
      </c>
      <c r="AG16">
        <v>6</v>
      </c>
      <c r="AH16">
        <v>4</v>
      </c>
    </row>
    <row r="17" spans="1:34">
      <c r="A17" s="102">
        <v>107</v>
      </c>
      <c r="B17">
        <v>1963</v>
      </c>
      <c r="C17" s="106" t="s">
        <v>129</v>
      </c>
      <c r="D17" s="106" t="s">
        <v>78</v>
      </c>
      <c r="E17">
        <v>1782</v>
      </c>
      <c r="F17">
        <v>1780</v>
      </c>
      <c r="G17">
        <v>600</v>
      </c>
      <c r="H17" s="106" t="s">
        <v>63</v>
      </c>
      <c r="I17">
        <v>5802</v>
      </c>
      <c r="J17" s="106" t="s">
        <v>130</v>
      </c>
      <c r="K17" s="106" t="s">
        <v>131</v>
      </c>
      <c r="L17">
        <v>1667.5</v>
      </c>
      <c r="M17">
        <v>1680.5</v>
      </c>
      <c r="N17">
        <v>600</v>
      </c>
      <c r="O17" s="106" t="s">
        <v>61</v>
      </c>
      <c r="P17">
        <v>0.91587996913601</v>
      </c>
      <c r="Q17">
        <v>0.92254049789375103</v>
      </c>
      <c r="R17">
        <v>0.102380402597343</v>
      </c>
      <c r="S17" s="15">
        <v>1.12267775783257E-3</v>
      </c>
      <c r="T17">
        <v>0.73703098041333404</v>
      </c>
      <c r="U17">
        <v>0.73703098041333404</v>
      </c>
      <c r="V17">
        <v>2.1800000000000002</v>
      </c>
      <c r="W17">
        <v>5.59</v>
      </c>
      <c r="X17">
        <v>383249</v>
      </c>
      <c r="Y17">
        <v>14740</v>
      </c>
      <c r="Z17">
        <v>0.74</v>
      </c>
      <c r="AA17">
        <v>26</v>
      </c>
      <c r="AB17">
        <v>16</v>
      </c>
      <c r="AC17">
        <v>10</v>
      </c>
      <c r="AD17">
        <v>61.54</v>
      </c>
      <c r="AE17">
        <v>13</v>
      </c>
      <c r="AF17">
        <v>13</v>
      </c>
      <c r="AG17">
        <v>6</v>
      </c>
      <c r="AH17">
        <v>7</v>
      </c>
    </row>
    <row r="18" spans="1:34">
      <c r="A18" s="102">
        <v>159</v>
      </c>
      <c r="B18">
        <v>1941</v>
      </c>
      <c r="C18" s="106" t="s">
        <v>1037</v>
      </c>
      <c r="D18" s="106" t="s">
        <v>78</v>
      </c>
      <c r="E18">
        <v>2611</v>
      </c>
      <c r="F18">
        <v>2590</v>
      </c>
      <c r="G18">
        <v>400</v>
      </c>
      <c r="H18" s="106" t="s">
        <v>61</v>
      </c>
      <c r="I18">
        <v>6287</v>
      </c>
      <c r="J18" s="106" t="s">
        <v>784</v>
      </c>
      <c r="K18" s="106" t="s">
        <v>99</v>
      </c>
      <c r="L18">
        <v>3425</v>
      </c>
      <c r="M18">
        <v>3420</v>
      </c>
      <c r="N18">
        <v>300</v>
      </c>
      <c r="O18" s="106" t="s">
        <v>63</v>
      </c>
      <c r="P18">
        <v>0.92449523302227798</v>
      </c>
      <c r="Q18">
        <v>0.91139742730223805</v>
      </c>
      <c r="R18" s="106">
        <v>0.36647746216895399</v>
      </c>
      <c r="S18" s="15">
        <v>9.2543030988659998E-4</v>
      </c>
      <c r="T18">
        <v>-1.3013040652268799</v>
      </c>
      <c r="U18">
        <v>1.3013040652268799</v>
      </c>
      <c r="V18">
        <v>-5.72</v>
      </c>
      <c r="W18">
        <v>0.97</v>
      </c>
      <c r="X18">
        <v>380168</v>
      </c>
      <c r="Y18">
        <v>25345</v>
      </c>
      <c r="Z18">
        <v>1.27</v>
      </c>
      <c r="AA18">
        <v>15</v>
      </c>
      <c r="AB18">
        <v>10</v>
      </c>
      <c r="AC18">
        <v>5</v>
      </c>
      <c r="AD18">
        <v>66.67</v>
      </c>
      <c r="AE18">
        <v>14</v>
      </c>
      <c r="AF18">
        <v>6</v>
      </c>
      <c r="AG18">
        <v>2</v>
      </c>
      <c r="AH18">
        <v>7</v>
      </c>
    </row>
    <row r="19" spans="1:34">
      <c r="A19" s="102">
        <v>149</v>
      </c>
      <c r="B19">
        <v>1719</v>
      </c>
      <c r="C19" s="106" t="s">
        <v>1038</v>
      </c>
      <c r="D19" s="106" t="s">
        <v>78</v>
      </c>
      <c r="E19">
        <v>950</v>
      </c>
      <c r="F19">
        <v>950</v>
      </c>
      <c r="G19">
        <v>1100</v>
      </c>
      <c r="H19" s="106" t="s">
        <v>63</v>
      </c>
      <c r="I19">
        <v>1803</v>
      </c>
      <c r="J19" s="106" t="s">
        <v>1039</v>
      </c>
      <c r="K19" s="106" t="s">
        <v>78</v>
      </c>
      <c r="L19">
        <v>1130</v>
      </c>
      <c r="M19">
        <v>1125</v>
      </c>
      <c r="N19">
        <v>900</v>
      </c>
      <c r="O19" s="106" t="s">
        <v>61</v>
      </c>
      <c r="P19">
        <v>0.94636341485486297</v>
      </c>
      <c r="Q19">
        <v>0.914215063906755</v>
      </c>
      <c r="R19" s="15">
        <v>1.89488402431582E-2</v>
      </c>
      <c r="S19">
        <v>5.2855909447539401E-2</v>
      </c>
      <c r="T19">
        <v>0.74644209501968495</v>
      </c>
      <c r="U19">
        <v>0.74644209501968495</v>
      </c>
      <c r="V19">
        <v>2.94</v>
      </c>
      <c r="W19">
        <v>3.21</v>
      </c>
      <c r="X19">
        <v>366456</v>
      </c>
      <c r="Y19">
        <v>16657</v>
      </c>
      <c r="Z19">
        <v>0.79</v>
      </c>
      <c r="AA19">
        <v>22</v>
      </c>
      <c r="AB19">
        <v>13</v>
      </c>
      <c r="AC19">
        <v>9</v>
      </c>
      <c r="AD19">
        <v>59.09</v>
      </c>
      <c r="AE19">
        <v>11</v>
      </c>
      <c r="AF19">
        <v>12</v>
      </c>
      <c r="AG19">
        <v>4</v>
      </c>
      <c r="AH19">
        <v>6</v>
      </c>
    </row>
    <row r="20" spans="1:34">
      <c r="A20" s="102">
        <v>75</v>
      </c>
      <c r="B20">
        <v>3635</v>
      </c>
      <c r="C20" s="106" t="s">
        <v>85</v>
      </c>
      <c r="D20" s="106" t="s">
        <v>79</v>
      </c>
      <c r="E20">
        <v>2779</v>
      </c>
      <c r="F20">
        <v>2820</v>
      </c>
      <c r="G20">
        <v>300</v>
      </c>
      <c r="H20" s="106" t="s">
        <v>61</v>
      </c>
      <c r="I20">
        <v>6755</v>
      </c>
      <c r="J20" s="106" t="s">
        <v>1005</v>
      </c>
      <c r="K20" s="106" t="s">
        <v>87</v>
      </c>
      <c r="L20">
        <v>2410</v>
      </c>
      <c r="M20">
        <v>2427</v>
      </c>
      <c r="N20">
        <v>300</v>
      </c>
      <c r="O20" s="106" t="s">
        <v>63</v>
      </c>
      <c r="P20">
        <v>0.94997151810117697</v>
      </c>
      <c r="Q20">
        <v>0.93250391529745102</v>
      </c>
      <c r="R20">
        <v>0.11257286523045</v>
      </c>
      <c r="S20">
        <v>0.126624463711529</v>
      </c>
      <c r="T20">
        <v>-1.88507579548659</v>
      </c>
      <c r="U20">
        <v>1.88507579548659</v>
      </c>
      <c r="V20">
        <v>-8.7100000000000009</v>
      </c>
      <c r="W20">
        <v>13.94</v>
      </c>
      <c r="X20">
        <v>365863</v>
      </c>
      <c r="Y20">
        <v>20326</v>
      </c>
      <c r="Z20">
        <v>1.01</v>
      </c>
      <c r="AA20">
        <v>18</v>
      </c>
      <c r="AB20">
        <v>11</v>
      </c>
      <c r="AC20">
        <v>7</v>
      </c>
      <c r="AD20">
        <v>61.11</v>
      </c>
      <c r="AE20">
        <v>12</v>
      </c>
      <c r="AF20">
        <v>10</v>
      </c>
      <c r="AG20">
        <v>4</v>
      </c>
      <c r="AH20">
        <v>4</v>
      </c>
    </row>
    <row r="21" spans="1:34">
      <c r="A21" s="102">
        <v>114</v>
      </c>
      <c r="B21">
        <v>5991</v>
      </c>
      <c r="C21" s="106" t="s">
        <v>115</v>
      </c>
      <c r="D21" s="106" t="s">
        <v>116</v>
      </c>
      <c r="E21">
        <v>1030</v>
      </c>
      <c r="F21">
        <v>1029</v>
      </c>
      <c r="G21">
        <v>900</v>
      </c>
      <c r="H21" s="106" t="s">
        <v>63</v>
      </c>
      <c r="I21">
        <v>6923</v>
      </c>
      <c r="J21" s="106" t="s">
        <v>112</v>
      </c>
      <c r="K21" s="106" t="s">
        <v>87</v>
      </c>
      <c r="L21">
        <v>3190</v>
      </c>
      <c r="M21">
        <v>3170</v>
      </c>
      <c r="N21">
        <v>300</v>
      </c>
      <c r="O21" s="106" t="s">
        <v>61</v>
      </c>
      <c r="P21">
        <v>0.91279526438697101</v>
      </c>
      <c r="Q21">
        <v>0.92136835487319202</v>
      </c>
      <c r="R21">
        <v>0.170557792613172</v>
      </c>
      <c r="S21" s="106">
        <v>9.7051156730343105E-2</v>
      </c>
      <c r="T21">
        <v>1.5290136134325401</v>
      </c>
      <c r="U21">
        <v>1.5290136134325401</v>
      </c>
      <c r="V21">
        <v>6.57</v>
      </c>
      <c r="W21">
        <v>2.62</v>
      </c>
      <c r="X21">
        <v>365550</v>
      </c>
      <c r="Y21">
        <v>19239</v>
      </c>
      <c r="Z21">
        <v>0.98</v>
      </c>
      <c r="AA21">
        <v>19</v>
      </c>
      <c r="AB21">
        <v>13</v>
      </c>
      <c r="AC21">
        <v>6</v>
      </c>
      <c r="AD21">
        <v>68.42</v>
      </c>
      <c r="AE21">
        <v>14</v>
      </c>
      <c r="AF21">
        <v>8</v>
      </c>
      <c r="AG21">
        <v>2</v>
      </c>
      <c r="AH21">
        <v>9</v>
      </c>
    </row>
    <row r="22" spans="1:34">
      <c r="A22" s="102">
        <v>103</v>
      </c>
      <c r="B22">
        <v>1820</v>
      </c>
      <c r="C22" s="106" t="s">
        <v>121</v>
      </c>
      <c r="D22" s="106" t="s">
        <v>78</v>
      </c>
      <c r="E22">
        <v>2470</v>
      </c>
      <c r="F22">
        <v>2464</v>
      </c>
      <c r="G22">
        <v>400</v>
      </c>
      <c r="H22" s="106" t="s">
        <v>63</v>
      </c>
      <c r="I22">
        <v>7278</v>
      </c>
      <c r="J22" s="106" t="s">
        <v>83</v>
      </c>
      <c r="K22" s="106" t="s">
        <v>84</v>
      </c>
      <c r="L22">
        <v>2511</v>
      </c>
      <c r="M22">
        <v>2520</v>
      </c>
      <c r="N22">
        <v>400</v>
      </c>
      <c r="O22" s="106" t="s">
        <v>61</v>
      </c>
      <c r="P22">
        <v>0.93370794402504798</v>
      </c>
      <c r="Q22">
        <v>0.92512226791692098</v>
      </c>
      <c r="R22" s="15">
        <v>0.25626366917024701</v>
      </c>
      <c r="S22" s="15">
        <v>2.36192712425792E-2</v>
      </c>
      <c r="T22">
        <v>0.66019055761872603</v>
      </c>
      <c r="U22">
        <v>0.66019055761872603</v>
      </c>
      <c r="V22">
        <v>1.92</v>
      </c>
      <c r="W22">
        <v>2.2200000000000002</v>
      </c>
      <c r="X22">
        <v>350930</v>
      </c>
      <c r="Y22">
        <v>25066</v>
      </c>
      <c r="Z22">
        <v>1.22</v>
      </c>
      <c r="AA22">
        <v>14</v>
      </c>
      <c r="AB22">
        <v>9</v>
      </c>
      <c r="AC22">
        <v>5</v>
      </c>
      <c r="AD22">
        <v>64.290000000000006</v>
      </c>
      <c r="AE22">
        <v>12</v>
      </c>
      <c r="AF22">
        <v>8</v>
      </c>
      <c r="AG22">
        <v>2</v>
      </c>
      <c r="AH22">
        <v>4</v>
      </c>
    </row>
    <row r="23" spans="1:34">
      <c r="A23" s="102">
        <v>106</v>
      </c>
      <c r="B23">
        <v>1963</v>
      </c>
      <c r="C23" s="106" t="s">
        <v>129</v>
      </c>
      <c r="D23" s="106" t="s">
        <v>78</v>
      </c>
      <c r="E23">
        <v>1782</v>
      </c>
      <c r="F23">
        <v>1780</v>
      </c>
      <c r="G23">
        <v>500</v>
      </c>
      <c r="H23" s="106" t="s">
        <v>63</v>
      </c>
      <c r="I23">
        <v>7272</v>
      </c>
      <c r="J23" s="106" t="s">
        <v>298</v>
      </c>
      <c r="K23" s="106" t="s">
        <v>84</v>
      </c>
      <c r="L23">
        <v>2303</v>
      </c>
      <c r="M23">
        <v>2293</v>
      </c>
      <c r="N23">
        <v>400</v>
      </c>
      <c r="O23" s="106" t="s">
        <v>61</v>
      </c>
      <c r="P23">
        <v>0.932008244391758</v>
      </c>
      <c r="Q23">
        <v>0.92324281459674695</v>
      </c>
      <c r="R23" s="106">
        <v>7.1908869229467196E-2</v>
      </c>
      <c r="S23" s="15">
        <v>2.1590781815359199E-5</v>
      </c>
      <c r="T23">
        <v>2.3349962003576801</v>
      </c>
      <c r="U23">
        <v>2.3349962003576801</v>
      </c>
      <c r="V23">
        <v>5.99</v>
      </c>
      <c r="W23">
        <v>2.97</v>
      </c>
      <c r="X23">
        <v>348955</v>
      </c>
      <c r="Y23">
        <v>16617</v>
      </c>
      <c r="Z23">
        <v>0.82</v>
      </c>
      <c r="AA23">
        <v>21</v>
      </c>
      <c r="AB23">
        <v>14</v>
      </c>
      <c r="AC23">
        <v>7</v>
      </c>
      <c r="AD23">
        <v>66.67</v>
      </c>
      <c r="AE23">
        <v>10</v>
      </c>
      <c r="AF23">
        <v>12</v>
      </c>
      <c r="AG23">
        <v>5</v>
      </c>
      <c r="AH23">
        <v>4</v>
      </c>
    </row>
    <row r="24" spans="1:34">
      <c r="A24" s="102">
        <v>69</v>
      </c>
      <c r="B24">
        <v>5802</v>
      </c>
      <c r="C24" s="106" t="s">
        <v>130</v>
      </c>
      <c r="D24" s="106" t="s">
        <v>131</v>
      </c>
      <c r="E24">
        <v>1667.5</v>
      </c>
      <c r="F24">
        <v>1680.5</v>
      </c>
      <c r="G24">
        <v>500</v>
      </c>
      <c r="H24" s="106" t="s">
        <v>63</v>
      </c>
      <c r="I24">
        <v>6995</v>
      </c>
      <c r="J24" s="106" t="s">
        <v>91</v>
      </c>
      <c r="K24" s="106" t="s">
        <v>84</v>
      </c>
      <c r="L24">
        <v>2237</v>
      </c>
      <c r="M24">
        <v>2255</v>
      </c>
      <c r="N24">
        <v>400</v>
      </c>
      <c r="O24" s="106" t="s">
        <v>61</v>
      </c>
      <c r="P24">
        <v>0.96374772295792699</v>
      </c>
      <c r="Q24">
        <v>0.93397562467777295</v>
      </c>
      <c r="R24" s="106">
        <v>0.252649784471776</v>
      </c>
      <c r="S24">
        <v>0.28266895620669202</v>
      </c>
      <c r="T24">
        <v>2.7192752891179599E-2</v>
      </c>
      <c r="U24">
        <v>2.7192752891179599E-2</v>
      </c>
      <c r="V24">
        <v>0.05</v>
      </c>
      <c r="W24">
        <v>6.85</v>
      </c>
      <c r="X24">
        <v>346891</v>
      </c>
      <c r="Y24">
        <v>19272</v>
      </c>
      <c r="Z24">
        <v>0.95</v>
      </c>
      <c r="AA24">
        <v>18</v>
      </c>
      <c r="AB24">
        <v>12</v>
      </c>
      <c r="AC24">
        <v>6</v>
      </c>
      <c r="AD24">
        <v>66.67</v>
      </c>
      <c r="AE24">
        <v>15</v>
      </c>
      <c r="AF24">
        <v>6</v>
      </c>
      <c r="AG24">
        <v>0</v>
      </c>
      <c r="AH24">
        <v>12</v>
      </c>
    </row>
    <row r="25" spans="1:34">
      <c r="A25" s="102">
        <v>59</v>
      </c>
      <c r="B25">
        <v>6588</v>
      </c>
      <c r="C25" s="106" t="s">
        <v>788</v>
      </c>
      <c r="D25" s="106" t="s">
        <v>87</v>
      </c>
      <c r="E25">
        <v>4530</v>
      </c>
      <c r="F25">
        <v>4640</v>
      </c>
      <c r="G25">
        <v>200</v>
      </c>
      <c r="H25" s="106" t="s">
        <v>63</v>
      </c>
      <c r="I25">
        <v>8425</v>
      </c>
      <c r="J25" s="106" t="s">
        <v>316</v>
      </c>
      <c r="K25" s="106" t="s">
        <v>297</v>
      </c>
      <c r="L25">
        <v>3465</v>
      </c>
      <c r="M25">
        <v>3450</v>
      </c>
      <c r="N25">
        <v>300</v>
      </c>
      <c r="O25" s="106" t="s">
        <v>61</v>
      </c>
      <c r="P25">
        <v>0.917973910397341</v>
      </c>
      <c r="Q25">
        <v>0.93689734467795505</v>
      </c>
      <c r="R25">
        <v>0.15979148732873999</v>
      </c>
      <c r="S25" s="106">
        <v>0.112083960665675</v>
      </c>
      <c r="T25">
        <v>0.98906487206499005</v>
      </c>
      <c r="U25">
        <v>0.98906487206499005</v>
      </c>
      <c r="V25">
        <v>8.0299999999999994</v>
      </c>
      <c r="W25">
        <v>11.53</v>
      </c>
      <c r="X25">
        <v>346252</v>
      </c>
      <c r="Y25">
        <v>24732</v>
      </c>
      <c r="Z25">
        <v>1.26</v>
      </c>
      <c r="AA25">
        <v>14</v>
      </c>
      <c r="AB25">
        <v>10</v>
      </c>
      <c r="AC25">
        <v>4</v>
      </c>
      <c r="AD25">
        <v>71.430000000000007</v>
      </c>
      <c r="AE25">
        <v>13</v>
      </c>
      <c r="AF25">
        <v>6</v>
      </c>
      <c r="AG25">
        <v>1</v>
      </c>
      <c r="AH25">
        <v>7</v>
      </c>
    </row>
    <row r="26" spans="1:34">
      <c r="A26" s="102">
        <v>60</v>
      </c>
      <c r="B26">
        <v>4182</v>
      </c>
      <c r="C26" s="106" t="s">
        <v>88</v>
      </c>
      <c r="D26" s="106" t="s">
        <v>62</v>
      </c>
      <c r="E26">
        <v>1698</v>
      </c>
      <c r="F26">
        <v>1693</v>
      </c>
      <c r="G26">
        <v>600</v>
      </c>
      <c r="H26" s="106" t="s">
        <v>63</v>
      </c>
      <c r="I26">
        <v>7278</v>
      </c>
      <c r="J26" s="106" t="s">
        <v>83</v>
      </c>
      <c r="K26" s="106" t="s">
        <v>84</v>
      </c>
      <c r="L26">
        <v>2511</v>
      </c>
      <c r="M26">
        <v>2520</v>
      </c>
      <c r="N26">
        <v>400</v>
      </c>
      <c r="O26" s="106" t="s">
        <v>61</v>
      </c>
      <c r="P26">
        <v>0.93250641673242196</v>
      </c>
      <c r="Q26">
        <v>0.936540247966544</v>
      </c>
      <c r="R26" s="15">
        <v>1.16864332523308E-2</v>
      </c>
      <c r="S26" s="15">
        <v>1.2791277281458201E-2</v>
      </c>
      <c r="T26">
        <v>6.4203726045303097E-2</v>
      </c>
      <c r="U26">
        <v>6.4203726045303097E-2</v>
      </c>
      <c r="V26">
        <v>0.17</v>
      </c>
      <c r="W26">
        <v>0.77</v>
      </c>
      <c r="X26">
        <v>344277</v>
      </c>
      <c r="Y26">
        <v>26483</v>
      </c>
      <c r="Z26">
        <v>1.33</v>
      </c>
      <c r="AA26">
        <v>13</v>
      </c>
      <c r="AB26">
        <v>8</v>
      </c>
      <c r="AC26">
        <v>5</v>
      </c>
      <c r="AD26">
        <v>61.54</v>
      </c>
      <c r="AE26">
        <v>10</v>
      </c>
      <c r="AF26">
        <v>7</v>
      </c>
      <c r="AG26">
        <v>3</v>
      </c>
      <c r="AH26">
        <v>3</v>
      </c>
    </row>
    <row r="27" spans="1:34">
      <c r="A27" s="102">
        <v>74</v>
      </c>
      <c r="B27">
        <v>1820</v>
      </c>
      <c r="C27" s="106" t="s">
        <v>121</v>
      </c>
      <c r="D27" s="106" t="s">
        <v>78</v>
      </c>
      <c r="E27">
        <v>2470</v>
      </c>
      <c r="F27">
        <v>2464</v>
      </c>
      <c r="G27">
        <v>400</v>
      </c>
      <c r="H27" s="106" t="s">
        <v>63</v>
      </c>
      <c r="I27">
        <v>7189</v>
      </c>
      <c r="J27" s="106" t="s">
        <v>81</v>
      </c>
      <c r="K27" s="106" t="s">
        <v>82</v>
      </c>
      <c r="L27">
        <v>867</v>
      </c>
      <c r="M27">
        <v>868</v>
      </c>
      <c r="N27">
        <v>1100</v>
      </c>
      <c r="O27" s="106" t="s">
        <v>61</v>
      </c>
      <c r="P27">
        <v>0.95502086193353697</v>
      </c>
      <c r="Q27">
        <v>0.93258723679663202</v>
      </c>
      <c r="R27" s="106">
        <v>0.1483738353006</v>
      </c>
      <c r="S27" s="15">
        <v>7.6487716773665795E-2</v>
      </c>
      <c r="T27">
        <v>0.75089556707127103</v>
      </c>
      <c r="U27">
        <v>0.75089556707127103</v>
      </c>
      <c r="V27">
        <v>2.2200000000000002</v>
      </c>
      <c r="W27">
        <v>3.12</v>
      </c>
      <c r="X27">
        <v>341373</v>
      </c>
      <c r="Y27">
        <v>18965</v>
      </c>
      <c r="Z27">
        <v>0.99</v>
      </c>
      <c r="AA27">
        <v>18</v>
      </c>
      <c r="AB27">
        <v>11</v>
      </c>
      <c r="AC27">
        <v>7</v>
      </c>
      <c r="AD27">
        <v>61.11</v>
      </c>
      <c r="AE27">
        <v>14</v>
      </c>
      <c r="AF27">
        <v>8</v>
      </c>
      <c r="AG27">
        <v>1</v>
      </c>
      <c r="AH27">
        <v>9</v>
      </c>
    </row>
    <row r="28" spans="1:34">
      <c r="A28" s="102">
        <v>128</v>
      </c>
      <c r="B28">
        <v>6371</v>
      </c>
      <c r="C28" s="106" t="s">
        <v>108</v>
      </c>
      <c r="D28" s="106" t="s">
        <v>99</v>
      </c>
      <c r="E28">
        <v>3895</v>
      </c>
      <c r="F28">
        <v>3925</v>
      </c>
      <c r="G28">
        <v>200</v>
      </c>
      <c r="H28" s="106" t="s">
        <v>61</v>
      </c>
      <c r="I28">
        <v>7259</v>
      </c>
      <c r="J28" s="106" t="s">
        <v>29</v>
      </c>
      <c r="K28" s="106" t="s">
        <v>84</v>
      </c>
      <c r="L28">
        <v>4150</v>
      </c>
      <c r="M28">
        <v>4150</v>
      </c>
      <c r="N28">
        <v>200</v>
      </c>
      <c r="O28" s="106" t="s">
        <v>63</v>
      </c>
      <c r="P28">
        <v>0.94718914745136396</v>
      </c>
      <c r="Q28">
        <v>0.91813691238014605</v>
      </c>
      <c r="R28">
        <v>1.9677649610924199E-2</v>
      </c>
      <c r="S28">
        <v>4.1237557373548402E-3</v>
      </c>
      <c r="T28">
        <v>-0.16039220915329599</v>
      </c>
      <c r="U28">
        <v>0.16039220915329599</v>
      </c>
      <c r="V28">
        <v>-0.7</v>
      </c>
      <c r="W28">
        <v>5.42</v>
      </c>
      <c r="X28">
        <v>326064</v>
      </c>
      <c r="Y28">
        <v>36229</v>
      </c>
      <c r="Z28">
        <v>2.0699999999999998</v>
      </c>
      <c r="AA28">
        <v>9</v>
      </c>
      <c r="AB28">
        <v>7</v>
      </c>
      <c r="AC28">
        <v>2</v>
      </c>
      <c r="AD28">
        <v>77.78</v>
      </c>
      <c r="AE28">
        <v>11</v>
      </c>
      <c r="AF28">
        <v>6</v>
      </c>
      <c r="AG28">
        <v>0</v>
      </c>
      <c r="AH28">
        <v>3</v>
      </c>
    </row>
    <row r="29" spans="1:34">
      <c r="A29" s="102">
        <v>156</v>
      </c>
      <c r="B29">
        <v>4182</v>
      </c>
      <c r="C29" s="106" t="s">
        <v>88</v>
      </c>
      <c r="D29" s="106" t="s">
        <v>62</v>
      </c>
      <c r="E29">
        <v>1698</v>
      </c>
      <c r="F29">
        <v>1693</v>
      </c>
      <c r="G29">
        <v>600</v>
      </c>
      <c r="H29" s="106" t="s">
        <v>63</v>
      </c>
      <c r="I29">
        <v>4208</v>
      </c>
      <c r="J29" s="106" t="s">
        <v>98</v>
      </c>
      <c r="K29" s="106" t="s">
        <v>62</v>
      </c>
      <c r="L29">
        <v>2440</v>
      </c>
      <c r="M29">
        <v>2443</v>
      </c>
      <c r="N29">
        <v>400</v>
      </c>
      <c r="O29" s="106" t="s">
        <v>61</v>
      </c>
      <c r="P29">
        <v>0.92100243918460001</v>
      </c>
      <c r="Q29">
        <v>0.91288661264483895</v>
      </c>
      <c r="R29" s="15">
        <v>6.1167098630017902E-2</v>
      </c>
      <c r="S29" s="15">
        <v>0.25128467218710998</v>
      </c>
      <c r="T29">
        <v>0.59553221202883</v>
      </c>
      <c r="U29">
        <v>0.59553221202883</v>
      </c>
      <c r="V29">
        <v>2.5</v>
      </c>
      <c r="W29">
        <v>3.95</v>
      </c>
      <c r="X29">
        <v>323980</v>
      </c>
      <c r="Y29">
        <v>16199</v>
      </c>
      <c r="Z29">
        <v>0.85</v>
      </c>
      <c r="AA29">
        <v>20</v>
      </c>
      <c r="AB29">
        <v>14</v>
      </c>
      <c r="AC29">
        <v>6</v>
      </c>
      <c r="AD29">
        <v>70</v>
      </c>
      <c r="AE29">
        <v>13</v>
      </c>
      <c r="AF29">
        <v>8</v>
      </c>
      <c r="AG29">
        <v>2</v>
      </c>
      <c r="AH29">
        <v>10</v>
      </c>
    </row>
    <row r="30" spans="1:34">
      <c r="A30" s="102">
        <v>151</v>
      </c>
      <c r="B30">
        <v>4208</v>
      </c>
      <c r="C30" s="106" t="s">
        <v>98</v>
      </c>
      <c r="D30" s="106" t="s">
        <v>62</v>
      </c>
      <c r="E30">
        <v>2440</v>
      </c>
      <c r="F30">
        <v>2443</v>
      </c>
      <c r="G30">
        <v>400</v>
      </c>
      <c r="H30" s="106" t="s">
        <v>61</v>
      </c>
      <c r="I30">
        <v>7762</v>
      </c>
      <c r="J30" s="106" t="s">
        <v>107</v>
      </c>
      <c r="K30" s="106" t="s">
        <v>93</v>
      </c>
      <c r="L30">
        <v>615</v>
      </c>
      <c r="M30">
        <v>612</v>
      </c>
      <c r="N30">
        <v>1600</v>
      </c>
      <c r="O30" s="106" t="s">
        <v>63</v>
      </c>
      <c r="P30">
        <v>0.92811790174958897</v>
      </c>
      <c r="Q30">
        <v>0.91403388404710195</v>
      </c>
      <c r="R30">
        <v>9.6140423988509596E-2</v>
      </c>
      <c r="S30" s="15">
        <v>3.0580440293904998E-3</v>
      </c>
      <c r="T30">
        <v>-0.188797384133748</v>
      </c>
      <c r="U30">
        <v>0.188797384133748</v>
      </c>
      <c r="V30">
        <v>-0.44</v>
      </c>
      <c r="W30">
        <v>0.2</v>
      </c>
      <c r="X30">
        <v>318939</v>
      </c>
      <c r="Y30">
        <v>22781</v>
      </c>
      <c r="Z30">
        <v>1.17</v>
      </c>
      <c r="AA30">
        <v>14</v>
      </c>
      <c r="AB30">
        <v>10</v>
      </c>
      <c r="AC30">
        <v>4</v>
      </c>
      <c r="AD30">
        <v>71.430000000000007</v>
      </c>
      <c r="AE30">
        <v>13</v>
      </c>
      <c r="AF30">
        <v>5</v>
      </c>
      <c r="AG30">
        <v>1</v>
      </c>
      <c r="AH30">
        <v>8</v>
      </c>
    </row>
    <row r="31" spans="1:34">
      <c r="A31" s="102">
        <v>40</v>
      </c>
      <c r="B31">
        <v>4182</v>
      </c>
      <c r="C31" s="106" t="s">
        <v>88</v>
      </c>
      <c r="D31" s="106" t="s">
        <v>62</v>
      </c>
      <c r="E31">
        <v>1698</v>
      </c>
      <c r="F31">
        <v>1693</v>
      </c>
      <c r="G31">
        <v>500</v>
      </c>
      <c r="H31" s="106" t="s">
        <v>63</v>
      </c>
      <c r="I31">
        <v>7272</v>
      </c>
      <c r="J31" s="106" t="s">
        <v>298</v>
      </c>
      <c r="K31" s="106" t="s">
        <v>84</v>
      </c>
      <c r="L31">
        <v>2303</v>
      </c>
      <c r="M31">
        <v>2293</v>
      </c>
      <c r="N31">
        <v>400</v>
      </c>
      <c r="O31" s="106" t="s">
        <v>61</v>
      </c>
      <c r="P31">
        <v>0.92440287080043704</v>
      </c>
      <c r="Q31">
        <v>0.94243304664823002</v>
      </c>
      <c r="R31">
        <v>2.0866855559625301E-2</v>
      </c>
      <c r="S31">
        <v>2.40859768609019E-3</v>
      </c>
      <c r="T31">
        <v>0.31256035313224101</v>
      </c>
      <c r="U31">
        <v>0.31256035313224101</v>
      </c>
      <c r="V31">
        <v>0.75</v>
      </c>
      <c r="W31">
        <v>7.71</v>
      </c>
      <c r="X31">
        <v>303536</v>
      </c>
      <c r="Y31">
        <v>23349</v>
      </c>
      <c r="Z31">
        <v>1.1599999999999999</v>
      </c>
      <c r="AA31">
        <v>13</v>
      </c>
      <c r="AB31">
        <v>9</v>
      </c>
      <c r="AC31">
        <v>4</v>
      </c>
      <c r="AD31">
        <v>69.23</v>
      </c>
      <c r="AE31">
        <v>12</v>
      </c>
      <c r="AF31">
        <v>6</v>
      </c>
      <c r="AG31">
        <v>1</v>
      </c>
      <c r="AH31">
        <v>6</v>
      </c>
    </row>
    <row r="32" spans="1:34">
      <c r="A32" s="102">
        <v>99</v>
      </c>
      <c r="B32">
        <v>6988</v>
      </c>
      <c r="C32" s="106" t="s">
        <v>138</v>
      </c>
      <c r="D32" s="106" t="s">
        <v>62</v>
      </c>
      <c r="E32">
        <v>6350</v>
      </c>
      <c r="F32">
        <v>6300</v>
      </c>
      <c r="G32">
        <v>100</v>
      </c>
      <c r="H32" s="106" t="s">
        <v>63</v>
      </c>
      <c r="I32">
        <v>7272</v>
      </c>
      <c r="J32" s="106" t="s">
        <v>298</v>
      </c>
      <c r="K32" s="106" t="s">
        <v>84</v>
      </c>
      <c r="L32">
        <v>2303</v>
      </c>
      <c r="M32">
        <v>2293</v>
      </c>
      <c r="N32">
        <v>300</v>
      </c>
      <c r="O32" s="106" t="s">
        <v>61</v>
      </c>
      <c r="P32">
        <v>0.94229326935279101</v>
      </c>
      <c r="Q32">
        <v>0.92668389125903206</v>
      </c>
      <c r="R32">
        <v>0.137781276660257</v>
      </c>
      <c r="S32" s="106">
        <v>0.178372736044246</v>
      </c>
      <c r="T32">
        <v>0.131505030292492</v>
      </c>
      <c r="U32">
        <v>0.131505030292492</v>
      </c>
      <c r="V32">
        <v>0.39</v>
      </c>
      <c r="W32">
        <v>9.19</v>
      </c>
      <c r="X32">
        <v>300982</v>
      </c>
      <c r="Y32">
        <v>25082</v>
      </c>
      <c r="Z32">
        <v>1.21</v>
      </c>
      <c r="AA32">
        <v>12</v>
      </c>
      <c r="AB32">
        <v>7</v>
      </c>
      <c r="AC32">
        <v>5</v>
      </c>
      <c r="AD32">
        <v>58.33</v>
      </c>
      <c r="AE32">
        <v>12</v>
      </c>
      <c r="AF32">
        <v>6</v>
      </c>
      <c r="AG32">
        <v>3</v>
      </c>
      <c r="AH32">
        <v>3</v>
      </c>
    </row>
    <row r="33" spans="1:34">
      <c r="A33" s="102">
        <v>132</v>
      </c>
      <c r="B33">
        <v>6406</v>
      </c>
      <c r="C33" s="106" t="s">
        <v>1040</v>
      </c>
      <c r="D33" s="106" t="s">
        <v>99</v>
      </c>
      <c r="E33">
        <v>1770</v>
      </c>
      <c r="F33">
        <v>1766</v>
      </c>
      <c r="G33">
        <v>500</v>
      </c>
      <c r="H33" s="106" t="s">
        <v>61</v>
      </c>
      <c r="I33">
        <v>6807</v>
      </c>
      <c r="J33" s="106" t="s">
        <v>332</v>
      </c>
      <c r="K33" s="106" t="s">
        <v>87</v>
      </c>
      <c r="L33">
        <v>2266</v>
      </c>
      <c r="M33">
        <v>2253</v>
      </c>
      <c r="N33">
        <v>400</v>
      </c>
      <c r="O33" s="106" t="s">
        <v>63</v>
      </c>
      <c r="P33">
        <v>0.94844779790931999</v>
      </c>
      <c r="Q33">
        <v>0.917332710632347</v>
      </c>
      <c r="R33">
        <v>0.15618167543832601</v>
      </c>
      <c r="S33" s="106">
        <v>3.6153258051914897E-2</v>
      </c>
      <c r="T33">
        <v>-1.09439016806233</v>
      </c>
      <c r="U33">
        <v>1.09439016806233</v>
      </c>
      <c r="V33">
        <v>-5.74</v>
      </c>
      <c r="W33">
        <v>2.02</v>
      </c>
      <c r="X33">
        <v>297032</v>
      </c>
      <c r="Y33">
        <v>12376</v>
      </c>
      <c r="Z33">
        <v>0.62</v>
      </c>
      <c r="AA33">
        <v>24</v>
      </c>
      <c r="AB33">
        <v>14</v>
      </c>
      <c r="AC33">
        <v>10</v>
      </c>
      <c r="AD33">
        <v>58.33</v>
      </c>
      <c r="AE33">
        <v>11</v>
      </c>
      <c r="AF33">
        <v>9</v>
      </c>
      <c r="AG33">
        <v>7</v>
      </c>
      <c r="AH33">
        <v>8</v>
      </c>
    </row>
    <row r="34" spans="1:34">
      <c r="A34" s="102">
        <v>4</v>
      </c>
      <c r="B34">
        <v>2413</v>
      </c>
      <c r="C34" s="106" t="s">
        <v>1002</v>
      </c>
      <c r="D34" s="106" t="s">
        <v>120</v>
      </c>
      <c r="E34">
        <v>3150</v>
      </c>
      <c r="F34">
        <v>3150</v>
      </c>
      <c r="G34">
        <v>200</v>
      </c>
      <c r="H34" s="106" t="s">
        <v>61</v>
      </c>
      <c r="I34">
        <v>4686</v>
      </c>
      <c r="J34" s="106" t="s">
        <v>1003</v>
      </c>
      <c r="K34" s="106" t="s">
        <v>79</v>
      </c>
      <c r="L34">
        <v>6190</v>
      </c>
      <c r="M34">
        <v>6180</v>
      </c>
      <c r="N34">
        <v>100</v>
      </c>
      <c r="O34" s="106" t="s">
        <v>63</v>
      </c>
      <c r="P34">
        <v>0.941840884613387</v>
      </c>
      <c r="Q34">
        <v>0.96379983961046301</v>
      </c>
      <c r="R34" s="15">
        <v>9.8606052382227097E-2</v>
      </c>
      <c r="S34">
        <v>3.3156670042113298E-2</v>
      </c>
      <c r="T34">
        <v>-1.28988570057192</v>
      </c>
      <c r="U34">
        <v>1.28988570057192</v>
      </c>
      <c r="V34">
        <v>-14.09</v>
      </c>
      <c r="W34">
        <v>1.94</v>
      </c>
      <c r="X34">
        <v>295619</v>
      </c>
      <c r="Y34">
        <v>16423</v>
      </c>
      <c r="Z34">
        <v>0.89</v>
      </c>
      <c r="AA34">
        <v>18</v>
      </c>
      <c r="AB34">
        <v>11</v>
      </c>
      <c r="AC34">
        <v>7</v>
      </c>
      <c r="AD34">
        <v>61.11</v>
      </c>
      <c r="AE34">
        <v>10</v>
      </c>
      <c r="AF34">
        <v>10</v>
      </c>
      <c r="AG34">
        <v>5</v>
      </c>
      <c r="AH34">
        <v>3</v>
      </c>
    </row>
    <row r="35" spans="1:34">
      <c r="A35" s="102">
        <v>83</v>
      </c>
      <c r="B35">
        <v>6371</v>
      </c>
      <c r="C35" s="106" t="s">
        <v>108</v>
      </c>
      <c r="D35" s="106" t="s">
        <v>99</v>
      </c>
      <c r="E35">
        <v>3895</v>
      </c>
      <c r="F35">
        <v>3925</v>
      </c>
      <c r="G35">
        <v>200</v>
      </c>
      <c r="H35" s="106" t="s">
        <v>63</v>
      </c>
      <c r="I35">
        <v>7762</v>
      </c>
      <c r="J35" s="106" t="s">
        <v>107</v>
      </c>
      <c r="K35" s="106" t="s">
        <v>93</v>
      </c>
      <c r="L35">
        <v>615</v>
      </c>
      <c r="M35">
        <v>612</v>
      </c>
      <c r="N35">
        <v>1300</v>
      </c>
      <c r="O35" s="106" t="s">
        <v>61</v>
      </c>
      <c r="P35">
        <v>0.96224807459205197</v>
      </c>
      <c r="Q35">
        <v>0.93126317108770396</v>
      </c>
      <c r="R35" s="106">
        <v>1.1469817319797E-2</v>
      </c>
      <c r="S35" s="15">
        <v>9.1406791097082801E-2</v>
      </c>
      <c r="T35">
        <v>0.154209820509593</v>
      </c>
      <c r="U35">
        <v>0.154209820509593</v>
      </c>
      <c r="V35">
        <v>0.22</v>
      </c>
      <c r="W35">
        <v>1.35</v>
      </c>
      <c r="X35">
        <v>295597</v>
      </c>
      <c r="Y35">
        <v>14780</v>
      </c>
      <c r="Z35">
        <v>0.81</v>
      </c>
      <c r="AA35">
        <v>20</v>
      </c>
      <c r="AB35">
        <v>14</v>
      </c>
      <c r="AC35">
        <v>6</v>
      </c>
      <c r="AD35">
        <v>70</v>
      </c>
      <c r="AE35">
        <v>13</v>
      </c>
      <c r="AF35">
        <v>7</v>
      </c>
      <c r="AG35">
        <v>4</v>
      </c>
      <c r="AH35">
        <v>9</v>
      </c>
    </row>
    <row r="36" spans="1:34">
      <c r="A36" s="102">
        <v>139</v>
      </c>
      <c r="B36">
        <v>8425</v>
      </c>
      <c r="C36" s="106" t="s">
        <v>316</v>
      </c>
      <c r="D36" s="106" t="s">
        <v>297</v>
      </c>
      <c r="E36">
        <v>3465</v>
      </c>
      <c r="F36">
        <v>3450</v>
      </c>
      <c r="G36">
        <v>300</v>
      </c>
      <c r="H36" s="106" t="s">
        <v>63</v>
      </c>
      <c r="I36">
        <v>9934</v>
      </c>
      <c r="J36" s="106" t="s">
        <v>783</v>
      </c>
      <c r="K36" s="106" t="s">
        <v>101</v>
      </c>
      <c r="L36">
        <v>2810</v>
      </c>
      <c r="M36">
        <v>2804</v>
      </c>
      <c r="N36">
        <v>400</v>
      </c>
      <c r="O36" s="106" t="s">
        <v>61</v>
      </c>
      <c r="P36">
        <v>0.946713998970801</v>
      </c>
      <c r="Q36">
        <v>0.91523899082184501</v>
      </c>
      <c r="R36">
        <v>1.801061824984E-3</v>
      </c>
      <c r="S36">
        <v>2.53183314621712E-2</v>
      </c>
      <c r="T36">
        <v>0.41835269320274898</v>
      </c>
      <c r="U36">
        <v>0.41835269320274898</v>
      </c>
      <c r="V36">
        <v>0.98</v>
      </c>
      <c r="W36">
        <v>8.3699999999999992</v>
      </c>
      <c r="X36">
        <v>290684</v>
      </c>
      <c r="Y36">
        <v>16149</v>
      </c>
      <c r="Z36">
        <v>0.84</v>
      </c>
      <c r="AA36">
        <v>18</v>
      </c>
      <c r="AB36">
        <v>15</v>
      </c>
      <c r="AC36">
        <v>3</v>
      </c>
      <c r="AD36">
        <v>83.33</v>
      </c>
      <c r="AE36">
        <v>13</v>
      </c>
      <c r="AF36">
        <v>6</v>
      </c>
      <c r="AG36">
        <v>2</v>
      </c>
      <c r="AH36">
        <v>10</v>
      </c>
    </row>
    <row r="37" spans="1:34">
      <c r="A37" s="102">
        <v>48</v>
      </c>
      <c r="B37">
        <v>6752</v>
      </c>
      <c r="C37" s="106" t="s">
        <v>105</v>
      </c>
      <c r="D37" s="106" t="s">
        <v>87</v>
      </c>
      <c r="E37">
        <v>1025</v>
      </c>
      <c r="F37">
        <v>1026.5</v>
      </c>
      <c r="G37">
        <v>1000</v>
      </c>
      <c r="H37" s="106" t="s">
        <v>61</v>
      </c>
      <c r="I37">
        <v>7278</v>
      </c>
      <c r="J37" s="106" t="s">
        <v>83</v>
      </c>
      <c r="K37" s="106" t="s">
        <v>84</v>
      </c>
      <c r="L37">
        <v>2511</v>
      </c>
      <c r="M37">
        <v>2520</v>
      </c>
      <c r="N37">
        <v>400</v>
      </c>
      <c r="O37" s="106" t="s">
        <v>63</v>
      </c>
      <c r="P37">
        <v>0.93090010515751698</v>
      </c>
      <c r="Q37">
        <v>0.93986594559733405</v>
      </c>
      <c r="R37">
        <v>1.01689185749644E-2</v>
      </c>
      <c r="S37" s="15">
        <v>5.8884847195702396E-3</v>
      </c>
      <c r="T37">
        <v>-0.41094878966176401</v>
      </c>
      <c r="U37">
        <v>0.41094878966176401</v>
      </c>
      <c r="V37">
        <v>-1.01</v>
      </c>
      <c r="W37">
        <v>1.84</v>
      </c>
      <c r="X37">
        <v>283523</v>
      </c>
      <c r="Y37">
        <v>14922</v>
      </c>
      <c r="Z37">
        <v>0.75</v>
      </c>
      <c r="AA37">
        <v>19</v>
      </c>
      <c r="AB37">
        <v>11</v>
      </c>
      <c r="AC37">
        <v>8</v>
      </c>
      <c r="AD37">
        <v>57.89</v>
      </c>
      <c r="AE37">
        <v>11</v>
      </c>
      <c r="AF37">
        <v>8</v>
      </c>
      <c r="AG37">
        <v>2</v>
      </c>
      <c r="AH37">
        <v>9</v>
      </c>
    </row>
    <row r="38" spans="1:34">
      <c r="A38" s="102">
        <v>13</v>
      </c>
      <c r="B38">
        <v>3635</v>
      </c>
      <c r="C38" s="106" t="s">
        <v>85</v>
      </c>
      <c r="D38" s="106" t="s">
        <v>79</v>
      </c>
      <c r="E38">
        <v>2779</v>
      </c>
      <c r="F38">
        <v>2820</v>
      </c>
      <c r="G38">
        <v>300</v>
      </c>
      <c r="H38" s="106" t="s">
        <v>63</v>
      </c>
      <c r="I38">
        <v>4062</v>
      </c>
      <c r="J38" s="106" t="s">
        <v>323</v>
      </c>
      <c r="K38" s="106" t="s">
        <v>87</v>
      </c>
      <c r="L38">
        <v>2669</v>
      </c>
      <c r="M38">
        <v>2667</v>
      </c>
      <c r="N38">
        <v>300</v>
      </c>
      <c r="O38" s="106" t="s">
        <v>61</v>
      </c>
      <c r="P38">
        <v>0.91774479963799505</v>
      </c>
      <c r="Q38">
        <v>0.956051906732173</v>
      </c>
      <c r="R38">
        <v>4.0164707826280101E-2</v>
      </c>
      <c r="S38" s="15">
        <v>0.145081326641786</v>
      </c>
      <c r="T38">
        <v>0.865066198202739</v>
      </c>
      <c r="U38">
        <v>0.865066198202739</v>
      </c>
      <c r="V38">
        <v>2.2400000000000002</v>
      </c>
      <c r="W38">
        <v>5.43</v>
      </c>
      <c r="X38">
        <v>272145</v>
      </c>
      <c r="Y38">
        <v>20934</v>
      </c>
      <c r="Z38">
        <v>1.08</v>
      </c>
      <c r="AA38">
        <v>13</v>
      </c>
      <c r="AB38">
        <v>8</v>
      </c>
      <c r="AC38">
        <v>5</v>
      </c>
      <c r="AD38">
        <v>61.54</v>
      </c>
      <c r="AE38">
        <v>12</v>
      </c>
      <c r="AF38">
        <v>6</v>
      </c>
      <c r="AG38">
        <v>2</v>
      </c>
      <c r="AH38">
        <v>5</v>
      </c>
    </row>
    <row r="39" spans="1:34">
      <c r="A39" s="102">
        <v>10</v>
      </c>
      <c r="B39">
        <v>3105</v>
      </c>
      <c r="C39" s="106" t="s">
        <v>90</v>
      </c>
      <c r="D39" s="106" t="s">
        <v>87</v>
      </c>
      <c r="E39">
        <v>1050</v>
      </c>
      <c r="F39">
        <v>1045</v>
      </c>
      <c r="G39">
        <v>800</v>
      </c>
      <c r="H39" s="106" t="s">
        <v>61</v>
      </c>
      <c r="I39">
        <v>7282</v>
      </c>
      <c r="J39" s="106" t="s">
        <v>786</v>
      </c>
      <c r="K39" s="106" t="s">
        <v>84</v>
      </c>
      <c r="L39">
        <v>2790</v>
      </c>
      <c r="M39">
        <v>2806</v>
      </c>
      <c r="N39">
        <v>300</v>
      </c>
      <c r="O39" s="106" t="s">
        <v>63</v>
      </c>
      <c r="P39">
        <v>0.95096472808507604</v>
      </c>
      <c r="Q39">
        <v>0.95831753022170196</v>
      </c>
      <c r="R39">
        <v>0.26017929568498899</v>
      </c>
      <c r="S39" s="15">
        <v>2.0046603932781099E-2</v>
      </c>
      <c r="T39">
        <v>-1.4700887866196299</v>
      </c>
      <c r="U39">
        <v>1.4700887866196299</v>
      </c>
      <c r="V39">
        <v>-3.97</v>
      </c>
      <c r="W39">
        <v>0.69</v>
      </c>
      <c r="X39">
        <v>268452</v>
      </c>
      <c r="Y39">
        <v>11672</v>
      </c>
      <c r="Z39">
        <v>0.57999999999999996</v>
      </c>
      <c r="AA39">
        <v>23</v>
      </c>
      <c r="AB39">
        <v>14</v>
      </c>
      <c r="AC39">
        <v>9</v>
      </c>
      <c r="AD39">
        <v>60.87</v>
      </c>
      <c r="AE39">
        <v>11</v>
      </c>
      <c r="AF39">
        <v>10</v>
      </c>
      <c r="AG39">
        <v>7</v>
      </c>
      <c r="AH39">
        <v>6</v>
      </c>
    </row>
    <row r="40" spans="1:34">
      <c r="A40" s="102">
        <v>20</v>
      </c>
      <c r="B40">
        <v>6457</v>
      </c>
      <c r="C40" s="106" t="s">
        <v>312</v>
      </c>
      <c r="D40" s="106" t="s">
        <v>99</v>
      </c>
      <c r="E40">
        <v>3350</v>
      </c>
      <c r="F40">
        <v>3370</v>
      </c>
      <c r="G40">
        <v>300</v>
      </c>
      <c r="H40" s="106" t="s">
        <v>61</v>
      </c>
      <c r="I40">
        <v>8593</v>
      </c>
      <c r="J40" s="106" t="s">
        <v>309</v>
      </c>
      <c r="K40" s="106" t="s">
        <v>297</v>
      </c>
      <c r="L40">
        <v>716</v>
      </c>
      <c r="M40">
        <v>721</v>
      </c>
      <c r="N40">
        <v>1400</v>
      </c>
      <c r="O40" s="106" t="s">
        <v>63</v>
      </c>
      <c r="P40">
        <v>0.93053483727261499</v>
      </c>
      <c r="Q40">
        <v>0.952011943545363</v>
      </c>
      <c r="R40">
        <v>2.4055078147131701E-3</v>
      </c>
      <c r="S40" s="106">
        <v>1.86205533705484E-3</v>
      </c>
      <c r="T40">
        <v>-1.1721662113603499</v>
      </c>
      <c r="U40">
        <v>1.1721662113603499</v>
      </c>
      <c r="V40">
        <v>-2.5</v>
      </c>
      <c r="W40">
        <v>0.16</v>
      </c>
      <c r="X40">
        <v>267124</v>
      </c>
      <c r="Y40">
        <v>14840</v>
      </c>
      <c r="Z40">
        <v>0.88</v>
      </c>
      <c r="AA40">
        <v>18</v>
      </c>
      <c r="AB40">
        <v>11</v>
      </c>
      <c r="AC40">
        <v>7</v>
      </c>
      <c r="AD40">
        <v>61.11</v>
      </c>
      <c r="AE40">
        <v>12</v>
      </c>
      <c r="AF40">
        <v>8</v>
      </c>
      <c r="AG40">
        <v>3</v>
      </c>
      <c r="AH40">
        <v>7</v>
      </c>
    </row>
    <row r="41" spans="1:34">
      <c r="A41" s="102">
        <v>26</v>
      </c>
      <c r="B41">
        <v>6807</v>
      </c>
      <c r="C41" s="106" t="s">
        <v>332</v>
      </c>
      <c r="D41" s="106" t="s">
        <v>87</v>
      </c>
      <c r="E41">
        <v>2266</v>
      </c>
      <c r="F41">
        <v>2253</v>
      </c>
      <c r="G41">
        <v>400</v>
      </c>
      <c r="H41" s="106" t="s">
        <v>63</v>
      </c>
      <c r="I41">
        <v>7274</v>
      </c>
      <c r="J41" s="106" t="s">
        <v>333</v>
      </c>
      <c r="K41" s="106" t="s">
        <v>84</v>
      </c>
      <c r="L41">
        <v>2265</v>
      </c>
      <c r="M41">
        <v>2265</v>
      </c>
      <c r="N41">
        <v>400</v>
      </c>
      <c r="O41" s="106" t="s">
        <v>61</v>
      </c>
      <c r="P41">
        <v>0.96200247428379404</v>
      </c>
      <c r="Q41">
        <v>0.94824570369171302</v>
      </c>
      <c r="R41">
        <v>9.4513401027484706E-2</v>
      </c>
      <c r="S41">
        <v>9.5584266329008502E-2</v>
      </c>
      <c r="T41">
        <v>0.12989452302262799</v>
      </c>
      <c r="U41">
        <v>0.12989452302262799</v>
      </c>
      <c r="V41">
        <v>0.69</v>
      </c>
      <c r="W41">
        <v>0.53</v>
      </c>
      <c r="X41">
        <v>261307</v>
      </c>
      <c r="Y41">
        <v>13753</v>
      </c>
      <c r="Z41">
        <v>0.61</v>
      </c>
      <c r="AA41">
        <v>19</v>
      </c>
      <c r="AB41">
        <v>12</v>
      </c>
      <c r="AC41">
        <v>7</v>
      </c>
      <c r="AD41">
        <v>63.16</v>
      </c>
      <c r="AE41">
        <v>11</v>
      </c>
      <c r="AF41">
        <v>10</v>
      </c>
      <c r="AG41">
        <v>4</v>
      </c>
      <c r="AH41">
        <v>5</v>
      </c>
    </row>
    <row r="42" spans="1:34">
      <c r="A42" s="102">
        <v>125</v>
      </c>
      <c r="B42">
        <v>1963</v>
      </c>
      <c r="C42" s="106" t="s">
        <v>129</v>
      </c>
      <c r="D42" s="106" t="s">
        <v>78</v>
      </c>
      <c r="E42">
        <v>1782</v>
      </c>
      <c r="F42">
        <v>1780</v>
      </c>
      <c r="G42">
        <v>500</v>
      </c>
      <c r="H42" s="106" t="s">
        <v>63</v>
      </c>
      <c r="I42">
        <v>7267</v>
      </c>
      <c r="J42" s="106" t="s">
        <v>118</v>
      </c>
      <c r="K42" s="106" t="s">
        <v>84</v>
      </c>
      <c r="L42">
        <v>3160</v>
      </c>
      <c r="M42">
        <v>3163</v>
      </c>
      <c r="N42">
        <v>300</v>
      </c>
      <c r="O42" s="106" t="s">
        <v>61</v>
      </c>
      <c r="P42">
        <v>0.92733534117206295</v>
      </c>
      <c r="Q42">
        <v>0.91859989357041805</v>
      </c>
      <c r="R42">
        <v>2.4876500115521401E-2</v>
      </c>
      <c r="S42" s="15">
        <v>9.7437717632388893E-5</v>
      </c>
      <c r="T42">
        <v>2.06129370767772</v>
      </c>
      <c r="U42">
        <v>2.06129370767772</v>
      </c>
      <c r="V42">
        <v>7.96</v>
      </c>
      <c r="W42">
        <v>6.21</v>
      </c>
      <c r="X42">
        <v>259201</v>
      </c>
      <c r="Y42">
        <v>12960</v>
      </c>
      <c r="Z42">
        <v>0.65</v>
      </c>
      <c r="AA42">
        <v>20</v>
      </c>
      <c r="AB42">
        <v>13</v>
      </c>
      <c r="AC42">
        <v>7</v>
      </c>
      <c r="AD42">
        <v>65</v>
      </c>
      <c r="AE42">
        <v>10</v>
      </c>
      <c r="AF42">
        <v>10</v>
      </c>
      <c r="AG42">
        <v>5</v>
      </c>
      <c r="AH42">
        <v>5</v>
      </c>
    </row>
    <row r="43" spans="1:34">
      <c r="A43" s="102">
        <v>52</v>
      </c>
      <c r="B43">
        <v>6457</v>
      </c>
      <c r="C43" s="106" t="s">
        <v>312</v>
      </c>
      <c r="D43" s="106" t="s">
        <v>99</v>
      </c>
      <c r="E43">
        <v>3350</v>
      </c>
      <c r="F43">
        <v>3370</v>
      </c>
      <c r="G43">
        <v>300</v>
      </c>
      <c r="H43" s="106" t="s">
        <v>63</v>
      </c>
      <c r="I43">
        <v>6925</v>
      </c>
      <c r="J43" s="106" t="s">
        <v>311</v>
      </c>
      <c r="K43" s="106" t="s">
        <v>87</v>
      </c>
      <c r="L43">
        <v>1633</v>
      </c>
      <c r="M43">
        <v>1642</v>
      </c>
      <c r="N43">
        <v>600</v>
      </c>
      <c r="O43" s="106" t="s">
        <v>61</v>
      </c>
      <c r="P43">
        <v>0.91516724482098399</v>
      </c>
      <c r="Q43">
        <v>0.93868933793259202</v>
      </c>
      <c r="R43">
        <v>2.3035998681786699E-2</v>
      </c>
      <c r="S43">
        <v>2.8782510908969901E-3</v>
      </c>
      <c r="T43">
        <v>1.07865262084535</v>
      </c>
      <c r="U43">
        <v>1.07865262084535</v>
      </c>
      <c r="V43">
        <v>1.87</v>
      </c>
      <c r="W43">
        <v>2.5499999999999998</v>
      </c>
      <c r="X43">
        <v>257915</v>
      </c>
      <c r="Y43">
        <v>17194</v>
      </c>
      <c r="Z43">
        <v>1.01</v>
      </c>
      <c r="AA43">
        <v>15</v>
      </c>
      <c r="AB43">
        <v>10</v>
      </c>
      <c r="AC43">
        <v>5</v>
      </c>
      <c r="AD43">
        <v>66.67</v>
      </c>
      <c r="AE43">
        <v>11</v>
      </c>
      <c r="AF43">
        <v>7</v>
      </c>
      <c r="AG43">
        <v>4</v>
      </c>
      <c r="AH43">
        <v>4</v>
      </c>
    </row>
    <row r="44" spans="1:34">
      <c r="A44" s="102">
        <v>44</v>
      </c>
      <c r="B44">
        <v>4061</v>
      </c>
      <c r="C44" s="106" t="s">
        <v>122</v>
      </c>
      <c r="D44" s="106" t="s">
        <v>62</v>
      </c>
      <c r="E44">
        <v>3360</v>
      </c>
      <c r="F44">
        <v>3335</v>
      </c>
      <c r="G44">
        <v>300</v>
      </c>
      <c r="H44" s="106" t="s">
        <v>61</v>
      </c>
      <c r="I44">
        <v>4401</v>
      </c>
      <c r="J44" s="106" t="s">
        <v>314</v>
      </c>
      <c r="K44" s="106" t="s">
        <v>62</v>
      </c>
      <c r="L44">
        <v>1654</v>
      </c>
      <c r="M44">
        <v>1667</v>
      </c>
      <c r="N44">
        <v>600</v>
      </c>
      <c r="O44" s="106" t="s">
        <v>63</v>
      </c>
      <c r="P44">
        <v>0.942379013379123</v>
      </c>
      <c r="Q44">
        <v>0.94104101371596005</v>
      </c>
      <c r="R44" s="15">
        <v>2.45929201187457E-3</v>
      </c>
      <c r="S44" s="15">
        <v>4.0573381821353202E-6</v>
      </c>
      <c r="T44">
        <v>-0.81685550149993202</v>
      </c>
      <c r="U44">
        <v>0.81685550149993202</v>
      </c>
      <c r="V44">
        <v>-3.55</v>
      </c>
      <c r="W44">
        <v>0.03</v>
      </c>
      <c r="X44">
        <v>256424</v>
      </c>
      <c r="Y44">
        <v>17095</v>
      </c>
      <c r="Z44">
        <v>0.97</v>
      </c>
      <c r="AA44">
        <v>15</v>
      </c>
      <c r="AB44">
        <v>9</v>
      </c>
      <c r="AC44">
        <v>6</v>
      </c>
      <c r="AD44">
        <v>60</v>
      </c>
      <c r="AE44">
        <v>12</v>
      </c>
      <c r="AF44">
        <v>7</v>
      </c>
      <c r="AG44">
        <v>1</v>
      </c>
      <c r="AH44">
        <v>7</v>
      </c>
    </row>
    <row r="45" spans="1:34">
      <c r="A45" s="102">
        <v>68</v>
      </c>
      <c r="B45">
        <v>6807</v>
      </c>
      <c r="C45" s="106" t="s">
        <v>332</v>
      </c>
      <c r="D45" s="106" t="s">
        <v>87</v>
      </c>
      <c r="E45">
        <v>2266</v>
      </c>
      <c r="F45">
        <v>2253</v>
      </c>
      <c r="G45">
        <v>300</v>
      </c>
      <c r="H45" s="106" t="s">
        <v>63</v>
      </c>
      <c r="I45">
        <v>9706</v>
      </c>
      <c r="J45" s="106" t="s">
        <v>334</v>
      </c>
      <c r="K45" s="106" t="s">
        <v>114</v>
      </c>
      <c r="L45">
        <v>6070</v>
      </c>
      <c r="M45">
        <v>6140</v>
      </c>
      <c r="N45">
        <v>100</v>
      </c>
      <c r="O45" s="106" t="s">
        <v>61</v>
      </c>
      <c r="P45">
        <v>0.91652556675160202</v>
      </c>
      <c r="Q45">
        <v>0.93444014512125295</v>
      </c>
      <c r="R45" s="106">
        <v>7.1863282331443401E-2</v>
      </c>
      <c r="S45" s="15">
        <v>2.7631875017066598E-2</v>
      </c>
      <c r="T45">
        <v>0.36353965342644301</v>
      </c>
      <c r="U45">
        <v>0.36353965342644301</v>
      </c>
      <c r="V45">
        <v>2.2999999999999998</v>
      </c>
      <c r="W45">
        <v>10.08</v>
      </c>
      <c r="X45">
        <v>252142</v>
      </c>
      <c r="Y45">
        <v>14008</v>
      </c>
      <c r="Z45">
        <v>0.88</v>
      </c>
      <c r="AA45">
        <v>18</v>
      </c>
      <c r="AB45">
        <v>11</v>
      </c>
      <c r="AC45">
        <v>7</v>
      </c>
      <c r="AD45">
        <v>61.11</v>
      </c>
      <c r="AE45">
        <v>10</v>
      </c>
      <c r="AF45">
        <v>9</v>
      </c>
      <c r="AG45">
        <v>5</v>
      </c>
      <c r="AH45">
        <v>4</v>
      </c>
    </row>
    <row r="46" spans="1:34">
      <c r="A46" s="102">
        <v>47</v>
      </c>
      <c r="B46">
        <v>5393</v>
      </c>
      <c r="C46" s="106" t="s">
        <v>330</v>
      </c>
      <c r="D46" s="106" t="s">
        <v>106</v>
      </c>
      <c r="E46">
        <v>2766</v>
      </c>
      <c r="F46">
        <v>2762</v>
      </c>
      <c r="G46">
        <v>300</v>
      </c>
      <c r="H46" s="106" t="s">
        <v>63</v>
      </c>
      <c r="I46">
        <v>5947</v>
      </c>
      <c r="J46" s="106" t="s">
        <v>322</v>
      </c>
      <c r="K46" s="106" t="s">
        <v>116</v>
      </c>
      <c r="L46">
        <v>8660</v>
      </c>
      <c r="M46">
        <v>8620</v>
      </c>
      <c r="N46">
        <v>100</v>
      </c>
      <c r="O46" s="106" t="s">
        <v>61</v>
      </c>
      <c r="P46">
        <v>0.95575227301423005</v>
      </c>
      <c r="Q46">
        <v>0.94034205299848606</v>
      </c>
      <c r="R46">
        <v>0.108504102104359</v>
      </c>
      <c r="S46" s="15">
        <v>4.0101755843263601E-2</v>
      </c>
      <c r="T46">
        <v>1.67859637900778</v>
      </c>
      <c r="U46">
        <v>1.67859637900778</v>
      </c>
      <c r="V46">
        <v>11.54</v>
      </c>
      <c r="W46">
        <v>3.87</v>
      </c>
      <c r="X46">
        <v>243463</v>
      </c>
      <c r="Y46">
        <v>18728</v>
      </c>
      <c r="Z46">
        <v>1.01</v>
      </c>
      <c r="AA46">
        <v>13</v>
      </c>
      <c r="AB46">
        <v>8</v>
      </c>
      <c r="AC46">
        <v>5</v>
      </c>
      <c r="AD46">
        <v>61.54</v>
      </c>
      <c r="AE46">
        <v>11</v>
      </c>
      <c r="AF46">
        <v>6</v>
      </c>
      <c r="AG46">
        <v>3</v>
      </c>
      <c r="AH46">
        <v>4</v>
      </c>
    </row>
    <row r="47" spans="1:34">
      <c r="A47" s="102">
        <v>89</v>
      </c>
      <c r="B47">
        <v>6702</v>
      </c>
      <c r="C47" s="106" t="s">
        <v>329</v>
      </c>
      <c r="D47" s="106" t="s">
        <v>87</v>
      </c>
      <c r="E47">
        <v>10320</v>
      </c>
      <c r="F47">
        <v>10265</v>
      </c>
      <c r="G47">
        <v>100</v>
      </c>
      <c r="H47" s="106" t="s">
        <v>61</v>
      </c>
      <c r="I47">
        <v>8425</v>
      </c>
      <c r="J47" s="106" t="s">
        <v>316</v>
      </c>
      <c r="K47" s="106" t="s">
        <v>297</v>
      </c>
      <c r="L47">
        <v>3465</v>
      </c>
      <c r="M47">
        <v>3450</v>
      </c>
      <c r="N47">
        <v>300</v>
      </c>
      <c r="O47" s="106" t="s">
        <v>63</v>
      </c>
      <c r="P47">
        <v>0.91304196392675596</v>
      </c>
      <c r="Q47">
        <v>0.929035410484775</v>
      </c>
      <c r="R47" s="15">
        <v>3.3202570761307303E-2</v>
      </c>
      <c r="S47" s="15">
        <v>4.3916368454173602E-3</v>
      </c>
      <c r="T47">
        <v>-0.33310330106848901</v>
      </c>
      <c r="U47">
        <v>0.33310330106848901</v>
      </c>
      <c r="V47">
        <v>-1.02</v>
      </c>
      <c r="W47">
        <v>0.83</v>
      </c>
      <c r="X47">
        <v>243048</v>
      </c>
      <c r="Y47">
        <v>17361</v>
      </c>
      <c r="Z47">
        <v>1.17</v>
      </c>
      <c r="AA47">
        <v>14</v>
      </c>
      <c r="AB47">
        <v>10</v>
      </c>
      <c r="AC47">
        <v>4</v>
      </c>
      <c r="AD47">
        <v>71.430000000000007</v>
      </c>
      <c r="AE47">
        <v>13</v>
      </c>
      <c r="AF47">
        <v>8</v>
      </c>
      <c r="AG47">
        <v>1</v>
      </c>
      <c r="AH47">
        <v>5</v>
      </c>
    </row>
    <row r="48" spans="1:34">
      <c r="A48" s="102">
        <v>168</v>
      </c>
      <c r="B48">
        <v>1820</v>
      </c>
      <c r="C48" s="106" t="s">
        <v>121</v>
      </c>
      <c r="D48" s="106" t="s">
        <v>78</v>
      </c>
      <c r="E48">
        <v>2470</v>
      </c>
      <c r="F48">
        <v>2464</v>
      </c>
      <c r="G48">
        <v>400</v>
      </c>
      <c r="H48" s="106" t="s">
        <v>63</v>
      </c>
      <c r="I48">
        <v>6752</v>
      </c>
      <c r="J48" s="106" t="s">
        <v>105</v>
      </c>
      <c r="K48" s="106" t="s">
        <v>87</v>
      </c>
      <c r="L48">
        <v>1025</v>
      </c>
      <c r="M48">
        <v>1026.5</v>
      </c>
      <c r="N48">
        <v>1000</v>
      </c>
      <c r="O48" s="106" t="s">
        <v>61</v>
      </c>
      <c r="P48">
        <v>0.94617023686305801</v>
      </c>
      <c r="Q48">
        <v>0.90926648872970495</v>
      </c>
      <c r="R48">
        <v>0.27656888987321299</v>
      </c>
      <c r="S48" s="15">
        <v>1.9438721754437699E-2</v>
      </c>
      <c r="T48">
        <v>0.85659784543716599</v>
      </c>
      <c r="U48">
        <v>0.85659784543716599</v>
      </c>
      <c r="V48">
        <v>2.86</v>
      </c>
      <c r="W48">
        <v>4.1500000000000004</v>
      </c>
      <c r="X48">
        <v>241478</v>
      </c>
      <c r="Y48">
        <v>15092</v>
      </c>
      <c r="Z48">
        <v>0.73</v>
      </c>
      <c r="AA48">
        <v>16</v>
      </c>
      <c r="AB48">
        <v>11</v>
      </c>
      <c r="AC48">
        <v>5</v>
      </c>
      <c r="AD48">
        <v>68.75</v>
      </c>
      <c r="AE48">
        <v>13</v>
      </c>
      <c r="AF48">
        <v>7</v>
      </c>
      <c r="AG48">
        <v>3</v>
      </c>
      <c r="AH48">
        <v>6</v>
      </c>
    </row>
    <row r="49" spans="1:34">
      <c r="A49" s="102">
        <v>36</v>
      </c>
      <c r="B49">
        <v>6588</v>
      </c>
      <c r="C49" s="106" t="s">
        <v>788</v>
      </c>
      <c r="D49" s="106" t="s">
        <v>87</v>
      </c>
      <c r="E49">
        <v>4530</v>
      </c>
      <c r="F49">
        <v>4640</v>
      </c>
      <c r="G49">
        <v>200</v>
      </c>
      <c r="H49" s="106" t="s">
        <v>63</v>
      </c>
      <c r="I49">
        <v>6702</v>
      </c>
      <c r="J49" s="106" t="s">
        <v>329</v>
      </c>
      <c r="K49" s="106" t="s">
        <v>87</v>
      </c>
      <c r="L49">
        <v>10320</v>
      </c>
      <c r="M49">
        <v>10265</v>
      </c>
      <c r="N49">
        <v>100</v>
      </c>
      <c r="O49" s="106" t="s">
        <v>61</v>
      </c>
      <c r="P49">
        <v>0.94139724231633404</v>
      </c>
      <c r="Q49">
        <v>0.94428235300221697</v>
      </c>
      <c r="R49">
        <v>0.194585054171867</v>
      </c>
      <c r="S49" s="15">
        <v>2.0333359278843301E-2</v>
      </c>
      <c r="T49">
        <v>1.28204993825745</v>
      </c>
      <c r="U49">
        <v>1.28204993825745</v>
      </c>
      <c r="V49">
        <v>9</v>
      </c>
      <c r="W49">
        <v>9.6</v>
      </c>
      <c r="X49">
        <v>237430</v>
      </c>
      <c r="Y49">
        <v>21585</v>
      </c>
      <c r="Z49">
        <v>1.23</v>
      </c>
      <c r="AA49">
        <v>11</v>
      </c>
      <c r="AB49">
        <v>7</v>
      </c>
      <c r="AC49">
        <v>4</v>
      </c>
      <c r="AD49">
        <v>63.64</v>
      </c>
      <c r="AE49">
        <v>12</v>
      </c>
      <c r="AF49">
        <v>5</v>
      </c>
      <c r="AG49">
        <v>1</v>
      </c>
      <c r="AH49">
        <v>5</v>
      </c>
    </row>
    <row r="50" spans="1:34">
      <c r="A50" s="102">
        <v>189</v>
      </c>
      <c r="B50">
        <v>4202</v>
      </c>
      <c r="C50" s="106" t="s">
        <v>89</v>
      </c>
      <c r="D50" s="106" t="s">
        <v>62</v>
      </c>
      <c r="E50">
        <v>1058</v>
      </c>
      <c r="F50">
        <v>1047</v>
      </c>
      <c r="G50">
        <v>1000</v>
      </c>
      <c r="H50" s="106" t="s">
        <v>61</v>
      </c>
      <c r="I50">
        <v>7278</v>
      </c>
      <c r="J50" s="106" t="s">
        <v>83</v>
      </c>
      <c r="K50" s="106" t="s">
        <v>84</v>
      </c>
      <c r="L50">
        <v>2511</v>
      </c>
      <c r="M50">
        <v>2520</v>
      </c>
      <c r="N50">
        <v>400</v>
      </c>
      <c r="O50" s="106" t="s">
        <v>63</v>
      </c>
      <c r="P50">
        <v>0.90346351647831702</v>
      </c>
      <c r="Q50">
        <v>0.90334833362576406</v>
      </c>
      <c r="R50">
        <v>0.14552239951982199</v>
      </c>
      <c r="S50">
        <v>0.22861560915868001</v>
      </c>
      <c r="T50">
        <v>-1.0655350812517801</v>
      </c>
      <c r="U50">
        <v>1.0655350812517801</v>
      </c>
      <c r="V50">
        <v>-3.7</v>
      </c>
      <c r="W50">
        <v>3.87</v>
      </c>
      <c r="X50">
        <v>234049</v>
      </c>
      <c r="Y50">
        <v>11702</v>
      </c>
      <c r="Z50">
        <v>0.56999999999999995</v>
      </c>
      <c r="AA50">
        <v>20</v>
      </c>
      <c r="AB50">
        <v>12</v>
      </c>
      <c r="AC50">
        <v>8</v>
      </c>
      <c r="AD50">
        <v>60</v>
      </c>
      <c r="AE50">
        <v>12</v>
      </c>
      <c r="AF50">
        <v>7</v>
      </c>
      <c r="AG50">
        <v>5</v>
      </c>
      <c r="AH50">
        <v>8</v>
      </c>
    </row>
    <row r="51" spans="1:34">
      <c r="A51" s="102">
        <v>115</v>
      </c>
      <c r="B51">
        <v>5333</v>
      </c>
      <c r="C51" s="106" t="s">
        <v>331</v>
      </c>
      <c r="D51" s="106" t="s">
        <v>106</v>
      </c>
      <c r="E51">
        <v>1902</v>
      </c>
      <c r="F51">
        <v>1902</v>
      </c>
      <c r="G51">
        <v>400</v>
      </c>
      <c r="H51" s="106" t="s">
        <v>61</v>
      </c>
      <c r="I51">
        <v>7282</v>
      </c>
      <c r="J51" s="106" t="s">
        <v>786</v>
      </c>
      <c r="K51" s="106" t="s">
        <v>84</v>
      </c>
      <c r="L51">
        <v>2790</v>
      </c>
      <c r="M51">
        <v>2806</v>
      </c>
      <c r="N51">
        <v>300</v>
      </c>
      <c r="O51" s="106" t="s">
        <v>63</v>
      </c>
      <c r="P51">
        <v>0.97850056970416399</v>
      </c>
      <c r="Q51">
        <v>0.92115873730151598</v>
      </c>
      <c r="R51">
        <v>3.1140038086577E-3</v>
      </c>
      <c r="S51" s="15">
        <v>0.12587123615134899</v>
      </c>
      <c r="T51">
        <v>-2.35132709284894</v>
      </c>
      <c r="U51">
        <v>2.35132709284894</v>
      </c>
      <c r="V51">
        <v>-4.4000000000000004</v>
      </c>
      <c r="W51">
        <v>9.6199999999999992</v>
      </c>
      <c r="X51">
        <v>231982</v>
      </c>
      <c r="Y51">
        <v>12888</v>
      </c>
      <c r="Z51">
        <v>0.65</v>
      </c>
      <c r="AA51">
        <v>18</v>
      </c>
      <c r="AB51">
        <v>10</v>
      </c>
      <c r="AC51">
        <v>8</v>
      </c>
      <c r="AD51">
        <v>55.56</v>
      </c>
      <c r="AE51">
        <v>13</v>
      </c>
      <c r="AF51">
        <v>6</v>
      </c>
      <c r="AG51">
        <v>2</v>
      </c>
      <c r="AH51">
        <v>10</v>
      </c>
    </row>
    <row r="52" spans="1:34">
      <c r="A52" s="102">
        <v>37</v>
      </c>
      <c r="B52">
        <v>4819</v>
      </c>
      <c r="C52" s="106" t="s">
        <v>1041</v>
      </c>
      <c r="D52" s="106" t="s">
        <v>79</v>
      </c>
      <c r="E52">
        <v>4410</v>
      </c>
      <c r="F52">
        <v>4375</v>
      </c>
      <c r="G52">
        <v>200</v>
      </c>
      <c r="H52" s="106" t="s">
        <v>63</v>
      </c>
      <c r="I52">
        <v>6098</v>
      </c>
      <c r="J52" s="106" t="s">
        <v>336</v>
      </c>
      <c r="K52" s="106" t="s">
        <v>120</v>
      </c>
      <c r="L52">
        <v>4121</v>
      </c>
      <c r="M52">
        <v>4086</v>
      </c>
      <c r="N52">
        <v>200</v>
      </c>
      <c r="O52" s="106" t="s">
        <v>61</v>
      </c>
      <c r="P52">
        <v>0.93379000045302496</v>
      </c>
      <c r="Q52">
        <v>0.94370763891241105</v>
      </c>
      <c r="R52">
        <v>0.231482407856518</v>
      </c>
      <c r="S52" s="15">
        <v>2.5173842427020899E-3</v>
      </c>
      <c r="T52">
        <v>1.1167965897799099</v>
      </c>
      <c r="U52">
        <v>1.1167965897799099</v>
      </c>
      <c r="V52">
        <v>4.34</v>
      </c>
      <c r="W52">
        <v>6.61</v>
      </c>
      <c r="X52">
        <v>225867</v>
      </c>
      <c r="Y52">
        <v>15058</v>
      </c>
      <c r="Z52">
        <v>0.81</v>
      </c>
      <c r="AA52">
        <v>15</v>
      </c>
      <c r="AB52">
        <v>9</v>
      </c>
      <c r="AC52">
        <v>6</v>
      </c>
      <c r="AD52">
        <v>60</v>
      </c>
      <c r="AE52">
        <v>10</v>
      </c>
      <c r="AF52">
        <v>7</v>
      </c>
      <c r="AG52">
        <v>3</v>
      </c>
      <c r="AH52">
        <v>5</v>
      </c>
    </row>
    <row r="53" spans="1:34">
      <c r="A53" s="102">
        <v>16</v>
      </c>
      <c r="B53">
        <v>4519</v>
      </c>
      <c r="C53" s="106" t="s">
        <v>787</v>
      </c>
      <c r="D53" s="106" t="s">
        <v>135</v>
      </c>
      <c r="E53">
        <v>9976</v>
      </c>
      <c r="F53">
        <v>9972</v>
      </c>
      <c r="G53">
        <v>100</v>
      </c>
      <c r="H53" s="106" t="s">
        <v>61</v>
      </c>
      <c r="I53">
        <v>6588</v>
      </c>
      <c r="J53" s="106" t="s">
        <v>788</v>
      </c>
      <c r="K53" s="106" t="s">
        <v>87</v>
      </c>
      <c r="L53">
        <v>4530</v>
      </c>
      <c r="M53">
        <v>4640</v>
      </c>
      <c r="N53">
        <v>200</v>
      </c>
      <c r="O53" s="106" t="s">
        <v>63</v>
      </c>
      <c r="P53">
        <v>0.95396433268664405</v>
      </c>
      <c r="Q53">
        <v>0.95269420443974695</v>
      </c>
      <c r="R53" s="106">
        <v>0.302261243381792</v>
      </c>
      <c r="S53" s="15">
        <v>0.12754638585359501</v>
      </c>
      <c r="T53">
        <v>-1.2047148267890599</v>
      </c>
      <c r="U53">
        <v>1.2047148267890599</v>
      </c>
      <c r="V53">
        <v>-7.88</v>
      </c>
      <c r="W53">
        <v>6.94</v>
      </c>
      <c r="X53">
        <v>222279</v>
      </c>
      <c r="Y53">
        <v>13892</v>
      </c>
      <c r="Z53">
        <v>0.92</v>
      </c>
      <c r="AA53">
        <v>16</v>
      </c>
      <c r="AB53">
        <v>10</v>
      </c>
      <c r="AC53">
        <v>6</v>
      </c>
      <c r="AD53">
        <v>62.5</v>
      </c>
      <c r="AE53">
        <v>11</v>
      </c>
      <c r="AF53">
        <v>7</v>
      </c>
      <c r="AG53">
        <v>4</v>
      </c>
      <c r="AH53">
        <v>5</v>
      </c>
    </row>
    <row r="54" spans="1:34">
      <c r="A54" s="102">
        <v>181</v>
      </c>
      <c r="B54">
        <v>2175</v>
      </c>
      <c r="C54" s="106" t="s">
        <v>324</v>
      </c>
      <c r="D54" s="106" t="s">
        <v>120</v>
      </c>
      <c r="E54">
        <v>3020</v>
      </c>
      <c r="F54">
        <v>2962</v>
      </c>
      <c r="G54">
        <v>200</v>
      </c>
      <c r="H54" s="106" t="s">
        <v>61</v>
      </c>
      <c r="I54">
        <v>4686</v>
      </c>
      <c r="J54" s="106" t="s">
        <v>1003</v>
      </c>
      <c r="K54" s="106" t="s">
        <v>79</v>
      </c>
      <c r="L54">
        <v>6190</v>
      </c>
      <c r="M54">
        <v>6180</v>
      </c>
      <c r="N54">
        <v>100</v>
      </c>
      <c r="O54" s="106" t="s">
        <v>63</v>
      </c>
      <c r="P54">
        <v>0.93279766769680705</v>
      </c>
      <c r="Q54">
        <v>0.90639915740594901</v>
      </c>
      <c r="R54" s="106">
        <v>1.3004477688309299E-4</v>
      </c>
      <c r="S54" s="15">
        <v>0.31308160526023698</v>
      </c>
      <c r="T54">
        <v>-1.69545543662505</v>
      </c>
      <c r="U54">
        <v>1.69545543662505</v>
      </c>
      <c r="V54">
        <v>-25.06</v>
      </c>
      <c r="W54">
        <v>4.1399999999999997</v>
      </c>
      <c r="X54">
        <v>219732</v>
      </c>
      <c r="Y54">
        <v>14649</v>
      </c>
      <c r="Z54">
        <v>0.71</v>
      </c>
      <c r="AA54">
        <v>15</v>
      </c>
      <c r="AB54">
        <v>10</v>
      </c>
      <c r="AC54">
        <v>5</v>
      </c>
      <c r="AD54">
        <v>66.67</v>
      </c>
      <c r="AE54">
        <v>9</v>
      </c>
      <c r="AF54">
        <v>8</v>
      </c>
      <c r="AG54">
        <v>5</v>
      </c>
      <c r="AH54">
        <v>2</v>
      </c>
    </row>
    <row r="55" spans="1:34">
      <c r="A55" s="102">
        <v>39</v>
      </c>
      <c r="B55">
        <v>3635</v>
      </c>
      <c r="C55" s="106" t="s">
        <v>85</v>
      </c>
      <c r="D55" s="106" t="s">
        <v>79</v>
      </c>
      <c r="E55">
        <v>2779</v>
      </c>
      <c r="F55">
        <v>2820</v>
      </c>
      <c r="G55">
        <v>300</v>
      </c>
      <c r="H55" s="106" t="s">
        <v>63</v>
      </c>
      <c r="I55">
        <v>8593</v>
      </c>
      <c r="J55" s="106" t="s">
        <v>309</v>
      </c>
      <c r="K55" s="106" t="s">
        <v>297</v>
      </c>
      <c r="L55">
        <v>716</v>
      </c>
      <c r="M55">
        <v>721</v>
      </c>
      <c r="N55">
        <v>1200</v>
      </c>
      <c r="O55" s="106" t="s">
        <v>61</v>
      </c>
      <c r="P55">
        <v>0.92076035219248298</v>
      </c>
      <c r="Q55">
        <v>0.942864259526076</v>
      </c>
      <c r="R55" s="106">
        <v>5.20093293536028E-2</v>
      </c>
      <c r="S55">
        <v>6.2063580253689399E-3</v>
      </c>
      <c r="T55">
        <v>2.1847921952250999</v>
      </c>
      <c r="U55">
        <v>2.1847921952250999</v>
      </c>
      <c r="V55">
        <v>5.66</v>
      </c>
      <c r="W55">
        <v>2.27</v>
      </c>
      <c r="X55">
        <v>218633</v>
      </c>
      <c r="Y55">
        <v>12861</v>
      </c>
      <c r="Z55">
        <v>0.62</v>
      </c>
      <c r="AA55">
        <v>17</v>
      </c>
      <c r="AB55">
        <v>10</v>
      </c>
      <c r="AC55">
        <v>7</v>
      </c>
      <c r="AD55">
        <v>58.82</v>
      </c>
      <c r="AE55">
        <v>12</v>
      </c>
      <c r="AF55">
        <v>7</v>
      </c>
      <c r="AG55">
        <v>4</v>
      </c>
      <c r="AH55">
        <v>6</v>
      </c>
    </row>
    <row r="56" spans="1:34">
      <c r="A56" s="102">
        <v>62</v>
      </c>
      <c r="B56">
        <v>3105</v>
      </c>
      <c r="C56" s="106" t="s">
        <v>90</v>
      </c>
      <c r="D56" s="106" t="s">
        <v>87</v>
      </c>
      <c r="E56">
        <v>1050</v>
      </c>
      <c r="F56">
        <v>1045</v>
      </c>
      <c r="G56">
        <v>1000</v>
      </c>
      <c r="H56" s="106" t="s">
        <v>63</v>
      </c>
      <c r="I56">
        <v>6770</v>
      </c>
      <c r="J56" s="106" t="s">
        <v>26</v>
      </c>
      <c r="K56" s="106" t="s">
        <v>87</v>
      </c>
      <c r="L56">
        <v>2550</v>
      </c>
      <c r="M56">
        <v>2531</v>
      </c>
      <c r="N56">
        <v>400</v>
      </c>
      <c r="O56" s="106" t="s">
        <v>61</v>
      </c>
      <c r="P56">
        <v>0.95944852228953603</v>
      </c>
      <c r="Q56">
        <v>0.93603784062787398</v>
      </c>
      <c r="R56" s="15">
        <v>7.8728572243404502E-2</v>
      </c>
      <c r="S56">
        <v>7.1354023075544296E-2</v>
      </c>
      <c r="T56">
        <v>0.12658929007771999</v>
      </c>
      <c r="U56">
        <v>0.12658929007771999</v>
      </c>
      <c r="V56">
        <v>0.35</v>
      </c>
      <c r="W56">
        <v>3.22</v>
      </c>
      <c r="X56">
        <v>211945</v>
      </c>
      <c r="Y56">
        <v>10093</v>
      </c>
      <c r="Z56">
        <v>0.54</v>
      </c>
      <c r="AA56">
        <v>21</v>
      </c>
      <c r="AB56">
        <v>12</v>
      </c>
      <c r="AC56">
        <v>9</v>
      </c>
      <c r="AD56">
        <v>57.14</v>
      </c>
      <c r="AE56">
        <v>9</v>
      </c>
      <c r="AF56">
        <v>11</v>
      </c>
      <c r="AG56">
        <v>7</v>
      </c>
      <c r="AH56">
        <v>3</v>
      </c>
    </row>
    <row r="57" spans="1:34">
      <c r="A57" s="102">
        <v>155</v>
      </c>
      <c r="B57">
        <v>4849</v>
      </c>
      <c r="C57" s="106" t="s">
        <v>1042</v>
      </c>
      <c r="D57" s="106" t="s">
        <v>120</v>
      </c>
      <c r="E57">
        <v>5170</v>
      </c>
      <c r="F57">
        <v>5040</v>
      </c>
      <c r="G57">
        <v>200</v>
      </c>
      <c r="H57" s="106" t="s">
        <v>63</v>
      </c>
      <c r="I57">
        <v>9433</v>
      </c>
      <c r="J57" s="106" t="s">
        <v>1043</v>
      </c>
      <c r="K57" s="106" t="s">
        <v>79</v>
      </c>
      <c r="L57">
        <v>3264</v>
      </c>
      <c r="M57">
        <v>3286</v>
      </c>
      <c r="N57">
        <v>300</v>
      </c>
      <c r="O57" s="106" t="s">
        <v>61</v>
      </c>
      <c r="P57">
        <v>0.91244442352020505</v>
      </c>
      <c r="Q57">
        <v>0.91308994237540497</v>
      </c>
      <c r="R57">
        <v>3.5824002705599899E-2</v>
      </c>
      <c r="S57" s="15">
        <v>5.5693169202694001E-2</v>
      </c>
      <c r="T57">
        <v>0.21144263220870799</v>
      </c>
      <c r="U57">
        <v>0.21144263220870799</v>
      </c>
      <c r="V57">
        <v>1.56</v>
      </c>
      <c r="W57">
        <v>2.2000000000000002</v>
      </c>
      <c r="X57">
        <v>211635</v>
      </c>
      <c r="Y57">
        <v>10582</v>
      </c>
      <c r="Z57">
        <v>0.62</v>
      </c>
      <c r="AA57">
        <v>20</v>
      </c>
      <c r="AB57">
        <v>10</v>
      </c>
      <c r="AC57">
        <v>10</v>
      </c>
      <c r="AD57">
        <v>50</v>
      </c>
      <c r="AE57">
        <v>10</v>
      </c>
      <c r="AF57">
        <v>7</v>
      </c>
      <c r="AG57">
        <v>7</v>
      </c>
      <c r="AH57">
        <v>6</v>
      </c>
    </row>
    <row r="58" spans="1:34">
      <c r="A58" s="102">
        <v>81</v>
      </c>
      <c r="B58">
        <v>5333</v>
      </c>
      <c r="C58" s="106" t="s">
        <v>331</v>
      </c>
      <c r="D58" s="106" t="s">
        <v>106</v>
      </c>
      <c r="E58">
        <v>1902</v>
      </c>
      <c r="F58">
        <v>1902</v>
      </c>
      <c r="G58">
        <v>500</v>
      </c>
      <c r="H58" s="106" t="s">
        <v>61</v>
      </c>
      <c r="I58">
        <v>6995</v>
      </c>
      <c r="J58" s="106" t="s">
        <v>91</v>
      </c>
      <c r="K58" s="106" t="s">
        <v>84</v>
      </c>
      <c r="L58">
        <v>2237</v>
      </c>
      <c r="M58">
        <v>2255</v>
      </c>
      <c r="N58">
        <v>400</v>
      </c>
      <c r="O58" s="106" t="s">
        <v>63</v>
      </c>
      <c r="P58">
        <v>0.97377741883031399</v>
      </c>
      <c r="Q58">
        <v>0.93166717496648599</v>
      </c>
      <c r="R58">
        <v>3.8731842369183499E-2</v>
      </c>
      <c r="S58" s="15">
        <v>4.9618553276824899E-2</v>
      </c>
      <c r="T58">
        <v>-9.9075946363622797E-2</v>
      </c>
      <c r="U58">
        <v>9.9075946363622797E-2</v>
      </c>
      <c r="V58">
        <v>-0.21</v>
      </c>
      <c r="W58">
        <v>5.43</v>
      </c>
      <c r="X58">
        <v>207740</v>
      </c>
      <c r="Y58">
        <v>11541</v>
      </c>
      <c r="Z58">
        <v>0.59</v>
      </c>
      <c r="AA58">
        <v>18</v>
      </c>
      <c r="AB58">
        <v>12</v>
      </c>
      <c r="AC58">
        <v>6</v>
      </c>
      <c r="AD58">
        <v>66.67</v>
      </c>
      <c r="AE58">
        <v>15</v>
      </c>
      <c r="AF58">
        <v>4</v>
      </c>
      <c r="AG58">
        <v>2</v>
      </c>
      <c r="AH58">
        <v>12</v>
      </c>
    </row>
    <row r="59" spans="1:34">
      <c r="A59" s="102">
        <v>147</v>
      </c>
      <c r="B59">
        <v>4183</v>
      </c>
      <c r="C59" s="106" t="s">
        <v>299</v>
      </c>
      <c r="D59" s="106" t="s">
        <v>62</v>
      </c>
      <c r="E59">
        <v>2709</v>
      </c>
      <c r="F59">
        <v>2701</v>
      </c>
      <c r="G59">
        <v>400</v>
      </c>
      <c r="H59" s="106" t="s">
        <v>61</v>
      </c>
      <c r="I59">
        <v>4208</v>
      </c>
      <c r="J59" s="106" t="s">
        <v>98</v>
      </c>
      <c r="K59" s="106" t="s">
        <v>62</v>
      </c>
      <c r="L59">
        <v>2440</v>
      </c>
      <c r="M59">
        <v>2443</v>
      </c>
      <c r="N59">
        <v>400</v>
      </c>
      <c r="O59" s="106" t="s">
        <v>63</v>
      </c>
      <c r="P59">
        <v>0.93745127020322405</v>
      </c>
      <c r="Q59">
        <v>0.91434819411713797</v>
      </c>
      <c r="R59">
        <v>1.32206015673332E-2</v>
      </c>
      <c r="S59" s="15">
        <v>0.115834667215774</v>
      </c>
      <c r="T59">
        <v>-1.13996862106718</v>
      </c>
      <c r="U59">
        <v>1.13996862106718</v>
      </c>
      <c r="V59">
        <v>-1.7</v>
      </c>
      <c r="W59">
        <v>9.5500000000000007</v>
      </c>
      <c r="X59">
        <v>207621</v>
      </c>
      <c r="Y59">
        <v>20762</v>
      </c>
      <c r="Z59">
        <v>1.0900000000000001</v>
      </c>
      <c r="AA59">
        <v>10</v>
      </c>
      <c r="AB59">
        <v>9</v>
      </c>
      <c r="AC59">
        <v>1</v>
      </c>
      <c r="AD59">
        <v>90</v>
      </c>
      <c r="AE59">
        <v>14</v>
      </c>
      <c r="AF59">
        <v>3</v>
      </c>
      <c r="AG59">
        <v>0</v>
      </c>
      <c r="AH59">
        <v>7</v>
      </c>
    </row>
    <row r="60" spans="1:34">
      <c r="A60" s="102">
        <v>82</v>
      </c>
      <c r="B60">
        <v>5333</v>
      </c>
      <c r="C60" s="106" t="s">
        <v>331</v>
      </c>
      <c r="D60" s="106" t="s">
        <v>106</v>
      </c>
      <c r="E60">
        <v>1902</v>
      </c>
      <c r="F60">
        <v>1902</v>
      </c>
      <c r="G60">
        <v>600</v>
      </c>
      <c r="H60" s="106" t="s">
        <v>61</v>
      </c>
      <c r="I60">
        <v>9810</v>
      </c>
      <c r="J60" s="106" t="s">
        <v>126</v>
      </c>
      <c r="K60" s="106" t="s">
        <v>101</v>
      </c>
      <c r="L60">
        <v>5250</v>
      </c>
      <c r="M60">
        <v>5270</v>
      </c>
      <c r="N60">
        <v>200</v>
      </c>
      <c r="O60" s="106" t="s">
        <v>63</v>
      </c>
      <c r="P60">
        <v>0.954926594308253</v>
      </c>
      <c r="Q60">
        <v>0.93139028652994704</v>
      </c>
      <c r="R60" s="15">
        <v>0.29832088388517097</v>
      </c>
      <c r="S60" s="15">
        <v>1.8873582277916599E-2</v>
      </c>
      <c r="T60">
        <v>-0.135021795569886</v>
      </c>
      <c r="U60">
        <v>0.135021795569886</v>
      </c>
      <c r="V60">
        <v>-0.34</v>
      </c>
      <c r="W60">
        <v>8.27</v>
      </c>
      <c r="X60">
        <v>206989</v>
      </c>
      <c r="Y60">
        <v>12937</v>
      </c>
      <c r="Z60">
        <v>0.97</v>
      </c>
      <c r="AA60">
        <v>16</v>
      </c>
      <c r="AB60">
        <v>13</v>
      </c>
      <c r="AC60">
        <v>3</v>
      </c>
      <c r="AD60">
        <v>81.25</v>
      </c>
      <c r="AE60">
        <v>14</v>
      </c>
      <c r="AF60">
        <v>5</v>
      </c>
      <c r="AG60">
        <v>2</v>
      </c>
      <c r="AH60">
        <v>9</v>
      </c>
    </row>
    <row r="61" spans="1:34">
      <c r="A61" s="102">
        <v>5</v>
      </c>
      <c r="B61">
        <v>6988</v>
      </c>
      <c r="C61" s="106" t="s">
        <v>138</v>
      </c>
      <c r="D61" s="106" t="s">
        <v>62</v>
      </c>
      <c r="E61">
        <v>6350</v>
      </c>
      <c r="F61">
        <v>6300</v>
      </c>
      <c r="G61">
        <v>100</v>
      </c>
      <c r="H61" s="106" t="s">
        <v>61</v>
      </c>
      <c r="I61">
        <v>7282</v>
      </c>
      <c r="J61" s="106" t="s">
        <v>786</v>
      </c>
      <c r="K61" s="106" t="s">
        <v>84</v>
      </c>
      <c r="L61">
        <v>2790</v>
      </c>
      <c r="M61">
        <v>2806</v>
      </c>
      <c r="N61">
        <v>200</v>
      </c>
      <c r="O61" s="106" t="s">
        <v>63</v>
      </c>
      <c r="P61">
        <v>0.94240844165486504</v>
      </c>
      <c r="Q61">
        <v>0.96356603505595995</v>
      </c>
      <c r="R61">
        <v>8.9847991841496097E-2</v>
      </c>
      <c r="S61">
        <v>1.3181302737159701E-4</v>
      </c>
      <c r="T61">
        <v>-2.2878287386641598</v>
      </c>
      <c r="U61">
        <v>2.2878287386641598</v>
      </c>
      <c r="V61">
        <v>-7.91</v>
      </c>
      <c r="W61">
        <v>10.92</v>
      </c>
      <c r="X61">
        <v>206961</v>
      </c>
      <c r="Y61">
        <v>14783</v>
      </c>
      <c r="Z61">
        <v>0.78</v>
      </c>
      <c r="AA61">
        <v>14</v>
      </c>
      <c r="AB61">
        <v>10</v>
      </c>
      <c r="AC61">
        <v>4</v>
      </c>
      <c r="AD61">
        <v>71.430000000000007</v>
      </c>
      <c r="AE61">
        <v>10</v>
      </c>
      <c r="AF61">
        <v>9</v>
      </c>
      <c r="AG61">
        <v>3</v>
      </c>
      <c r="AH61">
        <v>2</v>
      </c>
    </row>
    <row r="62" spans="1:34">
      <c r="A62" s="102">
        <v>87</v>
      </c>
      <c r="B62">
        <v>3291</v>
      </c>
      <c r="C62" s="106" t="s">
        <v>113</v>
      </c>
      <c r="D62" s="106" t="s">
        <v>114</v>
      </c>
      <c r="E62">
        <v>1935</v>
      </c>
      <c r="F62">
        <v>1953</v>
      </c>
      <c r="G62">
        <v>500</v>
      </c>
      <c r="H62" s="106" t="s">
        <v>63</v>
      </c>
      <c r="I62">
        <v>8086</v>
      </c>
      <c r="J62" s="106" t="s">
        <v>1044</v>
      </c>
      <c r="K62" s="106" t="s">
        <v>93</v>
      </c>
      <c r="L62">
        <v>1325</v>
      </c>
      <c r="M62">
        <v>1322</v>
      </c>
      <c r="N62">
        <v>700</v>
      </c>
      <c r="O62" s="106" t="s">
        <v>61</v>
      </c>
      <c r="P62">
        <v>0.91992091676910503</v>
      </c>
      <c r="Q62">
        <v>0.92929591094474395</v>
      </c>
      <c r="R62" s="15">
        <v>4.7975689145154298E-3</v>
      </c>
      <c r="S62">
        <v>5.9043149154328796E-3</v>
      </c>
      <c r="T62">
        <v>0.83189893438237394</v>
      </c>
      <c r="U62">
        <v>0.83189893438237394</v>
      </c>
      <c r="V62">
        <v>1.51</v>
      </c>
      <c r="W62">
        <v>5.23</v>
      </c>
      <c r="X62">
        <v>204433</v>
      </c>
      <c r="Y62">
        <v>17036</v>
      </c>
      <c r="Z62">
        <v>0.89</v>
      </c>
      <c r="AA62">
        <v>12</v>
      </c>
      <c r="AB62">
        <v>8</v>
      </c>
      <c r="AC62">
        <v>4</v>
      </c>
      <c r="AD62">
        <v>66.67</v>
      </c>
      <c r="AE62">
        <v>10</v>
      </c>
      <c r="AF62">
        <v>6</v>
      </c>
      <c r="AG62">
        <v>3</v>
      </c>
      <c r="AH62">
        <v>3</v>
      </c>
    </row>
    <row r="63" spans="1:34">
      <c r="A63" s="102">
        <v>64</v>
      </c>
      <c r="B63">
        <v>5802</v>
      </c>
      <c r="C63" s="106" t="s">
        <v>130</v>
      </c>
      <c r="D63" s="106" t="s">
        <v>131</v>
      </c>
      <c r="E63">
        <v>1667.5</v>
      </c>
      <c r="F63">
        <v>1680.5</v>
      </c>
      <c r="G63">
        <v>500</v>
      </c>
      <c r="H63" s="106" t="s">
        <v>61</v>
      </c>
      <c r="I63">
        <v>7282</v>
      </c>
      <c r="J63" s="106" t="s">
        <v>786</v>
      </c>
      <c r="K63" s="106" t="s">
        <v>84</v>
      </c>
      <c r="L63">
        <v>2790</v>
      </c>
      <c r="M63">
        <v>2806</v>
      </c>
      <c r="N63">
        <v>300</v>
      </c>
      <c r="O63" s="106" t="s">
        <v>63</v>
      </c>
      <c r="P63">
        <v>0.96623403971952104</v>
      </c>
      <c r="Q63">
        <v>0.93563042955235498</v>
      </c>
      <c r="R63" s="15">
        <v>6.2167720215083398E-2</v>
      </c>
      <c r="S63">
        <v>0.14029127298807501</v>
      </c>
      <c r="T63">
        <v>-1.6347537527292799</v>
      </c>
      <c r="U63">
        <v>1.6347537527292799</v>
      </c>
      <c r="V63">
        <v>-4.1500000000000004</v>
      </c>
      <c r="W63">
        <v>0.18</v>
      </c>
      <c r="X63">
        <v>204036</v>
      </c>
      <c r="Y63">
        <v>12752</v>
      </c>
      <c r="Z63">
        <v>0.61</v>
      </c>
      <c r="AA63">
        <v>16</v>
      </c>
      <c r="AB63">
        <v>11</v>
      </c>
      <c r="AC63">
        <v>5</v>
      </c>
      <c r="AD63">
        <v>68.75</v>
      </c>
      <c r="AE63">
        <v>14</v>
      </c>
      <c r="AF63">
        <v>5</v>
      </c>
      <c r="AG63">
        <v>2</v>
      </c>
      <c r="AH63">
        <v>9</v>
      </c>
    </row>
    <row r="64" spans="1:34">
      <c r="A64" s="102">
        <v>105</v>
      </c>
      <c r="B64">
        <v>4182</v>
      </c>
      <c r="C64" s="106" t="s">
        <v>88</v>
      </c>
      <c r="D64" s="106" t="s">
        <v>62</v>
      </c>
      <c r="E64">
        <v>1698</v>
      </c>
      <c r="F64">
        <v>1693</v>
      </c>
      <c r="G64">
        <v>600</v>
      </c>
      <c r="H64" s="106" t="s">
        <v>61</v>
      </c>
      <c r="I64">
        <v>5802</v>
      </c>
      <c r="J64" s="106" t="s">
        <v>130</v>
      </c>
      <c r="K64" s="106" t="s">
        <v>131</v>
      </c>
      <c r="L64">
        <v>1667.5</v>
      </c>
      <c r="M64">
        <v>1680.5</v>
      </c>
      <c r="N64">
        <v>600</v>
      </c>
      <c r="O64" s="106" t="s">
        <v>63</v>
      </c>
      <c r="P64">
        <v>0.96590795080660996</v>
      </c>
      <c r="Q64">
        <v>0.92348273124242497</v>
      </c>
      <c r="R64" s="15">
        <v>0.16492364292836501</v>
      </c>
      <c r="S64" s="106">
        <v>0.13444874463779299</v>
      </c>
      <c r="T64">
        <v>-1.5483719582139599</v>
      </c>
      <c r="U64">
        <v>1.5483719582139599</v>
      </c>
      <c r="V64">
        <v>-3.26</v>
      </c>
      <c r="W64">
        <v>0.74</v>
      </c>
      <c r="X64">
        <v>202282</v>
      </c>
      <c r="Y64">
        <v>11238</v>
      </c>
      <c r="Z64">
        <v>0.67</v>
      </c>
      <c r="AA64">
        <v>18</v>
      </c>
      <c r="AB64">
        <v>11</v>
      </c>
      <c r="AC64">
        <v>7</v>
      </c>
      <c r="AD64">
        <v>61.11</v>
      </c>
      <c r="AE64">
        <v>13</v>
      </c>
      <c r="AF64">
        <v>7</v>
      </c>
      <c r="AG64">
        <v>4</v>
      </c>
      <c r="AH64">
        <v>7</v>
      </c>
    </row>
    <row r="65" spans="1:34">
      <c r="A65" s="102">
        <v>175</v>
      </c>
      <c r="B65">
        <v>6471</v>
      </c>
      <c r="C65" s="106" t="s">
        <v>137</v>
      </c>
      <c r="D65" s="106" t="s">
        <v>99</v>
      </c>
      <c r="E65">
        <v>1056</v>
      </c>
      <c r="F65">
        <v>1064</v>
      </c>
      <c r="G65">
        <v>800</v>
      </c>
      <c r="H65" s="106" t="s">
        <v>61</v>
      </c>
      <c r="I65">
        <v>7259</v>
      </c>
      <c r="J65" s="106" t="s">
        <v>29</v>
      </c>
      <c r="K65" s="106" t="s">
        <v>84</v>
      </c>
      <c r="L65">
        <v>4150</v>
      </c>
      <c r="M65">
        <v>4150</v>
      </c>
      <c r="N65">
        <v>200</v>
      </c>
      <c r="O65" s="106" t="s">
        <v>63</v>
      </c>
      <c r="P65">
        <v>0.93853996515534499</v>
      </c>
      <c r="Q65">
        <v>0.90831663498192805</v>
      </c>
      <c r="R65">
        <v>3.4744780643411298E-4</v>
      </c>
      <c r="S65">
        <v>1.6184457164667501E-2</v>
      </c>
      <c r="T65">
        <v>-0.56433215401110903</v>
      </c>
      <c r="U65">
        <v>0.56433215401110903</v>
      </c>
      <c r="V65">
        <v>-2.23</v>
      </c>
      <c r="W65">
        <v>2.5499999999999998</v>
      </c>
      <c r="X65">
        <v>199833</v>
      </c>
      <c r="Y65">
        <v>9516</v>
      </c>
      <c r="Z65">
        <v>0.62</v>
      </c>
      <c r="AA65">
        <v>21</v>
      </c>
      <c r="AB65">
        <v>14</v>
      </c>
      <c r="AC65">
        <v>7</v>
      </c>
      <c r="AD65">
        <v>66.67</v>
      </c>
      <c r="AE65">
        <v>12</v>
      </c>
      <c r="AF65">
        <v>8</v>
      </c>
      <c r="AG65">
        <v>4</v>
      </c>
      <c r="AH65">
        <v>9</v>
      </c>
    </row>
    <row r="66" spans="1:34">
      <c r="A66" s="102">
        <v>8</v>
      </c>
      <c r="B66">
        <v>4182</v>
      </c>
      <c r="C66" s="106" t="s">
        <v>88</v>
      </c>
      <c r="D66" s="106" t="s">
        <v>62</v>
      </c>
      <c r="E66">
        <v>1698</v>
      </c>
      <c r="F66">
        <v>1693</v>
      </c>
      <c r="G66">
        <v>600</v>
      </c>
      <c r="H66" s="106" t="s">
        <v>61</v>
      </c>
      <c r="I66">
        <v>5991</v>
      </c>
      <c r="J66" s="106" t="s">
        <v>115</v>
      </c>
      <c r="K66" s="106" t="s">
        <v>116</v>
      </c>
      <c r="L66">
        <v>1030</v>
      </c>
      <c r="M66">
        <v>1029</v>
      </c>
      <c r="N66">
        <v>1000</v>
      </c>
      <c r="O66" s="106" t="s">
        <v>63</v>
      </c>
      <c r="P66">
        <v>0.96780883413621699</v>
      </c>
      <c r="Q66">
        <v>0.95947578102220799</v>
      </c>
      <c r="R66">
        <v>1.19074089843465E-2</v>
      </c>
      <c r="S66">
        <v>0.26631801333320898</v>
      </c>
      <c r="T66">
        <v>-2.0044918939678902</v>
      </c>
      <c r="U66">
        <v>2.0044918939678902</v>
      </c>
      <c r="V66">
        <v>-4.5</v>
      </c>
      <c r="W66">
        <v>1.3</v>
      </c>
      <c r="X66">
        <v>196981</v>
      </c>
      <c r="Y66">
        <v>10367</v>
      </c>
      <c r="Z66">
        <v>0.49</v>
      </c>
      <c r="AA66">
        <v>19</v>
      </c>
      <c r="AB66">
        <v>11</v>
      </c>
      <c r="AC66">
        <v>8</v>
      </c>
      <c r="AD66">
        <v>57.89</v>
      </c>
      <c r="AE66">
        <v>12</v>
      </c>
      <c r="AF66">
        <v>7</v>
      </c>
      <c r="AG66">
        <v>3</v>
      </c>
      <c r="AH66">
        <v>9</v>
      </c>
    </row>
    <row r="67" spans="1:34">
      <c r="A67" s="102">
        <v>32</v>
      </c>
      <c r="B67">
        <v>7181</v>
      </c>
      <c r="C67" s="106" t="s">
        <v>136</v>
      </c>
      <c r="D67" s="106" t="s">
        <v>110</v>
      </c>
      <c r="E67">
        <v>1925</v>
      </c>
      <c r="F67">
        <v>1891</v>
      </c>
      <c r="G67">
        <v>600</v>
      </c>
      <c r="H67" s="106" t="s">
        <v>61</v>
      </c>
      <c r="I67">
        <v>9956</v>
      </c>
      <c r="J67" s="106" t="s">
        <v>315</v>
      </c>
      <c r="K67" s="106" t="s">
        <v>95</v>
      </c>
      <c r="L67">
        <v>2130</v>
      </c>
      <c r="M67">
        <v>2121</v>
      </c>
      <c r="N67">
        <v>500</v>
      </c>
      <c r="O67" s="106" t="s">
        <v>63</v>
      </c>
      <c r="P67">
        <v>0.92975887651076705</v>
      </c>
      <c r="Q67">
        <v>0.945915250935918</v>
      </c>
      <c r="R67">
        <v>1.11700622479089E-2</v>
      </c>
      <c r="S67">
        <v>0.15762488948946701</v>
      </c>
      <c r="T67">
        <v>-0.54356667370322498</v>
      </c>
      <c r="U67">
        <v>0.54356667370322498</v>
      </c>
      <c r="V67">
        <v>-1.53</v>
      </c>
      <c r="W67">
        <v>6.99</v>
      </c>
      <c r="X67">
        <v>196402</v>
      </c>
      <c r="Y67">
        <v>15108</v>
      </c>
      <c r="Z67">
        <v>0.7</v>
      </c>
      <c r="AA67">
        <v>13</v>
      </c>
      <c r="AB67">
        <v>9</v>
      </c>
      <c r="AC67">
        <v>4</v>
      </c>
      <c r="AD67">
        <v>69.23</v>
      </c>
      <c r="AE67">
        <v>14</v>
      </c>
      <c r="AF67">
        <v>3</v>
      </c>
      <c r="AG67">
        <v>1</v>
      </c>
      <c r="AH67">
        <v>9</v>
      </c>
    </row>
    <row r="68" spans="1:34">
      <c r="A68" s="102">
        <v>28</v>
      </c>
      <c r="B68">
        <v>2379</v>
      </c>
      <c r="C68" s="106" t="s">
        <v>848</v>
      </c>
      <c r="D68" s="106" t="s">
        <v>120</v>
      </c>
      <c r="E68">
        <v>3260</v>
      </c>
      <c r="F68">
        <v>3245</v>
      </c>
      <c r="G68">
        <v>300</v>
      </c>
      <c r="H68" s="106" t="s">
        <v>63</v>
      </c>
      <c r="I68">
        <v>9437</v>
      </c>
      <c r="J68" s="106" t="s">
        <v>849</v>
      </c>
      <c r="K68" s="106" t="s">
        <v>79</v>
      </c>
      <c r="L68">
        <v>3062</v>
      </c>
      <c r="M68">
        <v>3065</v>
      </c>
      <c r="N68">
        <v>300</v>
      </c>
      <c r="O68" s="106" t="s">
        <v>61</v>
      </c>
      <c r="P68">
        <v>0.907750091231735</v>
      </c>
      <c r="Q68">
        <v>0.94798837993273599</v>
      </c>
      <c r="R68">
        <v>6.2253969989727202E-2</v>
      </c>
      <c r="S68">
        <v>3.3313045296920002E-2</v>
      </c>
      <c r="T68">
        <v>1.2093900681968901</v>
      </c>
      <c r="U68">
        <v>1.2093900681968901</v>
      </c>
      <c r="V68">
        <v>7.15</v>
      </c>
      <c r="W68">
        <v>5.55</v>
      </c>
      <c r="X68">
        <v>196308</v>
      </c>
      <c r="Y68">
        <v>9348</v>
      </c>
      <c r="Z68">
        <v>0.5</v>
      </c>
      <c r="AA68">
        <v>21</v>
      </c>
      <c r="AB68">
        <v>11</v>
      </c>
      <c r="AC68">
        <v>10</v>
      </c>
      <c r="AD68">
        <v>52.38</v>
      </c>
      <c r="AE68">
        <v>10</v>
      </c>
      <c r="AF68">
        <v>8</v>
      </c>
      <c r="AG68">
        <v>6</v>
      </c>
      <c r="AH68">
        <v>7</v>
      </c>
    </row>
    <row r="69" spans="1:34">
      <c r="A69" s="102">
        <v>110</v>
      </c>
      <c r="B69">
        <v>6479</v>
      </c>
      <c r="C69" s="106" t="s">
        <v>1045</v>
      </c>
      <c r="D69" s="106" t="s">
        <v>87</v>
      </c>
      <c r="E69">
        <v>2307</v>
      </c>
      <c r="F69">
        <v>2302</v>
      </c>
      <c r="G69">
        <v>400</v>
      </c>
      <c r="H69" s="106" t="s">
        <v>61</v>
      </c>
      <c r="I69">
        <v>7729</v>
      </c>
      <c r="J69" s="106" t="s">
        <v>1036</v>
      </c>
      <c r="K69" s="106" t="s">
        <v>93</v>
      </c>
      <c r="L69">
        <v>4170</v>
      </c>
      <c r="M69">
        <v>4210</v>
      </c>
      <c r="N69">
        <v>200</v>
      </c>
      <c r="O69" s="106" t="s">
        <v>63</v>
      </c>
      <c r="P69">
        <v>0.93098730678862296</v>
      </c>
      <c r="Q69">
        <v>0.92189431543769396</v>
      </c>
      <c r="R69" s="106">
        <v>0.38364102854583898</v>
      </c>
      <c r="S69" s="106">
        <v>0.21447488796730299</v>
      </c>
      <c r="T69">
        <v>-0.85872207463137695</v>
      </c>
      <c r="U69">
        <v>0.85872207463137695</v>
      </c>
      <c r="V69">
        <v>-2.9</v>
      </c>
      <c r="W69">
        <v>9.36</v>
      </c>
      <c r="X69">
        <v>194083</v>
      </c>
      <c r="Y69">
        <v>9704</v>
      </c>
      <c r="Z69">
        <v>0.52</v>
      </c>
      <c r="AA69">
        <v>20</v>
      </c>
      <c r="AB69">
        <v>13</v>
      </c>
      <c r="AC69">
        <v>7</v>
      </c>
      <c r="AD69">
        <v>65</v>
      </c>
      <c r="AE69">
        <v>12</v>
      </c>
      <c r="AF69">
        <v>8</v>
      </c>
      <c r="AG69">
        <v>4</v>
      </c>
      <c r="AH69">
        <v>8</v>
      </c>
    </row>
    <row r="70" spans="1:34">
      <c r="A70" s="102">
        <v>187</v>
      </c>
      <c r="B70">
        <v>8002</v>
      </c>
      <c r="C70" s="106" t="s">
        <v>31</v>
      </c>
      <c r="D70" s="106" t="s">
        <v>101</v>
      </c>
      <c r="E70">
        <v>821</v>
      </c>
      <c r="F70">
        <v>819</v>
      </c>
      <c r="G70">
        <v>800</v>
      </c>
      <c r="H70" s="106" t="s">
        <v>63</v>
      </c>
      <c r="I70">
        <v>9062</v>
      </c>
      <c r="J70" s="106" t="s">
        <v>789</v>
      </c>
      <c r="K70" s="106" t="s">
        <v>119</v>
      </c>
      <c r="L70">
        <v>6540</v>
      </c>
      <c r="M70">
        <v>6460</v>
      </c>
      <c r="N70">
        <v>100</v>
      </c>
      <c r="O70" s="106" t="s">
        <v>61</v>
      </c>
      <c r="P70">
        <v>0.92774903300187095</v>
      </c>
      <c r="Q70">
        <v>0.90372729968389298</v>
      </c>
      <c r="R70" s="106">
        <v>0.24347522947529401</v>
      </c>
      <c r="S70" s="15">
        <v>5.2349046066896603E-2</v>
      </c>
      <c r="T70">
        <v>0.35991546237388899</v>
      </c>
      <c r="U70">
        <v>0.35991546237388899</v>
      </c>
      <c r="V70">
        <v>1.5</v>
      </c>
      <c r="W70">
        <v>1.42</v>
      </c>
      <c r="X70">
        <v>187241</v>
      </c>
      <c r="Y70">
        <v>9362</v>
      </c>
      <c r="Z70">
        <v>0.65</v>
      </c>
      <c r="AA70">
        <v>20</v>
      </c>
      <c r="AB70">
        <v>12</v>
      </c>
      <c r="AC70">
        <v>8</v>
      </c>
      <c r="AD70">
        <v>60</v>
      </c>
      <c r="AE70">
        <v>12</v>
      </c>
      <c r="AF70">
        <v>8</v>
      </c>
      <c r="AG70">
        <v>5</v>
      </c>
      <c r="AH70">
        <v>7</v>
      </c>
    </row>
    <row r="71" spans="1:34">
      <c r="A71" s="102">
        <v>17</v>
      </c>
      <c r="B71">
        <v>7203</v>
      </c>
      <c r="C71" s="106" t="s">
        <v>326</v>
      </c>
      <c r="D71" s="106" t="s">
        <v>84</v>
      </c>
      <c r="E71">
        <v>7810</v>
      </c>
      <c r="F71">
        <v>7831</v>
      </c>
      <c r="G71">
        <v>100</v>
      </c>
      <c r="H71" s="106" t="s">
        <v>61</v>
      </c>
      <c r="I71">
        <v>8593</v>
      </c>
      <c r="J71" s="106" t="s">
        <v>309</v>
      </c>
      <c r="K71" s="106" t="s">
        <v>297</v>
      </c>
      <c r="L71">
        <v>716</v>
      </c>
      <c r="M71">
        <v>721</v>
      </c>
      <c r="N71">
        <v>1100</v>
      </c>
      <c r="O71" s="106" t="s">
        <v>63</v>
      </c>
      <c r="P71">
        <v>0.91069538664759997</v>
      </c>
      <c r="Q71">
        <v>0.95267049259544501</v>
      </c>
      <c r="R71">
        <v>0.131117793769987</v>
      </c>
      <c r="S71" s="15">
        <v>7.2267252387068397E-4</v>
      </c>
      <c r="T71">
        <v>-1.32195903925586</v>
      </c>
      <c r="U71">
        <v>1.32195903925586</v>
      </c>
      <c r="V71">
        <v>-3.96</v>
      </c>
      <c r="W71">
        <v>1.28</v>
      </c>
      <c r="X71">
        <v>184460</v>
      </c>
      <c r="Y71">
        <v>13176</v>
      </c>
      <c r="Z71">
        <v>0.95</v>
      </c>
      <c r="AA71">
        <v>14</v>
      </c>
      <c r="AB71">
        <v>10</v>
      </c>
      <c r="AC71">
        <v>4</v>
      </c>
      <c r="AD71">
        <v>71.430000000000007</v>
      </c>
      <c r="AE71">
        <v>14</v>
      </c>
      <c r="AF71">
        <v>5</v>
      </c>
      <c r="AG71">
        <v>1</v>
      </c>
      <c r="AH71">
        <v>8</v>
      </c>
    </row>
    <row r="72" spans="1:34">
      <c r="A72" s="102">
        <v>186</v>
      </c>
      <c r="B72">
        <v>4208</v>
      </c>
      <c r="C72" s="106" t="s">
        <v>98</v>
      </c>
      <c r="D72" s="106" t="s">
        <v>62</v>
      </c>
      <c r="E72">
        <v>2440</v>
      </c>
      <c r="F72">
        <v>2443</v>
      </c>
      <c r="G72">
        <v>400</v>
      </c>
      <c r="H72" s="106" t="s">
        <v>63</v>
      </c>
      <c r="I72">
        <v>6472</v>
      </c>
      <c r="J72" s="106" t="s">
        <v>133</v>
      </c>
      <c r="K72" s="106" t="s">
        <v>99</v>
      </c>
      <c r="L72">
        <v>346</v>
      </c>
      <c r="M72">
        <v>349</v>
      </c>
      <c r="N72">
        <v>2800</v>
      </c>
      <c r="O72" s="106" t="s">
        <v>61</v>
      </c>
      <c r="P72">
        <v>0.91105985149067903</v>
      </c>
      <c r="Q72">
        <v>0.90453143676940095</v>
      </c>
      <c r="R72">
        <v>2.3943079685107001E-3</v>
      </c>
      <c r="S72" s="15">
        <v>6.4484858051962607E-2</v>
      </c>
      <c r="T72">
        <v>0.70709210317506899</v>
      </c>
      <c r="U72">
        <v>0.70709210317506899</v>
      </c>
      <c r="V72">
        <v>1.43</v>
      </c>
      <c r="W72">
        <v>0</v>
      </c>
      <c r="X72">
        <v>180416</v>
      </c>
      <c r="Y72">
        <v>9021</v>
      </c>
      <c r="Z72">
        <v>0.48</v>
      </c>
      <c r="AA72">
        <v>20</v>
      </c>
      <c r="AB72">
        <v>13</v>
      </c>
      <c r="AC72">
        <v>7</v>
      </c>
      <c r="AD72">
        <v>65</v>
      </c>
      <c r="AE72">
        <v>13</v>
      </c>
      <c r="AF72">
        <v>7</v>
      </c>
      <c r="AG72">
        <v>5</v>
      </c>
      <c r="AH72">
        <v>8</v>
      </c>
    </row>
    <row r="73" spans="1:34">
      <c r="A73" s="102">
        <v>163</v>
      </c>
      <c r="B73">
        <v>7167</v>
      </c>
      <c r="C73" s="106" t="s">
        <v>100</v>
      </c>
      <c r="D73" s="106" t="s">
        <v>82</v>
      </c>
      <c r="E73">
        <v>284</v>
      </c>
      <c r="F73">
        <v>281</v>
      </c>
      <c r="G73">
        <v>3700</v>
      </c>
      <c r="H73" s="106" t="s">
        <v>61</v>
      </c>
      <c r="I73">
        <v>7189</v>
      </c>
      <c r="J73" s="106" t="s">
        <v>81</v>
      </c>
      <c r="K73" s="106" t="s">
        <v>82</v>
      </c>
      <c r="L73">
        <v>867</v>
      </c>
      <c r="M73">
        <v>868</v>
      </c>
      <c r="N73">
        <v>1200</v>
      </c>
      <c r="O73" s="106" t="s">
        <v>63</v>
      </c>
      <c r="P73">
        <v>0.91699828189145904</v>
      </c>
      <c r="Q73">
        <v>0.91046909985320601</v>
      </c>
      <c r="R73">
        <v>8.9700652522086505E-2</v>
      </c>
      <c r="S73">
        <v>0.1164092438277</v>
      </c>
      <c r="T73">
        <v>-1.3923540478024401</v>
      </c>
      <c r="U73">
        <v>1.3923540478024401</v>
      </c>
      <c r="V73">
        <v>-6.29</v>
      </c>
      <c r="W73">
        <v>0.18</v>
      </c>
      <c r="X73">
        <v>179261</v>
      </c>
      <c r="Y73">
        <v>9435</v>
      </c>
      <c r="Z73">
        <v>0.45</v>
      </c>
      <c r="AA73">
        <v>19</v>
      </c>
      <c r="AB73">
        <v>11</v>
      </c>
      <c r="AC73">
        <v>8</v>
      </c>
      <c r="AD73">
        <v>57.89</v>
      </c>
      <c r="AE73">
        <v>15</v>
      </c>
      <c r="AF73">
        <v>6</v>
      </c>
      <c r="AG73">
        <v>2</v>
      </c>
      <c r="AH73">
        <v>11</v>
      </c>
    </row>
    <row r="74" spans="1:34">
      <c r="A74" s="102">
        <v>23</v>
      </c>
      <c r="B74">
        <v>3635</v>
      </c>
      <c r="C74" s="106" t="s">
        <v>85</v>
      </c>
      <c r="D74" s="106" t="s">
        <v>79</v>
      </c>
      <c r="E74">
        <v>2779</v>
      </c>
      <c r="F74">
        <v>2820</v>
      </c>
      <c r="G74">
        <v>400</v>
      </c>
      <c r="H74" s="106" t="s">
        <v>63</v>
      </c>
      <c r="I74">
        <v>4519</v>
      </c>
      <c r="J74" s="106" t="s">
        <v>787</v>
      </c>
      <c r="K74" s="106" t="s">
        <v>135</v>
      </c>
      <c r="L74">
        <v>9976</v>
      </c>
      <c r="M74">
        <v>9972</v>
      </c>
      <c r="N74">
        <v>100</v>
      </c>
      <c r="O74" s="106" t="s">
        <v>61</v>
      </c>
      <c r="P74">
        <v>0.96751281787507404</v>
      </c>
      <c r="Q74">
        <v>0.95020338631082801</v>
      </c>
      <c r="R74" s="15">
        <v>8.6948723476690294E-5</v>
      </c>
      <c r="S74" s="15">
        <v>2.1889634968506402E-2</v>
      </c>
      <c r="T74">
        <v>0.35527323699246199</v>
      </c>
      <c r="U74">
        <v>0.35527323699246199</v>
      </c>
      <c r="V74">
        <v>1.1299999999999999</v>
      </c>
      <c r="W74">
        <v>13.12</v>
      </c>
      <c r="X74">
        <v>177510</v>
      </c>
      <c r="Y74">
        <v>12679</v>
      </c>
      <c r="Z74">
        <v>1.08</v>
      </c>
      <c r="AA74">
        <v>14</v>
      </c>
      <c r="AB74">
        <v>8</v>
      </c>
      <c r="AC74">
        <v>6</v>
      </c>
      <c r="AD74">
        <v>57.14</v>
      </c>
      <c r="AE74">
        <v>11</v>
      </c>
      <c r="AF74">
        <v>8</v>
      </c>
      <c r="AG74">
        <v>2</v>
      </c>
      <c r="AH74">
        <v>4</v>
      </c>
    </row>
    <row r="75" spans="1:34">
      <c r="A75" s="102">
        <v>7</v>
      </c>
      <c r="B75">
        <v>8425</v>
      </c>
      <c r="C75" s="106" t="s">
        <v>316</v>
      </c>
      <c r="D75" s="106" t="s">
        <v>297</v>
      </c>
      <c r="E75">
        <v>3465</v>
      </c>
      <c r="F75">
        <v>3450</v>
      </c>
      <c r="G75">
        <v>300</v>
      </c>
      <c r="H75" s="106" t="s">
        <v>63</v>
      </c>
      <c r="I75">
        <v>8593</v>
      </c>
      <c r="J75" s="106" t="s">
        <v>309</v>
      </c>
      <c r="K75" s="106" t="s">
        <v>297</v>
      </c>
      <c r="L75">
        <v>716</v>
      </c>
      <c r="M75">
        <v>721</v>
      </c>
      <c r="N75">
        <v>1400</v>
      </c>
      <c r="O75" s="106" t="s">
        <v>61</v>
      </c>
      <c r="P75">
        <v>0.90011712359655405</v>
      </c>
      <c r="Q75">
        <v>0.96258799576570597</v>
      </c>
      <c r="R75">
        <v>2.1904260234364099E-2</v>
      </c>
      <c r="S75" s="106">
        <v>1.3595222978294501E-3</v>
      </c>
      <c r="T75">
        <v>1.7003150145622401</v>
      </c>
      <c r="U75">
        <v>1.7003150145622401</v>
      </c>
      <c r="V75">
        <v>3.25</v>
      </c>
      <c r="W75">
        <v>2.4700000000000002</v>
      </c>
      <c r="X75">
        <v>175709</v>
      </c>
      <c r="Y75">
        <v>12551</v>
      </c>
      <c r="Z75">
        <v>0.59</v>
      </c>
      <c r="AA75">
        <v>14</v>
      </c>
      <c r="AB75">
        <v>9</v>
      </c>
      <c r="AC75">
        <v>5</v>
      </c>
      <c r="AD75">
        <v>64.290000000000006</v>
      </c>
      <c r="AE75">
        <v>13</v>
      </c>
      <c r="AF75">
        <v>6</v>
      </c>
      <c r="AG75">
        <v>3</v>
      </c>
      <c r="AH75">
        <v>5</v>
      </c>
    </row>
    <row r="76" spans="1:34">
      <c r="A76" s="102">
        <v>127</v>
      </c>
      <c r="B76">
        <v>3116</v>
      </c>
      <c r="C76" s="106" t="s">
        <v>124</v>
      </c>
      <c r="D76" s="106" t="s">
        <v>84</v>
      </c>
      <c r="E76">
        <v>1836</v>
      </c>
      <c r="F76">
        <v>1846</v>
      </c>
      <c r="G76">
        <v>300</v>
      </c>
      <c r="H76" s="106" t="s">
        <v>63</v>
      </c>
      <c r="I76">
        <v>6988</v>
      </c>
      <c r="J76" s="106" t="s">
        <v>138</v>
      </c>
      <c r="K76" s="106" t="s">
        <v>62</v>
      </c>
      <c r="L76">
        <v>6350</v>
      </c>
      <c r="M76">
        <v>6300</v>
      </c>
      <c r="N76">
        <v>100</v>
      </c>
      <c r="O76" s="106" t="s">
        <v>61</v>
      </c>
      <c r="P76">
        <v>0.90415357844493405</v>
      </c>
      <c r="Q76">
        <v>0.91824438584045698</v>
      </c>
      <c r="R76">
        <v>0.27478048237792102</v>
      </c>
      <c r="S76">
        <v>0.29810813355224602</v>
      </c>
      <c r="T76">
        <v>1.5869735387269199</v>
      </c>
      <c r="U76">
        <v>1.5869735387269199</v>
      </c>
      <c r="V76">
        <v>4.33</v>
      </c>
      <c r="W76">
        <v>12.1</v>
      </c>
      <c r="X76">
        <v>169140</v>
      </c>
      <c r="Y76">
        <v>15376</v>
      </c>
      <c r="Z76">
        <v>1.18</v>
      </c>
      <c r="AA76">
        <v>11</v>
      </c>
      <c r="AB76">
        <v>9</v>
      </c>
      <c r="AC76">
        <v>2</v>
      </c>
      <c r="AD76">
        <v>81.819999999999993</v>
      </c>
      <c r="AE76">
        <v>12</v>
      </c>
      <c r="AF76">
        <v>7</v>
      </c>
      <c r="AG76">
        <v>1</v>
      </c>
      <c r="AH76">
        <v>3</v>
      </c>
    </row>
    <row r="77" spans="1:34">
      <c r="A77" s="102">
        <v>43</v>
      </c>
      <c r="B77">
        <v>5901</v>
      </c>
      <c r="C77" s="106" t="s">
        <v>319</v>
      </c>
      <c r="D77" s="106" t="s">
        <v>116</v>
      </c>
      <c r="E77">
        <v>2007</v>
      </c>
      <c r="F77">
        <v>1950</v>
      </c>
      <c r="G77">
        <v>500</v>
      </c>
      <c r="H77" s="106" t="s">
        <v>63</v>
      </c>
      <c r="I77">
        <v>8377</v>
      </c>
      <c r="J77" s="106" t="s">
        <v>94</v>
      </c>
      <c r="K77" s="106" t="s">
        <v>82</v>
      </c>
      <c r="L77">
        <v>1150</v>
      </c>
      <c r="M77">
        <v>1140</v>
      </c>
      <c r="N77">
        <v>900</v>
      </c>
      <c r="O77" s="106" t="s">
        <v>61</v>
      </c>
      <c r="P77">
        <v>0.95048108299363099</v>
      </c>
      <c r="Q77">
        <v>0.94128693422607801</v>
      </c>
      <c r="R77">
        <v>3.4580378786308401E-4</v>
      </c>
      <c r="S77" s="15">
        <v>2.5229965920336699E-3</v>
      </c>
      <c r="T77">
        <v>0.89217445915132898</v>
      </c>
      <c r="U77">
        <v>0.89217445915132898</v>
      </c>
      <c r="V77">
        <v>2.58</v>
      </c>
      <c r="W77">
        <v>5.23</v>
      </c>
      <c r="X77">
        <v>160862</v>
      </c>
      <c r="Y77">
        <v>7312</v>
      </c>
      <c r="Z77">
        <v>0.31</v>
      </c>
      <c r="AA77">
        <v>22</v>
      </c>
      <c r="AB77">
        <v>14</v>
      </c>
      <c r="AC77">
        <v>8</v>
      </c>
      <c r="AD77">
        <v>63.64</v>
      </c>
      <c r="AE77">
        <v>14</v>
      </c>
      <c r="AF77">
        <v>9</v>
      </c>
      <c r="AG77">
        <v>6</v>
      </c>
      <c r="AH77">
        <v>7</v>
      </c>
    </row>
    <row r="78" spans="1:34">
      <c r="A78" s="102">
        <v>14</v>
      </c>
      <c r="B78">
        <v>2175</v>
      </c>
      <c r="C78" s="106" t="s">
        <v>324</v>
      </c>
      <c r="D78" s="106" t="s">
        <v>120</v>
      </c>
      <c r="E78">
        <v>3020</v>
      </c>
      <c r="F78">
        <v>2962</v>
      </c>
      <c r="G78">
        <v>400</v>
      </c>
      <c r="H78" s="106" t="s">
        <v>61</v>
      </c>
      <c r="I78">
        <v>9759</v>
      </c>
      <c r="J78" s="106" t="s">
        <v>847</v>
      </c>
      <c r="K78" s="106" t="s">
        <v>79</v>
      </c>
      <c r="L78">
        <v>3620</v>
      </c>
      <c r="M78">
        <v>3650</v>
      </c>
      <c r="N78">
        <v>300</v>
      </c>
      <c r="O78" s="106" t="s">
        <v>63</v>
      </c>
      <c r="P78">
        <v>0.90157570509083096</v>
      </c>
      <c r="Q78">
        <v>0.955808558243191</v>
      </c>
      <c r="R78">
        <v>0.20601747887375799</v>
      </c>
      <c r="S78" s="15">
        <v>3.9598770260608302E-3</v>
      </c>
      <c r="T78">
        <v>-0.85738921198884699</v>
      </c>
      <c r="U78">
        <v>0.85738921198884699</v>
      </c>
      <c r="V78">
        <v>-2.92</v>
      </c>
      <c r="W78">
        <v>8.1999999999999993</v>
      </c>
      <c r="X78">
        <v>158528</v>
      </c>
      <c r="Y78">
        <v>14412</v>
      </c>
      <c r="Z78">
        <v>0.81</v>
      </c>
      <c r="AA78">
        <v>11</v>
      </c>
      <c r="AB78">
        <v>7</v>
      </c>
      <c r="AC78">
        <v>4</v>
      </c>
      <c r="AD78">
        <v>63.64</v>
      </c>
      <c r="AE78">
        <v>11</v>
      </c>
      <c r="AF78">
        <v>6</v>
      </c>
      <c r="AG78">
        <v>3</v>
      </c>
      <c r="AH78">
        <v>2</v>
      </c>
    </row>
    <row r="79" spans="1:34">
      <c r="A79" s="102">
        <v>173</v>
      </c>
      <c r="B79">
        <v>1820</v>
      </c>
      <c r="C79" s="106" t="s">
        <v>121</v>
      </c>
      <c r="D79" s="106" t="s">
        <v>78</v>
      </c>
      <c r="E79">
        <v>2470</v>
      </c>
      <c r="F79">
        <v>2464</v>
      </c>
      <c r="G79">
        <v>300</v>
      </c>
      <c r="H79" s="106" t="s">
        <v>63</v>
      </c>
      <c r="I79">
        <v>9072</v>
      </c>
      <c r="J79" s="106" t="s">
        <v>125</v>
      </c>
      <c r="K79" s="106" t="s">
        <v>119</v>
      </c>
      <c r="L79">
        <v>2729</v>
      </c>
      <c r="M79">
        <v>2752</v>
      </c>
      <c r="N79">
        <v>300</v>
      </c>
      <c r="O79" s="106" t="s">
        <v>61</v>
      </c>
      <c r="P79">
        <v>0.95152802665496905</v>
      </c>
      <c r="Q79">
        <v>0.90864024411399902</v>
      </c>
      <c r="R79" s="106">
        <v>4.8482087375420098E-2</v>
      </c>
      <c r="S79">
        <v>4.1946672022573298E-3</v>
      </c>
      <c r="T79">
        <v>1.1080050588330499</v>
      </c>
      <c r="U79">
        <v>1.1080050588330499</v>
      </c>
      <c r="V79">
        <v>5.49</v>
      </c>
      <c r="W79">
        <v>10.47</v>
      </c>
      <c r="X79">
        <v>153180</v>
      </c>
      <c r="Y79">
        <v>11783</v>
      </c>
      <c r="Z79">
        <v>0.63</v>
      </c>
      <c r="AA79">
        <v>13</v>
      </c>
      <c r="AB79">
        <v>7</v>
      </c>
      <c r="AC79">
        <v>6</v>
      </c>
      <c r="AD79">
        <v>53.85</v>
      </c>
      <c r="AE79">
        <v>16</v>
      </c>
      <c r="AF79">
        <v>5</v>
      </c>
      <c r="AG79">
        <v>1</v>
      </c>
      <c r="AH79">
        <v>7</v>
      </c>
    </row>
    <row r="80" spans="1:34">
      <c r="A80" s="102">
        <v>190</v>
      </c>
      <c r="B80">
        <v>3101</v>
      </c>
      <c r="C80" s="106" t="s">
        <v>1046</v>
      </c>
      <c r="D80" s="106" t="s">
        <v>1047</v>
      </c>
      <c r="E80">
        <v>1626</v>
      </c>
      <c r="F80">
        <v>1626</v>
      </c>
      <c r="G80">
        <v>600</v>
      </c>
      <c r="H80" s="106" t="s">
        <v>61</v>
      </c>
      <c r="I80">
        <v>8410</v>
      </c>
      <c r="J80" s="106" t="s">
        <v>1048</v>
      </c>
      <c r="K80" s="106" t="s">
        <v>82</v>
      </c>
      <c r="L80">
        <v>362</v>
      </c>
      <c r="M80">
        <v>353</v>
      </c>
      <c r="N80">
        <v>2800</v>
      </c>
      <c r="O80" s="106" t="s">
        <v>63</v>
      </c>
      <c r="P80">
        <v>0.91113517977950198</v>
      </c>
      <c r="Q80">
        <v>0.90332977422527305</v>
      </c>
      <c r="R80">
        <v>0.138642171245832</v>
      </c>
      <c r="S80" s="15">
        <v>9.6577299779313803E-3</v>
      </c>
      <c r="T80">
        <v>-1.1515876991993399</v>
      </c>
      <c r="U80">
        <v>1.1515876991993399</v>
      </c>
      <c r="V80">
        <v>-3.36</v>
      </c>
      <c r="W80">
        <v>1.31</v>
      </c>
      <c r="X80">
        <v>152834</v>
      </c>
      <c r="Y80">
        <v>7642</v>
      </c>
      <c r="Z80">
        <v>0.4</v>
      </c>
      <c r="AA80">
        <v>20</v>
      </c>
      <c r="AB80">
        <v>13</v>
      </c>
      <c r="AC80">
        <v>7</v>
      </c>
      <c r="AD80">
        <v>65</v>
      </c>
      <c r="AE80">
        <v>13</v>
      </c>
      <c r="AF80">
        <v>9</v>
      </c>
      <c r="AG80">
        <v>4</v>
      </c>
      <c r="AH80">
        <v>7</v>
      </c>
    </row>
    <row r="81" spans="1:34">
      <c r="A81" s="102">
        <v>164</v>
      </c>
      <c r="B81">
        <v>6674</v>
      </c>
      <c r="C81" s="106" t="s">
        <v>327</v>
      </c>
      <c r="D81" s="106" t="s">
        <v>87</v>
      </c>
      <c r="E81">
        <v>2411</v>
      </c>
      <c r="F81">
        <v>2429</v>
      </c>
      <c r="G81">
        <v>400</v>
      </c>
      <c r="H81" s="106" t="s">
        <v>63</v>
      </c>
      <c r="I81">
        <v>6752</v>
      </c>
      <c r="J81" s="106" t="s">
        <v>105</v>
      </c>
      <c r="K81" s="106" t="s">
        <v>87</v>
      </c>
      <c r="L81">
        <v>1025</v>
      </c>
      <c r="M81">
        <v>1026.5</v>
      </c>
      <c r="N81">
        <v>900</v>
      </c>
      <c r="O81" s="106" t="s">
        <v>61</v>
      </c>
      <c r="P81">
        <v>0.95150992118835898</v>
      </c>
      <c r="Q81">
        <v>0.910394613553834</v>
      </c>
      <c r="R81" s="106">
        <v>1.28375829323981E-2</v>
      </c>
      <c r="S81" s="15">
        <v>0.24223377213043801</v>
      </c>
      <c r="T81">
        <v>2.4360273145167399</v>
      </c>
      <c r="U81">
        <v>2.4360273145167399</v>
      </c>
      <c r="V81">
        <v>8.19</v>
      </c>
      <c r="W81">
        <v>4.91</v>
      </c>
      <c r="X81">
        <v>150976</v>
      </c>
      <c r="Y81">
        <v>10065</v>
      </c>
      <c r="Z81">
        <v>0.62</v>
      </c>
      <c r="AA81">
        <v>15</v>
      </c>
      <c r="AB81">
        <v>9</v>
      </c>
      <c r="AC81">
        <v>6</v>
      </c>
      <c r="AD81">
        <v>60</v>
      </c>
      <c r="AE81">
        <v>13</v>
      </c>
      <c r="AF81">
        <v>5</v>
      </c>
      <c r="AG81">
        <v>2</v>
      </c>
      <c r="AH81">
        <v>8</v>
      </c>
    </row>
    <row r="82" spans="1:34">
      <c r="A82" s="102">
        <v>98</v>
      </c>
      <c r="B82">
        <v>2379</v>
      </c>
      <c r="C82" s="106" t="s">
        <v>848</v>
      </c>
      <c r="D82" s="106" t="s">
        <v>120</v>
      </c>
      <c r="E82">
        <v>3260</v>
      </c>
      <c r="F82">
        <v>3245</v>
      </c>
      <c r="G82">
        <v>300</v>
      </c>
      <c r="H82" s="106" t="s">
        <v>63</v>
      </c>
      <c r="I82">
        <v>8593</v>
      </c>
      <c r="J82" s="106" t="s">
        <v>309</v>
      </c>
      <c r="K82" s="106" t="s">
        <v>297</v>
      </c>
      <c r="L82">
        <v>716</v>
      </c>
      <c r="M82">
        <v>721</v>
      </c>
      <c r="N82">
        <v>1400</v>
      </c>
      <c r="O82" s="106" t="s">
        <v>61</v>
      </c>
      <c r="P82">
        <v>0.93495927405401402</v>
      </c>
      <c r="Q82">
        <v>0.92681125337026904</v>
      </c>
      <c r="R82">
        <v>5.9207408084697398E-2</v>
      </c>
      <c r="S82" s="15">
        <v>4.4243004480344003E-2</v>
      </c>
      <c r="T82" s="15">
        <v>0.95572900413693196</v>
      </c>
      <c r="U82" s="15">
        <v>0.95572900413693196</v>
      </c>
      <c r="V82">
        <v>4.55</v>
      </c>
      <c r="W82">
        <v>3.69</v>
      </c>
      <c r="X82">
        <v>147299</v>
      </c>
      <c r="Y82">
        <v>6137</v>
      </c>
      <c r="Z82">
        <v>0.4</v>
      </c>
      <c r="AA82">
        <v>24</v>
      </c>
      <c r="AB82">
        <v>14</v>
      </c>
      <c r="AC82">
        <v>10</v>
      </c>
      <c r="AD82">
        <v>58.33</v>
      </c>
      <c r="AE82">
        <v>9</v>
      </c>
      <c r="AF82">
        <v>13</v>
      </c>
      <c r="AG82">
        <v>9</v>
      </c>
      <c r="AH82">
        <v>2</v>
      </c>
    </row>
    <row r="83" spans="1:34">
      <c r="A83" s="102">
        <v>165</v>
      </c>
      <c r="B83">
        <v>5802</v>
      </c>
      <c r="C83" s="106" t="s">
        <v>130</v>
      </c>
      <c r="D83" s="106" t="s">
        <v>131</v>
      </c>
      <c r="E83">
        <v>1667.5</v>
      </c>
      <c r="F83">
        <v>1680.5</v>
      </c>
      <c r="G83">
        <v>400</v>
      </c>
      <c r="H83" s="106" t="s">
        <v>63</v>
      </c>
      <c r="I83">
        <v>9062</v>
      </c>
      <c r="J83" s="106" t="s">
        <v>789</v>
      </c>
      <c r="K83" s="106" t="s">
        <v>119</v>
      </c>
      <c r="L83">
        <v>6540</v>
      </c>
      <c r="M83">
        <v>6460</v>
      </c>
      <c r="N83">
        <v>100</v>
      </c>
      <c r="O83" s="106" t="s">
        <v>61</v>
      </c>
      <c r="P83">
        <v>0.91108689499755602</v>
      </c>
      <c r="Q83">
        <v>0.91007429330794298</v>
      </c>
      <c r="R83" s="15">
        <v>0.13357625490419101</v>
      </c>
      <c r="S83">
        <v>1.5536770860133701E-3</v>
      </c>
      <c r="T83">
        <v>2.1459714669810501</v>
      </c>
      <c r="U83">
        <v>2.1459714669810501</v>
      </c>
      <c r="V83">
        <v>7.22</v>
      </c>
      <c r="W83">
        <v>4.0599999999999996</v>
      </c>
      <c r="X83">
        <v>146996</v>
      </c>
      <c r="Y83">
        <v>10500</v>
      </c>
      <c r="Z83">
        <v>0.62</v>
      </c>
      <c r="AA83">
        <v>14</v>
      </c>
      <c r="AB83">
        <v>8</v>
      </c>
      <c r="AC83">
        <v>6</v>
      </c>
      <c r="AD83">
        <v>57.14</v>
      </c>
      <c r="AE83">
        <v>13</v>
      </c>
      <c r="AF83">
        <v>5</v>
      </c>
      <c r="AG83">
        <v>3</v>
      </c>
      <c r="AH83">
        <v>6</v>
      </c>
    </row>
    <row r="84" spans="1:34">
      <c r="A84" s="102">
        <v>148</v>
      </c>
      <c r="B84">
        <v>1973</v>
      </c>
      <c r="C84" s="106" t="s">
        <v>308</v>
      </c>
      <c r="D84" s="106" t="s">
        <v>79</v>
      </c>
      <c r="E84">
        <v>3570</v>
      </c>
      <c r="F84">
        <v>3570</v>
      </c>
      <c r="G84">
        <v>300</v>
      </c>
      <c r="H84" s="106" t="s">
        <v>61</v>
      </c>
      <c r="I84">
        <v>6807</v>
      </c>
      <c r="J84" s="106" t="s">
        <v>332</v>
      </c>
      <c r="K84" s="106" t="s">
        <v>87</v>
      </c>
      <c r="L84">
        <v>2266</v>
      </c>
      <c r="M84">
        <v>2253</v>
      </c>
      <c r="N84">
        <v>500</v>
      </c>
      <c r="O84" s="106" t="s">
        <v>63</v>
      </c>
      <c r="P84">
        <v>0.97088204014463098</v>
      </c>
      <c r="Q84">
        <v>0.91431923707815099</v>
      </c>
      <c r="R84">
        <v>2.6098929709520501E-2</v>
      </c>
      <c r="S84" s="106">
        <v>0.108883715721952</v>
      </c>
      <c r="T84">
        <v>-1.16441540827783</v>
      </c>
      <c r="U84">
        <v>1.16441540827783</v>
      </c>
      <c r="V84">
        <v>-9.9600000000000009</v>
      </c>
      <c r="W84">
        <v>5.18</v>
      </c>
      <c r="X84">
        <v>145871</v>
      </c>
      <c r="Y84">
        <v>7294</v>
      </c>
      <c r="Z84">
        <v>0.31</v>
      </c>
      <c r="AA84">
        <v>20</v>
      </c>
      <c r="AB84">
        <v>13</v>
      </c>
      <c r="AC84">
        <v>7</v>
      </c>
      <c r="AD84">
        <v>65</v>
      </c>
      <c r="AE84">
        <v>12</v>
      </c>
      <c r="AF84">
        <v>8</v>
      </c>
      <c r="AG84">
        <v>6</v>
      </c>
      <c r="AH84">
        <v>6</v>
      </c>
    </row>
    <row r="85" spans="1:34">
      <c r="A85" s="102">
        <v>25</v>
      </c>
      <c r="B85">
        <v>4182</v>
      </c>
      <c r="C85" s="106" t="s">
        <v>88</v>
      </c>
      <c r="D85" s="106" t="s">
        <v>62</v>
      </c>
      <c r="E85">
        <v>1698</v>
      </c>
      <c r="F85">
        <v>1693</v>
      </c>
      <c r="G85">
        <v>600</v>
      </c>
      <c r="H85" s="106" t="s">
        <v>63</v>
      </c>
      <c r="I85">
        <v>6752</v>
      </c>
      <c r="J85" s="106" t="s">
        <v>105</v>
      </c>
      <c r="K85" s="106" t="s">
        <v>87</v>
      </c>
      <c r="L85">
        <v>1025</v>
      </c>
      <c r="M85">
        <v>1026.5</v>
      </c>
      <c r="N85">
        <v>1000</v>
      </c>
      <c r="O85" s="106" t="s">
        <v>61</v>
      </c>
      <c r="P85">
        <v>0.95191940723396995</v>
      </c>
      <c r="Q85">
        <v>0.94844160223090301</v>
      </c>
      <c r="R85">
        <v>2.64782596017742E-2</v>
      </c>
      <c r="S85" s="15">
        <v>1.93655393550386E-2</v>
      </c>
      <c r="T85">
        <v>0.413380665824916</v>
      </c>
      <c r="U85">
        <v>0.413380665824916</v>
      </c>
      <c r="V85">
        <v>1.1299999999999999</v>
      </c>
      <c r="W85">
        <v>1.05</v>
      </c>
      <c r="X85">
        <v>145761</v>
      </c>
      <c r="Y85">
        <v>8098</v>
      </c>
      <c r="Z85">
        <v>0.37</v>
      </c>
      <c r="AA85">
        <v>18</v>
      </c>
      <c r="AB85">
        <v>12</v>
      </c>
      <c r="AC85">
        <v>6</v>
      </c>
      <c r="AD85">
        <v>66.67</v>
      </c>
      <c r="AE85">
        <v>13</v>
      </c>
      <c r="AF85">
        <v>7</v>
      </c>
      <c r="AG85">
        <v>4</v>
      </c>
      <c r="AH85">
        <v>7</v>
      </c>
    </row>
    <row r="86" spans="1:34">
      <c r="A86" s="102">
        <v>142</v>
      </c>
      <c r="B86">
        <v>1973</v>
      </c>
      <c r="C86" s="106" t="s">
        <v>308</v>
      </c>
      <c r="D86" s="106" t="s">
        <v>79</v>
      </c>
      <c r="E86">
        <v>3570</v>
      </c>
      <c r="F86">
        <v>3570</v>
      </c>
      <c r="G86">
        <v>300</v>
      </c>
      <c r="H86" s="106" t="s">
        <v>63</v>
      </c>
      <c r="I86">
        <v>6702</v>
      </c>
      <c r="J86" s="106" t="s">
        <v>329</v>
      </c>
      <c r="K86" s="106" t="s">
        <v>87</v>
      </c>
      <c r="L86">
        <v>10320</v>
      </c>
      <c r="M86">
        <v>10265</v>
      </c>
      <c r="N86">
        <v>100</v>
      </c>
      <c r="O86" s="106" t="s">
        <v>61</v>
      </c>
      <c r="P86">
        <v>0.95574516617646199</v>
      </c>
      <c r="Q86">
        <v>0.91476976649953701</v>
      </c>
      <c r="R86">
        <v>7.2379548312137401E-2</v>
      </c>
      <c r="S86" s="15">
        <v>9.6279640801077301E-2</v>
      </c>
      <c r="T86">
        <v>0.122107954730006</v>
      </c>
      <c r="U86">
        <v>0.122107954730006</v>
      </c>
      <c r="V86">
        <v>0.3</v>
      </c>
      <c r="W86">
        <v>4.34</v>
      </c>
      <c r="X86">
        <v>145482</v>
      </c>
      <c r="Y86">
        <v>10392</v>
      </c>
      <c r="Z86">
        <v>0.72</v>
      </c>
      <c r="AA86">
        <v>14</v>
      </c>
      <c r="AB86">
        <v>9</v>
      </c>
      <c r="AC86">
        <v>5</v>
      </c>
      <c r="AD86">
        <v>64.290000000000006</v>
      </c>
      <c r="AE86">
        <v>14</v>
      </c>
      <c r="AF86">
        <v>5</v>
      </c>
      <c r="AG86">
        <v>1</v>
      </c>
      <c r="AH86">
        <v>8</v>
      </c>
    </row>
    <row r="87" spans="1:34">
      <c r="A87" s="102">
        <v>177</v>
      </c>
      <c r="B87">
        <v>1963</v>
      </c>
      <c r="C87" s="106" t="s">
        <v>129</v>
      </c>
      <c r="D87" s="106" t="s">
        <v>78</v>
      </c>
      <c r="E87">
        <v>1782</v>
      </c>
      <c r="F87">
        <v>1780</v>
      </c>
      <c r="G87">
        <v>600</v>
      </c>
      <c r="H87" s="106" t="s">
        <v>63</v>
      </c>
      <c r="I87">
        <v>8002</v>
      </c>
      <c r="J87" s="106" t="s">
        <v>31</v>
      </c>
      <c r="K87" s="106" t="s">
        <v>101</v>
      </c>
      <c r="L87">
        <v>821</v>
      </c>
      <c r="M87">
        <v>819</v>
      </c>
      <c r="N87">
        <v>1300</v>
      </c>
      <c r="O87" s="106" t="s">
        <v>61</v>
      </c>
      <c r="P87">
        <v>0.91201040527905197</v>
      </c>
      <c r="Q87">
        <v>0.90817729264953295</v>
      </c>
      <c r="R87">
        <v>0.22288798427338399</v>
      </c>
      <c r="S87">
        <v>1.59671216939266E-3</v>
      </c>
      <c r="T87">
        <v>1.9585825268661601</v>
      </c>
      <c r="U87">
        <v>1.9585825268661601</v>
      </c>
      <c r="V87">
        <v>7.79</v>
      </c>
      <c r="W87">
        <v>0.31</v>
      </c>
      <c r="X87">
        <v>144680</v>
      </c>
      <c r="Y87">
        <v>6576</v>
      </c>
      <c r="Z87">
        <v>0.32</v>
      </c>
      <c r="AA87">
        <v>22</v>
      </c>
      <c r="AB87">
        <v>14</v>
      </c>
      <c r="AC87">
        <v>8</v>
      </c>
      <c r="AD87">
        <v>63.64</v>
      </c>
      <c r="AE87">
        <v>13</v>
      </c>
      <c r="AF87">
        <v>8</v>
      </c>
      <c r="AG87">
        <v>6</v>
      </c>
      <c r="AH87">
        <v>8</v>
      </c>
    </row>
    <row r="88" spans="1:34">
      <c r="A88" s="102">
        <v>93</v>
      </c>
      <c r="B88">
        <v>6770</v>
      </c>
      <c r="C88" s="106" t="s">
        <v>26</v>
      </c>
      <c r="D88" s="106" t="s">
        <v>87</v>
      </c>
      <c r="E88">
        <v>2550</v>
      </c>
      <c r="F88">
        <v>2531</v>
      </c>
      <c r="G88">
        <v>400</v>
      </c>
      <c r="H88" s="106" t="s">
        <v>61</v>
      </c>
      <c r="I88">
        <v>6995</v>
      </c>
      <c r="J88" s="106" t="s">
        <v>91</v>
      </c>
      <c r="K88" s="106" t="s">
        <v>84</v>
      </c>
      <c r="L88">
        <v>2237</v>
      </c>
      <c r="M88">
        <v>2255</v>
      </c>
      <c r="N88">
        <v>400</v>
      </c>
      <c r="O88" s="106" t="s">
        <v>63</v>
      </c>
      <c r="P88">
        <v>0.95950531093089297</v>
      </c>
      <c r="Q88">
        <v>0.92821166428771495</v>
      </c>
      <c r="R88">
        <v>0.39697600534276201</v>
      </c>
      <c r="S88" s="106">
        <v>0.12692316145659599</v>
      </c>
      <c r="T88">
        <v>-6.7922482613963095E-2</v>
      </c>
      <c r="U88">
        <v>6.7922482613963095E-2</v>
      </c>
      <c r="V88">
        <v>-0.19</v>
      </c>
      <c r="W88">
        <v>10.9</v>
      </c>
      <c r="X88">
        <v>142307</v>
      </c>
      <c r="Y88">
        <v>7906</v>
      </c>
      <c r="Z88">
        <v>0.35</v>
      </c>
      <c r="AA88">
        <v>18</v>
      </c>
      <c r="AB88">
        <v>10</v>
      </c>
      <c r="AC88">
        <v>8</v>
      </c>
      <c r="AD88">
        <v>55.56</v>
      </c>
      <c r="AE88">
        <v>12</v>
      </c>
      <c r="AF88">
        <v>7</v>
      </c>
      <c r="AG88">
        <v>4</v>
      </c>
      <c r="AH88">
        <v>7</v>
      </c>
    </row>
    <row r="89" spans="1:34">
      <c r="A89" s="102">
        <v>182</v>
      </c>
      <c r="B89">
        <v>5802</v>
      </c>
      <c r="C89" s="106" t="s">
        <v>130</v>
      </c>
      <c r="D89" s="106" t="s">
        <v>131</v>
      </c>
      <c r="E89">
        <v>1667.5</v>
      </c>
      <c r="F89">
        <v>1680.5</v>
      </c>
      <c r="G89">
        <v>500</v>
      </c>
      <c r="H89" s="106" t="s">
        <v>63</v>
      </c>
      <c r="I89">
        <v>9072</v>
      </c>
      <c r="J89" s="106" t="s">
        <v>125</v>
      </c>
      <c r="K89" s="106" t="s">
        <v>119</v>
      </c>
      <c r="L89">
        <v>2729</v>
      </c>
      <c r="M89">
        <v>2752</v>
      </c>
      <c r="N89">
        <v>300</v>
      </c>
      <c r="O89" s="106" t="s">
        <v>61</v>
      </c>
      <c r="P89">
        <v>0.92199282982284203</v>
      </c>
      <c r="Q89">
        <v>0.90605926223238897</v>
      </c>
      <c r="R89" s="15">
        <v>0.17005796493508901</v>
      </c>
      <c r="S89">
        <v>1.26112820705464E-3</v>
      </c>
      <c r="T89">
        <v>1.7364676391403</v>
      </c>
      <c r="U89">
        <v>1.7364676391403</v>
      </c>
      <c r="V89">
        <v>6.85</v>
      </c>
      <c r="W89">
        <v>1.77</v>
      </c>
      <c r="X89">
        <v>137504</v>
      </c>
      <c r="Y89">
        <v>6548</v>
      </c>
      <c r="Z89">
        <v>0.31</v>
      </c>
      <c r="AA89">
        <v>21</v>
      </c>
      <c r="AB89">
        <v>13</v>
      </c>
      <c r="AC89">
        <v>8</v>
      </c>
      <c r="AD89">
        <v>61.9</v>
      </c>
      <c r="AE89">
        <v>15</v>
      </c>
      <c r="AF89">
        <v>6</v>
      </c>
      <c r="AG89">
        <v>2</v>
      </c>
      <c r="AH89">
        <v>13</v>
      </c>
    </row>
    <row r="90" spans="1:34">
      <c r="A90" s="102">
        <v>50</v>
      </c>
      <c r="B90">
        <v>6952</v>
      </c>
      <c r="C90" s="106" t="s">
        <v>790</v>
      </c>
      <c r="D90" s="106" t="s">
        <v>87</v>
      </c>
      <c r="E90">
        <v>2158</v>
      </c>
      <c r="F90">
        <v>2199</v>
      </c>
      <c r="G90">
        <v>500</v>
      </c>
      <c r="H90" s="106" t="s">
        <v>63</v>
      </c>
      <c r="I90">
        <v>8604</v>
      </c>
      <c r="J90" s="106" t="s">
        <v>791</v>
      </c>
      <c r="K90" s="106" t="s">
        <v>792</v>
      </c>
      <c r="L90">
        <v>574.1</v>
      </c>
      <c r="M90">
        <v>562</v>
      </c>
      <c r="N90">
        <v>2000</v>
      </c>
      <c r="O90" s="106" t="s">
        <v>61</v>
      </c>
      <c r="P90">
        <v>0.96636532122810603</v>
      </c>
      <c r="Q90">
        <v>0.93872682787899198</v>
      </c>
      <c r="R90">
        <v>5.63289365455443E-2</v>
      </c>
      <c r="S90" s="15">
        <v>8.2911026912380295E-2</v>
      </c>
      <c r="T90">
        <v>1.89942542231358</v>
      </c>
      <c r="U90">
        <v>1.89942542231358</v>
      </c>
      <c r="V90">
        <v>7.64</v>
      </c>
      <c r="W90">
        <v>2.23</v>
      </c>
      <c r="X90">
        <v>134282</v>
      </c>
      <c r="Y90">
        <v>7899</v>
      </c>
      <c r="Z90">
        <v>0.39</v>
      </c>
      <c r="AA90">
        <v>17</v>
      </c>
      <c r="AB90">
        <v>10</v>
      </c>
      <c r="AC90">
        <v>7</v>
      </c>
      <c r="AD90">
        <v>58.82</v>
      </c>
      <c r="AE90">
        <v>13</v>
      </c>
      <c r="AF90">
        <v>4</v>
      </c>
      <c r="AG90">
        <v>3</v>
      </c>
      <c r="AH90">
        <v>10</v>
      </c>
    </row>
    <row r="91" spans="1:34">
      <c r="A91" s="102">
        <v>33</v>
      </c>
      <c r="B91">
        <v>3116</v>
      </c>
      <c r="C91" s="106" t="s">
        <v>124</v>
      </c>
      <c r="D91" s="106" t="s">
        <v>84</v>
      </c>
      <c r="E91">
        <v>1836</v>
      </c>
      <c r="F91">
        <v>1846</v>
      </c>
      <c r="G91">
        <v>500</v>
      </c>
      <c r="H91" s="106" t="s">
        <v>61</v>
      </c>
      <c r="I91">
        <v>5991</v>
      </c>
      <c r="J91" s="106" t="s">
        <v>115</v>
      </c>
      <c r="K91" s="106" t="s">
        <v>116</v>
      </c>
      <c r="L91">
        <v>1030</v>
      </c>
      <c r="M91">
        <v>1029</v>
      </c>
      <c r="N91">
        <v>900</v>
      </c>
      <c r="O91" s="106" t="s">
        <v>63</v>
      </c>
      <c r="P91">
        <v>0.97652706941074197</v>
      </c>
      <c r="Q91">
        <v>0.94575091701452596</v>
      </c>
      <c r="R91" s="15">
        <v>3.1367523244333201E-3</v>
      </c>
      <c r="S91">
        <v>9.3946445431569006E-2</v>
      </c>
      <c r="T91">
        <v>-0.130044707464404</v>
      </c>
      <c r="U91">
        <v>0.130044707464404</v>
      </c>
      <c r="V91">
        <v>-0.28999999999999998</v>
      </c>
      <c r="W91">
        <v>0.34</v>
      </c>
      <c r="X91">
        <v>130988</v>
      </c>
      <c r="Y91">
        <v>8187</v>
      </c>
      <c r="Z91">
        <v>0.46</v>
      </c>
      <c r="AA91">
        <v>16</v>
      </c>
      <c r="AB91">
        <v>10</v>
      </c>
      <c r="AC91">
        <v>6</v>
      </c>
      <c r="AD91">
        <v>62.5</v>
      </c>
      <c r="AE91">
        <v>10</v>
      </c>
      <c r="AF91">
        <v>7</v>
      </c>
      <c r="AG91">
        <v>4</v>
      </c>
      <c r="AH91">
        <v>5</v>
      </c>
    </row>
    <row r="92" spans="1:34">
      <c r="A92" s="102">
        <v>171</v>
      </c>
      <c r="B92">
        <v>6995</v>
      </c>
      <c r="C92" s="106" t="s">
        <v>91</v>
      </c>
      <c r="D92" s="106" t="s">
        <v>84</v>
      </c>
      <c r="E92">
        <v>2237</v>
      </c>
      <c r="F92">
        <v>2255</v>
      </c>
      <c r="G92">
        <v>500</v>
      </c>
      <c r="H92" s="106" t="s">
        <v>61</v>
      </c>
      <c r="I92">
        <v>7251</v>
      </c>
      <c r="J92" s="106" t="s">
        <v>793</v>
      </c>
      <c r="K92" s="106" t="s">
        <v>84</v>
      </c>
      <c r="L92">
        <v>2563</v>
      </c>
      <c r="M92">
        <v>2562</v>
      </c>
      <c r="N92">
        <v>400</v>
      </c>
      <c r="O92" s="106" t="s">
        <v>63</v>
      </c>
      <c r="P92">
        <v>0.93778090063337904</v>
      </c>
      <c r="Q92">
        <v>0.90888518312539401</v>
      </c>
      <c r="R92">
        <v>0.129120110492386</v>
      </c>
      <c r="S92">
        <v>9.5050424068788497E-2</v>
      </c>
      <c r="T92">
        <v>-0.72565535601858699</v>
      </c>
      <c r="U92">
        <v>0.72565535601858699</v>
      </c>
      <c r="V92">
        <v>-12.34</v>
      </c>
      <c r="W92">
        <v>10.02</v>
      </c>
      <c r="X92">
        <v>130235</v>
      </c>
      <c r="Y92">
        <v>5920</v>
      </c>
      <c r="Z92">
        <v>0.36</v>
      </c>
      <c r="AA92">
        <v>22</v>
      </c>
      <c r="AB92">
        <v>13</v>
      </c>
      <c r="AC92">
        <v>9</v>
      </c>
      <c r="AD92">
        <v>59.09</v>
      </c>
      <c r="AE92">
        <v>13</v>
      </c>
      <c r="AF92">
        <v>8</v>
      </c>
      <c r="AG92">
        <v>5</v>
      </c>
      <c r="AH92">
        <v>9</v>
      </c>
    </row>
    <row r="93" spans="1:34">
      <c r="A93" s="102">
        <v>138</v>
      </c>
      <c r="B93">
        <v>3116</v>
      </c>
      <c r="C93" s="106" t="s">
        <v>124</v>
      </c>
      <c r="D93" s="106" t="s">
        <v>84</v>
      </c>
      <c r="E93">
        <v>1836</v>
      </c>
      <c r="F93">
        <v>1846</v>
      </c>
      <c r="G93">
        <v>400</v>
      </c>
      <c r="H93" s="106" t="s">
        <v>63</v>
      </c>
      <c r="I93">
        <v>6371</v>
      </c>
      <c r="J93" s="106" t="s">
        <v>108</v>
      </c>
      <c r="K93" s="106" t="s">
        <v>99</v>
      </c>
      <c r="L93">
        <v>3895</v>
      </c>
      <c r="M93">
        <v>3925</v>
      </c>
      <c r="N93">
        <v>200</v>
      </c>
      <c r="O93" s="106" t="s">
        <v>61</v>
      </c>
      <c r="P93">
        <v>0.92707263765270997</v>
      </c>
      <c r="Q93">
        <v>0.915530585729466</v>
      </c>
      <c r="R93" s="106">
        <v>0.10862196791626801</v>
      </c>
      <c r="S93">
        <v>1.6954155787953899E-2</v>
      </c>
      <c r="T93">
        <v>2.3651675457079002</v>
      </c>
      <c r="U93">
        <v>2.3651675457079002</v>
      </c>
      <c r="V93">
        <v>5.88</v>
      </c>
      <c r="W93">
        <v>5.94</v>
      </c>
      <c r="X93">
        <v>127732</v>
      </c>
      <c r="Y93">
        <v>7983</v>
      </c>
      <c r="Z93">
        <v>0.44</v>
      </c>
      <c r="AA93">
        <v>16</v>
      </c>
      <c r="AB93">
        <v>9</v>
      </c>
      <c r="AC93">
        <v>7</v>
      </c>
      <c r="AD93">
        <v>56.25</v>
      </c>
      <c r="AE93">
        <v>12</v>
      </c>
      <c r="AF93">
        <v>6</v>
      </c>
      <c r="AG93">
        <v>3</v>
      </c>
      <c r="AH93">
        <v>7</v>
      </c>
    </row>
    <row r="94" spans="1:34">
      <c r="A94" s="102">
        <v>167</v>
      </c>
      <c r="B94">
        <v>4208</v>
      </c>
      <c r="C94" s="106" t="s">
        <v>98</v>
      </c>
      <c r="D94" s="106" t="s">
        <v>62</v>
      </c>
      <c r="E94">
        <v>2440</v>
      </c>
      <c r="F94">
        <v>2443</v>
      </c>
      <c r="G94">
        <v>300</v>
      </c>
      <c r="H94" s="106" t="s">
        <v>63</v>
      </c>
      <c r="I94">
        <v>9072</v>
      </c>
      <c r="J94" s="106" t="s">
        <v>125</v>
      </c>
      <c r="K94" s="106" t="s">
        <v>119</v>
      </c>
      <c r="L94">
        <v>2729</v>
      </c>
      <c r="M94">
        <v>2752</v>
      </c>
      <c r="N94">
        <v>300</v>
      </c>
      <c r="O94" s="106" t="s">
        <v>61</v>
      </c>
      <c r="P94">
        <v>0.91512623685601202</v>
      </c>
      <c r="Q94">
        <v>0.90983257124941097</v>
      </c>
      <c r="R94" s="15">
        <v>1.9306773475067499E-2</v>
      </c>
      <c r="S94" s="15">
        <v>2.2318390557796799E-2</v>
      </c>
      <c r="T94">
        <v>0.84545391544923298</v>
      </c>
      <c r="U94">
        <v>0.84545391544923298</v>
      </c>
      <c r="V94">
        <v>1.35</v>
      </c>
      <c r="W94">
        <v>11.23</v>
      </c>
      <c r="X94">
        <v>126426</v>
      </c>
      <c r="Y94">
        <v>11493</v>
      </c>
      <c r="Z94">
        <v>0.65</v>
      </c>
      <c r="AA94">
        <v>11</v>
      </c>
      <c r="AB94">
        <v>7</v>
      </c>
      <c r="AC94">
        <v>4</v>
      </c>
      <c r="AD94">
        <v>63.64</v>
      </c>
      <c r="AE94">
        <v>14</v>
      </c>
      <c r="AF94">
        <v>5</v>
      </c>
      <c r="AG94">
        <v>1</v>
      </c>
      <c r="AH94">
        <v>5</v>
      </c>
    </row>
    <row r="95" spans="1:34">
      <c r="A95" s="102">
        <v>71</v>
      </c>
      <c r="B95">
        <v>3861</v>
      </c>
      <c r="C95" s="106" t="s">
        <v>65</v>
      </c>
      <c r="D95" s="106" t="s">
        <v>80</v>
      </c>
      <c r="E95">
        <v>630</v>
      </c>
      <c r="F95">
        <v>609</v>
      </c>
      <c r="G95">
        <v>1800</v>
      </c>
      <c r="H95" s="106" t="s">
        <v>61</v>
      </c>
      <c r="I95">
        <v>5703</v>
      </c>
      <c r="J95" s="106" t="s">
        <v>303</v>
      </c>
      <c r="K95" s="106" t="s">
        <v>131</v>
      </c>
      <c r="L95">
        <v>234</v>
      </c>
      <c r="M95">
        <v>234</v>
      </c>
      <c r="N95">
        <v>4700</v>
      </c>
      <c r="O95" s="106" t="s">
        <v>63</v>
      </c>
      <c r="P95">
        <v>0.96759459743947196</v>
      </c>
      <c r="Q95">
        <v>0.93332707401345305</v>
      </c>
      <c r="R95">
        <v>1.3614120130437699E-2</v>
      </c>
      <c r="S95" s="15">
        <v>0.12134771070641499</v>
      </c>
      <c r="T95">
        <v>-1.0850541877018101</v>
      </c>
      <c r="U95">
        <v>1.0850541877018101</v>
      </c>
      <c r="V95">
        <v>-2.57</v>
      </c>
      <c r="W95">
        <v>0.33</v>
      </c>
      <c r="X95">
        <v>126217</v>
      </c>
      <c r="Y95">
        <v>5488</v>
      </c>
      <c r="Z95">
        <v>0.27</v>
      </c>
      <c r="AA95">
        <v>23</v>
      </c>
      <c r="AB95">
        <v>13</v>
      </c>
      <c r="AC95">
        <v>10</v>
      </c>
      <c r="AD95">
        <v>56.52</v>
      </c>
      <c r="AE95">
        <v>11</v>
      </c>
      <c r="AF95">
        <v>10</v>
      </c>
      <c r="AG95">
        <v>6</v>
      </c>
      <c r="AH95">
        <v>7</v>
      </c>
    </row>
    <row r="96" spans="1:34">
      <c r="A96" s="102">
        <v>108</v>
      </c>
      <c r="B96">
        <v>5471</v>
      </c>
      <c r="C96" s="106" t="s">
        <v>301</v>
      </c>
      <c r="D96" s="106" t="s">
        <v>92</v>
      </c>
      <c r="E96">
        <v>4955</v>
      </c>
      <c r="F96">
        <v>4905</v>
      </c>
      <c r="G96">
        <v>100</v>
      </c>
      <c r="H96" s="106" t="s">
        <v>61</v>
      </c>
      <c r="I96">
        <v>6988</v>
      </c>
      <c r="J96" s="106" t="s">
        <v>138</v>
      </c>
      <c r="K96" s="106" t="s">
        <v>62</v>
      </c>
      <c r="L96">
        <v>6350</v>
      </c>
      <c r="M96">
        <v>6300</v>
      </c>
      <c r="N96">
        <v>100</v>
      </c>
      <c r="O96" s="106" t="s">
        <v>63</v>
      </c>
      <c r="P96">
        <v>0.94100422278908202</v>
      </c>
      <c r="Q96">
        <v>0.92212231504542397</v>
      </c>
      <c r="R96">
        <v>3.4990920723530397E-2</v>
      </c>
      <c r="S96">
        <v>0.30306173490468702</v>
      </c>
      <c r="T96">
        <v>-1.6178640289431601</v>
      </c>
      <c r="U96">
        <v>1.6178640289431601</v>
      </c>
      <c r="V96">
        <v>-3.99</v>
      </c>
      <c r="W96">
        <v>22.14</v>
      </c>
      <c r="X96">
        <v>114186</v>
      </c>
      <c r="Y96">
        <v>114186</v>
      </c>
      <c r="Z96">
        <v>5.01</v>
      </c>
      <c r="AA96">
        <v>1</v>
      </c>
      <c r="AB96">
        <v>1</v>
      </c>
      <c r="AC96">
        <v>0</v>
      </c>
      <c r="AD96">
        <v>100</v>
      </c>
      <c r="AE96">
        <v>2</v>
      </c>
      <c r="AF96">
        <v>1</v>
      </c>
      <c r="AG96">
        <v>0</v>
      </c>
      <c r="AH96">
        <v>0</v>
      </c>
    </row>
    <row r="97" spans="1:34">
      <c r="A97" s="102">
        <v>113</v>
      </c>
      <c r="B97">
        <v>1820</v>
      </c>
      <c r="C97" s="106" t="s">
        <v>121</v>
      </c>
      <c r="D97" s="106" t="s">
        <v>78</v>
      </c>
      <c r="E97">
        <v>2470</v>
      </c>
      <c r="F97">
        <v>2464</v>
      </c>
      <c r="G97">
        <v>400</v>
      </c>
      <c r="H97" s="106" t="s">
        <v>61</v>
      </c>
      <c r="I97">
        <v>5991</v>
      </c>
      <c r="J97" s="106" t="s">
        <v>115</v>
      </c>
      <c r="K97" s="106" t="s">
        <v>116</v>
      </c>
      <c r="L97">
        <v>1030</v>
      </c>
      <c r="M97">
        <v>1029</v>
      </c>
      <c r="N97">
        <v>1000</v>
      </c>
      <c r="O97" s="106" t="s">
        <v>63</v>
      </c>
      <c r="P97">
        <v>0.97614709212343698</v>
      </c>
      <c r="Q97">
        <v>0.92140559629603103</v>
      </c>
      <c r="R97">
        <v>0.286469262393244</v>
      </c>
      <c r="S97" s="15">
        <v>1.09878592192385E-2</v>
      </c>
      <c r="T97">
        <v>-1.1471847490234901</v>
      </c>
      <c r="U97">
        <v>1.1471847490234901</v>
      </c>
      <c r="V97">
        <v>-2.66</v>
      </c>
      <c r="W97">
        <v>4.4000000000000004</v>
      </c>
      <c r="X97">
        <v>113865</v>
      </c>
      <c r="Y97">
        <v>6698</v>
      </c>
      <c r="Z97">
        <v>0.34</v>
      </c>
      <c r="AA97">
        <v>17</v>
      </c>
      <c r="AB97">
        <v>10</v>
      </c>
      <c r="AC97">
        <v>7</v>
      </c>
      <c r="AD97">
        <v>58.82</v>
      </c>
      <c r="AE97">
        <v>12</v>
      </c>
      <c r="AF97">
        <v>6</v>
      </c>
      <c r="AG97">
        <v>3</v>
      </c>
      <c r="AH97">
        <v>8</v>
      </c>
    </row>
    <row r="98" spans="1:34">
      <c r="A98" s="102">
        <v>152</v>
      </c>
      <c r="B98">
        <v>6755</v>
      </c>
      <c r="C98" s="106" t="s">
        <v>1005</v>
      </c>
      <c r="D98" s="106" t="s">
        <v>87</v>
      </c>
      <c r="E98">
        <v>2410</v>
      </c>
      <c r="F98">
        <v>2427</v>
      </c>
      <c r="G98">
        <v>300</v>
      </c>
      <c r="H98" s="106" t="s">
        <v>63</v>
      </c>
      <c r="I98">
        <v>8036</v>
      </c>
      <c r="J98" s="106" t="s">
        <v>318</v>
      </c>
      <c r="K98" s="106" t="s">
        <v>101</v>
      </c>
      <c r="L98">
        <v>7600</v>
      </c>
      <c r="M98">
        <v>7740</v>
      </c>
      <c r="N98">
        <v>100</v>
      </c>
      <c r="O98" s="106" t="s">
        <v>61</v>
      </c>
      <c r="P98">
        <v>0.95977522831946904</v>
      </c>
      <c r="Q98">
        <v>0.91365338942876895</v>
      </c>
      <c r="R98" s="15">
        <v>1.66510357463662E-2</v>
      </c>
      <c r="S98">
        <v>2.59655932059672E-2</v>
      </c>
      <c r="T98">
        <v>1.6305387585231601</v>
      </c>
      <c r="U98">
        <v>1.6305387585231601</v>
      </c>
      <c r="V98">
        <v>6.38</v>
      </c>
      <c r="W98">
        <v>5.93</v>
      </c>
      <c r="X98">
        <v>111584</v>
      </c>
      <c r="Y98">
        <v>6974</v>
      </c>
      <c r="Z98">
        <v>0.27</v>
      </c>
      <c r="AA98">
        <v>16</v>
      </c>
      <c r="AB98">
        <v>9</v>
      </c>
      <c r="AC98">
        <v>7</v>
      </c>
      <c r="AD98">
        <v>56.25</v>
      </c>
      <c r="AE98">
        <v>10</v>
      </c>
      <c r="AF98">
        <v>7</v>
      </c>
      <c r="AG98">
        <v>4</v>
      </c>
      <c r="AH98">
        <v>5</v>
      </c>
    </row>
    <row r="99" spans="1:34">
      <c r="A99" s="102">
        <v>0</v>
      </c>
      <c r="B99">
        <v>6702</v>
      </c>
      <c r="C99" s="106" t="s">
        <v>329</v>
      </c>
      <c r="D99" s="106" t="s">
        <v>87</v>
      </c>
      <c r="E99">
        <v>10320</v>
      </c>
      <c r="F99">
        <v>10265</v>
      </c>
      <c r="G99">
        <v>100</v>
      </c>
      <c r="H99" s="106" t="s">
        <v>61</v>
      </c>
      <c r="I99">
        <v>6920</v>
      </c>
      <c r="J99" s="106" t="s">
        <v>86</v>
      </c>
      <c r="K99" s="106" t="s">
        <v>87</v>
      </c>
      <c r="L99">
        <v>10100</v>
      </c>
      <c r="M99">
        <v>10200</v>
      </c>
      <c r="N99">
        <v>100</v>
      </c>
      <c r="O99" s="106" t="s">
        <v>63</v>
      </c>
      <c r="P99">
        <v>0.92745968912448895</v>
      </c>
      <c r="Q99">
        <v>0.97595225485497406</v>
      </c>
      <c r="R99">
        <v>0.167597001785183</v>
      </c>
      <c r="S99" s="15">
        <v>6.5213708101092194E-5</v>
      </c>
      <c r="T99">
        <v>-1.64484615451129</v>
      </c>
      <c r="U99">
        <v>1.64484615451129</v>
      </c>
      <c r="V99">
        <v>-16.670000000000002</v>
      </c>
      <c r="W99">
        <v>0.63</v>
      </c>
      <c r="X99">
        <v>111057</v>
      </c>
      <c r="Y99">
        <v>11106</v>
      </c>
      <c r="Z99">
        <v>0.64</v>
      </c>
      <c r="AA99">
        <v>10</v>
      </c>
      <c r="AB99">
        <v>5</v>
      </c>
      <c r="AC99">
        <v>5</v>
      </c>
      <c r="AD99">
        <v>50</v>
      </c>
      <c r="AE99">
        <v>7</v>
      </c>
      <c r="AF99">
        <v>5</v>
      </c>
      <c r="AG99">
        <v>4</v>
      </c>
      <c r="AH99">
        <v>1</v>
      </c>
    </row>
    <row r="100" spans="1:34">
      <c r="A100" s="102">
        <v>29</v>
      </c>
      <c r="B100">
        <v>6925</v>
      </c>
      <c r="C100" s="106" t="s">
        <v>311</v>
      </c>
      <c r="D100" s="106" t="s">
        <v>87</v>
      </c>
      <c r="E100">
        <v>1633</v>
      </c>
      <c r="F100">
        <v>1642</v>
      </c>
      <c r="G100">
        <v>600</v>
      </c>
      <c r="H100" s="106" t="s">
        <v>61</v>
      </c>
      <c r="I100">
        <v>6951</v>
      </c>
      <c r="J100" s="106" t="s">
        <v>320</v>
      </c>
      <c r="K100" s="106" t="s">
        <v>87</v>
      </c>
      <c r="L100">
        <v>3255</v>
      </c>
      <c r="M100">
        <v>3240</v>
      </c>
      <c r="N100">
        <v>300</v>
      </c>
      <c r="O100" s="106" t="s">
        <v>63</v>
      </c>
      <c r="P100">
        <v>0.90667733228042102</v>
      </c>
      <c r="Q100">
        <v>0.94774210946927095</v>
      </c>
      <c r="R100">
        <v>0.13993065032742899</v>
      </c>
      <c r="S100">
        <v>6.6038196782166603E-3</v>
      </c>
      <c r="T100">
        <v>-1.9657684736151499</v>
      </c>
      <c r="U100">
        <v>1.9657684736151499</v>
      </c>
      <c r="V100">
        <v>-11.53</v>
      </c>
      <c r="W100">
        <v>1.36</v>
      </c>
      <c r="X100">
        <v>110041</v>
      </c>
      <c r="Y100">
        <v>6113</v>
      </c>
      <c r="Z100">
        <v>0.33</v>
      </c>
      <c r="AA100">
        <v>18</v>
      </c>
      <c r="AB100">
        <v>11</v>
      </c>
      <c r="AC100">
        <v>7</v>
      </c>
      <c r="AD100">
        <v>61.11</v>
      </c>
      <c r="AE100">
        <v>10</v>
      </c>
      <c r="AF100">
        <v>7</v>
      </c>
      <c r="AG100">
        <v>6</v>
      </c>
      <c r="AH100">
        <v>5</v>
      </c>
    </row>
    <row r="101" spans="1:34">
      <c r="A101" s="102">
        <v>92</v>
      </c>
      <c r="B101">
        <v>3003</v>
      </c>
      <c r="C101" s="106" t="s">
        <v>1049</v>
      </c>
      <c r="D101" s="106" t="s">
        <v>114</v>
      </c>
      <c r="E101">
        <v>1319</v>
      </c>
      <c r="F101">
        <v>1339</v>
      </c>
      <c r="G101">
        <v>800</v>
      </c>
      <c r="H101" s="106" t="s">
        <v>63</v>
      </c>
      <c r="I101">
        <v>8604</v>
      </c>
      <c r="J101" s="106" t="s">
        <v>791</v>
      </c>
      <c r="K101" s="106" t="s">
        <v>792</v>
      </c>
      <c r="L101">
        <v>574.1</v>
      </c>
      <c r="M101">
        <v>562</v>
      </c>
      <c r="N101">
        <v>1900</v>
      </c>
      <c r="O101" s="106" t="s">
        <v>61</v>
      </c>
      <c r="P101">
        <v>0.90724308860120695</v>
      </c>
      <c r="Q101">
        <v>0.92825700207315098</v>
      </c>
      <c r="R101">
        <v>0.348687190877495</v>
      </c>
      <c r="S101">
        <v>3.15043987018295E-2</v>
      </c>
      <c r="T101">
        <v>1.0497637578608201</v>
      </c>
      <c r="U101">
        <v>1.0497637578608201</v>
      </c>
      <c r="V101">
        <v>3.15</v>
      </c>
      <c r="W101">
        <v>0.32</v>
      </c>
      <c r="X101">
        <v>109255</v>
      </c>
      <c r="Y101">
        <v>6070</v>
      </c>
      <c r="Z101">
        <v>0.27</v>
      </c>
      <c r="AA101">
        <v>18</v>
      </c>
      <c r="AB101">
        <v>10</v>
      </c>
      <c r="AC101">
        <v>8</v>
      </c>
      <c r="AD101">
        <v>55.56</v>
      </c>
      <c r="AE101">
        <v>11</v>
      </c>
      <c r="AF101">
        <v>7</v>
      </c>
      <c r="AG101">
        <v>5</v>
      </c>
      <c r="AH101">
        <v>6</v>
      </c>
    </row>
    <row r="102" spans="1:34">
      <c r="A102" s="102">
        <v>30</v>
      </c>
      <c r="B102">
        <v>4208</v>
      </c>
      <c r="C102" s="106" t="s">
        <v>98</v>
      </c>
      <c r="D102" s="106" t="s">
        <v>62</v>
      </c>
      <c r="E102">
        <v>2440</v>
      </c>
      <c r="F102">
        <v>2443</v>
      </c>
      <c r="G102">
        <v>300</v>
      </c>
      <c r="H102" s="106" t="s">
        <v>61</v>
      </c>
      <c r="I102">
        <v>6371</v>
      </c>
      <c r="J102" s="106" t="s">
        <v>108</v>
      </c>
      <c r="K102" s="106" t="s">
        <v>99</v>
      </c>
      <c r="L102">
        <v>3895</v>
      </c>
      <c r="M102">
        <v>3925</v>
      </c>
      <c r="N102">
        <v>200</v>
      </c>
      <c r="O102" s="106" t="s">
        <v>63</v>
      </c>
      <c r="P102">
        <v>0.95355625611013595</v>
      </c>
      <c r="Q102">
        <v>0.94677543150204502</v>
      </c>
      <c r="R102">
        <v>1.64498167256171E-2</v>
      </c>
      <c r="S102" s="15">
        <v>2.9641342860697302E-3</v>
      </c>
      <c r="T102">
        <v>-0.33131434995891901</v>
      </c>
      <c r="U102">
        <v>0.33131434995891901</v>
      </c>
      <c r="V102">
        <v>-0.67</v>
      </c>
      <c r="W102">
        <v>6.64</v>
      </c>
      <c r="X102">
        <v>93305</v>
      </c>
      <c r="Y102">
        <v>6220</v>
      </c>
      <c r="Z102">
        <v>0.28999999999999998</v>
      </c>
      <c r="AA102">
        <v>15</v>
      </c>
      <c r="AB102">
        <v>9</v>
      </c>
      <c r="AC102">
        <v>6</v>
      </c>
      <c r="AD102">
        <v>60</v>
      </c>
      <c r="AE102">
        <v>13</v>
      </c>
      <c r="AF102">
        <v>4</v>
      </c>
      <c r="AG102">
        <v>4</v>
      </c>
      <c r="AH102">
        <v>7</v>
      </c>
    </row>
    <row r="103" spans="1:34">
      <c r="A103" s="102">
        <v>91</v>
      </c>
      <c r="B103">
        <v>4182</v>
      </c>
      <c r="C103" s="106" t="s">
        <v>88</v>
      </c>
      <c r="D103" s="106" t="s">
        <v>62</v>
      </c>
      <c r="E103">
        <v>1698</v>
      </c>
      <c r="F103">
        <v>1693</v>
      </c>
      <c r="G103">
        <v>500</v>
      </c>
      <c r="H103" s="106" t="s">
        <v>63</v>
      </c>
      <c r="I103">
        <v>6371</v>
      </c>
      <c r="J103" s="106" t="s">
        <v>108</v>
      </c>
      <c r="K103" s="106" t="s">
        <v>99</v>
      </c>
      <c r="L103">
        <v>3895</v>
      </c>
      <c r="M103">
        <v>3925</v>
      </c>
      <c r="N103">
        <v>200</v>
      </c>
      <c r="O103" s="106" t="s">
        <v>61</v>
      </c>
      <c r="P103">
        <v>0.94777553428987804</v>
      </c>
      <c r="Q103">
        <v>0.92867535063543905</v>
      </c>
      <c r="R103" s="106">
        <v>7.06932657670091E-2</v>
      </c>
      <c r="S103" s="106">
        <v>8.5210381132693705E-2</v>
      </c>
      <c r="T103">
        <v>0.64364314755528396</v>
      </c>
      <c r="U103">
        <v>0.64364314755528396</v>
      </c>
      <c r="V103">
        <v>1.91</v>
      </c>
      <c r="W103">
        <v>7.83</v>
      </c>
      <c r="X103">
        <v>88640</v>
      </c>
      <c r="Y103">
        <v>6818</v>
      </c>
      <c r="Z103">
        <v>0.47</v>
      </c>
      <c r="AA103">
        <v>13</v>
      </c>
      <c r="AB103">
        <v>8</v>
      </c>
      <c r="AC103">
        <v>5</v>
      </c>
      <c r="AD103">
        <v>61.54</v>
      </c>
      <c r="AE103">
        <v>12</v>
      </c>
      <c r="AF103">
        <v>4</v>
      </c>
      <c r="AG103">
        <v>2</v>
      </c>
      <c r="AH103">
        <v>7</v>
      </c>
    </row>
    <row r="104" spans="1:34">
      <c r="A104" s="102">
        <v>176</v>
      </c>
      <c r="B104">
        <v>9062</v>
      </c>
      <c r="C104" s="106" t="s">
        <v>789</v>
      </c>
      <c r="D104" s="106" t="s">
        <v>119</v>
      </c>
      <c r="E104">
        <v>6540</v>
      </c>
      <c r="F104">
        <v>6460</v>
      </c>
      <c r="G104">
        <v>100</v>
      </c>
      <c r="H104" s="106" t="s">
        <v>61</v>
      </c>
      <c r="I104">
        <v>9072</v>
      </c>
      <c r="J104" s="106" t="s">
        <v>125</v>
      </c>
      <c r="K104" s="106" t="s">
        <v>119</v>
      </c>
      <c r="L104">
        <v>2729</v>
      </c>
      <c r="M104">
        <v>2752</v>
      </c>
      <c r="N104">
        <v>200</v>
      </c>
      <c r="O104" s="106" t="s">
        <v>63</v>
      </c>
      <c r="P104">
        <v>0.94064314617178602</v>
      </c>
      <c r="Q104">
        <v>0.90830501584597001</v>
      </c>
      <c r="R104">
        <v>0.14095508594185699</v>
      </c>
      <c r="S104" s="15">
        <v>6.6875586822459004E-2</v>
      </c>
      <c r="T104">
        <v>-0.101110283970336</v>
      </c>
      <c r="U104">
        <v>0.101110283970336</v>
      </c>
      <c r="V104">
        <v>-0.5</v>
      </c>
      <c r="W104">
        <v>14.8</v>
      </c>
      <c r="X104">
        <v>86554</v>
      </c>
      <c r="Y104">
        <v>14426</v>
      </c>
      <c r="Z104">
        <v>0.91</v>
      </c>
      <c r="AA104">
        <v>6</v>
      </c>
      <c r="AB104">
        <v>4</v>
      </c>
      <c r="AC104">
        <v>2</v>
      </c>
      <c r="AD104">
        <v>66.67</v>
      </c>
      <c r="AE104">
        <v>14</v>
      </c>
      <c r="AF104">
        <v>2</v>
      </c>
      <c r="AG104">
        <v>0</v>
      </c>
      <c r="AH104">
        <v>4</v>
      </c>
    </row>
    <row r="105" spans="1:34">
      <c r="A105" s="102">
        <v>126</v>
      </c>
      <c r="B105">
        <v>6301</v>
      </c>
      <c r="C105" s="106" t="s">
        <v>109</v>
      </c>
      <c r="D105" s="106" t="s">
        <v>99</v>
      </c>
      <c r="E105">
        <v>2685</v>
      </c>
      <c r="F105">
        <v>2682</v>
      </c>
      <c r="G105">
        <v>400</v>
      </c>
      <c r="H105" s="106" t="s">
        <v>63</v>
      </c>
      <c r="I105">
        <v>6472</v>
      </c>
      <c r="J105" s="106" t="s">
        <v>133</v>
      </c>
      <c r="K105" s="106" t="s">
        <v>99</v>
      </c>
      <c r="L105">
        <v>346</v>
      </c>
      <c r="M105">
        <v>349</v>
      </c>
      <c r="N105">
        <v>3100</v>
      </c>
      <c r="O105" s="106" t="s">
        <v>61</v>
      </c>
      <c r="P105">
        <v>0.90982959276814601</v>
      </c>
      <c r="Q105">
        <v>0.91845542927136803</v>
      </c>
      <c r="R105" s="106">
        <v>0.20986224183574301</v>
      </c>
      <c r="S105" s="106">
        <v>3.8198333699091203E-2</v>
      </c>
      <c r="T105">
        <v>9.0655117312896105E-2</v>
      </c>
      <c r="U105">
        <v>9.0655117312896105E-2</v>
      </c>
      <c r="V105">
        <v>0.19</v>
      </c>
      <c r="W105">
        <v>0.85</v>
      </c>
      <c r="X105">
        <v>85896</v>
      </c>
      <c r="Y105">
        <v>4295</v>
      </c>
      <c r="Z105">
        <v>0.12</v>
      </c>
      <c r="AA105">
        <v>20</v>
      </c>
      <c r="AB105">
        <v>10</v>
      </c>
      <c r="AC105">
        <v>10</v>
      </c>
      <c r="AD105">
        <v>50</v>
      </c>
      <c r="AE105">
        <v>11</v>
      </c>
      <c r="AF105">
        <v>8</v>
      </c>
      <c r="AG105">
        <v>7</v>
      </c>
      <c r="AH105">
        <v>5</v>
      </c>
    </row>
    <row r="106" spans="1:34">
      <c r="A106" s="102">
        <v>35</v>
      </c>
      <c r="B106">
        <v>5802</v>
      </c>
      <c r="C106" s="106" t="s">
        <v>130</v>
      </c>
      <c r="D106" s="106" t="s">
        <v>131</v>
      </c>
      <c r="E106">
        <v>1667.5</v>
      </c>
      <c r="F106">
        <v>1680.5</v>
      </c>
      <c r="G106">
        <v>600</v>
      </c>
      <c r="H106" s="106" t="s">
        <v>61</v>
      </c>
      <c r="I106">
        <v>9810</v>
      </c>
      <c r="J106" s="106" t="s">
        <v>126</v>
      </c>
      <c r="K106" s="106" t="s">
        <v>101</v>
      </c>
      <c r="L106">
        <v>5250</v>
      </c>
      <c r="M106">
        <v>5270</v>
      </c>
      <c r="N106">
        <v>200</v>
      </c>
      <c r="O106" s="106" t="s">
        <v>63</v>
      </c>
      <c r="P106">
        <v>0.95209968796584799</v>
      </c>
      <c r="Q106">
        <v>0.94437298039789097</v>
      </c>
      <c r="R106">
        <v>0.23075720379227599</v>
      </c>
      <c r="S106" s="15">
        <v>2.6417781632360401E-2</v>
      </c>
      <c r="T106">
        <v>-3.6927508757162303E-2</v>
      </c>
      <c r="U106">
        <v>3.6927508757162303E-2</v>
      </c>
      <c r="V106">
        <v>-0.08</v>
      </c>
      <c r="W106">
        <v>4.34</v>
      </c>
      <c r="X106">
        <v>84914</v>
      </c>
      <c r="Y106">
        <v>5661</v>
      </c>
      <c r="Z106">
        <v>0.45</v>
      </c>
      <c r="AA106">
        <v>15</v>
      </c>
      <c r="AB106">
        <v>10</v>
      </c>
      <c r="AC106">
        <v>5</v>
      </c>
      <c r="AD106">
        <v>66.67</v>
      </c>
      <c r="AE106">
        <v>14</v>
      </c>
      <c r="AF106">
        <v>3</v>
      </c>
      <c r="AG106">
        <v>2</v>
      </c>
      <c r="AH106">
        <v>10</v>
      </c>
    </row>
    <row r="107" spans="1:34">
      <c r="A107" s="102">
        <v>154</v>
      </c>
      <c r="B107">
        <v>8002</v>
      </c>
      <c r="C107" s="106" t="s">
        <v>31</v>
      </c>
      <c r="D107" s="106" t="s">
        <v>101</v>
      </c>
      <c r="E107">
        <v>821</v>
      </c>
      <c r="F107">
        <v>819</v>
      </c>
      <c r="G107">
        <v>1000</v>
      </c>
      <c r="H107" s="106" t="s">
        <v>63</v>
      </c>
      <c r="I107">
        <v>9072</v>
      </c>
      <c r="J107" s="106" t="s">
        <v>125</v>
      </c>
      <c r="K107" s="106" t="s">
        <v>119</v>
      </c>
      <c r="L107">
        <v>2729</v>
      </c>
      <c r="M107">
        <v>2752</v>
      </c>
      <c r="N107">
        <v>300</v>
      </c>
      <c r="O107" s="106" t="s">
        <v>61</v>
      </c>
      <c r="P107">
        <v>0.95471318100032998</v>
      </c>
      <c r="Q107">
        <v>0.91326770821163805</v>
      </c>
      <c r="R107" s="15">
        <v>0.167376520546823</v>
      </c>
      <c r="S107" s="106">
        <v>3.4603792770475299E-3</v>
      </c>
      <c r="T107">
        <v>0.62358072357015204</v>
      </c>
      <c r="U107">
        <v>0.62358072357015204</v>
      </c>
      <c r="V107">
        <v>1.2</v>
      </c>
      <c r="W107">
        <v>0.8</v>
      </c>
      <c r="X107">
        <v>77791</v>
      </c>
      <c r="Y107">
        <v>4862</v>
      </c>
      <c r="Z107">
        <v>0.24</v>
      </c>
      <c r="AA107">
        <v>16</v>
      </c>
      <c r="AB107">
        <v>8</v>
      </c>
      <c r="AC107">
        <v>8</v>
      </c>
      <c r="AD107">
        <v>50</v>
      </c>
      <c r="AE107">
        <v>16</v>
      </c>
      <c r="AF107">
        <v>4</v>
      </c>
      <c r="AG107">
        <v>1</v>
      </c>
      <c r="AH107">
        <v>11</v>
      </c>
    </row>
    <row r="108" spans="1:34">
      <c r="A108" s="102">
        <v>97</v>
      </c>
      <c r="B108">
        <v>8604</v>
      </c>
      <c r="C108" s="106" t="s">
        <v>791</v>
      </c>
      <c r="D108" s="106" t="s">
        <v>792</v>
      </c>
      <c r="E108">
        <v>574.1</v>
      </c>
      <c r="F108">
        <v>562</v>
      </c>
      <c r="G108">
        <v>1400</v>
      </c>
      <c r="H108" s="106" t="s">
        <v>63</v>
      </c>
      <c r="I108">
        <v>9989</v>
      </c>
      <c r="J108" s="106" t="s">
        <v>1050</v>
      </c>
      <c r="K108" s="106" t="s">
        <v>95</v>
      </c>
      <c r="L108">
        <v>3990</v>
      </c>
      <c r="M108">
        <v>3975</v>
      </c>
      <c r="N108">
        <v>200</v>
      </c>
      <c r="O108" s="106" t="s">
        <v>61</v>
      </c>
      <c r="P108">
        <v>0.95450275284080899</v>
      </c>
      <c r="Q108">
        <v>0.92708375995699799</v>
      </c>
      <c r="R108">
        <v>5.4731102050954501E-2</v>
      </c>
      <c r="S108" s="106">
        <v>4.1174897797089202E-2</v>
      </c>
      <c r="T108">
        <v>0.688896399846195</v>
      </c>
      <c r="U108">
        <v>0.688896399846195</v>
      </c>
      <c r="V108">
        <v>1.8</v>
      </c>
      <c r="W108">
        <v>1.03</v>
      </c>
      <c r="X108">
        <v>77595</v>
      </c>
      <c r="Y108">
        <v>5542</v>
      </c>
      <c r="Z108">
        <v>0.28000000000000003</v>
      </c>
      <c r="AA108">
        <v>14</v>
      </c>
      <c r="AB108">
        <v>7</v>
      </c>
      <c r="AC108">
        <v>7</v>
      </c>
      <c r="AD108">
        <v>50</v>
      </c>
      <c r="AE108">
        <v>13</v>
      </c>
      <c r="AF108">
        <v>5</v>
      </c>
      <c r="AG108">
        <v>4</v>
      </c>
      <c r="AH108">
        <v>5</v>
      </c>
    </row>
    <row r="109" spans="1:34">
      <c r="A109" s="102">
        <v>34</v>
      </c>
      <c r="B109">
        <v>4519</v>
      </c>
      <c r="C109" s="106" t="s">
        <v>787</v>
      </c>
      <c r="D109" s="106" t="s">
        <v>135</v>
      </c>
      <c r="E109">
        <v>9976</v>
      </c>
      <c r="F109">
        <v>9972</v>
      </c>
      <c r="G109">
        <v>100</v>
      </c>
      <c r="H109" s="106" t="s">
        <v>63</v>
      </c>
      <c r="I109">
        <v>6702</v>
      </c>
      <c r="J109" s="106" t="s">
        <v>329</v>
      </c>
      <c r="K109" s="106" t="s">
        <v>87</v>
      </c>
      <c r="L109">
        <v>10320</v>
      </c>
      <c r="M109">
        <v>10265</v>
      </c>
      <c r="N109">
        <v>100</v>
      </c>
      <c r="O109" s="106" t="s">
        <v>61</v>
      </c>
      <c r="P109">
        <v>0.96778019970709095</v>
      </c>
      <c r="Q109">
        <v>0.94503532438567095</v>
      </c>
      <c r="R109">
        <v>7.1599591469295202E-3</v>
      </c>
      <c r="S109" s="15">
        <v>3.2064182774499399E-2</v>
      </c>
      <c r="T109">
        <v>0.79201632771083896</v>
      </c>
      <c r="U109">
        <v>0.79201632771083896</v>
      </c>
      <c r="V109">
        <v>2.25</v>
      </c>
      <c r="W109">
        <v>2.85</v>
      </c>
      <c r="X109">
        <v>75944</v>
      </c>
      <c r="Y109">
        <v>10849</v>
      </c>
      <c r="Z109">
        <v>0.79</v>
      </c>
      <c r="AA109">
        <v>7</v>
      </c>
      <c r="AB109">
        <v>4</v>
      </c>
      <c r="AC109">
        <v>3</v>
      </c>
      <c r="AD109">
        <v>57.14</v>
      </c>
      <c r="AE109">
        <v>12</v>
      </c>
      <c r="AF109">
        <v>3</v>
      </c>
      <c r="AG109">
        <v>1</v>
      </c>
      <c r="AH109">
        <v>3</v>
      </c>
    </row>
    <row r="110" spans="1:34">
      <c r="A110" s="102">
        <v>49</v>
      </c>
      <c r="B110">
        <v>1820</v>
      </c>
      <c r="C110" s="106" t="s">
        <v>121</v>
      </c>
      <c r="D110" s="106" t="s">
        <v>78</v>
      </c>
      <c r="E110">
        <v>2470</v>
      </c>
      <c r="F110">
        <v>2464</v>
      </c>
      <c r="G110">
        <v>400</v>
      </c>
      <c r="H110" s="106" t="s">
        <v>63</v>
      </c>
      <c r="I110">
        <v>4182</v>
      </c>
      <c r="J110" s="106" t="s">
        <v>88</v>
      </c>
      <c r="K110" s="106" t="s">
        <v>62</v>
      </c>
      <c r="L110">
        <v>1698</v>
      </c>
      <c r="M110">
        <v>1693</v>
      </c>
      <c r="N110">
        <v>600</v>
      </c>
      <c r="O110" s="106" t="s">
        <v>61</v>
      </c>
      <c r="P110">
        <v>0.960892231216536</v>
      </c>
      <c r="Q110">
        <v>0.93922794972360102</v>
      </c>
      <c r="R110" s="15">
        <v>4.0316130944551401E-2</v>
      </c>
      <c r="S110">
        <v>1.00970530767791E-2</v>
      </c>
      <c r="T110">
        <v>0.64428708860647599</v>
      </c>
      <c r="U110">
        <v>0.64428708860647599</v>
      </c>
      <c r="V110">
        <v>1.73</v>
      </c>
      <c r="W110">
        <v>3.06</v>
      </c>
      <c r="X110">
        <v>74834</v>
      </c>
      <c r="Y110">
        <v>6236</v>
      </c>
      <c r="Z110">
        <v>0.26</v>
      </c>
      <c r="AA110">
        <v>12</v>
      </c>
      <c r="AB110">
        <v>8</v>
      </c>
      <c r="AC110">
        <v>4</v>
      </c>
      <c r="AD110">
        <v>66.67</v>
      </c>
      <c r="AE110">
        <v>12</v>
      </c>
      <c r="AF110">
        <v>5</v>
      </c>
      <c r="AG110">
        <v>3</v>
      </c>
      <c r="AH110">
        <v>4</v>
      </c>
    </row>
    <row r="111" spans="1:34">
      <c r="A111" s="102">
        <v>129</v>
      </c>
      <c r="B111">
        <v>2379</v>
      </c>
      <c r="C111" s="106" t="s">
        <v>848</v>
      </c>
      <c r="D111" s="106" t="s">
        <v>120</v>
      </c>
      <c r="E111">
        <v>3260</v>
      </c>
      <c r="F111">
        <v>3245</v>
      </c>
      <c r="G111">
        <v>300</v>
      </c>
      <c r="H111" s="106" t="s">
        <v>63</v>
      </c>
      <c r="I111">
        <v>6702</v>
      </c>
      <c r="J111" s="106" t="s">
        <v>329</v>
      </c>
      <c r="K111" s="106" t="s">
        <v>87</v>
      </c>
      <c r="L111">
        <v>10320</v>
      </c>
      <c r="M111">
        <v>10265</v>
      </c>
      <c r="N111">
        <v>100</v>
      </c>
      <c r="O111" s="106" t="s">
        <v>61</v>
      </c>
      <c r="P111">
        <v>0.91123553673128299</v>
      </c>
      <c r="Q111">
        <v>0.91804739028464299</v>
      </c>
      <c r="R111" s="106">
        <v>0.22938782936434099</v>
      </c>
      <c r="S111">
        <v>0.120115066457833</v>
      </c>
      <c r="T111">
        <v>0.589032271857728</v>
      </c>
      <c r="U111">
        <v>0.589032271857728</v>
      </c>
      <c r="V111">
        <v>2.3199999999999998</v>
      </c>
      <c r="W111">
        <v>5.16</v>
      </c>
      <c r="X111">
        <v>73060</v>
      </c>
      <c r="Y111">
        <v>4059</v>
      </c>
      <c r="Z111">
        <v>0.23</v>
      </c>
      <c r="AA111">
        <v>18</v>
      </c>
      <c r="AB111">
        <v>10</v>
      </c>
      <c r="AC111">
        <v>8</v>
      </c>
      <c r="AD111">
        <v>55.56</v>
      </c>
      <c r="AE111">
        <v>10</v>
      </c>
      <c r="AF111">
        <v>8</v>
      </c>
      <c r="AG111">
        <v>6</v>
      </c>
      <c r="AH111">
        <v>4</v>
      </c>
    </row>
    <row r="112" spans="1:34">
      <c r="A112" s="102">
        <v>95</v>
      </c>
      <c r="B112">
        <v>5802</v>
      </c>
      <c r="C112" s="106" t="s">
        <v>130</v>
      </c>
      <c r="D112" s="106" t="s">
        <v>131</v>
      </c>
      <c r="E112">
        <v>1667.5</v>
      </c>
      <c r="F112">
        <v>1680.5</v>
      </c>
      <c r="G112">
        <v>600</v>
      </c>
      <c r="H112" s="106" t="s">
        <v>63</v>
      </c>
      <c r="I112">
        <v>7267</v>
      </c>
      <c r="J112" s="106" t="s">
        <v>118</v>
      </c>
      <c r="K112" s="106" t="s">
        <v>84</v>
      </c>
      <c r="L112">
        <v>3160</v>
      </c>
      <c r="M112">
        <v>3163</v>
      </c>
      <c r="N112">
        <v>300</v>
      </c>
      <c r="O112" s="106" t="s">
        <v>61</v>
      </c>
      <c r="P112">
        <v>0.92182573941553503</v>
      </c>
      <c r="Q112">
        <v>0.92746945313891804</v>
      </c>
      <c r="R112">
        <v>0.25013319709682202</v>
      </c>
      <c r="S112">
        <v>1.1248165603019699E-2</v>
      </c>
      <c r="T112">
        <v>1.7605118372401101</v>
      </c>
      <c r="U112">
        <v>1.7605118372401101</v>
      </c>
      <c r="V112">
        <v>5.89</v>
      </c>
      <c r="W112">
        <v>6.26</v>
      </c>
      <c r="X112">
        <v>71982</v>
      </c>
      <c r="Y112">
        <v>4234</v>
      </c>
      <c r="Z112">
        <v>0.18</v>
      </c>
      <c r="AA112">
        <v>17</v>
      </c>
      <c r="AB112">
        <v>10</v>
      </c>
      <c r="AC112">
        <v>7</v>
      </c>
      <c r="AD112">
        <v>58.82</v>
      </c>
      <c r="AE112">
        <v>16</v>
      </c>
      <c r="AF112">
        <v>1</v>
      </c>
      <c r="AG112">
        <v>1</v>
      </c>
      <c r="AH112">
        <v>15</v>
      </c>
    </row>
    <row r="113" spans="1:34">
      <c r="A113" s="102">
        <v>116</v>
      </c>
      <c r="B113">
        <v>3116</v>
      </c>
      <c r="C113" s="106" t="s">
        <v>124</v>
      </c>
      <c r="D113" s="106" t="s">
        <v>84</v>
      </c>
      <c r="E113">
        <v>1836</v>
      </c>
      <c r="F113">
        <v>1846</v>
      </c>
      <c r="G113">
        <v>500</v>
      </c>
      <c r="H113" s="106" t="s">
        <v>63</v>
      </c>
      <c r="I113">
        <v>8002</v>
      </c>
      <c r="J113" s="106" t="s">
        <v>31</v>
      </c>
      <c r="K113" s="106" t="s">
        <v>101</v>
      </c>
      <c r="L113">
        <v>821</v>
      </c>
      <c r="M113">
        <v>819</v>
      </c>
      <c r="N113">
        <v>1100</v>
      </c>
      <c r="O113" s="106" t="s">
        <v>61</v>
      </c>
      <c r="P113">
        <v>0.94630915375829505</v>
      </c>
      <c r="Q113">
        <v>0.92068927314621096</v>
      </c>
      <c r="R113">
        <v>7.9351145454365807E-2</v>
      </c>
      <c r="S113" s="15">
        <v>3.2812250635998602E-2</v>
      </c>
      <c r="T113">
        <v>2.8114357667533798</v>
      </c>
      <c r="U113">
        <v>2.8114357667533798</v>
      </c>
      <c r="V113">
        <v>6.63</v>
      </c>
      <c r="W113">
        <v>2.39</v>
      </c>
      <c r="X113">
        <v>69702</v>
      </c>
      <c r="Y113">
        <v>5362</v>
      </c>
      <c r="Z113">
        <v>0.33</v>
      </c>
      <c r="AA113">
        <v>13</v>
      </c>
      <c r="AB113">
        <v>5</v>
      </c>
      <c r="AC113">
        <v>8</v>
      </c>
      <c r="AD113">
        <v>38.46</v>
      </c>
      <c r="AE113">
        <v>16</v>
      </c>
      <c r="AF113">
        <v>4</v>
      </c>
      <c r="AG113">
        <v>0</v>
      </c>
      <c r="AH113">
        <v>9</v>
      </c>
    </row>
    <row r="114" spans="1:34">
      <c r="A114" s="102">
        <v>158</v>
      </c>
      <c r="B114">
        <v>6995</v>
      </c>
      <c r="C114" s="106" t="s">
        <v>91</v>
      </c>
      <c r="D114" s="106" t="s">
        <v>84</v>
      </c>
      <c r="E114">
        <v>2237</v>
      </c>
      <c r="F114">
        <v>2255</v>
      </c>
      <c r="G114">
        <v>500</v>
      </c>
      <c r="H114" s="106" t="s">
        <v>61</v>
      </c>
      <c r="I114">
        <v>9810</v>
      </c>
      <c r="J114" s="106" t="s">
        <v>126</v>
      </c>
      <c r="K114" s="106" t="s">
        <v>101</v>
      </c>
      <c r="L114">
        <v>5250</v>
      </c>
      <c r="M114">
        <v>5270</v>
      </c>
      <c r="N114">
        <v>200</v>
      </c>
      <c r="O114" s="106" t="s">
        <v>63</v>
      </c>
      <c r="P114">
        <v>0.922432319724526</v>
      </c>
      <c r="Q114">
        <v>0.91155107874785801</v>
      </c>
      <c r="R114">
        <v>7.0144204180730002E-2</v>
      </c>
      <c r="S114" s="15">
        <v>4.3536966194459403E-2</v>
      </c>
      <c r="T114">
        <v>-5.6266515671374501E-2</v>
      </c>
      <c r="U114">
        <v>5.6266515671374501E-2</v>
      </c>
      <c r="V114">
        <v>-0.16</v>
      </c>
      <c r="W114">
        <v>6.97</v>
      </c>
      <c r="X114">
        <v>68150</v>
      </c>
      <c r="Y114">
        <v>5242</v>
      </c>
      <c r="Z114">
        <v>0.48</v>
      </c>
      <c r="AA114">
        <v>13</v>
      </c>
      <c r="AB114">
        <v>8</v>
      </c>
      <c r="AC114">
        <v>5</v>
      </c>
      <c r="AD114">
        <v>61.54</v>
      </c>
      <c r="AE114">
        <v>11</v>
      </c>
      <c r="AF114">
        <v>5</v>
      </c>
      <c r="AG114">
        <v>4</v>
      </c>
      <c r="AH114">
        <v>4</v>
      </c>
    </row>
    <row r="115" spans="1:34">
      <c r="A115" s="102">
        <v>179</v>
      </c>
      <c r="B115">
        <v>4819</v>
      </c>
      <c r="C115" s="106" t="s">
        <v>1041</v>
      </c>
      <c r="D115" s="106" t="s">
        <v>79</v>
      </c>
      <c r="E115">
        <v>4410</v>
      </c>
      <c r="F115">
        <v>4375</v>
      </c>
      <c r="G115">
        <v>200</v>
      </c>
      <c r="H115" s="106" t="s">
        <v>63</v>
      </c>
      <c r="I115">
        <v>9746</v>
      </c>
      <c r="J115" s="106" t="s">
        <v>1029</v>
      </c>
      <c r="K115" s="106" t="s">
        <v>79</v>
      </c>
      <c r="L115">
        <v>5240</v>
      </c>
      <c r="M115">
        <v>5240</v>
      </c>
      <c r="N115">
        <v>200</v>
      </c>
      <c r="O115" s="106" t="s">
        <v>61</v>
      </c>
      <c r="P115">
        <v>0.92561428620023201</v>
      </c>
      <c r="Q115">
        <v>0.90720537225899001</v>
      </c>
      <c r="R115">
        <v>8.0602790319563203E-2</v>
      </c>
      <c r="S115">
        <v>3.4437860455167799E-3</v>
      </c>
      <c r="T115">
        <v>1.86682675286197</v>
      </c>
      <c r="U115">
        <v>1.86682675286197</v>
      </c>
      <c r="V115">
        <v>7.29</v>
      </c>
      <c r="W115">
        <v>16.510000000000002</v>
      </c>
      <c r="X115">
        <v>66372</v>
      </c>
      <c r="Y115">
        <v>5531</v>
      </c>
      <c r="Z115">
        <v>0.37</v>
      </c>
      <c r="AA115">
        <v>12</v>
      </c>
      <c r="AB115">
        <v>7</v>
      </c>
      <c r="AC115">
        <v>5</v>
      </c>
      <c r="AD115">
        <v>58.33</v>
      </c>
      <c r="AE115">
        <v>9</v>
      </c>
      <c r="AF115">
        <v>7</v>
      </c>
      <c r="AG115">
        <v>4</v>
      </c>
      <c r="AH115">
        <v>1</v>
      </c>
    </row>
    <row r="116" spans="1:34">
      <c r="A116" s="102">
        <v>51</v>
      </c>
      <c r="B116">
        <v>1973</v>
      </c>
      <c r="C116" s="106" t="s">
        <v>308</v>
      </c>
      <c r="D116" s="106" t="s">
        <v>79</v>
      </c>
      <c r="E116">
        <v>3570</v>
      </c>
      <c r="F116">
        <v>3570</v>
      </c>
      <c r="G116">
        <v>300</v>
      </c>
      <c r="H116" s="106" t="s">
        <v>61</v>
      </c>
      <c r="I116">
        <v>4519</v>
      </c>
      <c r="J116" s="106" t="s">
        <v>787</v>
      </c>
      <c r="K116" s="106" t="s">
        <v>135</v>
      </c>
      <c r="L116">
        <v>9976</v>
      </c>
      <c r="M116">
        <v>9972</v>
      </c>
      <c r="N116">
        <v>100</v>
      </c>
      <c r="O116" s="106" t="s">
        <v>63</v>
      </c>
      <c r="P116">
        <v>0.94702276465912105</v>
      </c>
      <c r="Q116">
        <v>0.93872085535193495</v>
      </c>
      <c r="R116">
        <v>7.2439198461360802E-3</v>
      </c>
      <c r="S116">
        <v>7.0690303139851904E-2</v>
      </c>
      <c r="T116">
        <v>-0.83227631412690395</v>
      </c>
      <c r="U116">
        <v>0.83227631412690395</v>
      </c>
      <c r="V116">
        <v>-2.04</v>
      </c>
      <c r="W116">
        <v>7.4</v>
      </c>
      <c r="X116">
        <v>61928</v>
      </c>
      <c r="Y116">
        <v>7741</v>
      </c>
      <c r="Z116">
        <v>0.22</v>
      </c>
      <c r="AA116">
        <v>8</v>
      </c>
      <c r="AB116">
        <v>5</v>
      </c>
      <c r="AC116">
        <v>3</v>
      </c>
      <c r="AD116">
        <v>62.5</v>
      </c>
      <c r="AE116">
        <v>12</v>
      </c>
      <c r="AF116">
        <v>3</v>
      </c>
      <c r="AG116">
        <v>3</v>
      </c>
      <c r="AH116">
        <v>2</v>
      </c>
    </row>
    <row r="117" spans="1:34">
      <c r="A117" s="102">
        <v>11</v>
      </c>
      <c r="B117">
        <v>6770</v>
      </c>
      <c r="C117" s="106" t="s">
        <v>26</v>
      </c>
      <c r="D117" s="106" t="s">
        <v>87</v>
      </c>
      <c r="E117">
        <v>2550</v>
      </c>
      <c r="F117">
        <v>2531</v>
      </c>
      <c r="G117">
        <v>300</v>
      </c>
      <c r="H117" s="106" t="s">
        <v>61</v>
      </c>
      <c r="I117">
        <v>7282</v>
      </c>
      <c r="J117" s="106" t="s">
        <v>786</v>
      </c>
      <c r="K117" s="106" t="s">
        <v>84</v>
      </c>
      <c r="L117">
        <v>2790</v>
      </c>
      <c r="M117">
        <v>2806</v>
      </c>
      <c r="N117">
        <v>300</v>
      </c>
      <c r="O117" s="106" t="s">
        <v>63</v>
      </c>
      <c r="P117">
        <v>0.96862421858870296</v>
      </c>
      <c r="Q117">
        <v>0.95822545996580899</v>
      </c>
      <c r="R117" s="15">
        <v>4.59085729500808E-2</v>
      </c>
      <c r="S117" s="15">
        <v>1.2067232711224999E-3</v>
      </c>
      <c r="T117">
        <v>-1.8495666830177</v>
      </c>
      <c r="U117">
        <v>1.8495666830177</v>
      </c>
      <c r="V117">
        <v>-4.37</v>
      </c>
      <c r="W117">
        <v>9.8000000000000007</v>
      </c>
      <c r="X117">
        <v>56663</v>
      </c>
      <c r="Y117">
        <v>3778</v>
      </c>
      <c r="Z117">
        <v>0.27</v>
      </c>
      <c r="AA117">
        <v>15</v>
      </c>
      <c r="AB117">
        <v>10</v>
      </c>
      <c r="AC117">
        <v>5</v>
      </c>
      <c r="AD117">
        <v>66.67</v>
      </c>
      <c r="AE117">
        <v>12</v>
      </c>
      <c r="AF117">
        <v>6</v>
      </c>
      <c r="AG117">
        <v>4</v>
      </c>
      <c r="AH117">
        <v>5</v>
      </c>
    </row>
    <row r="118" spans="1:34">
      <c r="A118" s="102">
        <v>150</v>
      </c>
      <c r="B118">
        <v>6301</v>
      </c>
      <c r="C118" s="106" t="s">
        <v>109</v>
      </c>
      <c r="D118" s="106" t="s">
        <v>99</v>
      </c>
      <c r="E118">
        <v>2685</v>
      </c>
      <c r="F118">
        <v>2682</v>
      </c>
      <c r="G118">
        <v>300</v>
      </c>
      <c r="H118" s="106" t="s">
        <v>61</v>
      </c>
      <c r="I118">
        <v>6371</v>
      </c>
      <c r="J118" s="106" t="s">
        <v>108</v>
      </c>
      <c r="K118" s="106" t="s">
        <v>99</v>
      </c>
      <c r="L118">
        <v>3895</v>
      </c>
      <c r="M118">
        <v>3925</v>
      </c>
      <c r="N118">
        <v>200</v>
      </c>
      <c r="O118" s="106" t="s">
        <v>63</v>
      </c>
      <c r="P118">
        <v>0.92879969868738399</v>
      </c>
      <c r="Q118">
        <v>0.91405604019549902</v>
      </c>
      <c r="R118">
        <v>7.0231511584925204E-3</v>
      </c>
      <c r="S118">
        <v>2.8586508277041798E-3</v>
      </c>
      <c r="T118">
        <v>-0.83396850419298696</v>
      </c>
      <c r="U118">
        <v>0.83396850419298696</v>
      </c>
      <c r="V118">
        <v>-1.94</v>
      </c>
      <c r="W118">
        <v>2.5</v>
      </c>
      <c r="X118">
        <v>51301</v>
      </c>
      <c r="Y118">
        <v>3206</v>
      </c>
      <c r="Z118">
        <v>0.19</v>
      </c>
      <c r="AA118">
        <v>16</v>
      </c>
      <c r="AB118">
        <v>8</v>
      </c>
      <c r="AC118">
        <v>8</v>
      </c>
      <c r="AD118">
        <v>50</v>
      </c>
      <c r="AE118">
        <v>13</v>
      </c>
      <c r="AF118">
        <v>4</v>
      </c>
      <c r="AG118">
        <v>3</v>
      </c>
      <c r="AH118">
        <v>9</v>
      </c>
    </row>
    <row r="119" spans="1:34">
      <c r="A119" s="102">
        <v>145</v>
      </c>
      <c r="B119">
        <v>4182</v>
      </c>
      <c r="C119" s="106" t="s">
        <v>88</v>
      </c>
      <c r="D119" s="106" t="s">
        <v>62</v>
      </c>
      <c r="E119">
        <v>1698</v>
      </c>
      <c r="F119">
        <v>1693</v>
      </c>
      <c r="G119">
        <v>600</v>
      </c>
      <c r="H119" s="106" t="s">
        <v>63</v>
      </c>
      <c r="I119">
        <v>5463</v>
      </c>
      <c r="J119" s="106" t="s">
        <v>141</v>
      </c>
      <c r="K119" s="106" t="s">
        <v>92</v>
      </c>
      <c r="L119">
        <v>3150</v>
      </c>
      <c r="M119">
        <v>3150</v>
      </c>
      <c r="N119">
        <v>300</v>
      </c>
      <c r="O119" s="106" t="s">
        <v>61</v>
      </c>
      <c r="P119">
        <v>0.90671542092467705</v>
      </c>
      <c r="Q119">
        <v>0.91456510992359297</v>
      </c>
      <c r="R119" s="15">
        <v>0.23713048256428401</v>
      </c>
      <c r="S119">
        <v>3.9674739957769198E-2</v>
      </c>
      <c r="T119">
        <v>1.0434304674130901</v>
      </c>
      <c r="U119">
        <v>1.0434304674130901</v>
      </c>
      <c r="V119">
        <v>3.12</v>
      </c>
      <c r="W119">
        <v>7.49</v>
      </c>
      <c r="X119">
        <v>49018</v>
      </c>
      <c r="Y119">
        <v>2723</v>
      </c>
      <c r="Z119">
        <v>0.22</v>
      </c>
      <c r="AA119">
        <v>18</v>
      </c>
      <c r="AB119">
        <v>10</v>
      </c>
      <c r="AC119">
        <v>8</v>
      </c>
      <c r="AD119">
        <v>55.56</v>
      </c>
      <c r="AE119">
        <v>11</v>
      </c>
      <c r="AF119">
        <v>7</v>
      </c>
      <c r="AG119">
        <v>6</v>
      </c>
      <c r="AH119">
        <v>5</v>
      </c>
    </row>
    <row r="120" spans="1:34">
      <c r="A120" s="102">
        <v>183</v>
      </c>
      <c r="B120">
        <v>2602</v>
      </c>
      <c r="C120" s="106" t="s">
        <v>1051</v>
      </c>
      <c r="D120" s="106" t="s">
        <v>97</v>
      </c>
      <c r="E120">
        <v>3885</v>
      </c>
      <c r="F120">
        <v>3870</v>
      </c>
      <c r="G120">
        <v>200</v>
      </c>
      <c r="H120" s="106" t="s">
        <v>61</v>
      </c>
      <c r="I120">
        <v>7274</v>
      </c>
      <c r="J120" s="106" t="s">
        <v>333</v>
      </c>
      <c r="K120" s="106" t="s">
        <v>84</v>
      </c>
      <c r="L120">
        <v>2265</v>
      </c>
      <c r="M120">
        <v>2265</v>
      </c>
      <c r="N120">
        <v>300</v>
      </c>
      <c r="O120" s="106" t="s">
        <v>63</v>
      </c>
      <c r="P120">
        <v>0.93471826003658898</v>
      </c>
      <c r="Q120">
        <v>0.905881515842061</v>
      </c>
      <c r="R120">
        <v>7.7742967785250097E-2</v>
      </c>
      <c r="S120" s="106">
        <v>7.6103233922239694E-2</v>
      </c>
      <c r="T120">
        <v>-1.06839463129375</v>
      </c>
      <c r="U120">
        <v>1.06839463129375</v>
      </c>
      <c r="V120">
        <v>-16.670000000000002</v>
      </c>
      <c r="W120">
        <v>12.21</v>
      </c>
      <c r="X120">
        <v>48417</v>
      </c>
      <c r="Y120">
        <v>2548</v>
      </c>
      <c r="Z120">
        <v>0.14000000000000001</v>
      </c>
      <c r="AA120">
        <v>19</v>
      </c>
      <c r="AB120">
        <v>10</v>
      </c>
      <c r="AC120">
        <v>9</v>
      </c>
      <c r="AD120">
        <v>52.63</v>
      </c>
      <c r="AE120">
        <v>8</v>
      </c>
      <c r="AF120">
        <v>10</v>
      </c>
      <c r="AG120">
        <v>8</v>
      </c>
      <c r="AH120">
        <v>1</v>
      </c>
    </row>
    <row r="121" spans="1:34">
      <c r="A121" s="102">
        <v>19</v>
      </c>
      <c r="B121">
        <v>6471</v>
      </c>
      <c r="C121" s="106" t="s">
        <v>137</v>
      </c>
      <c r="D121" s="106" t="s">
        <v>99</v>
      </c>
      <c r="E121">
        <v>1056</v>
      </c>
      <c r="F121">
        <v>1064</v>
      </c>
      <c r="G121">
        <v>1000</v>
      </c>
      <c r="H121" s="106" t="s">
        <v>63</v>
      </c>
      <c r="I121">
        <v>6473</v>
      </c>
      <c r="J121" s="106" t="s">
        <v>132</v>
      </c>
      <c r="K121" s="106" t="s">
        <v>99</v>
      </c>
      <c r="L121">
        <v>1353</v>
      </c>
      <c r="M121">
        <v>1349</v>
      </c>
      <c r="N121">
        <v>800</v>
      </c>
      <c r="O121" s="106" t="s">
        <v>61</v>
      </c>
      <c r="P121">
        <v>0.93801461614951198</v>
      </c>
      <c r="Q121">
        <v>0.95218184688294705</v>
      </c>
      <c r="R121" s="15">
        <v>0.38378488418571999</v>
      </c>
      <c r="S121" s="15">
        <v>1.9352530205476799E-2</v>
      </c>
      <c r="T121">
        <v>1.8400387823668201</v>
      </c>
      <c r="U121">
        <v>1.8400387823668201</v>
      </c>
      <c r="V121">
        <v>3.67</v>
      </c>
      <c r="W121">
        <v>1.41</v>
      </c>
      <c r="X121">
        <v>43650</v>
      </c>
      <c r="Y121">
        <v>3358</v>
      </c>
      <c r="Z121">
        <v>0.16</v>
      </c>
      <c r="AA121">
        <v>13</v>
      </c>
      <c r="AB121">
        <v>8</v>
      </c>
      <c r="AC121">
        <v>5</v>
      </c>
      <c r="AD121">
        <v>61.54</v>
      </c>
      <c r="AE121">
        <v>16</v>
      </c>
      <c r="AF121">
        <v>1</v>
      </c>
      <c r="AG121">
        <v>1</v>
      </c>
      <c r="AH121">
        <v>11</v>
      </c>
    </row>
    <row r="122" spans="1:34">
      <c r="A122" s="102">
        <v>38</v>
      </c>
      <c r="B122">
        <v>9746</v>
      </c>
      <c r="C122" s="106" t="s">
        <v>1029</v>
      </c>
      <c r="D122" s="106" t="s">
        <v>79</v>
      </c>
      <c r="E122">
        <v>5240</v>
      </c>
      <c r="F122">
        <v>5240</v>
      </c>
      <c r="G122">
        <v>200</v>
      </c>
      <c r="H122" s="106" t="s">
        <v>63</v>
      </c>
      <c r="I122">
        <v>9759</v>
      </c>
      <c r="J122" s="106" t="s">
        <v>847</v>
      </c>
      <c r="K122" s="106" t="s">
        <v>79</v>
      </c>
      <c r="L122">
        <v>3620</v>
      </c>
      <c r="M122">
        <v>3650</v>
      </c>
      <c r="N122">
        <v>300</v>
      </c>
      <c r="O122" s="106" t="s">
        <v>61</v>
      </c>
      <c r="P122">
        <v>0.91298366270990805</v>
      </c>
      <c r="Q122">
        <v>0.94331952337168201</v>
      </c>
      <c r="R122" s="106">
        <v>0.256253120779315</v>
      </c>
      <c r="S122">
        <v>3.5961618046213601E-3</v>
      </c>
      <c r="T122">
        <v>3.0802449246957399E-3</v>
      </c>
      <c r="U122">
        <v>3.0802449246957399E-3</v>
      </c>
      <c r="V122">
        <v>0.01</v>
      </c>
      <c r="W122">
        <v>4.4800000000000004</v>
      </c>
      <c r="X122">
        <v>40347</v>
      </c>
      <c r="Y122">
        <v>2882</v>
      </c>
      <c r="Z122">
        <v>0.18</v>
      </c>
      <c r="AA122">
        <v>14</v>
      </c>
      <c r="AB122">
        <v>8</v>
      </c>
      <c r="AC122">
        <v>6</v>
      </c>
      <c r="AD122">
        <v>57.14</v>
      </c>
      <c r="AE122">
        <v>14</v>
      </c>
      <c r="AF122">
        <v>5</v>
      </c>
      <c r="AG122">
        <v>2</v>
      </c>
      <c r="AH122">
        <v>7</v>
      </c>
    </row>
    <row r="123" spans="1:34">
      <c r="A123" s="102">
        <v>153</v>
      </c>
      <c r="B123">
        <v>5471</v>
      </c>
      <c r="C123" s="106" t="s">
        <v>301</v>
      </c>
      <c r="D123" s="106" t="s">
        <v>92</v>
      </c>
      <c r="E123">
        <v>4955</v>
      </c>
      <c r="F123">
        <v>4905</v>
      </c>
      <c r="G123">
        <v>200</v>
      </c>
      <c r="H123" s="106" t="s">
        <v>61</v>
      </c>
      <c r="I123">
        <v>7251</v>
      </c>
      <c r="J123" s="106" t="s">
        <v>793</v>
      </c>
      <c r="K123" s="106" t="s">
        <v>84</v>
      </c>
      <c r="L123">
        <v>2563</v>
      </c>
      <c r="M123">
        <v>2562</v>
      </c>
      <c r="N123">
        <v>400</v>
      </c>
      <c r="O123" s="106" t="s">
        <v>63</v>
      </c>
      <c r="P123">
        <v>0.91725592528339095</v>
      </c>
      <c r="Q123">
        <v>0.91359036022713902</v>
      </c>
      <c r="R123" s="106">
        <v>9.2993511303668994E-2</v>
      </c>
      <c r="S123">
        <v>8.0945542674365299E-3</v>
      </c>
      <c r="T123">
        <v>-1.1093312606708801</v>
      </c>
      <c r="U123">
        <v>1.1093312606708801</v>
      </c>
      <c r="V123">
        <v>-21.01</v>
      </c>
      <c r="W123">
        <v>4.46</v>
      </c>
      <c r="X123">
        <v>35729</v>
      </c>
      <c r="Y123">
        <v>2233</v>
      </c>
      <c r="Z123">
        <v>0</v>
      </c>
      <c r="AA123">
        <v>16</v>
      </c>
      <c r="AB123">
        <v>10</v>
      </c>
      <c r="AC123">
        <v>6</v>
      </c>
      <c r="AD123">
        <v>62.5</v>
      </c>
      <c r="AE123">
        <v>14</v>
      </c>
      <c r="AF123">
        <v>4</v>
      </c>
      <c r="AG123">
        <v>3</v>
      </c>
      <c r="AH123">
        <v>9</v>
      </c>
    </row>
    <row r="124" spans="1:34">
      <c r="A124" s="102">
        <v>56</v>
      </c>
      <c r="B124">
        <v>5991</v>
      </c>
      <c r="C124" s="106" t="s">
        <v>115</v>
      </c>
      <c r="D124" s="106" t="s">
        <v>116</v>
      </c>
      <c r="E124">
        <v>1030</v>
      </c>
      <c r="F124">
        <v>1029</v>
      </c>
      <c r="G124">
        <v>1000</v>
      </c>
      <c r="H124" s="106" t="s">
        <v>63</v>
      </c>
      <c r="I124">
        <v>6752</v>
      </c>
      <c r="J124" s="106" t="s">
        <v>105</v>
      </c>
      <c r="K124" s="106" t="s">
        <v>87</v>
      </c>
      <c r="L124">
        <v>1025</v>
      </c>
      <c r="M124">
        <v>1026.5</v>
      </c>
      <c r="N124">
        <v>1000</v>
      </c>
      <c r="O124" s="106" t="s">
        <v>61</v>
      </c>
      <c r="P124">
        <v>0.96290073218958905</v>
      </c>
      <c r="Q124">
        <v>0.93764332285744301</v>
      </c>
      <c r="R124" s="15">
        <v>6.8469000242928398E-3</v>
      </c>
      <c r="S124">
        <v>0.32997169350494998</v>
      </c>
      <c r="T124">
        <v>2.4729056575075101</v>
      </c>
      <c r="U124">
        <v>2.4729056575075101</v>
      </c>
      <c r="V124">
        <v>5.38</v>
      </c>
      <c r="W124">
        <v>0.24</v>
      </c>
      <c r="X124">
        <v>34237</v>
      </c>
      <c r="Y124">
        <v>2014</v>
      </c>
      <c r="Z124">
        <v>0.09</v>
      </c>
      <c r="AA124">
        <v>17</v>
      </c>
      <c r="AB124">
        <v>9</v>
      </c>
      <c r="AC124">
        <v>8</v>
      </c>
      <c r="AD124">
        <v>52.94</v>
      </c>
      <c r="AE124">
        <v>12</v>
      </c>
      <c r="AF124">
        <v>7</v>
      </c>
      <c r="AG124">
        <v>6</v>
      </c>
      <c r="AH124">
        <v>4</v>
      </c>
    </row>
    <row r="125" spans="1:34">
      <c r="A125" s="102">
        <v>41</v>
      </c>
      <c r="B125">
        <v>7453</v>
      </c>
      <c r="C125" s="106" t="s">
        <v>104</v>
      </c>
      <c r="D125" s="106" t="s">
        <v>95</v>
      </c>
      <c r="E125">
        <v>2558</v>
      </c>
      <c r="F125">
        <v>2551</v>
      </c>
      <c r="G125">
        <v>400</v>
      </c>
      <c r="H125" s="106" t="s">
        <v>63</v>
      </c>
      <c r="I125">
        <v>8267</v>
      </c>
      <c r="J125" s="106" t="s">
        <v>302</v>
      </c>
      <c r="K125" s="106" t="s">
        <v>95</v>
      </c>
      <c r="L125">
        <v>2285</v>
      </c>
      <c r="M125">
        <v>2274</v>
      </c>
      <c r="N125">
        <v>400</v>
      </c>
      <c r="O125" s="106" t="s">
        <v>61</v>
      </c>
      <c r="P125">
        <v>0.92383960842077795</v>
      </c>
      <c r="Q125">
        <v>0.94168791894677994</v>
      </c>
      <c r="R125" s="15">
        <v>3.64274538098169E-2</v>
      </c>
      <c r="S125" s="15">
        <v>2.4390695505880002E-2</v>
      </c>
      <c r="T125">
        <v>1.14713341443118</v>
      </c>
      <c r="U125">
        <v>1.14713341443118</v>
      </c>
      <c r="V125">
        <v>5.1100000000000003</v>
      </c>
      <c r="W125">
        <v>10.86</v>
      </c>
      <c r="X125">
        <v>32083</v>
      </c>
      <c r="Y125">
        <v>1689</v>
      </c>
      <c r="Z125">
        <v>0.15</v>
      </c>
      <c r="AA125">
        <v>19</v>
      </c>
      <c r="AB125">
        <v>9</v>
      </c>
      <c r="AC125">
        <v>10</v>
      </c>
      <c r="AD125">
        <v>47.37</v>
      </c>
      <c r="AE125">
        <v>12</v>
      </c>
      <c r="AF125">
        <v>6</v>
      </c>
      <c r="AG125">
        <v>3</v>
      </c>
      <c r="AH125">
        <v>10</v>
      </c>
    </row>
    <row r="126" spans="1:34">
      <c r="A126" s="102">
        <v>6</v>
      </c>
      <c r="B126">
        <v>3635</v>
      </c>
      <c r="C126" s="106" t="s">
        <v>85</v>
      </c>
      <c r="D126" s="106" t="s">
        <v>79</v>
      </c>
      <c r="E126">
        <v>2779</v>
      </c>
      <c r="F126">
        <v>2820</v>
      </c>
      <c r="G126">
        <v>400</v>
      </c>
      <c r="H126" s="106" t="s">
        <v>63</v>
      </c>
      <c r="I126">
        <v>6702</v>
      </c>
      <c r="J126" s="106" t="s">
        <v>329</v>
      </c>
      <c r="K126" s="106" t="s">
        <v>87</v>
      </c>
      <c r="L126">
        <v>10320</v>
      </c>
      <c r="M126">
        <v>10265</v>
      </c>
      <c r="N126">
        <v>100</v>
      </c>
      <c r="O126" s="106" t="s">
        <v>61</v>
      </c>
      <c r="P126">
        <v>0.950847741634545</v>
      </c>
      <c r="Q126">
        <v>0.96273356427217205</v>
      </c>
      <c r="R126">
        <v>0.32298586167205201</v>
      </c>
      <c r="S126" s="15">
        <v>2.4481258671686199E-2</v>
      </c>
      <c r="T126">
        <v>1.83421915787696</v>
      </c>
      <c r="U126">
        <v>1.83421915787696</v>
      </c>
      <c r="V126">
        <v>3.44</v>
      </c>
      <c r="W126">
        <v>9.89</v>
      </c>
      <c r="X126">
        <v>31031</v>
      </c>
      <c r="Y126">
        <v>2586</v>
      </c>
      <c r="Z126">
        <v>0.16</v>
      </c>
      <c r="AA126">
        <v>12</v>
      </c>
      <c r="AB126">
        <v>7</v>
      </c>
      <c r="AC126">
        <v>5</v>
      </c>
      <c r="AD126">
        <v>58.33</v>
      </c>
      <c r="AE126">
        <v>13</v>
      </c>
      <c r="AF126">
        <v>6</v>
      </c>
      <c r="AG126">
        <v>1</v>
      </c>
      <c r="AH126">
        <v>5</v>
      </c>
    </row>
    <row r="127" spans="1:34">
      <c r="A127" s="102">
        <v>55</v>
      </c>
      <c r="B127">
        <v>6588</v>
      </c>
      <c r="C127" s="106" t="s">
        <v>788</v>
      </c>
      <c r="D127" s="106" t="s">
        <v>87</v>
      </c>
      <c r="E127">
        <v>4530</v>
      </c>
      <c r="F127">
        <v>4640</v>
      </c>
      <c r="G127">
        <v>100</v>
      </c>
      <c r="H127" s="106" t="s">
        <v>63</v>
      </c>
      <c r="I127">
        <v>9706</v>
      </c>
      <c r="J127" s="106" t="s">
        <v>334</v>
      </c>
      <c r="K127" s="106" t="s">
        <v>114</v>
      </c>
      <c r="L127">
        <v>6070</v>
      </c>
      <c r="M127">
        <v>6140</v>
      </c>
      <c r="N127">
        <v>100</v>
      </c>
      <c r="O127" s="106" t="s">
        <v>61</v>
      </c>
      <c r="P127">
        <v>0.96509536395406903</v>
      </c>
      <c r="Q127">
        <v>0.93765956090870395</v>
      </c>
      <c r="R127">
        <v>0.103856510514984</v>
      </c>
      <c r="S127" s="106">
        <v>6.0236251860390597E-2</v>
      </c>
      <c r="T127">
        <v>0.60865603614848696</v>
      </c>
      <c r="U127">
        <v>0.60865603614848696</v>
      </c>
      <c r="V127">
        <v>2.61</v>
      </c>
      <c r="W127">
        <v>24.43</v>
      </c>
      <c r="X127">
        <v>26767</v>
      </c>
      <c r="Y127">
        <v>2059</v>
      </c>
      <c r="Z127">
        <v>0.15</v>
      </c>
      <c r="AA127">
        <v>13</v>
      </c>
      <c r="AB127">
        <v>8</v>
      </c>
      <c r="AC127">
        <v>5</v>
      </c>
      <c r="AD127">
        <v>61.54</v>
      </c>
      <c r="AE127">
        <v>11</v>
      </c>
      <c r="AF127">
        <v>5</v>
      </c>
      <c r="AG127">
        <v>4</v>
      </c>
      <c r="AH127">
        <v>4</v>
      </c>
    </row>
    <row r="128" spans="1:34">
      <c r="A128" s="102">
        <v>54</v>
      </c>
      <c r="B128">
        <v>4519</v>
      </c>
      <c r="C128" s="106" t="s">
        <v>787</v>
      </c>
      <c r="D128" s="106" t="s">
        <v>135</v>
      </c>
      <c r="E128">
        <v>9976</v>
      </c>
      <c r="F128">
        <v>9972</v>
      </c>
      <c r="G128">
        <v>100</v>
      </c>
      <c r="H128" s="106" t="s">
        <v>63</v>
      </c>
      <c r="I128">
        <v>8425</v>
      </c>
      <c r="J128" s="106" t="s">
        <v>316</v>
      </c>
      <c r="K128" s="106" t="s">
        <v>297</v>
      </c>
      <c r="L128">
        <v>3465</v>
      </c>
      <c r="M128">
        <v>3450</v>
      </c>
      <c r="N128">
        <v>300</v>
      </c>
      <c r="O128" s="106" t="s">
        <v>61</v>
      </c>
      <c r="P128">
        <v>0.94305469379731999</v>
      </c>
      <c r="Q128">
        <v>0.93790043362571696</v>
      </c>
      <c r="R128">
        <v>1.5036230745831901E-2</v>
      </c>
      <c r="S128">
        <v>3.2216015945711197E-2</v>
      </c>
      <c r="T128">
        <v>0.30310039638838998</v>
      </c>
      <c r="U128">
        <v>0.30310039638838998</v>
      </c>
      <c r="V128">
        <v>1.26</v>
      </c>
      <c r="W128">
        <v>3.79</v>
      </c>
      <c r="X128">
        <v>25042</v>
      </c>
      <c r="Y128">
        <v>1926</v>
      </c>
      <c r="Z128">
        <v>0.5</v>
      </c>
      <c r="AA128">
        <v>13</v>
      </c>
      <c r="AB128">
        <v>8</v>
      </c>
      <c r="AC128">
        <v>5</v>
      </c>
      <c r="AD128">
        <v>61.54</v>
      </c>
      <c r="AE128">
        <v>14</v>
      </c>
      <c r="AF128">
        <v>6</v>
      </c>
      <c r="AG128">
        <v>3</v>
      </c>
      <c r="AH128">
        <v>4</v>
      </c>
    </row>
    <row r="129" spans="1:34">
      <c r="A129" s="102">
        <v>77</v>
      </c>
      <c r="B129">
        <v>6988</v>
      </c>
      <c r="C129" s="106" t="s">
        <v>138</v>
      </c>
      <c r="D129" s="106" t="s">
        <v>62</v>
      </c>
      <c r="E129">
        <v>6350</v>
      </c>
      <c r="F129">
        <v>6300</v>
      </c>
      <c r="G129">
        <v>100</v>
      </c>
      <c r="H129" s="106" t="s">
        <v>61</v>
      </c>
      <c r="I129">
        <v>6995</v>
      </c>
      <c r="J129" s="106" t="s">
        <v>91</v>
      </c>
      <c r="K129" s="106" t="s">
        <v>84</v>
      </c>
      <c r="L129">
        <v>2237</v>
      </c>
      <c r="M129">
        <v>2255</v>
      </c>
      <c r="N129">
        <v>300</v>
      </c>
      <c r="O129" s="106" t="s">
        <v>63</v>
      </c>
      <c r="P129">
        <v>0.94183682666584401</v>
      </c>
      <c r="Q129">
        <v>0.93209935999803695</v>
      </c>
      <c r="R129">
        <v>0.20572766256668801</v>
      </c>
      <c r="S129" s="106">
        <v>4.01576383852097E-2</v>
      </c>
      <c r="T129">
        <v>-1.4433826351910699</v>
      </c>
      <c r="U129">
        <v>1.4433826351910699</v>
      </c>
      <c r="V129">
        <v>-3.56</v>
      </c>
      <c r="W129">
        <v>7.38</v>
      </c>
      <c r="X129">
        <v>22867</v>
      </c>
      <c r="Y129">
        <v>2287</v>
      </c>
      <c r="Z129">
        <v>0.11</v>
      </c>
      <c r="AA129">
        <v>10</v>
      </c>
      <c r="AB129">
        <v>7</v>
      </c>
      <c r="AC129">
        <v>3</v>
      </c>
      <c r="AD129">
        <v>70</v>
      </c>
      <c r="AE129">
        <v>13</v>
      </c>
      <c r="AF129">
        <v>2</v>
      </c>
      <c r="AG129">
        <v>2</v>
      </c>
      <c r="AH129">
        <v>6</v>
      </c>
    </row>
    <row r="130" spans="1:34">
      <c r="A130" s="102">
        <v>136</v>
      </c>
      <c r="B130">
        <v>8425</v>
      </c>
      <c r="C130" s="106" t="s">
        <v>316</v>
      </c>
      <c r="D130" s="106" t="s">
        <v>297</v>
      </c>
      <c r="E130">
        <v>3465</v>
      </c>
      <c r="F130">
        <v>3450</v>
      </c>
      <c r="G130">
        <v>200</v>
      </c>
      <c r="H130" s="106" t="s">
        <v>61</v>
      </c>
      <c r="I130">
        <v>9706</v>
      </c>
      <c r="J130" s="106" t="s">
        <v>334</v>
      </c>
      <c r="K130" s="106" t="s">
        <v>114</v>
      </c>
      <c r="L130">
        <v>6070</v>
      </c>
      <c r="M130">
        <v>6140</v>
      </c>
      <c r="N130">
        <v>100</v>
      </c>
      <c r="O130" s="106" t="s">
        <v>63</v>
      </c>
      <c r="P130">
        <v>0.920755956751519</v>
      </c>
      <c r="Q130">
        <v>0.91637664231113303</v>
      </c>
      <c r="R130" s="15">
        <v>0.15517302210252701</v>
      </c>
      <c r="S130">
        <v>6.9208656192266696E-2</v>
      </c>
      <c r="T130">
        <v>-1.03896880217039</v>
      </c>
      <c r="U130">
        <v>1.03896880217039</v>
      </c>
      <c r="V130">
        <v>-6.38</v>
      </c>
      <c r="W130">
        <v>12.38</v>
      </c>
      <c r="X130">
        <v>18162</v>
      </c>
      <c r="Y130">
        <v>1397</v>
      </c>
      <c r="Z130">
        <v>0.04</v>
      </c>
      <c r="AA130">
        <v>13</v>
      </c>
      <c r="AB130">
        <v>7</v>
      </c>
      <c r="AC130">
        <v>6</v>
      </c>
      <c r="AD130">
        <v>53.85</v>
      </c>
      <c r="AE130">
        <v>13</v>
      </c>
      <c r="AF130">
        <v>5</v>
      </c>
      <c r="AG130">
        <v>4</v>
      </c>
      <c r="AH130">
        <v>4</v>
      </c>
    </row>
    <row r="131" spans="1:34">
      <c r="A131" s="102">
        <v>120</v>
      </c>
      <c r="B131">
        <v>4204</v>
      </c>
      <c r="C131" s="106" t="s">
        <v>321</v>
      </c>
      <c r="D131" s="106" t="s">
        <v>62</v>
      </c>
      <c r="E131">
        <v>1917</v>
      </c>
      <c r="F131">
        <v>1927</v>
      </c>
      <c r="G131">
        <v>400</v>
      </c>
      <c r="H131" s="106" t="s">
        <v>61</v>
      </c>
      <c r="I131">
        <v>5393</v>
      </c>
      <c r="J131" s="106" t="s">
        <v>330</v>
      </c>
      <c r="K131" s="106" t="s">
        <v>106</v>
      </c>
      <c r="L131">
        <v>2766</v>
      </c>
      <c r="M131">
        <v>2762</v>
      </c>
      <c r="N131">
        <v>300</v>
      </c>
      <c r="O131" s="106" t="s">
        <v>63</v>
      </c>
      <c r="P131">
        <v>0.93754439393356803</v>
      </c>
      <c r="Q131">
        <v>0.91932025142523899</v>
      </c>
      <c r="R131" s="15">
        <v>0.22756726250416601</v>
      </c>
      <c r="S131" s="106">
        <v>2.19243257919031E-2</v>
      </c>
      <c r="T131">
        <v>-1.5355479973256201</v>
      </c>
      <c r="U131">
        <v>1.5355479973256201</v>
      </c>
      <c r="V131">
        <v>-16.54</v>
      </c>
      <c r="W131">
        <v>6.98</v>
      </c>
      <c r="X131">
        <v>13258</v>
      </c>
      <c r="Y131">
        <v>698</v>
      </c>
      <c r="Z131">
        <v>0.02</v>
      </c>
      <c r="AA131">
        <v>19</v>
      </c>
      <c r="AB131">
        <v>8</v>
      </c>
      <c r="AC131">
        <v>11</v>
      </c>
      <c r="AD131">
        <v>42.11</v>
      </c>
      <c r="AE131">
        <v>13</v>
      </c>
      <c r="AF131">
        <v>6</v>
      </c>
      <c r="AG131">
        <v>4</v>
      </c>
      <c r="AH131">
        <v>9</v>
      </c>
    </row>
    <row r="132" spans="1:34">
      <c r="A132" s="102">
        <v>146</v>
      </c>
      <c r="B132">
        <v>3291</v>
      </c>
      <c r="C132" s="106" t="s">
        <v>113</v>
      </c>
      <c r="D132" s="106" t="s">
        <v>114</v>
      </c>
      <c r="E132">
        <v>1935</v>
      </c>
      <c r="F132">
        <v>1953</v>
      </c>
      <c r="G132">
        <v>500</v>
      </c>
      <c r="H132" s="106" t="s">
        <v>61</v>
      </c>
      <c r="I132">
        <v>8601</v>
      </c>
      <c r="J132" s="106" t="s">
        <v>27</v>
      </c>
      <c r="K132" s="106" t="s">
        <v>792</v>
      </c>
      <c r="L132">
        <v>558.5</v>
      </c>
      <c r="M132">
        <v>557.5</v>
      </c>
      <c r="N132">
        <v>1800</v>
      </c>
      <c r="O132" s="106" t="s">
        <v>63</v>
      </c>
      <c r="P132">
        <v>0.96247831568741504</v>
      </c>
      <c r="Q132">
        <v>0.91435594940722498</v>
      </c>
      <c r="R132" s="15">
        <v>6.7042670284425294E-5</v>
      </c>
      <c r="S132" s="15">
        <v>0.19871505319060701</v>
      </c>
      <c r="T132">
        <v>-1.01763536535294</v>
      </c>
      <c r="U132">
        <v>1.01763536535294</v>
      </c>
      <c r="V132">
        <v>-1.47</v>
      </c>
      <c r="W132">
        <v>2.76</v>
      </c>
      <c r="X132">
        <v>12422</v>
      </c>
      <c r="Y132">
        <v>731</v>
      </c>
      <c r="Z132">
        <v>0.05</v>
      </c>
      <c r="AA132">
        <v>17</v>
      </c>
      <c r="AB132">
        <v>10</v>
      </c>
      <c r="AC132">
        <v>7</v>
      </c>
      <c r="AD132">
        <v>58.82</v>
      </c>
      <c r="AE132">
        <v>15</v>
      </c>
      <c r="AF132">
        <v>3</v>
      </c>
      <c r="AG132">
        <v>1</v>
      </c>
      <c r="AH132">
        <v>13</v>
      </c>
    </row>
    <row r="133" spans="1:34">
      <c r="A133" s="102">
        <v>96</v>
      </c>
      <c r="B133">
        <v>5991</v>
      </c>
      <c r="C133" s="106" t="s">
        <v>115</v>
      </c>
      <c r="D133" s="106" t="s">
        <v>116</v>
      </c>
      <c r="E133">
        <v>1030</v>
      </c>
      <c r="F133">
        <v>1029</v>
      </c>
      <c r="G133">
        <v>1000</v>
      </c>
      <c r="H133" s="106" t="s">
        <v>63</v>
      </c>
      <c r="I133">
        <v>8002</v>
      </c>
      <c r="J133" s="106" t="s">
        <v>31</v>
      </c>
      <c r="K133" s="106" t="s">
        <v>101</v>
      </c>
      <c r="L133">
        <v>821</v>
      </c>
      <c r="M133">
        <v>819</v>
      </c>
      <c r="N133">
        <v>1300</v>
      </c>
      <c r="O133" s="106" t="s">
        <v>61</v>
      </c>
      <c r="P133">
        <v>0.97496462501077197</v>
      </c>
      <c r="Q133">
        <v>0.92715307248488199</v>
      </c>
      <c r="R133">
        <v>2.1953602914533202E-3</v>
      </c>
      <c r="S133" s="106">
        <v>2.8373751865444399E-2</v>
      </c>
      <c r="T133">
        <v>2.2328436145864301</v>
      </c>
      <c r="U133">
        <v>2.2328436145864301</v>
      </c>
      <c r="V133">
        <v>6.85</v>
      </c>
      <c r="W133">
        <v>3.47</v>
      </c>
      <c r="X133">
        <v>10934</v>
      </c>
      <c r="Y133">
        <v>643</v>
      </c>
      <c r="Z133">
        <v>0.05</v>
      </c>
      <c r="AA133">
        <v>17</v>
      </c>
      <c r="AB133">
        <v>8</v>
      </c>
      <c r="AC133">
        <v>9</v>
      </c>
      <c r="AD133">
        <v>47.06</v>
      </c>
      <c r="AE133">
        <v>14</v>
      </c>
      <c r="AF133">
        <v>5</v>
      </c>
      <c r="AG133">
        <v>3</v>
      </c>
      <c r="AH133">
        <v>9</v>
      </c>
    </row>
    <row r="134" spans="1:34">
      <c r="A134" s="102">
        <v>122</v>
      </c>
      <c r="B134">
        <v>6448</v>
      </c>
      <c r="C134" s="106" t="s">
        <v>794</v>
      </c>
      <c r="D134" s="106" t="s">
        <v>87</v>
      </c>
      <c r="E134">
        <v>2323</v>
      </c>
      <c r="F134">
        <v>2295</v>
      </c>
      <c r="G134">
        <v>400</v>
      </c>
      <c r="H134" s="106" t="s">
        <v>63</v>
      </c>
      <c r="I134">
        <v>6965</v>
      </c>
      <c r="J134" s="106" t="s">
        <v>795</v>
      </c>
      <c r="K134" s="106" t="s">
        <v>87</v>
      </c>
      <c r="L134">
        <v>4555</v>
      </c>
      <c r="M134">
        <v>4540</v>
      </c>
      <c r="N134">
        <v>200</v>
      </c>
      <c r="O134" s="106" t="s">
        <v>61</v>
      </c>
      <c r="P134">
        <v>0.94893091345505598</v>
      </c>
      <c r="Q134">
        <v>0.91902294985112498</v>
      </c>
      <c r="R134">
        <v>2.44092537190593E-2</v>
      </c>
      <c r="S134">
        <v>3.7077944858362799E-2</v>
      </c>
      <c r="T134">
        <v>0.88208518708695804</v>
      </c>
      <c r="U134">
        <v>0.88208518708695804</v>
      </c>
      <c r="V134">
        <v>2.0099999999999998</v>
      </c>
      <c r="W134">
        <v>1.1000000000000001</v>
      </c>
      <c r="X134">
        <v>5132</v>
      </c>
      <c r="Y134">
        <v>321</v>
      </c>
      <c r="Z134">
        <v>0.05</v>
      </c>
      <c r="AA134">
        <v>16</v>
      </c>
      <c r="AB134">
        <v>9</v>
      </c>
      <c r="AC134">
        <v>7</v>
      </c>
      <c r="AD134">
        <v>56.25</v>
      </c>
      <c r="AE134">
        <v>13</v>
      </c>
      <c r="AF134">
        <v>4</v>
      </c>
      <c r="AG134">
        <v>4</v>
      </c>
      <c r="AH134">
        <v>8</v>
      </c>
    </row>
    <row r="135" spans="1:34">
      <c r="A135" s="102">
        <v>86</v>
      </c>
      <c r="B135">
        <v>5233</v>
      </c>
      <c r="C135" s="106" t="s">
        <v>142</v>
      </c>
      <c r="D135" s="106" t="s">
        <v>106</v>
      </c>
      <c r="E135">
        <v>3360</v>
      </c>
      <c r="F135">
        <v>3405</v>
      </c>
      <c r="G135">
        <v>300</v>
      </c>
      <c r="H135" s="106" t="s">
        <v>63</v>
      </c>
      <c r="I135">
        <v>7327</v>
      </c>
      <c r="J135" s="106" t="s">
        <v>140</v>
      </c>
      <c r="K135" s="106" t="s">
        <v>82</v>
      </c>
      <c r="L135">
        <v>3075</v>
      </c>
      <c r="M135">
        <v>3060</v>
      </c>
      <c r="N135">
        <v>300</v>
      </c>
      <c r="O135" s="106" t="s">
        <v>61</v>
      </c>
      <c r="P135">
        <v>0.90504810336998498</v>
      </c>
      <c r="Q135">
        <v>0.92952144600544695</v>
      </c>
      <c r="R135" s="15">
        <v>3.8746634427402997E-2</v>
      </c>
      <c r="S135">
        <v>5.9617286557026696E-3</v>
      </c>
      <c r="T135">
        <v>0.53661578155836698</v>
      </c>
      <c r="U135">
        <v>0.53661578155836698</v>
      </c>
      <c r="V135">
        <v>1.32</v>
      </c>
      <c r="W135">
        <v>10.130000000000001</v>
      </c>
      <c r="X135">
        <v>4195</v>
      </c>
      <c r="Y135">
        <v>2098</v>
      </c>
      <c r="Z135">
        <v>-0.01</v>
      </c>
      <c r="AA135">
        <v>2</v>
      </c>
      <c r="AB135">
        <v>1</v>
      </c>
      <c r="AC135">
        <v>1</v>
      </c>
      <c r="AD135">
        <v>50</v>
      </c>
      <c r="AE135">
        <v>10</v>
      </c>
      <c r="AF135">
        <v>1</v>
      </c>
      <c r="AG135">
        <v>1</v>
      </c>
      <c r="AH135">
        <v>0</v>
      </c>
    </row>
    <row r="136" spans="1:34">
      <c r="A136" s="102">
        <v>172</v>
      </c>
      <c r="B136">
        <v>5802</v>
      </c>
      <c r="C136" s="106" t="s">
        <v>130</v>
      </c>
      <c r="D136" s="106" t="s">
        <v>131</v>
      </c>
      <c r="E136">
        <v>1667.5</v>
      </c>
      <c r="F136">
        <v>1680.5</v>
      </c>
      <c r="G136">
        <v>600</v>
      </c>
      <c r="H136" s="106" t="s">
        <v>63</v>
      </c>
      <c r="I136">
        <v>6770</v>
      </c>
      <c r="J136" s="106" t="s">
        <v>26</v>
      </c>
      <c r="K136" s="106" t="s">
        <v>87</v>
      </c>
      <c r="L136">
        <v>2550</v>
      </c>
      <c r="M136">
        <v>2531</v>
      </c>
      <c r="N136">
        <v>400</v>
      </c>
      <c r="O136" s="106" t="s">
        <v>61</v>
      </c>
      <c r="P136">
        <v>0.96588091324145497</v>
      </c>
      <c r="Q136">
        <v>0.90879340643231799</v>
      </c>
      <c r="R136">
        <v>1.7002980775347801E-2</v>
      </c>
      <c r="S136" s="106">
        <v>0.12971182027860501</v>
      </c>
      <c r="T136" s="106">
        <v>7.0503051587361101E-2</v>
      </c>
      <c r="U136" s="106">
        <v>7.0503051587361101E-2</v>
      </c>
      <c r="V136">
        <v>0.18</v>
      </c>
      <c r="W136">
        <v>0.4</v>
      </c>
      <c r="X136">
        <v>2858</v>
      </c>
      <c r="Y136">
        <v>179</v>
      </c>
      <c r="Z136">
        <v>0.09</v>
      </c>
      <c r="AA136">
        <v>16</v>
      </c>
      <c r="AB136">
        <v>7</v>
      </c>
      <c r="AC136">
        <v>9</v>
      </c>
      <c r="AD136">
        <v>43.75</v>
      </c>
      <c r="AE136">
        <v>14</v>
      </c>
      <c r="AF136">
        <v>5</v>
      </c>
      <c r="AG136">
        <v>4</v>
      </c>
      <c r="AH136">
        <v>7</v>
      </c>
    </row>
    <row r="137" spans="1:34">
      <c r="A137" s="102">
        <v>12</v>
      </c>
      <c r="B137">
        <v>3110</v>
      </c>
      <c r="C137" s="106" t="s">
        <v>1030</v>
      </c>
      <c r="D137" s="106" t="s">
        <v>106</v>
      </c>
      <c r="E137">
        <v>4325</v>
      </c>
      <c r="F137">
        <v>4370</v>
      </c>
      <c r="G137">
        <v>200</v>
      </c>
      <c r="H137" s="106" t="s">
        <v>63</v>
      </c>
      <c r="I137">
        <v>6702</v>
      </c>
      <c r="J137" s="106" t="s">
        <v>329</v>
      </c>
      <c r="K137" s="106" t="s">
        <v>87</v>
      </c>
      <c r="L137">
        <v>10320</v>
      </c>
      <c r="M137">
        <v>10265</v>
      </c>
      <c r="N137">
        <v>100</v>
      </c>
      <c r="O137" s="106" t="s">
        <v>61</v>
      </c>
      <c r="P137">
        <v>0.90962710348620901</v>
      </c>
      <c r="Q137">
        <v>0.95751724001245597</v>
      </c>
      <c r="R137">
        <v>0.12762278762338999</v>
      </c>
      <c r="S137" s="106">
        <v>5.5986103179857302E-3</v>
      </c>
      <c r="T137">
        <v>2.0623061351946199</v>
      </c>
      <c r="U137">
        <v>2.0623061351946199</v>
      </c>
      <c r="V137">
        <v>11.2</v>
      </c>
      <c r="W137">
        <v>14.86</v>
      </c>
      <c r="X137">
        <v>2720</v>
      </c>
      <c r="Y137">
        <v>194</v>
      </c>
      <c r="Z137">
        <v>0.14000000000000001</v>
      </c>
      <c r="AA137">
        <v>14</v>
      </c>
      <c r="AB137">
        <v>6</v>
      </c>
      <c r="AC137">
        <v>8</v>
      </c>
      <c r="AD137">
        <v>42.86</v>
      </c>
      <c r="AE137">
        <v>9</v>
      </c>
      <c r="AF137">
        <v>5</v>
      </c>
      <c r="AG137">
        <v>6</v>
      </c>
      <c r="AH137">
        <v>3</v>
      </c>
    </row>
    <row r="138" spans="1:34">
      <c r="A138" s="102">
        <v>169</v>
      </c>
      <c r="B138">
        <v>4183</v>
      </c>
      <c r="C138" s="106" t="s">
        <v>299</v>
      </c>
      <c r="D138" s="106" t="s">
        <v>62</v>
      </c>
      <c r="E138">
        <v>2709</v>
      </c>
      <c r="F138">
        <v>2701</v>
      </c>
      <c r="G138">
        <v>400</v>
      </c>
      <c r="H138" s="106" t="s">
        <v>61</v>
      </c>
      <c r="I138">
        <v>7762</v>
      </c>
      <c r="J138" s="106" t="s">
        <v>107</v>
      </c>
      <c r="K138" s="106" t="s">
        <v>93</v>
      </c>
      <c r="L138">
        <v>615</v>
      </c>
      <c r="M138">
        <v>612</v>
      </c>
      <c r="N138">
        <v>1800</v>
      </c>
      <c r="O138" s="106" t="s">
        <v>63</v>
      </c>
      <c r="P138">
        <v>0.91450828641109805</v>
      </c>
      <c r="Q138">
        <v>0.90898290250676905</v>
      </c>
      <c r="R138">
        <v>0.193224553648257</v>
      </c>
      <c r="S138">
        <v>5.2620722772550197E-3</v>
      </c>
      <c r="T138">
        <v>-0.94003816940953999</v>
      </c>
      <c r="U138">
        <v>0.94003816940953999</v>
      </c>
      <c r="V138">
        <v>-2.14</v>
      </c>
      <c r="W138">
        <v>1.96</v>
      </c>
      <c r="X138">
        <v>760</v>
      </c>
      <c r="Y138">
        <v>54</v>
      </c>
      <c r="Z138">
        <v>-0.05</v>
      </c>
      <c r="AA138">
        <v>14</v>
      </c>
      <c r="AB138">
        <v>8</v>
      </c>
      <c r="AC138">
        <v>6</v>
      </c>
      <c r="AD138">
        <v>57.14</v>
      </c>
      <c r="AE138">
        <v>15</v>
      </c>
      <c r="AF138">
        <v>3</v>
      </c>
      <c r="AG138">
        <v>4</v>
      </c>
      <c r="AH138">
        <v>7</v>
      </c>
    </row>
    <row r="139" spans="1:34">
      <c r="A139" s="102">
        <v>137</v>
      </c>
      <c r="B139">
        <v>2175</v>
      </c>
      <c r="C139" s="106" t="s">
        <v>324</v>
      </c>
      <c r="D139" s="106" t="s">
        <v>120</v>
      </c>
      <c r="E139">
        <v>3020</v>
      </c>
      <c r="F139">
        <v>2962</v>
      </c>
      <c r="G139">
        <v>300</v>
      </c>
      <c r="H139" s="106" t="s">
        <v>61</v>
      </c>
      <c r="I139">
        <v>6098</v>
      </c>
      <c r="J139" s="106" t="s">
        <v>336</v>
      </c>
      <c r="K139" s="106" t="s">
        <v>120</v>
      </c>
      <c r="L139">
        <v>4121</v>
      </c>
      <c r="M139">
        <v>4086</v>
      </c>
      <c r="N139">
        <v>200</v>
      </c>
      <c r="O139" s="106" t="s">
        <v>63</v>
      </c>
      <c r="P139">
        <v>0.95295115560111598</v>
      </c>
      <c r="Q139">
        <v>0.916265851848034</v>
      </c>
      <c r="R139" s="15">
        <v>5.2008051784894402E-7</v>
      </c>
      <c r="S139">
        <v>4.87430447709232E-2</v>
      </c>
      <c r="T139">
        <v>-1.89782817104615</v>
      </c>
      <c r="U139">
        <v>1.89782817104615</v>
      </c>
      <c r="V139">
        <v>-6.24</v>
      </c>
      <c r="W139">
        <v>8.74</v>
      </c>
      <c r="X139">
        <v>-1755</v>
      </c>
      <c r="Y139">
        <v>-103</v>
      </c>
      <c r="Z139">
        <v>0.05</v>
      </c>
      <c r="AA139">
        <v>17</v>
      </c>
      <c r="AB139">
        <v>9</v>
      </c>
      <c r="AC139">
        <v>8</v>
      </c>
      <c r="AD139">
        <v>52.94</v>
      </c>
      <c r="AE139">
        <v>10</v>
      </c>
      <c r="AF139">
        <v>8</v>
      </c>
      <c r="AG139">
        <v>5</v>
      </c>
      <c r="AH139">
        <v>4</v>
      </c>
    </row>
    <row r="140" spans="1:34">
      <c r="A140" s="102">
        <v>111</v>
      </c>
      <c r="B140">
        <v>4208</v>
      </c>
      <c r="C140" s="106" t="s">
        <v>98</v>
      </c>
      <c r="D140" s="106" t="s">
        <v>62</v>
      </c>
      <c r="E140">
        <v>2440</v>
      </c>
      <c r="F140">
        <v>2443</v>
      </c>
      <c r="G140">
        <v>400</v>
      </c>
      <c r="H140" s="106" t="s">
        <v>61</v>
      </c>
      <c r="I140">
        <v>5991</v>
      </c>
      <c r="J140" s="106" t="s">
        <v>115</v>
      </c>
      <c r="K140" s="106" t="s">
        <v>116</v>
      </c>
      <c r="L140">
        <v>1030</v>
      </c>
      <c r="M140">
        <v>1029</v>
      </c>
      <c r="N140">
        <v>900</v>
      </c>
      <c r="O140" s="106" t="s">
        <v>63</v>
      </c>
      <c r="P140">
        <v>0.91881138699675502</v>
      </c>
      <c r="Q140">
        <v>0.92152515378890898</v>
      </c>
      <c r="R140" s="15">
        <v>7.2749530810025304E-2</v>
      </c>
      <c r="S140">
        <v>6.5951360113595495E-2</v>
      </c>
      <c r="T140">
        <v>-1.4985896214951899</v>
      </c>
      <c r="U140">
        <v>1.4985896214951899</v>
      </c>
      <c r="V140">
        <v>-7.37</v>
      </c>
      <c r="W140">
        <v>5.23</v>
      </c>
      <c r="X140">
        <v>-2779</v>
      </c>
      <c r="Y140">
        <v>-174</v>
      </c>
      <c r="Z140">
        <v>-0.06</v>
      </c>
      <c r="AA140">
        <v>16</v>
      </c>
      <c r="AB140">
        <v>8</v>
      </c>
      <c r="AC140">
        <v>8</v>
      </c>
      <c r="AD140">
        <v>50</v>
      </c>
      <c r="AE140">
        <v>12</v>
      </c>
      <c r="AF140">
        <v>6</v>
      </c>
      <c r="AG140">
        <v>4</v>
      </c>
      <c r="AH140">
        <v>6</v>
      </c>
    </row>
    <row r="141" spans="1:34">
      <c r="A141" s="102">
        <v>100</v>
      </c>
      <c r="B141">
        <v>4183</v>
      </c>
      <c r="C141" s="106" t="s">
        <v>299</v>
      </c>
      <c r="D141" s="106" t="s">
        <v>62</v>
      </c>
      <c r="E141">
        <v>2709</v>
      </c>
      <c r="F141">
        <v>2701</v>
      </c>
      <c r="G141">
        <v>400</v>
      </c>
      <c r="H141" s="106" t="s">
        <v>61</v>
      </c>
      <c r="I141">
        <v>6301</v>
      </c>
      <c r="J141" s="106" t="s">
        <v>109</v>
      </c>
      <c r="K141" s="106" t="s">
        <v>99</v>
      </c>
      <c r="L141">
        <v>2685</v>
      </c>
      <c r="M141">
        <v>2682</v>
      </c>
      <c r="N141">
        <v>400</v>
      </c>
      <c r="O141" s="106" t="s">
        <v>63</v>
      </c>
      <c r="P141">
        <v>0.91833669777393501</v>
      </c>
      <c r="Q141">
        <v>0.92661770304116697</v>
      </c>
      <c r="R141" s="15">
        <v>0.19274912595954299</v>
      </c>
      <c r="S141">
        <v>1.0130705452851101E-3</v>
      </c>
      <c r="T141">
        <v>-0.26182147899934299</v>
      </c>
      <c r="U141">
        <v>0.26182147899934299</v>
      </c>
      <c r="V141">
        <v>-0.44</v>
      </c>
      <c r="W141">
        <v>0.7</v>
      </c>
      <c r="X141">
        <v>-3844</v>
      </c>
      <c r="Y141">
        <v>-384</v>
      </c>
      <c r="Z141">
        <v>0.04</v>
      </c>
      <c r="AA141">
        <v>10</v>
      </c>
      <c r="AB141">
        <v>6</v>
      </c>
      <c r="AC141">
        <v>4</v>
      </c>
      <c r="AD141">
        <v>60</v>
      </c>
      <c r="AE141">
        <v>15</v>
      </c>
      <c r="AF141">
        <v>1</v>
      </c>
      <c r="AG141">
        <v>1</v>
      </c>
      <c r="AH141">
        <v>8</v>
      </c>
    </row>
    <row r="142" spans="1:34">
      <c r="A142" s="102">
        <v>1</v>
      </c>
      <c r="B142">
        <v>6995</v>
      </c>
      <c r="C142" s="106" t="s">
        <v>91</v>
      </c>
      <c r="D142" s="106" t="s">
        <v>84</v>
      </c>
      <c r="E142">
        <v>2237</v>
      </c>
      <c r="F142">
        <v>2255</v>
      </c>
      <c r="G142">
        <v>400</v>
      </c>
      <c r="H142" s="106" t="s">
        <v>61</v>
      </c>
      <c r="I142">
        <v>7282</v>
      </c>
      <c r="J142" s="106" t="s">
        <v>786</v>
      </c>
      <c r="K142" s="106" t="s">
        <v>84</v>
      </c>
      <c r="L142">
        <v>2790</v>
      </c>
      <c r="M142">
        <v>2806</v>
      </c>
      <c r="N142">
        <v>300</v>
      </c>
      <c r="O142" s="106" t="s">
        <v>63</v>
      </c>
      <c r="P142">
        <v>0.98983726024517205</v>
      </c>
      <c r="Q142">
        <v>0.97497638398209197</v>
      </c>
      <c r="R142">
        <v>3.4754973749446701E-2</v>
      </c>
      <c r="S142" s="15">
        <v>4.9063516207801198E-3</v>
      </c>
      <c r="T142">
        <v>-1.8194737707221</v>
      </c>
      <c r="U142">
        <v>1.8194737707221</v>
      </c>
      <c r="V142">
        <v>-4.21</v>
      </c>
      <c r="W142">
        <v>7.15</v>
      </c>
      <c r="X142">
        <v>-4300</v>
      </c>
      <c r="Y142">
        <v>-287</v>
      </c>
      <c r="Z142">
        <v>-0.08</v>
      </c>
      <c r="AA142">
        <v>15</v>
      </c>
      <c r="AB142">
        <v>7</v>
      </c>
      <c r="AC142">
        <v>8</v>
      </c>
      <c r="AD142">
        <v>46.67</v>
      </c>
      <c r="AE142">
        <v>13</v>
      </c>
      <c r="AF142">
        <v>3</v>
      </c>
      <c r="AG142">
        <v>2</v>
      </c>
      <c r="AH142">
        <v>10</v>
      </c>
    </row>
    <row r="143" spans="1:34">
      <c r="A143" s="102">
        <v>61</v>
      </c>
      <c r="B143">
        <v>6752</v>
      </c>
      <c r="C143" s="106" t="s">
        <v>105</v>
      </c>
      <c r="D143" s="106" t="s">
        <v>87</v>
      </c>
      <c r="E143">
        <v>1025</v>
      </c>
      <c r="F143">
        <v>1026.5</v>
      </c>
      <c r="G143">
        <v>1000</v>
      </c>
      <c r="H143" s="106" t="s">
        <v>63</v>
      </c>
      <c r="I143">
        <v>8002</v>
      </c>
      <c r="J143" s="106" t="s">
        <v>31</v>
      </c>
      <c r="K143" s="106" t="s">
        <v>101</v>
      </c>
      <c r="L143">
        <v>821</v>
      </c>
      <c r="M143">
        <v>819</v>
      </c>
      <c r="N143">
        <v>1300</v>
      </c>
      <c r="O143" s="106" t="s">
        <v>61</v>
      </c>
      <c r="P143">
        <v>0.93450926204232798</v>
      </c>
      <c r="Q143">
        <v>0.93626853570286495</v>
      </c>
      <c r="R143">
        <v>2.5591280286899599E-2</v>
      </c>
      <c r="S143">
        <v>9.5754084747545201E-4</v>
      </c>
      <c r="T143">
        <v>0.59706410014245803</v>
      </c>
      <c r="U143">
        <v>0.59706410014245803</v>
      </c>
      <c r="V143">
        <v>1.55</v>
      </c>
      <c r="W143">
        <v>3.72</v>
      </c>
      <c r="X143">
        <v>-4844</v>
      </c>
      <c r="Y143">
        <v>-231</v>
      </c>
      <c r="Z143">
        <v>-0.02</v>
      </c>
      <c r="AA143">
        <v>21</v>
      </c>
      <c r="AB143">
        <v>11</v>
      </c>
      <c r="AC143">
        <v>10</v>
      </c>
      <c r="AD143">
        <v>52.38</v>
      </c>
      <c r="AE143">
        <v>15</v>
      </c>
      <c r="AF143">
        <v>5</v>
      </c>
      <c r="AG143">
        <v>4</v>
      </c>
      <c r="AH143">
        <v>12</v>
      </c>
    </row>
    <row r="144" spans="1:34">
      <c r="A144" s="102">
        <v>70</v>
      </c>
      <c r="B144">
        <v>3003</v>
      </c>
      <c r="C144" s="106" t="s">
        <v>1049</v>
      </c>
      <c r="D144" s="106" t="s">
        <v>114</v>
      </c>
      <c r="E144">
        <v>1319</v>
      </c>
      <c r="F144">
        <v>1339</v>
      </c>
      <c r="G144">
        <v>800</v>
      </c>
      <c r="H144" s="106" t="s">
        <v>61</v>
      </c>
      <c r="I144">
        <v>6952</v>
      </c>
      <c r="J144" s="106" t="s">
        <v>790</v>
      </c>
      <c r="K144" s="106" t="s">
        <v>87</v>
      </c>
      <c r="L144">
        <v>2158</v>
      </c>
      <c r="M144">
        <v>2199</v>
      </c>
      <c r="N144">
        <v>500</v>
      </c>
      <c r="O144" s="106" t="s">
        <v>63</v>
      </c>
      <c r="P144">
        <v>0.90012559182679797</v>
      </c>
      <c r="Q144">
        <v>0.93359659703742404</v>
      </c>
      <c r="R144">
        <v>0.20901525262940801</v>
      </c>
      <c r="S144">
        <v>0.29188055974497801</v>
      </c>
      <c r="T144">
        <v>-0.82500857340783795</v>
      </c>
      <c r="U144">
        <v>0.82500857340783795</v>
      </c>
      <c r="V144">
        <v>-5.0999999999999996</v>
      </c>
      <c r="W144">
        <v>2.57</v>
      </c>
      <c r="X144">
        <v>-10221</v>
      </c>
      <c r="Y144">
        <v>-568</v>
      </c>
      <c r="Z144">
        <v>-0.03</v>
      </c>
      <c r="AA144">
        <v>18</v>
      </c>
      <c r="AB144">
        <v>9</v>
      </c>
      <c r="AC144">
        <v>9</v>
      </c>
      <c r="AD144">
        <v>50</v>
      </c>
      <c r="AE144">
        <v>13</v>
      </c>
      <c r="AF144">
        <v>5</v>
      </c>
      <c r="AG144">
        <v>4</v>
      </c>
      <c r="AH144">
        <v>9</v>
      </c>
    </row>
    <row r="145" spans="1:34">
      <c r="A145" s="102">
        <v>123</v>
      </c>
      <c r="B145">
        <v>4686</v>
      </c>
      <c r="C145" s="106" t="s">
        <v>1003</v>
      </c>
      <c r="D145" s="106" t="s">
        <v>79</v>
      </c>
      <c r="E145">
        <v>6190</v>
      </c>
      <c r="F145">
        <v>6180</v>
      </c>
      <c r="G145">
        <v>100</v>
      </c>
      <c r="H145" s="106" t="s">
        <v>63</v>
      </c>
      <c r="I145">
        <v>6845</v>
      </c>
      <c r="J145" s="106" t="s">
        <v>305</v>
      </c>
      <c r="K145" s="106" t="s">
        <v>87</v>
      </c>
      <c r="L145">
        <v>3160</v>
      </c>
      <c r="M145">
        <v>3180</v>
      </c>
      <c r="N145">
        <v>200</v>
      </c>
      <c r="O145" s="106" t="s">
        <v>61</v>
      </c>
      <c r="P145">
        <v>0.92625048418613998</v>
      </c>
      <c r="Q145">
        <v>0.91888189011433297</v>
      </c>
      <c r="R145" s="106">
        <v>0.14211956646943499</v>
      </c>
      <c r="S145">
        <v>0.154407378947091</v>
      </c>
      <c r="T145">
        <v>1.85559192435395</v>
      </c>
      <c r="U145">
        <v>1.85559192435395</v>
      </c>
      <c r="V145">
        <v>19.53</v>
      </c>
      <c r="W145">
        <v>2.91</v>
      </c>
      <c r="X145">
        <v>-13536</v>
      </c>
      <c r="Y145">
        <v>-712</v>
      </c>
      <c r="Z145">
        <v>-0.09</v>
      </c>
      <c r="AA145">
        <v>19</v>
      </c>
      <c r="AB145">
        <v>11</v>
      </c>
      <c r="AC145">
        <v>8</v>
      </c>
      <c r="AD145">
        <v>57.89</v>
      </c>
      <c r="AE145">
        <v>10</v>
      </c>
      <c r="AF145">
        <v>10</v>
      </c>
      <c r="AG145">
        <v>8</v>
      </c>
      <c r="AH145">
        <v>1</v>
      </c>
    </row>
    <row r="146" spans="1:34">
      <c r="A146" s="102">
        <v>21</v>
      </c>
      <c r="B146">
        <v>1928</v>
      </c>
      <c r="C146" s="106" t="s">
        <v>300</v>
      </c>
      <c r="D146" s="106" t="s">
        <v>78</v>
      </c>
      <c r="E146">
        <v>2371</v>
      </c>
      <c r="F146">
        <v>2377.5</v>
      </c>
      <c r="G146">
        <v>400</v>
      </c>
      <c r="H146" s="106" t="s">
        <v>63</v>
      </c>
      <c r="I146">
        <v>4613</v>
      </c>
      <c r="J146" s="106" t="s">
        <v>317</v>
      </c>
      <c r="K146" s="106" t="s">
        <v>62</v>
      </c>
      <c r="L146">
        <v>2660</v>
      </c>
      <c r="M146">
        <v>2650</v>
      </c>
      <c r="N146">
        <v>400</v>
      </c>
      <c r="O146" s="106" t="s">
        <v>61</v>
      </c>
      <c r="P146">
        <v>0.903796107051546</v>
      </c>
      <c r="Q146">
        <v>0.951787656967783</v>
      </c>
      <c r="R146">
        <v>6.77461540073164E-2</v>
      </c>
      <c r="S146">
        <v>6.1172644411983702E-2</v>
      </c>
      <c r="T146">
        <v>1.9268090860356399</v>
      </c>
      <c r="U146">
        <v>1.9268090860356399</v>
      </c>
      <c r="V146">
        <v>3.5</v>
      </c>
      <c r="W146">
        <v>10.28</v>
      </c>
      <c r="X146">
        <v>-16022</v>
      </c>
      <c r="Y146">
        <v>-1232</v>
      </c>
      <c r="Z146">
        <v>-0.04</v>
      </c>
      <c r="AA146">
        <v>13</v>
      </c>
      <c r="AB146">
        <v>7</v>
      </c>
      <c r="AC146">
        <v>6</v>
      </c>
      <c r="AD146">
        <v>53.85</v>
      </c>
      <c r="AE146">
        <v>13</v>
      </c>
      <c r="AF146">
        <v>5</v>
      </c>
      <c r="AG146">
        <v>3</v>
      </c>
      <c r="AH146">
        <v>5</v>
      </c>
    </row>
    <row r="147" spans="1:34">
      <c r="A147" s="102">
        <v>117</v>
      </c>
      <c r="B147">
        <v>6702</v>
      </c>
      <c r="C147" s="106" t="s">
        <v>329</v>
      </c>
      <c r="D147" s="106" t="s">
        <v>87</v>
      </c>
      <c r="E147">
        <v>10320</v>
      </c>
      <c r="F147">
        <v>10265</v>
      </c>
      <c r="G147">
        <v>100</v>
      </c>
      <c r="H147" s="106" t="s">
        <v>61</v>
      </c>
      <c r="I147">
        <v>6755</v>
      </c>
      <c r="J147" s="106" t="s">
        <v>1005</v>
      </c>
      <c r="K147" s="106" t="s">
        <v>87</v>
      </c>
      <c r="L147">
        <v>2410</v>
      </c>
      <c r="M147">
        <v>2427</v>
      </c>
      <c r="N147">
        <v>400</v>
      </c>
      <c r="O147" s="106" t="s">
        <v>63</v>
      </c>
      <c r="P147">
        <v>0.90438595127264099</v>
      </c>
      <c r="Q147">
        <v>0.92025425047985299</v>
      </c>
      <c r="R147">
        <v>0.33721273107636102</v>
      </c>
      <c r="S147" s="15">
        <v>3.3626730863928499E-2</v>
      </c>
      <c r="T147">
        <v>-2.6171986145732</v>
      </c>
      <c r="U147">
        <v>2.6171986145732</v>
      </c>
      <c r="V147">
        <v>-12.6</v>
      </c>
      <c r="W147">
        <v>5.43</v>
      </c>
      <c r="X147">
        <v>-16047</v>
      </c>
      <c r="Y147">
        <v>-944</v>
      </c>
      <c r="Z147">
        <v>-0.05</v>
      </c>
      <c r="AA147">
        <v>17</v>
      </c>
      <c r="AB147">
        <v>7</v>
      </c>
      <c r="AC147">
        <v>10</v>
      </c>
      <c r="AD147">
        <v>41.18</v>
      </c>
      <c r="AE147">
        <v>13</v>
      </c>
      <c r="AF147">
        <v>5</v>
      </c>
      <c r="AG147">
        <v>6</v>
      </c>
      <c r="AH147">
        <v>6</v>
      </c>
    </row>
    <row r="148" spans="1:34">
      <c r="A148" s="102">
        <v>57</v>
      </c>
      <c r="B148">
        <v>6457</v>
      </c>
      <c r="C148" s="106" t="s">
        <v>312</v>
      </c>
      <c r="D148" s="106" t="s">
        <v>99</v>
      </c>
      <c r="E148">
        <v>3350</v>
      </c>
      <c r="F148">
        <v>3370</v>
      </c>
      <c r="G148">
        <v>300</v>
      </c>
      <c r="H148" s="106" t="s">
        <v>63</v>
      </c>
      <c r="I148">
        <v>6845</v>
      </c>
      <c r="J148" s="106" t="s">
        <v>305</v>
      </c>
      <c r="K148" s="106" t="s">
        <v>87</v>
      </c>
      <c r="L148">
        <v>3160</v>
      </c>
      <c r="M148">
        <v>3180</v>
      </c>
      <c r="N148">
        <v>300</v>
      </c>
      <c r="O148" s="106" t="s">
        <v>61</v>
      </c>
      <c r="P148">
        <v>0.94649040908914905</v>
      </c>
      <c r="Q148">
        <v>0.93719605271703399</v>
      </c>
      <c r="R148">
        <v>3.6337251715134302E-3</v>
      </c>
      <c r="S148" s="15">
        <v>3.6333107480879201E-2</v>
      </c>
      <c r="T148">
        <v>0.30524154246732399</v>
      </c>
      <c r="U148">
        <v>0.30524154246732399</v>
      </c>
      <c r="V148">
        <v>0.44</v>
      </c>
      <c r="W148">
        <v>5.64</v>
      </c>
      <c r="X148">
        <v>-22683</v>
      </c>
      <c r="Y148">
        <v>-2062</v>
      </c>
      <c r="Z148">
        <v>-0.06</v>
      </c>
      <c r="AA148">
        <v>11</v>
      </c>
      <c r="AB148">
        <v>6</v>
      </c>
      <c r="AC148">
        <v>5</v>
      </c>
      <c r="AD148">
        <v>54.55</v>
      </c>
      <c r="AE148">
        <v>15</v>
      </c>
      <c r="AF148">
        <v>2</v>
      </c>
      <c r="AG148">
        <v>1</v>
      </c>
      <c r="AH148">
        <v>8</v>
      </c>
    </row>
    <row r="149" spans="1:34">
      <c r="A149" s="102">
        <v>53</v>
      </c>
      <c r="B149">
        <v>4519</v>
      </c>
      <c r="C149" s="106" t="s">
        <v>787</v>
      </c>
      <c r="D149" s="106" t="s">
        <v>135</v>
      </c>
      <c r="E149">
        <v>9976</v>
      </c>
      <c r="F149">
        <v>9972</v>
      </c>
      <c r="G149">
        <v>100</v>
      </c>
      <c r="H149" s="106" t="s">
        <v>61</v>
      </c>
      <c r="I149">
        <v>6920</v>
      </c>
      <c r="J149" s="106" t="s">
        <v>86</v>
      </c>
      <c r="K149" s="106" t="s">
        <v>87</v>
      </c>
      <c r="L149">
        <v>10100</v>
      </c>
      <c r="M149">
        <v>10200</v>
      </c>
      <c r="N149">
        <v>100</v>
      </c>
      <c r="O149" s="106" t="s">
        <v>63</v>
      </c>
      <c r="P149">
        <v>0.92328330147711901</v>
      </c>
      <c r="Q149">
        <v>0.93838481327119205</v>
      </c>
      <c r="R149">
        <v>0.14823534815188599</v>
      </c>
      <c r="S149">
        <v>4.9965590032604798E-2</v>
      </c>
      <c r="T149">
        <v>-1.73901043820501</v>
      </c>
      <c r="U149">
        <v>1.73901043820501</v>
      </c>
      <c r="V149">
        <v>-13.84</v>
      </c>
      <c r="W149">
        <v>2.2400000000000002</v>
      </c>
      <c r="X149">
        <v>-24389</v>
      </c>
      <c r="Y149">
        <v>-2217</v>
      </c>
      <c r="Z149">
        <v>-0.19</v>
      </c>
      <c r="AA149">
        <v>11</v>
      </c>
      <c r="AB149">
        <v>6</v>
      </c>
      <c r="AC149">
        <v>5</v>
      </c>
      <c r="AD149">
        <v>54.55</v>
      </c>
      <c r="AE149">
        <v>8</v>
      </c>
      <c r="AF149">
        <v>6</v>
      </c>
      <c r="AG149">
        <v>5</v>
      </c>
      <c r="AH149">
        <v>0</v>
      </c>
    </row>
    <row r="150" spans="1:34">
      <c r="A150" s="102">
        <v>166</v>
      </c>
      <c r="B150">
        <v>6371</v>
      </c>
      <c r="C150" s="106" t="s">
        <v>108</v>
      </c>
      <c r="D150" s="106" t="s">
        <v>99</v>
      </c>
      <c r="E150">
        <v>3895</v>
      </c>
      <c r="F150">
        <v>3925</v>
      </c>
      <c r="G150">
        <v>200</v>
      </c>
      <c r="H150" s="106" t="s">
        <v>61</v>
      </c>
      <c r="I150">
        <v>7272</v>
      </c>
      <c r="J150" s="106" t="s">
        <v>298</v>
      </c>
      <c r="K150" s="106" t="s">
        <v>84</v>
      </c>
      <c r="L150">
        <v>2303</v>
      </c>
      <c r="M150">
        <v>2293</v>
      </c>
      <c r="N150">
        <v>300</v>
      </c>
      <c r="O150" s="106" t="s">
        <v>63</v>
      </c>
      <c r="P150">
        <v>0.90495559058757502</v>
      </c>
      <c r="Q150">
        <v>0.90997176253988599</v>
      </c>
      <c r="R150">
        <v>0.32268909437336002</v>
      </c>
      <c r="S150">
        <v>7.3799443806456498E-3</v>
      </c>
      <c r="T150">
        <v>-0.35739453409656702</v>
      </c>
      <c r="U150">
        <v>0.35739453409656702</v>
      </c>
      <c r="V150">
        <v>-1.26</v>
      </c>
      <c r="W150">
        <v>12.37</v>
      </c>
      <c r="X150">
        <v>-28954</v>
      </c>
      <c r="Y150">
        <v>-2632</v>
      </c>
      <c r="Z150">
        <v>-0.13</v>
      </c>
      <c r="AA150">
        <v>11</v>
      </c>
      <c r="AB150">
        <v>6</v>
      </c>
      <c r="AC150">
        <v>5</v>
      </c>
      <c r="AD150">
        <v>54.55</v>
      </c>
      <c r="AE150">
        <v>13</v>
      </c>
      <c r="AF150">
        <v>3</v>
      </c>
      <c r="AG150">
        <v>3</v>
      </c>
      <c r="AH150">
        <v>5</v>
      </c>
    </row>
    <row r="151" spans="1:34">
      <c r="A151" s="102">
        <v>102</v>
      </c>
      <c r="B151">
        <v>2127</v>
      </c>
      <c r="C151" s="106" t="s">
        <v>1052</v>
      </c>
      <c r="D151" s="106" t="s">
        <v>120</v>
      </c>
      <c r="E151">
        <v>3650</v>
      </c>
      <c r="F151">
        <v>3625</v>
      </c>
      <c r="G151">
        <v>200</v>
      </c>
      <c r="H151" s="106" t="s">
        <v>61</v>
      </c>
      <c r="I151">
        <v>6028</v>
      </c>
      <c r="J151" s="106" t="s">
        <v>1053</v>
      </c>
      <c r="K151" s="106" t="s">
        <v>120</v>
      </c>
      <c r="L151">
        <v>7770</v>
      </c>
      <c r="M151">
        <v>7780</v>
      </c>
      <c r="N151">
        <v>100</v>
      </c>
      <c r="O151" s="106" t="s">
        <v>63</v>
      </c>
      <c r="P151">
        <v>0.91933501624604796</v>
      </c>
      <c r="Q151">
        <v>0.92577109339986896</v>
      </c>
      <c r="R151">
        <v>0.121177199290236</v>
      </c>
      <c r="S151">
        <v>5.9537818898857504E-4</v>
      </c>
      <c r="T151">
        <v>-0.83506914202322302</v>
      </c>
      <c r="U151">
        <v>0.83506914202322302</v>
      </c>
      <c r="V151">
        <v>-3.56</v>
      </c>
      <c r="W151">
        <v>6.81</v>
      </c>
      <c r="X151">
        <v>-29288</v>
      </c>
      <c r="Y151">
        <v>-2441</v>
      </c>
      <c r="Z151">
        <v>0.06</v>
      </c>
      <c r="AA151">
        <v>12</v>
      </c>
      <c r="AB151">
        <v>6</v>
      </c>
      <c r="AC151">
        <v>6</v>
      </c>
      <c r="AD151">
        <v>50</v>
      </c>
      <c r="AE151">
        <v>13</v>
      </c>
      <c r="AF151">
        <v>4</v>
      </c>
      <c r="AG151">
        <v>3</v>
      </c>
      <c r="AH151">
        <v>5</v>
      </c>
    </row>
    <row r="152" spans="1:34">
      <c r="A152" s="102">
        <v>140</v>
      </c>
      <c r="B152">
        <v>7282</v>
      </c>
      <c r="C152" s="106" t="s">
        <v>786</v>
      </c>
      <c r="D152" s="106" t="s">
        <v>84</v>
      </c>
      <c r="E152">
        <v>2790</v>
      </c>
      <c r="F152">
        <v>2806</v>
      </c>
      <c r="G152">
        <v>400</v>
      </c>
      <c r="H152" s="106" t="s">
        <v>63</v>
      </c>
      <c r="I152">
        <v>9810</v>
      </c>
      <c r="J152" s="106" t="s">
        <v>126</v>
      </c>
      <c r="K152" s="106" t="s">
        <v>101</v>
      </c>
      <c r="L152">
        <v>5250</v>
      </c>
      <c r="M152">
        <v>5270</v>
      </c>
      <c r="N152">
        <v>200</v>
      </c>
      <c r="O152" s="106" t="s">
        <v>61</v>
      </c>
      <c r="P152">
        <v>0.94206452163755705</v>
      </c>
      <c r="Q152">
        <v>0.91515173212623202</v>
      </c>
      <c r="R152" s="15">
        <v>0.106662500551548</v>
      </c>
      <c r="S152" s="15">
        <v>5.2700571864163701E-2</v>
      </c>
      <c r="T152">
        <v>1.22060807075057</v>
      </c>
      <c r="U152">
        <v>1.22060807075057</v>
      </c>
      <c r="V152">
        <v>3.85</v>
      </c>
      <c r="W152">
        <v>6.49</v>
      </c>
      <c r="X152">
        <v>-34366</v>
      </c>
      <c r="Y152">
        <v>-2022</v>
      </c>
      <c r="Z152">
        <v>-0.2</v>
      </c>
      <c r="AA152">
        <v>17</v>
      </c>
      <c r="AB152">
        <v>9</v>
      </c>
      <c r="AC152">
        <v>8</v>
      </c>
      <c r="AD152">
        <v>52.94</v>
      </c>
      <c r="AE152">
        <v>12</v>
      </c>
      <c r="AF152">
        <v>5</v>
      </c>
      <c r="AG152">
        <v>6</v>
      </c>
      <c r="AH152">
        <v>6</v>
      </c>
    </row>
    <row r="153" spans="1:34">
      <c r="A153" s="102">
        <v>124</v>
      </c>
      <c r="B153">
        <v>3635</v>
      </c>
      <c r="C153" s="106" t="s">
        <v>85</v>
      </c>
      <c r="D153" s="106" t="s">
        <v>79</v>
      </c>
      <c r="E153">
        <v>2779</v>
      </c>
      <c r="F153">
        <v>2820</v>
      </c>
      <c r="G153">
        <v>300</v>
      </c>
      <c r="H153" s="106" t="s">
        <v>61</v>
      </c>
      <c r="I153">
        <v>6951</v>
      </c>
      <c r="J153" s="106" t="s">
        <v>320</v>
      </c>
      <c r="K153" s="106" t="s">
        <v>87</v>
      </c>
      <c r="L153">
        <v>3255</v>
      </c>
      <c r="M153">
        <v>3240</v>
      </c>
      <c r="N153">
        <v>300</v>
      </c>
      <c r="O153" s="106" t="s">
        <v>63</v>
      </c>
      <c r="P153">
        <v>0.93175283897370298</v>
      </c>
      <c r="Q153">
        <v>0.91871073822431903</v>
      </c>
      <c r="R153" s="106">
        <v>5.0595449154459099E-2</v>
      </c>
      <c r="S153" s="15">
        <v>0.11924012472434101</v>
      </c>
      <c r="T153">
        <v>-0.16149215181662999</v>
      </c>
      <c r="U153">
        <v>0.16149215181662999</v>
      </c>
      <c r="V153">
        <v>-0.63</v>
      </c>
      <c r="W153">
        <v>12.96</v>
      </c>
      <c r="X153">
        <v>-35613</v>
      </c>
      <c r="Y153">
        <v>-2544</v>
      </c>
      <c r="Z153">
        <v>-0.08</v>
      </c>
      <c r="AA153">
        <v>14</v>
      </c>
      <c r="AB153">
        <v>6</v>
      </c>
      <c r="AC153">
        <v>8</v>
      </c>
      <c r="AD153">
        <v>42.86</v>
      </c>
      <c r="AE153">
        <v>11</v>
      </c>
      <c r="AF153">
        <v>4</v>
      </c>
      <c r="AG153">
        <v>5</v>
      </c>
      <c r="AH153">
        <v>5</v>
      </c>
    </row>
    <row r="154" spans="1:34">
      <c r="A154" s="102">
        <v>160</v>
      </c>
      <c r="B154">
        <v>1973</v>
      </c>
      <c r="C154" s="106" t="s">
        <v>308</v>
      </c>
      <c r="D154" s="106" t="s">
        <v>79</v>
      </c>
      <c r="E154">
        <v>3570</v>
      </c>
      <c r="F154">
        <v>3570</v>
      </c>
      <c r="G154">
        <v>200</v>
      </c>
      <c r="H154" s="106" t="s">
        <v>61</v>
      </c>
      <c r="I154">
        <v>9706</v>
      </c>
      <c r="J154" s="106" t="s">
        <v>334</v>
      </c>
      <c r="K154" s="106" t="s">
        <v>114</v>
      </c>
      <c r="L154">
        <v>6070</v>
      </c>
      <c r="M154">
        <v>6140</v>
      </c>
      <c r="N154">
        <v>100</v>
      </c>
      <c r="O154" s="106" t="s">
        <v>63</v>
      </c>
      <c r="P154">
        <v>0.91674264312251996</v>
      </c>
      <c r="Q154">
        <v>0.91122703520062198</v>
      </c>
      <c r="R154">
        <v>0.32084094185371997</v>
      </c>
      <c r="S154" s="15">
        <v>0.17159436248187199</v>
      </c>
      <c r="T154">
        <v>-1.6414422299151099</v>
      </c>
      <c r="U154">
        <v>1.6414422299151099</v>
      </c>
      <c r="V154">
        <v>-6.97</v>
      </c>
      <c r="W154">
        <v>16.29</v>
      </c>
      <c r="X154">
        <v>-36231</v>
      </c>
      <c r="Y154">
        <v>-1725</v>
      </c>
      <c r="Z154">
        <v>-0.06</v>
      </c>
      <c r="AA154">
        <v>21</v>
      </c>
      <c r="AB154">
        <v>9</v>
      </c>
      <c r="AC154">
        <v>12</v>
      </c>
      <c r="AD154">
        <v>42.86</v>
      </c>
      <c r="AE154">
        <v>10</v>
      </c>
      <c r="AF154">
        <v>8</v>
      </c>
      <c r="AG154">
        <v>8</v>
      </c>
      <c r="AH154">
        <v>5</v>
      </c>
    </row>
    <row r="155" spans="1:34">
      <c r="A155" s="102">
        <v>88</v>
      </c>
      <c r="B155">
        <v>4182</v>
      </c>
      <c r="C155" s="106" t="s">
        <v>88</v>
      </c>
      <c r="D155" s="106" t="s">
        <v>62</v>
      </c>
      <c r="E155">
        <v>1698</v>
      </c>
      <c r="F155">
        <v>1693</v>
      </c>
      <c r="G155">
        <v>600</v>
      </c>
      <c r="H155" s="106" t="s">
        <v>63</v>
      </c>
      <c r="I155">
        <v>7267</v>
      </c>
      <c r="J155" s="106" t="s">
        <v>118</v>
      </c>
      <c r="K155" s="106" t="s">
        <v>84</v>
      </c>
      <c r="L155">
        <v>3160</v>
      </c>
      <c r="M155">
        <v>3163</v>
      </c>
      <c r="N155">
        <v>300</v>
      </c>
      <c r="O155" s="106" t="s">
        <v>61</v>
      </c>
      <c r="P155">
        <v>0.93933015055235503</v>
      </c>
      <c r="Q155">
        <v>0.92920569800529096</v>
      </c>
      <c r="R155">
        <v>1.6221251456339601E-2</v>
      </c>
      <c r="S155">
        <v>2.1696798164023801E-2</v>
      </c>
      <c r="T155">
        <v>0.82640318367663301</v>
      </c>
      <c r="U155">
        <v>0.82640318367663301</v>
      </c>
      <c r="V155">
        <v>2.85</v>
      </c>
      <c r="W155">
        <v>7.05</v>
      </c>
      <c r="X155">
        <v>-37808</v>
      </c>
      <c r="Y155">
        <v>-2224</v>
      </c>
      <c r="Z155">
        <v>-0.18</v>
      </c>
      <c r="AA155">
        <v>17</v>
      </c>
      <c r="AB155">
        <v>11</v>
      </c>
      <c r="AC155">
        <v>6</v>
      </c>
      <c r="AD155">
        <v>64.709999999999994</v>
      </c>
      <c r="AE155">
        <v>14</v>
      </c>
      <c r="AF155">
        <v>4</v>
      </c>
      <c r="AG155">
        <v>4</v>
      </c>
      <c r="AH155">
        <v>9</v>
      </c>
    </row>
    <row r="156" spans="1:34">
      <c r="A156" s="102">
        <v>180</v>
      </c>
      <c r="B156">
        <v>7205</v>
      </c>
      <c r="C156" s="106" t="s">
        <v>117</v>
      </c>
      <c r="D156" s="106" t="s">
        <v>84</v>
      </c>
      <c r="E156">
        <v>1160</v>
      </c>
      <c r="F156">
        <v>1165</v>
      </c>
      <c r="G156">
        <v>900</v>
      </c>
      <c r="H156" s="106" t="s">
        <v>63</v>
      </c>
      <c r="I156">
        <v>8002</v>
      </c>
      <c r="J156" s="106" t="s">
        <v>31</v>
      </c>
      <c r="K156" s="106" t="s">
        <v>101</v>
      </c>
      <c r="L156">
        <v>821</v>
      </c>
      <c r="M156">
        <v>819</v>
      </c>
      <c r="N156">
        <v>1300</v>
      </c>
      <c r="O156" s="106" t="s">
        <v>61</v>
      </c>
      <c r="P156">
        <v>0.95775577010783997</v>
      </c>
      <c r="Q156">
        <v>0.90654597115164803</v>
      </c>
      <c r="R156">
        <v>7.8216385416870704E-2</v>
      </c>
      <c r="S156" s="15">
        <v>3.54971249278302E-2</v>
      </c>
      <c r="T156">
        <v>2.0517789435524798</v>
      </c>
      <c r="U156">
        <v>2.0517789435524798</v>
      </c>
      <c r="V156">
        <v>8.6199999999999992</v>
      </c>
      <c r="W156">
        <v>1.55</v>
      </c>
      <c r="X156">
        <v>-42476</v>
      </c>
      <c r="Y156">
        <v>-2655</v>
      </c>
      <c r="Z156">
        <v>-0.13</v>
      </c>
      <c r="AA156">
        <v>16</v>
      </c>
      <c r="AB156">
        <v>7</v>
      </c>
      <c r="AC156">
        <v>9</v>
      </c>
      <c r="AD156">
        <v>43.75</v>
      </c>
      <c r="AE156">
        <v>16</v>
      </c>
      <c r="AF156">
        <v>2</v>
      </c>
      <c r="AG156">
        <v>2</v>
      </c>
      <c r="AH156">
        <v>12</v>
      </c>
    </row>
    <row r="157" spans="1:34">
      <c r="A157" s="102">
        <v>76</v>
      </c>
      <c r="B157">
        <v>6755</v>
      </c>
      <c r="C157" s="106" t="s">
        <v>1005</v>
      </c>
      <c r="D157" s="106" t="s">
        <v>87</v>
      </c>
      <c r="E157">
        <v>2410</v>
      </c>
      <c r="F157">
        <v>2427</v>
      </c>
      <c r="G157">
        <v>300</v>
      </c>
      <c r="H157" s="106" t="s">
        <v>63</v>
      </c>
      <c r="I157">
        <v>9934</v>
      </c>
      <c r="J157" s="106" t="s">
        <v>783</v>
      </c>
      <c r="K157" s="106" t="s">
        <v>101</v>
      </c>
      <c r="L157">
        <v>2810</v>
      </c>
      <c r="M157">
        <v>2804</v>
      </c>
      <c r="N157">
        <v>300</v>
      </c>
      <c r="O157" s="106" t="s">
        <v>61</v>
      </c>
      <c r="P157">
        <v>0.96343710553805395</v>
      </c>
      <c r="Q157">
        <v>0.93212298375254199</v>
      </c>
      <c r="R157" s="106">
        <v>9.6839309687613202E-4</v>
      </c>
      <c r="S157">
        <v>6.7510900747023896E-4</v>
      </c>
      <c r="T157">
        <v>2.5036641547689702</v>
      </c>
      <c r="U157">
        <v>2.5036641547689702</v>
      </c>
      <c r="V157">
        <v>11.04</v>
      </c>
      <c r="W157">
        <v>13.45</v>
      </c>
      <c r="X157">
        <v>-49150</v>
      </c>
      <c r="Y157">
        <v>-3072</v>
      </c>
      <c r="Z157">
        <v>-0.13</v>
      </c>
      <c r="AA157">
        <v>16</v>
      </c>
      <c r="AB157">
        <v>7</v>
      </c>
      <c r="AC157">
        <v>9</v>
      </c>
      <c r="AD157">
        <v>43.75</v>
      </c>
      <c r="AE157">
        <v>14</v>
      </c>
      <c r="AF157">
        <v>4</v>
      </c>
      <c r="AG157">
        <v>3</v>
      </c>
      <c r="AH157">
        <v>9</v>
      </c>
    </row>
    <row r="158" spans="1:34">
      <c r="A158" s="102">
        <v>118</v>
      </c>
      <c r="B158">
        <v>6479</v>
      </c>
      <c r="C158" s="106" t="s">
        <v>1045</v>
      </c>
      <c r="D158" s="106" t="s">
        <v>87</v>
      </c>
      <c r="E158">
        <v>2307</v>
      </c>
      <c r="F158">
        <v>2302</v>
      </c>
      <c r="G158">
        <v>400</v>
      </c>
      <c r="H158" s="106" t="s">
        <v>61</v>
      </c>
      <c r="I158">
        <v>6807</v>
      </c>
      <c r="J158" s="106" t="s">
        <v>332</v>
      </c>
      <c r="K158" s="106" t="s">
        <v>87</v>
      </c>
      <c r="L158">
        <v>2266</v>
      </c>
      <c r="M158">
        <v>2253</v>
      </c>
      <c r="N158">
        <v>400</v>
      </c>
      <c r="O158" s="106" t="s">
        <v>63</v>
      </c>
      <c r="P158">
        <v>0.97555101683722101</v>
      </c>
      <c r="Q158">
        <v>0.91941954569587803</v>
      </c>
      <c r="R158" s="15">
        <v>4.15976918275493E-4</v>
      </c>
      <c r="S158" s="15">
        <v>3.1448708431681099E-2</v>
      </c>
      <c r="T158">
        <v>-0.80455495996654502</v>
      </c>
      <c r="U158">
        <v>0.80455495996654502</v>
      </c>
      <c r="V158">
        <v>-5.45</v>
      </c>
      <c r="W158">
        <v>2.13</v>
      </c>
      <c r="X158">
        <v>-60393</v>
      </c>
      <c r="Y158">
        <v>-3020</v>
      </c>
      <c r="Z158">
        <v>-0.18</v>
      </c>
      <c r="AA158">
        <v>20</v>
      </c>
      <c r="AB158">
        <v>9</v>
      </c>
      <c r="AC158">
        <v>11</v>
      </c>
      <c r="AD158">
        <v>45</v>
      </c>
      <c r="AE158">
        <v>12</v>
      </c>
      <c r="AF158">
        <v>7</v>
      </c>
      <c r="AG158">
        <v>7</v>
      </c>
      <c r="AH158">
        <v>6</v>
      </c>
    </row>
    <row r="159" spans="1:34">
      <c r="A159" s="102">
        <v>9</v>
      </c>
      <c r="B159">
        <v>6457</v>
      </c>
      <c r="C159" s="106" t="s">
        <v>312</v>
      </c>
      <c r="D159" s="106" t="s">
        <v>99</v>
      </c>
      <c r="E159">
        <v>3350</v>
      </c>
      <c r="F159">
        <v>3370</v>
      </c>
      <c r="G159">
        <v>200</v>
      </c>
      <c r="H159" s="106" t="s">
        <v>63</v>
      </c>
      <c r="I159">
        <v>7203</v>
      </c>
      <c r="J159" s="106" t="s">
        <v>326</v>
      </c>
      <c r="K159" s="106" t="s">
        <v>84</v>
      </c>
      <c r="L159">
        <v>7810</v>
      </c>
      <c r="M159">
        <v>7831</v>
      </c>
      <c r="N159">
        <v>100</v>
      </c>
      <c r="O159" s="106" t="s">
        <v>61</v>
      </c>
      <c r="P159">
        <v>0.937487539623166</v>
      </c>
      <c r="Q159">
        <v>0.95899264581616905</v>
      </c>
      <c r="R159">
        <v>9.0822739677504205E-2</v>
      </c>
      <c r="S159">
        <v>2.4181814681365502E-2</v>
      </c>
      <c r="T159">
        <v>0.82877074902383896</v>
      </c>
      <c r="U159">
        <v>0.82877074902383896</v>
      </c>
      <c r="V159">
        <v>1.37</v>
      </c>
      <c r="W159">
        <v>13.93</v>
      </c>
      <c r="X159">
        <v>-61118</v>
      </c>
      <c r="Y159">
        <v>-12224</v>
      </c>
      <c r="Z159">
        <v>-0.8</v>
      </c>
      <c r="AA159">
        <v>5</v>
      </c>
      <c r="AB159">
        <v>2</v>
      </c>
      <c r="AC159">
        <v>3</v>
      </c>
      <c r="AD159">
        <v>40</v>
      </c>
      <c r="AE159">
        <v>14</v>
      </c>
      <c r="AF159">
        <v>2</v>
      </c>
      <c r="AG159">
        <v>3</v>
      </c>
      <c r="AH159">
        <v>0</v>
      </c>
    </row>
    <row r="160" spans="1:34">
      <c r="A160" s="102">
        <v>85</v>
      </c>
      <c r="B160">
        <v>6702</v>
      </c>
      <c r="C160" s="106" t="s">
        <v>329</v>
      </c>
      <c r="D160" s="106" t="s">
        <v>87</v>
      </c>
      <c r="E160">
        <v>10320</v>
      </c>
      <c r="F160">
        <v>10265</v>
      </c>
      <c r="G160">
        <v>100</v>
      </c>
      <c r="H160" s="106" t="s">
        <v>63</v>
      </c>
      <c r="I160">
        <v>9934</v>
      </c>
      <c r="J160" s="106" t="s">
        <v>783</v>
      </c>
      <c r="K160" s="106" t="s">
        <v>101</v>
      </c>
      <c r="L160">
        <v>2810</v>
      </c>
      <c r="M160">
        <v>2804</v>
      </c>
      <c r="N160">
        <v>400</v>
      </c>
      <c r="O160" s="106" t="s">
        <v>61</v>
      </c>
      <c r="P160">
        <v>0.90596496642765501</v>
      </c>
      <c r="Q160">
        <v>0.93035834302157205</v>
      </c>
      <c r="R160">
        <v>0.27757861539217799</v>
      </c>
      <c r="S160" s="15">
        <v>3.4403987895834397E-2</v>
      </c>
      <c r="T160">
        <v>2.8124063723737598E-3</v>
      </c>
      <c r="U160">
        <v>2.8124063723737598E-3</v>
      </c>
      <c r="V160">
        <v>0.01</v>
      </c>
      <c r="W160">
        <v>9.26</v>
      </c>
      <c r="X160">
        <v>-69216</v>
      </c>
      <c r="Y160">
        <v>-4072</v>
      </c>
      <c r="Z160">
        <v>-0.4</v>
      </c>
      <c r="AA160">
        <v>17</v>
      </c>
      <c r="AB160">
        <v>4</v>
      </c>
      <c r="AC160">
        <v>13</v>
      </c>
      <c r="AD160">
        <v>23.53</v>
      </c>
      <c r="AE160">
        <v>14</v>
      </c>
      <c r="AF160">
        <v>4</v>
      </c>
      <c r="AG160">
        <v>3</v>
      </c>
      <c r="AH160">
        <v>10</v>
      </c>
    </row>
    <row r="161" spans="1:34">
      <c r="A161" s="102">
        <v>78</v>
      </c>
      <c r="B161">
        <v>3231</v>
      </c>
      <c r="C161" s="106" t="s">
        <v>796</v>
      </c>
      <c r="D161" s="106" t="s">
        <v>114</v>
      </c>
      <c r="E161">
        <v>2615</v>
      </c>
      <c r="F161">
        <v>2654</v>
      </c>
      <c r="G161">
        <v>400</v>
      </c>
      <c r="H161" s="106" t="s">
        <v>61</v>
      </c>
      <c r="I161">
        <v>6951</v>
      </c>
      <c r="J161" s="106" t="s">
        <v>320</v>
      </c>
      <c r="K161" s="106" t="s">
        <v>87</v>
      </c>
      <c r="L161">
        <v>3255</v>
      </c>
      <c r="M161">
        <v>3240</v>
      </c>
      <c r="N161">
        <v>300</v>
      </c>
      <c r="O161" s="106" t="s">
        <v>63</v>
      </c>
      <c r="P161">
        <v>0.92428561818596899</v>
      </c>
      <c r="Q161">
        <v>0.93198924902960201</v>
      </c>
      <c r="R161">
        <v>9.7469448950324097E-2</v>
      </c>
      <c r="S161">
        <v>4.5638839373071401E-2</v>
      </c>
      <c r="T161">
        <v>-1.6947060016411499</v>
      </c>
      <c r="U161">
        <v>1.6947060016411499</v>
      </c>
      <c r="V161">
        <v>-9.11</v>
      </c>
      <c r="W161">
        <v>9.2200000000000006</v>
      </c>
      <c r="X161">
        <v>-74636</v>
      </c>
      <c r="Y161">
        <v>-4665</v>
      </c>
      <c r="Z161">
        <v>-0.19</v>
      </c>
      <c r="AA161">
        <v>16</v>
      </c>
      <c r="AB161">
        <v>9</v>
      </c>
      <c r="AC161">
        <v>7</v>
      </c>
      <c r="AD161">
        <v>56.25</v>
      </c>
      <c r="AE161">
        <v>8</v>
      </c>
      <c r="AF161">
        <v>7</v>
      </c>
      <c r="AG161">
        <v>6</v>
      </c>
      <c r="AH161">
        <v>3</v>
      </c>
    </row>
    <row r="162" spans="1:34">
      <c r="A162" s="102">
        <v>157</v>
      </c>
      <c r="B162">
        <v>6752</v>
      </c>
      <c r="C162" s="106" t="s">
        <v>105</v>
      </c>
      <c r="D162" s="106" t="s">
        <v>87</v>
      </c>
      <c r="E162">
        <v>1025</v>
      </c>
      <c r="F162">
        <v>1026.5</v>
      </c>
      <c r="G162">
        <v>1000</v>
      </c>
      <c r="H162" s="106" t="s">
        <v>61</v>
      </c>
      <c r="I162">
        <v>8795</v>
      </c>
      <c r="J162" s="106" t="s">
        <v>134</v>
      </c>
      <c r="K162" s="106" t="s">
        <v>110</v>
      </c>
      <c r="L162">
        <v>1414</v>
      </c>
      <c r="M162">
        <v>1429</v>
      </c>
      <c r="N162">
        <v>700</v>
      </c>
      <c r="O162" s="106" t="s">
        <v>63</v>
      </c>
      <c r="P162">
        <v>0.91657049152672099</v>
      </c>
      <c r="Q162">
        <v>0.911736402679867</v>
      </c>
      <c r="R162" s="15">
        <v>2.96823251218469E-2</v>
      </c>
      <c r="S162">
        <v>9.1991393404150593E-3</v>
      </c>
      <c r="T162">
        <v>-2.5427241929664799</v>
      </c>
      <c r="U162">
        <v>2.5427241929664799</v>
      </c>
      <c r="V162">
        <v>-6.91</v>
      </c>
      <c r="W162">
        <v>2.62</v>
      </c>
      <c r="X162">
        <v>-86216</v>
      </c>
      <c r="Y162">
        <v>-5388</v>
      </c>
      <c r="Z162">
        <v>-0.22</v>
      </c>
      <c r="AA162">
        <v>16</v>
      </c>
      <c r="AB162">
        <v>6</v>
      </c>
      <c r="AC162">
        <v>10</v>
      </c>
      <c r="AD162">
        <v>37.5</v>
      </c>
      <c r="AE162">
        <v>14</v>
      </c>
      <c r="AF162">
        <v>4</v>
      </c>
      <c r="AG162">
        <v>5</v>
      </c>
      <c r="AH162">
        <v>7</v>
      </c>
    </row>
    <row r="163" spans="1:34">
      <c r="A163" s="102">
        <v>185</v>
      </c>
      <c r="B163">
        <v>7327</v>
      </c>
      <c r="C163" s="106" t="s">
        <v>140</v>
      </c>
      <c r="D163" s="106" t="s">
        <v>82</v>
      </c>
      <c r="E163">
        <v>3075</v>
      </c>
      <c r="F163">
        <v>3060</v>
      </c>
      <c r="G163">
        <v>300</v>
      </c>
      <c r="H163" s="106" t="s">
        <v>61</v>
      </c>
      <c r="I163">
        <v>7817</v>
      </c>
      <c r="J163" s="106" t="s">
        <v>1057</v>
      </c>
      <c r="K163" s="106" t="s">
        <v>1058</v>
      </c>
      <c r="L163">
        <v>4610</v>
      </c>
      <c r="M163">
        <v>4630</v>
      </c>
      <c r="N163">
        <v>200</v>
      </c>
      <c r="O163" s="106" t="s">
        <v>63</v>
      </c>
      <c r="P163">
        <v>0.92399639414481105</v>
      </c>
      <c r="Q163">
        <v>0.90493859396791398</v>
      </c>
      <c r="R163">
        <v>8.3788732368183405E-2</v>
      </c>
      <c r="S163" s="15">
        <v>0.114071375116537</v>
      </c>
      <c r="T163">
        <v>-0.65756192677167302</v>
      </c>
      <c r="U163">
        <v>0.65756192677167302</v>
      </c>
      <c r="V163">
        <v>-2</v>
      </c>
      <c r="W163">
        <v>0.86</v>
      </c>
      <c r="X163">
        <v>-96389</v>
      </c>
      <c r="Y163">
        <v>-96389</v>
      </c>
      <c r="Z163">
        <v>-4.83</v>
      </c>
      <c r="AA163">
        <v>1</v>
      </c>
      <c r="AB163">
        <v>0</v>
      </c>
      <c r="AC163">
        <v>1</v>
      </c>
      <c r="AD163">
        <v>0</v>
      </c>
      <c r="AE163">
        <v>7</v>
      </c>
      <c r="AF163">
        <v>0</v>
      </c>
      <c r="AG163">
        <v>1</v>
      </c>
      <c r="AH163">
        <v>0</v>
      </c>
    </row>
    <row r="164" spans="1:34">
      <c r="A164" s="102">
        <v>72</v>
      </c>
      <c r="B164">
        <v>6702</v>
      </c>
      <c r="C164" s="106" t="s">
        <v>329</v>
      </c>
      <c r="D164" s="106" t="s">
        <v>87</v>
      </c>
      <c r="E164">
        <v>10320</v>
      </c>
      <c r="F164">
        <v>10265</v>
      </c>
      <c r="G164">
        <v>100</v>
      </c>
      <c r="H164" s="106" t="s">
        <v>63</v>
      </c>
      <c r="I164">
        <v>6845</v>
      </c>
      <c r="J164" s="106" t="s">
        <v>305</v>
      </c>
      <c r="K164" s="106" t="s">
        <v>87</v>
      </c>
      <c r="L164">
        <v>3160</v>
      </c>
      <c r="M164">
        <v>3180</v>
      </c>
      <c r="N164">
        <v>300</v>
      </c>
      <c r="O164" s="106" t="s">
        <v>61</v>
      </c>
      <c r="P164">
        <v>0.91818711256707097</v>
      </c>
      <c r="Q164">
        <v>0.93308209490883398</v>
      </c>
      <c r="R164">
        <v>0.11496479584100699</v>
      </c>
      <c r="S164">
        <v>4.7973883296099598E-2</v>
      </c>
      <c r="T164">
        <v>1.8055168673656701</v>
      </c>
      <c r="U164">
        <v>1.8055168673656701</v>
      </c>
      <c r="V164">
        <v>5.08</v>
      </c>
      <c r="W164">
        <v>7.06</v>
      </c>
      <c r="X164">
        <v>-105326</v>
      </c>
      <c r="Y164">
        <v>-8102</v>
      </c>
      <c r="Z164">
        <v>-0.61</v>
      </c>
      <c r="AA164">
        <v>13</v>
      </c>
      <c r="AB164">
        <v>6</v>
      </c>
      <c r="AC164">
        <v>7</v>
      </c>
      <c r="AD164">
        <v>46.15</v>
      </c>
      <c r="AE164">
        <v>13</v>
      </c>
      <c r="AF164">
        <v>4</v>
      </c>
      <c r="AG164">
        <v>3</v>
      </c>
      <c r="AH164">
        <v>6</v>
      </c>
    </row>
    <row r="165" spans="1:34">
      <c r="A165" s="102">
        <v>104</v>
      </c>
      <c r="B165">
        <v>4204</v>
      </c>
      <c r="C165" s="106" t="s">
        <v>321</v>
      </c>
      <c r="D165" s="106" t="s">
        <v>62</v>
      </c>
      <c r="E165">
        <v>1917</v>
      </c>
      <c r="F165">
        <v>1927</v>
      </c>
      <c r="G165">
        <v>400</v>
      </c>
      <c r="H165" s="106" t="s">
        <v>61</v>
      </c>
      <c r="I165">
        <v>5947</v>
      </c>
      <c r="J165" s="106" t="s">
        <v>322</v>
      </c>
      <c r="K165" s="106" t="s">
        <v>116</v>
      </c>
      <c r="L165">
        <v>8660</v>
      </c>
      <c r="M165">
        <v>8620</v>
      </c>
      <c r="N165">
        <v>100</v>
      </c>
      <c r="O165" s="106" t="s">
        <v>63</v>
      </c>
      <c r="P165">
        <v>0.93246947738868902</v>
      </c>
      <c r="Q165">
        <v>0.92488203123065704</v>
      </c>
      <c r="R165" s="15">
        <v>8.7265903944936801E-2</v>
      </c>
      <c r="S165">
        <v>3.09100445523325E-3</v>
      </c>
      <c r="T165">
        <v>-0.92856175561125898</v>
      </c>
      <c r="U165">
        <v>0.92856175561125898</v>
      </c>
      <c r="V165">
        <v>-2.37</v>
      </c>
      <c r="W165">
        <v>10.58</v>
      </c>
      <c r="X165">
        <v>-110401</v>
      </c>
      <c r="Y165">
        <v>-7886</v>
      </c>
      <c r="Z165">
        <v>-0.25</v>
      </c>
      <c r="AA165">
        <v>14</v>
      </c>
      <c r="AB165">
        <v>7</v>
      </c>
      <c r="AC165">
        <v>7</v>
      </c>
      <c r="AD165">
        <v>50</v>
      </c>
      <c r="AE165">
        <v>16</v>
      </c>
      <c r="AF165">
        <v>4</v>
      </c>
      <c r="AG165">
        <v>2</v>
      </c>
      <c r="AH165">
        <v>8</v>
      </c>
    </row>
    <row r="166" spans="1:34">
      <c r="A166" s="102">
        <v>65</v>
      </c>
      <c r="B166">
        <v>7181</v>
      </c>
      <c r="C166" s="106" t="s">
        <v>136</v>
      </c>
      <c r="D166" s="106" t="s">
        <v>110</v>
      </c>
      <c r="E166">
        <v>1925</v>
      </c>
      <c r="F166">
        <v>1891</v>
      </c>
      <c r="G166">
        <v>500</v>
      </c>
      <c r="H166" s="106" t="s">
        <v>61</v>
      </c>
      <c r="I166">
        <v>9603</v>
      </c>
      <c r="J166" s="106" t="s">
        <v>1059</v>
      </c>
      <c r="K166" s="106" t="s">
        <v>120</v>
      </c>
      <c r="L166">
        <v>3190</v>
      </c>
      <c r="M166">
        <v>3165</v>
      </c>
      <c r="N166">
        <v>300</v>
      </c>
      <c r="O166" s="106" t="s">
        <v>63</v>
      </c>
      <c r="P166">
        <v>0.96515160905714803</v>
      </c>
      <c r="Q166">
        <v>0.93561618897130505</v>
      </c>
      <c r="R166" s="15">
        <v>6.0699558771041897E-5</v>
      </c>
      <c r="S166">
        <v>0.27008457207412101</v>
      </c>
      <c r="T166">
        <v>-1.17465392081353</v>
      </c>
      <c r="U166">
        <v>1.17465392081353</v>
      </c>
      <c r="V166">
        <v>-2.69</v>
      </c>
      <c r="W166">
        <v>0.42</v>
      </c>
      <c r="X166">
        <v>-110956</v>
      </c>
      <c r="Y166">
        <v>-7397</v>
      </c>
      <c r="Z166">
        <v>-0.38</v>
      </c>
      <c r="AA166">
        <v>15</v>
      </c>
      <c r="AB166">
        <v>6</v>
      </c>
      <c r="AC166">
        <v>9</v>
      </c>
      <c r="AD166">
        <v>40</v>
      </c>
      <c r="AE166">
        <v>11</v>
      </c>
      <c r="AF166">
        <v>5</v>
      </c>
      <c r="AG166">
        <v>7</v>
      </c>
      <c r="AH166">
        <v>3</v>
      </c>
    </row>
    <row r="167" spans="1:34">
      <c r="A167" s="102">
        <v>31</v>
      </c>
      <c r="B167">
        <v>4062</v>
      </c>
      <c r="C167" s="106" t="s">
        <v>323</v>
      </c>
      <c r="D167" s="106" t="s">
        <v>87</v>
      </c>
      <c r="E167">
        <v>2669</v>
      </c>
      <c r="F167">
        <v>2667</v>
      </c>
      <c r="G167">
        <v>400</v>
      </c>
      <c r="H167" s="106" t="s">
        <v>61</v>
      </c>
      <c r="I167">
        <v>6951</v>
      </c>
      <c r="J167" s="106" t="s">
        <v>320</v>
      </c>
      <c r="K167" s="106" t="s">
        <v>87</v>
      </c>
      <c r="L167">
        <v>3255</v>
      </c>
      <c r="M167">
        <v>3240</v>
      </c>
      <c r="N167">
        <v>300</v>
      </c>
      <c r="O167" s="106" t="s">
        <v>63</v>
      </c>
      <c r="P167">
        <v>0.94364604924977602</v>
      </c>
      <c r="Q167">
        <v>0.94662388555238297</v>
      </c>
      <c r="R167">
        <v>2.0861160405467299E-2</v>
      </c>
      <c r="S167">
        <v>0.107613827606621</v>
      </c>
      <c r="T167">
        <v>-0.97467752522926299</v>
      </c>
      <c r="U167">
        <v>0.97467752522926299</v>
      </c>
      <c r="V167">
        <v>-2.93</v>
      </c>
      <c r="W167">
        <v>9.75</v>
      </c>
      <c r="X167">
        <v>-118052</v>
      </c>
      <c r="Y167">
        <v>-7870</v>
      </c>
      <c r="Z167">
        <v>-0.41</v>
      </c>
      <c r="AA167">
        <v>15</v>
      </c>
      <c r="AB167">
        <v>7</v>
      </c>
      <c r="AC167">
        <v>8</v>
      </c>
      <c r="AD167">
        <v>46.67</v>
      </c>
      <c r="AE167">
        <v>12</v>
      </c>
      <c r="AF167">
        <v>5</v>
      </c>
      <c r="AG167">
        <v>6</v>
      </c>
      <c r="AH167">
        <v>4</v>
      </c>
    </row>
    <row r="168" spans="1:34">
      <c r="A168" s="102">
        <v>18</v>
      </c>
      <c r="B168">
        <v>9501</v>
      </c>
      <c r="C168" s="106" t="s">
        <v>1007</v>
      </c>
      <c r="D168" s="106" t="s">
        <v>123</v>
      </c>
      <c r="E168">
        <v>482</v>
      </c>
      <c r="F168">
        <v>480</v>
      </c>
      <c r="G168">
        <v>2200</v>
      </c>
      <c r="H168" s="106" t="s">
        <v>61</v>
      </c>
      <c r="I168">
        <v>9508</v>
      </c>
      <c r="J168" s="106" t="s">
        <v>1008</v>
      </c>
      <c r="K168" s="106" t="s">
        <v>123</v>
      </c>
      <c r="L168">
        <v>974</v>
      </c>
      <c r="M168">
        <v>965</v>
      </c>
      <c r="N168">
        <v>1100</v>
      </c>
      <c r="O168" s="106" t="s">
        <v>63</v>
      </c>
      <c r="P168">
        <v>0.91463476297880997</v>
      </c>
      <c r="Q168">
        <v>0.95258649345640301</v>
      </c>
      <c r="R168">
        <v>0.10943090562124699</v>
      </c>
      <c r="S168">
        <v>0.105413754422503</v>
      </c>
      <c r="T168">
        <v>-0.38015193981206902</v>
      </c>
      <c r="U168">
        <v>0.38015193981206902</v>
      </c>
      <c r="V168">
        <v>-0.85</v>
      </c>
      <c r="W168">
        <v>0.52</v>
      </c>
      <c r="X168">
        <v>-124320</v>
      </c>
      <c r="Y168">
        <v>-9563</v>
      </c>
      <c r="Z168">
        <v>-0.48</v>
      </c>
      <c r="AA168">
        <v>13</v>
      </c>
      <c r="AB168">
        <v>5</v>
      </c>
      <c r="AC168">
        <v>8</v>
      </c>
      <c r="AD168">
        <v>38.46</v>
      </c>
      <c r="AE168">
        <v>14</v>
      </c>
      <c r="AF168">
        <v>3</v>
      </c>
      <c r="AG168">
        <v>4</v>
      </c>
      <c r="AH168">
        <v>6</v>
      </c>
    </row>
    <row r="169" spans="1:34">
      <c r="A169" s="102">
        <v>170</v>
      </c>
      <c r="B169">
        <v>7189</v>
      </c>
      <c r="C169" s="106" t="s">
        <v>81</v>
      </c>
      <c r="D169" s="106" t="s">
        <v>82</v>
      </c>
      <c r="E169">
        <v>867</v>
      </c>
      <c r="F169">
        <v>868</v>
      </c>
      <c r="G169">
        <v>1200</v>
      </c>
      <c r="H169" s="106" t="s">
        <v>63</v>
      </c>
      <c r="I169">
        <v>8377</v>
      </c>
      <c r="J169" s="106" t="s">
        <v>94</v>
      </c>
      <c r="K169" s="106" t="s">
        <v>82</v>
      </c>
      <c r="L169">
        <v>1150</v>
      </c>
      <c r="M169">
        <v>1140</v>
      </c>
      <c r="N169">
        <v>900</v>
      </c>
      <c r="O169" s="106" t="s">
        <v>61</v>
      </c>
      <c r="P169">
        <v>0.95865738829850999</v>
      </c>
      <c r="Q169">
        <v>0.90892782960641805</v>
      </c>
      <c r="R169">
        <v>0.14494634695410799</v>
      </c>
      <c r="S169">
        <v>0.27717958785108399</v>
      </c>
      <c r="T169">
        <v>0.89507551371283101</v>
      </c>
      <c r="U169">
        <v>0.89507551371283101</v>
      </c>
      <c r="V169">
        <v>3.34</v>
      </c>
      <c r="W169">
        <v>1.52</v>
      </c>
      <c r="X169">
        <v>-129434</v>
      </c>
      <c r="Y169">
        <v>-6812</v>
      </c>
      <c r="Z169">
        <v>-0.3</v>
      </c>
      <c r="AA169">
        <v>19</v>
      </c>
      <c r="AB169">
        <v>9</v>
      </c>
      <c r="AC169">
        <v>10</v>
      </c>
      <c r="AD169">
        <v>47.37</v>
      </c>
      <c r="AE169">
        <v>15</v>
      </c>
      <c r="AF169">
        <v>3</v>
      </c>
      <c r="AG169">
        <v>4</v>
      </c>
      <c r="AH169">
        <v>12</v>
      </c>
    </row>
    <row r="170" spans="1:34">
      <c r="A170" s="102">
        <v>112</v>
      </c>
      <c r="B170">
        <v>5333</v>
      </c>
      <c r="C170" s="106" t="s">
        <v>331</v>
      </c>
      <c r="D170" s="106" t="s">
        <v>106</v>
      </c>
      <c r="E170">
        <v>1902</v>
      </c>
      <c r="F170">
        <v>1902</v>
      </c>
      <c r="G170">
        <v>500</v>
      </c>
      <c r="H170" s="106" t="s">
        <v>61</v>
      </c>
      <c r="I170">
        <v>8253</v>
      </c>
      <c r="J170" s="106" t="s">
        <v>1004</v>
      </c>
      <c r="K170" s="106" t="s">
        <v>297</v>
      </c>
      <c r="L170">
        <v>1878</v>
      </c>
      <c r="M170">
        <v>1868</v>
      </c>
      <c r="N170">
        <v>500</v>
      </c>
      <c r="O170" s="106" t="s">
        <v>63</v>
      </c>
      <c r="P170">
        <v>0.9366586959348</v>
      </c>
      <c r="Q170">
        <v>0.92140613179143505</v>
      </c>
      <c r="R170" s="15">
        <v>9.1169173529267095E-2</v>
      </c>
      <c r="S170">
        <v>1.2740551529372399E-2</v>
      </c>
      <c r="T170">
        <v>-0.81341689717933197</v>
      </c>
      <c r="U170">
        <v>0.81341689717933197</v>
      </c>
      <c r="V170">
        <v>-5.51</v>
      </c>
      <c r="W170">
        <v>1.79</v>
      </c>
      <c r="X170">
        <v>-129824</v>
      </c>
      <c r="Y170">
        <v>-7637</v>
      </c>
      <c r="Z170">
        <v>-0.39</v>
      </c>
      <c r="AA170">
        <v>17</v>
      </c>
      <c r="AB170">
        <v>7</v>
      </c>
      <c r="AC170">
        <v>10</v>
      </c>
      <c r="AD170">
        <v>41.18</v>
      </c>
      <c r="AE170">
        <v>13</v>
      </c>
      <c r="AF170">
        <v>4</v>
      </c>
      <c r="AG170">
        <v>6</v>
      </c>
      <c r="AH170">
        <v>7</v>
      </c>
    </row>
    <row r="171" spans="1:34">
      <c r="A171" s="102">
        <v>79</v>
      </c>
      <c r="B171">
        <v>3635</v>
      </c>
      <c r="C171" s="106" t="s">
        <v>85</v>
      </c>
      <c r="D171" s="106" t="s">
        <v>79</v>
      </c>
      <c r="E171">
        <v>2779</v>
      </c>
      <c r="F171">
        <v>2820</v>
      </c>
      <c r="G171">
        <v>300</v>
      </c>
      <c r="H171" s="106" t="s">
        <v>61</v>
      </c>
      <c r="I171">
        <v>6588</v>
      </c>
      <c r="J171" s="106" t="s">
        <v>788</v>
      </c>
      <c r="K171" s="106" t="s">
        <v>87</v>
      </c>
      <c r="L171">
        <v>4530</v>
      </c>
      <c r="M171">
        <v>4640</v>
      </c>
      <c r="N171">
        <v>200</v>
      </c>
      <c r="O171" s="106" t="s">
        <v>63</v>
      </c>
      <c r="P171">
        <v>0.94854465444829195</v>
      </c>
      <c r="Q171">
        <v>0.93193577581505505</v>
      </c>
      <c r="R171">
        <v>1.1423642380788E-2</v>
      </c>
      <c r="S171">
        <v>0.13233544398445601</v>
      </c>
      <c r="T171">
        <v>-0.78578669411120405</v>
      </c>
      <c r="U171">
        <v>0.78578669411120405</v>
      </c>
      <c r="V171">
        <v>-6.75</v>
      </c>
      <c r="W171">
        <v>8.84</v>
      </c>
      <c r="X171">
        <v>-149155</v>
      </c>
      <c r="Y171">
        <v>-16573</v>
      </c>
      <c r="Z171">
        <v>-0.94</v>
      </c>
      <c r="AA171">
        <v>9</v>
      </c>
      <c r="AB171">
        <v>4</v>
      </c>
      <c r="AC171">
        <v>5</v>
      </c>
      <c r="AD171">
        <v>44.44</v>
      </c>
      <c r="AE171">
        <v>12</v>
      </c>
      <c r="AF171">
        <v>1</v>
      </c>
      <c r="AG171">
        <v>3</v>
      </c>
      <c r="AH171">
        <v>5</v>
      </c>
    </row>
    <row r="172" spans="1:34">
      <c r="A172" s="102">
        <v>73</v>
      </c>
      <c r="B172">
        <v>4182</v>
      </c>
      <c r="C172" s="106" t="s">
        <v>88</v>
      </c>
      <c r="D172" s="106" t="s">
        <v>62</v>
      </c>
      <c r="E172">
        <v>1698</v>
      </c>
      <c r="F172">
        <v>1693</v>
      </c>
      <c r="G172">
        <v>500</v>
      </c>
      <c r="H172" s="106" t="s">
        <v>63</v>
      </c>
      <c r="I172">
        <v>9072</v>
      </c>
      <c r="J172" s="106" t="s">
        <v>125</v>
      </c>
      <c r="K172" s="106" t="s">
        <v>119</v>
      </c>
      <c r="L172">
        <v>2729</v>
      </c>
      <c r="M172">
        <v>2752</v>
      </c>
      <c r="N172">
        <v>300</v>
      </c>
      <c r="O172" s="106" t="s">
        <v>61</v>
      </c>
      <c r="P172">
        <v>0.95275492004476703</v>
      </c>
      <c r="Q172">
        <v>0.93263368328459195</v>
      </c>
      <c r="R172">
        <v>4.8697456048037904E-3</v>
      </c>
      <c r="S172">
        <v>2.9255670973769502E-4</v>
      </c>
      <c r="T172">
        <v>0.96590618291326902</v>
      </c>
      <c r="U172">
        <v>0.96590618291326902</v>
      </c>
      <c r="V172">
        <v>3.83</v>
      </c>
      <c r="W172">
        <v>2.5299999999999998</v>
      </c>
      <c r="X172">
        <v>-153106</v>
      </c>
      <c r="Y172">
        <v>-9006</v>
      </c>
      <c r="Z172">
        <v>-0.41</v>
      </c>
      <c r="AA172">
        <v>17</v>
      </c>
      <c r="AB172">
        <v>6</v>
      </c>
      <c r="AC172">
        <v>11</v>
      </c>
      <c r="AD172">
        <v>35.29</v>
      </c>
      <c r="AE172">
        <v>13</v>
      </c>
      <c r="AF172">
        <v>6</v>
      </c>
      <c r="AG172">
        <v>5</v>
      </c>
      <c r="AH172">
        <v>6</v>
      </c>
    </row>
    <row r="173" spans="1:34">
      <c r="A173" s="102">
        <v>58</v>
      </c>
      <c r="B173">
        <v>6287</v>
      </c>
      <c r="C173" s="106" t="s">
        <v>784</v>
      </c>
      <c r="D173" s="106" t="s">
        <v>99</v>
      </c>
      <c r="E173">
        <v>3425</v>
      </c>
      <c r="F173">
        <v>3420</v>
      </c>
      <c r="G173">
        <v>300</v>
      </c>
      <c r="H173" s="106" t="s">
        <v>61</v>
      </c>
      <c r="I173">
        <v>7274</v>
      </c>
      <c r="J173" s="106" t="s">
        <v>333</v>
      </c>
      <c r="K173" s="106" t="s">
        <v>84</v>
      </c>
      <c r="L173">
        <v>2265</v>
      </c>
      <c r="M173">
        <v>2265</v>
      </c>
      <c r="N173">
        <v>500</v>
      </c>
      <c r="O173" s="106" t="s">
        <v>63</v>
      </c>
      <c r="P173">
        <v>0.95233694203901598</v>
      </c>
      <c r="Q173">
        <v>0.93705686472606198</v>
      </c>
      <c r="R173">
        <v>8.6218269108897003E-2</v>
      </c>
      <c r="S173">
        <v>0.22341940237000499</v>
      </c>
      <c r="T173">
        <v>-0.79171910418351799</v>
      </c>
      <c r="U173">
        <v>0.79171910418351799</v>
      </c>
      <c r="V173">
        <v>-10.18</v>
      </c>
      <c r="W173">
        <v>10.38</v>
      </c>
      <c r="X173">
        <v>-158411</v>
      </c>
      <c r="Y173">
        <v>-7543</v>
      </c>
      <c r="Z173">
        <v>-0.36</v>
      </c>
      <c r="AA173">
        <v>21</v>
      </c>
      <c r="AB173">
        <v>11</v>
      </c>
      <c r="AC173">
        <v>10</v>
      </c>
      <c r="AD173">
        <v>52.38</v>
      </c>
      <c r="AE173">
        <v>10</v>
      </c>
      <c r="AF173">
        <v>8</v>
      </c>
      <c r="AG173">
        <v>9</v>
      </c>
      <c r="AH173">
        <v>4</v>
      </c>
    </row>
    <row r="174" spans="1:34">
      <c r="A174" s="102">
        <v>133</v>
      </c>
      <c r="B174">
        <v>6479</v>
      </c>
      <c r="C174" s="106" t="s">
        <v>1045</v>
      </c>
      <c r="D174" s="106" t="s">
        <v>87</v>
      </c>
      <c r="E174">
        <v>2307</v>
      </c>
      <c r="F174">
        <v>2302</v>
      </c>
      <c r="G174">
        <v>400</v>
      </c>
      <c r="H174" s="106" t="s">
        <v>61</v>
      </c>
      <c r="I174">
        <v>7274</v>
      </c>
      <c r="J174" s="106" t="s">
        <v>333</v>
      </c>
      <c r="K174" s="106" t="s">
        <v>84</v>
      </c>
      <c r="L174">
        <v>2265</v>
      </c>
      <c r="M174">
        <v>2265</v>
      </c>
      <c r="N174">
        <v>400</v>
      </c>
      <c r="O174" s="106" t="s">
        <v>63</v>
      </c>
      <c r="P174">
        <v>0.92363353166205098</v>
      </c>
      <c r="Q174">
        <v>0.91709097993352595</v>
      </c>
      <c r="R174">
        <v>0.117094894568241</v>
      </c>
      <c r="S174" s="15">
        <v>1.42022241379656E-2</v>
      </c>
      <c r="T174">
        <v>-0.43331811900806</v>
      </c>
      <c r="U174">
        <v>0.43331811900806</v>
      </c>
      <c r="V174">
        <v>-4.99</v>
      </c>
      <c r="W174">
        <v>1.61</v>
      </c>
      <c r="X174">
        <v>-170670</v>
      </c>
      <c r="Y174">
        <v>-10039</v>
      </c>
      <c r="Z174">
        <v>-0.52</v>
      </c>
      <c r="AA174">
        <v>17</v>
      </c>
      <c r="AB174">
        <v>7</v>
      </c>
      <c r="AC174">
        <v>10</v>
      </c>
      <c r="AD174">
        <v>41.18</v>
      </c>
      <c r="AE174">
        <v>14</v>
      </c>
      <c r="AF174">
        <v>3</v>
      </c>
      <c r="AG174">
        <v>5</v>
      </c>
      <c r="AH174">
        <v>9</v>
      </c>
    </row>
    <row r="175" spans="1:34">
      <c r="A175" s="102">
        <v>24</v>
      </c>
      <c r="B175">
        <v>7267</v>
      </c>
      <c r="C175" s="106" t="s">
        <v>118</v>
      </c>
      <c r="D175" s="106" t="s">
        <v>84</v>
      </c>
      <c r="E175">
        <v>3160</v>
      </c>
      <c r="F175">
        <v>3163</v>
      </c>
      <c r="G175">
        <v>300</v>
      </c>
      <c r="H175" s="106" t="s">
        <v>61</v>
      </c>
      <c r="I175">
        <v>8002</v>
      </c>
      <c r="J175" s="106" t="s">
        <v>31</v>
      </c>
      <c r="K175" s="106" t="s">
        <v>101</v>
      </c>
      <c r="L175">
        <v>821</v>
      </c>
      <c r="M175">
        <v>819</v>
      </c>
      <c r="N175">
        <v>1200</v>
      </c>
      <c r="O175" s="106" t="s">
        <v>63</v>
      </c>
      <c r="P175">
        <v>0.95936301685509995</v>
      </c>
      <c r="Q175">
        <v>0.94878099702514496</v>
      </c>
      <c r="R175">
        <v>5.5861998225529001E-2</v>
      </c>
      <c r="S175" s="15">
        <v>3.3257598140462097E-4</v>
      </c>
      <c r="T175">
        <v>-0.12543990901163499</v>
      </c>
      <c r="U175">
        <v>0.12543990901163499</v>
      </c>
      <c r="V175">
        <v>-0.19</v>
      </c>
      <c r="W175">
        <v>3.57</v>
      </c>
      <c r="X175">
        <v>-183458</v>
      </c>
      <c r="Y175">
        <v>-12231</v>
      </c>
      <c r="Z175">
        <v>-0.72</v>
      </c>
      <c r="AA175">
        <v>15</v>
      </c>
      <c r="AB175">
        <v>6</v>
      </c>
      <c r="AC175">
        <v>9</v>
      </c>
      <c r="AD175">
        <v>40</v>
      </c>
      <c r="AE175">
        <v>16</v>
      </c>
      <c r="AF175">
        <v>0</v>
      </c>
      <c r="AG175">
        <v>3</v>
      </c>
      <c r="AH175">
        <v>12</v>
      </c>
    </row>
    <row r="176" spans="1:34">
      <c r="A176" s="102">
        <v>94</v>
      </c>
      <c r="B176">
        <v>4626</v>
      </c>
      <c r="C176" s="106" t="s">
        <v>781</v>
      </c>
      <c r="D176" s="106" t="s">
        <v>62</v>
      </c>
      <c r="E176">
        <v>4370</v>
      </c>
      <c r="F176">
        <v>4360</v>
      </c>
      <c r="G176">
        <v>200</v>
      </c>
      <c r="H176" s="106" t="s">
        <v>63</v>
      </c>
      <c r="I176">
        <v>5947</v>
      </c>
      <c r="J176" s="106" t="s">
        <v>322</v>
      </c>
      <c r="K176" s="106" t="s">
        <v>116</v>
      </c>
      <c r="L176">
        <v>8660</v>
      </c>
      <c r="M176">
        <v>8620</v>
      </c>
      <c r="N176">
        <v>100</v>
      </c>
      <c r="O176" s="106" t="s">
        <v>61</v>
      </c>
      <c r="P176">
        <v>0.95129653097481404</v>
      </c>
      <c r="Q176">
        <v>0.92775520697746106</v>
      </c>
      <c r="R176">
        <v>1.24605093163461E-2</v>
      </c>
      <c r="S176">
        <v>0.165993777394115</v>
      </c>
      <c r="T176">
        <v>0.84949657511157095</v>
      </c>
      <c r="U176">
        <v>0.84949657511157095</v>
      </c>
      <c r="V176">
        <v>1.92</v>
      </c>
      <c r="W176">
        <v>1.1599999999999999</v>
      </c>
      <c r="X176">
        <v>-185019</v>
      </c>
      <c r="Y176">
        <v>-11564</v>
      </c>
      <c r="Z176">
        <v>-0.52</v>
      </c>
      <c r="AA176">
        <v>16</v>
      </c>
      <c r="AB176">
        <v>6</v>
      </c>
      <c r="AC176">
        <v>10</v>
      </c>
      <c r="AD176">
        <v>37.5</v>
      </c>
      <c r="AE176">
        <v>14</v>
      </c>
      <c r="AF176">
        <v>3</v>
      </c>
      <c r="AG176">
        <v>4</v>
      </c>
      <c r="AH176">
        <v>9</v>
      </c>
    </row>
    <row r="177" spans="1:34">
      <c r="A177" s="102">
        <v>45</v>
      </c>
      <c r="B177">
        <v>3038</v>
      </c>
      <c r="C177" s="106" t="s">
        <v>335</v>
      </c>
      <c r="D177" s="106" t="s">
        <v>101</v>
      </c>
      <c r="E177">
        <v>3755</v>
      </c>
      <c r="F177">
        <v>3765</v>
      </c>
      <c r="G177">
        <v>200</v>
      </c>
      <c r="H177" s="106" t="s">
        <v>63</v>
      </c>
      <c r="I177">
        <v>6098</v>
      </c>
      <c r="J177" s="106" t="s">
        <v>336</v>
      </c>
      <c r="K177" s="106" t="s">
        <v>120</v>
      </c>
      <c r="L177">
        <v>4121</v>
      </c>
      <c r="M177">
        <v>4086</v>
      </c>
      <c r="N177">
        <v>200</v>
      </c>
      <c r="O177" s="106" t="s">
        <v>61</v>
      </c>
      <c r="P177">
        <v>0.94261136901104703</v>
      </c>
      <c r="Q177">
        <v>0.94081380306587803</v>
      </c>
      <c r="R177">
        <v>0.27245343199579197</v>
      </c>
      <c r="S177">
        <v>0.180157820419417</v>
      </c>
      <c r="T177">
        <v>2.0966573559535502</v>
      </c>
      <c r="U177">
        <v>2.0966573559535502</v>
      </c>
      <c r="V177">
        <v>9.5299999999999994</v>
      </c>
      <c r="W177">
        <v>7.86</v>
      </c>
      <c r="X177">
        <v>-187710</v>
      </c>
      <c r="Y177">
        <v>-8161</v>
      </c>
      <c r="Z177">
        <v>-0.37</v>
      </c>
      <c r="AA177">
        <v>23</v>
      </c>
      <c r="AB177">
        <v>11</v>
      </c>
      <c r="AC177">
        <v>12</v>
      </c>
      <c r="AD177">
        <v>47.83</v>
      </c>
      <c r="AE177">
        <v>10</v>
      </c>
      <c r="AF177">
        <v>10</v>
      </c>
      <c r="AG177">
        <v>12</v>
      </c>
      <c r="AH177">
        <v>1</v>
      </c>
    </row>
    <row r="178" spans="1:34">
      <c r="A178" s="102">
        <v>101</v>
      </c>
      <c r="B178">
        <v>6752</v>
      </c>
      <c r="C178" s="106" t="s">
        <v>105</v>
      </c>
      <c r="D178" s="106" t="s">
        <v>87</v>
      </c>
      <c r="E178">
        <v>1025</v>
      </c>
      <c r="F178">
        <v>1026.5</v>
      </c>
      <c r="G178">
        <v>900</v>
      </c>
      <c r="H178" s="106" t="s">
        <v>63</v>
      </c>
      <c r="I178">
        <v>7267</v>
      </c>
      <c r="J178" s="106" t="s">
        <v>118</v>
      </c>
      <c r="K178" s="106" t="s">
        <v>84</v>
      </c>
      <c r="L178">
        <v>3160</v>
      </c>
      <c r="M178">
        <v>3163</v>
      </c>
      <c r="N178">
        <v>300</v>
      </c>
      <c r="O178" s="106" t="s">
        <v>61</v>
      </c>
      <c r="P178">
        <v>0.91121160502635201</v>
      </c>
      <c r="Q178">
        <v>0.92658112140499604</v>
      </c>
      <c r="R178">
        <v>5.1198280980856603E-2</v>
      </c>
      <c r="S178">
        <v>1.2579040745057401E-2</v>
      </c>
      <c r="T178">
        <v>0.59284425029078303</v>
      </c>
      <c r="U178">
        <v>0.59284425029078303</v>
      </c>
      <c r="V178">
        <v>1.72</v>
      </c>
      <c r="W178">
        <v>2.64</v>
      </c>
      <c r="X178">
        <v>-194884</v>
      </c>
      <c r="Y178">
        <v>-10827</v>
      </c>
      <c r="Z178">
        <v>-0.55000000000000004</v>
      </c>
      <c r="AA178">
        <v>18</v>
      </c>
      <c r="AB178">
        <v>8</v>
      </c>
      <c r="AC178">
        <v>10</v>
      </c>
      <c r="AD178">
        <v>44.44</v>
      </c>
      <c r="AE178">
        <v>15</v>
      </c>
      <c r="AF178">
        <v>2</v>
      </c>
      <c r="AG178">
        <v>3</v>
      </c>
      <c r="AH178">
        <v>13</v>
      </c>
    </row>
    <row r="179" spans="1:34">
      <c r="A179" s="102">
        <v>178</v>
      </c>
      <c r="B179">
        <v>4183</v>
      </c>
      <c r="C179" s="106" t="s">
        <v>299</v>
      </c>
      <c r="D179" s="106" t="s">
        <v>62</v>
      </c>
      <c r="E179">
        <v>2709</v>
      </c>
      <c r="F179">
        <v>2701</v>
      </c>
      <c r="G179">
        <v>400</v>
      </c>
      <c r="H179" s="106" t="s">
        <v>63</v>
      </c>
      <c r="I179">
        <v>6473</v>
      </c>
      <c r="J179" s="106" t="s">
        <v>132</v>
      </c>
      <c r="K179" s="106" t="s">
        <v>99</v>
      </c>
      <c r="L179">
        <v>1353</v>
      </c>
      <c r="M179">
        <v>1349</v>
      </c>
      <c r="N179">
        <v>800</v>
      </c>
      <c r="O179" s="106" t="s">
        <v>61</v>
      </c>
      <c r="P179">
        <v>0.91305020861140995</v>
      </c>
      <c r="Q179">
        <v>0.90724841776447596</v>
      </c>
      <c r="R179">
        <v>0.173235025337239</v>
      </c>
      <c r="S179">
        <v>5.8029869478677498E-2</v>
      </c>
      <c r="T179">
        <v>1.5249400107065501</v>
      </c>
      <c r="U179">
        <v>1.5249400107065501</v>
      </c>
      <c r="V179">
        <v>2.9</v>
      </c>
      <c r="W179">
        <v>0.11</v>
      </c>
      <c r="X179">
        <v>-201641</v>
      </c>
      <c r="Y179">
        <v>-11861</v>
      </c>
      <c r="Z179">
        <v>-0.67</v>
      </c>
      <c r="AA179">
        <v>17</v>
      </c>
      <c r="AB179">
        <v>5</v>
      </c>
      <c r="AC179">
        <v>12</v>
      </c>
      <c r="AD179">
        <v>29.41</v>
      </c>
      <c r="AE179">
        <v>15</v>
      </c>
      <c r="AF179">
        <v>4</v>
      </c>
      <c r="AG179">
        <v>5</v>
      </c>
      <c r="AH179">
        <v>8</v>
      </c>
    </row>
    <row r="180" spans="1:34">
      <c r="A180" s="102">
        <v>184</v>
      </c>
      <c r="B180">
        <v>4634</v>
      </c>
      <c r="C180" s="106" t="s">
        <v>139</v>
      </c>
      <c r="D180" s="106" t="s">
        <v>62</v>
      </c>
      <c r="E180">
        <v>2681</v>
      </c>
      <c r="F180">
        <v>2693</v>
      </c>
      <c r="G180">
        <v>400</v>
      </c>
      <c r="H180" s="106" t="s">
        <v>61</v>
      </c>
      <c r="I180">
        <v>5803</v>
      </c>
      <c r="J180" s="106" t="s">
        <v>28</v>
      </c>
      <c r="K180" s="106" t="s">
        <v>131</v>
      </c>
      <c r="L180">
        <v>462</v>
      </c>
      <c r="M180">
        <v>462</v>
      </c>
      <c r="N180">
        <v>2300</v>
      </c>
      <c r="O180" s="106" t="s">
        <v>63</v>
      </c>
      <c r="P180">
        <v>0.90135025874646602</v>
      </c>
      <c r="Q180">
        <v>0.90565015016004102</v>
      </c>
      <c r="R180">
        <v>0.104832536720236</v>
      </c>
      <c r="S180">
        <v>1.1769283407516901E-2</v>
      </c>
      <c r="T180">
        <v>-5.1969632349537498E-2</v>
      </c>
      <c r="U180">
        <v>5.1969632349537498E-2</v>
      </c>
      <c r="V180">
        <v>-0.24</v>
      </c>
      <c r="W180">
        <v>1.36</v>
      </c>
      <c r="X180">
        <v>-201900</v>
      </c>
      <c r="Y180">
        <v>-11876</v>
      </c>
      <c r="Z180">
        <v>-0.71</v>
      </c>
      <c r="AA180">
        <v>17</v>
      </c>
      <c r="AB180">
        <v>8</v>
      </c>
      <c r="AC180">
        <v>9</v>
      </c>
      <c r="AD180">
        <v>47.06</v>
      </c>
      <c r="AE180">
        <v>12</v>
      </c>
      <c r="AF180">
        <v>4</v>
      </c>
      <c r="AG180">
        <v>6</v>
      </c>
      <c r="AH180">
        <v>7</v>
      </c>
    </row>
    <row r="181" spans="1:34">
      <c r="A181" s="102">
        <v>3</v>
      </c>
      <c r="B181">
        <v>6951</v>
      </c>
      <c r="C181" s="106" t="s">
        <v>320</v>
      </c>
      <c r="D181" s="106" t="s">
        <v>87</v>
      </c>
      <c r="E181">
        <v>3255</v>
      </c>
      <c r="F181">
        <v>3240</v>
      </c>
      <c r="G181">
        <v>200</v>
      </c>
      <c r="H181" s="106" t="s">
        <v>61</v>
      </c>
      <c r="I181">
        <v>8036</v>
      </c>
      <c r="J181" s="106" t="s">
        <v>318</v>
      </c>
      <c r="K181" s="106" t="s">
        <v>101</v>
      </c>
      <c r="L181">
        <v>7600</v>
      </c>
      <c r="M181">
        <v>7740</v>
      </c>
      <c r="N181">
        <v>100</v>
      </c>
      <c r="O181" s="106" t="s">
        <v>63</v>
      </c>
      <c r="P181">
        <v>0.91064614579579295</v>
      </c>
      <c r="Q181">
        <v>0.96610466932751404</v>
      </c>
      <c r="R181">
        <v>0.35692718197567902</v>
      </c>
      <c r="S181" s="15">
        <v>0.116132899129646</v>
      </c>
      <c r="T181">
        <v>-0.32062047637181201</v>
      </c>
      <c r="U181">
        <v>0.32062047637181201</v>
      </c>
      <c r="V181">
        <v>-1.0900000000000001</v>
      </c>
      <c r="W181">
        <v>16.28</v>
      </c>
      <c r="X181">
        <v>-220595</v>
      </c>
      <c r="Y181">
        <v>-11030</v>
      </c>
      <c r="Z181">
        <v>-0.46</v>
      </c>
      <c r="AA181">
        <v>20</v>
      </c>
      <c r="AB181">
        <v>9</v>
      </c>
      <c r="AC181">
        <v>11</v>
      </c>
      <c r="AD181">
        <v>45</v>
      </c>
      <c r="AE181">
        <v>10</v>
      </c>
      <c r="AF181">
        <v>8</v>
      </c>
      <c r="AG181">
        <v>8</v>
      </c>
      <c r="AH181">
        <v>4</v>
      </c>
    </row>
    <row r="182" spans="1:34">
      <c r="A182" s="102">
        <v>46</v>
      </c>
      <c r="B182">
        <v>2413</v>
      </c>
      <c r="C182" s="106" t="s">
        <v>1002</v>
      </c>
      <c r="D182" s="106" t="s">
        <v>120</v>
      </c>
      <c r="E182">
        <v>3150</v>
      </c>
      <c r="F182">
        <v>3150</v>
      </c>
      <c r="G182">
        <v>300</v>
      </c>
      <c r="H182" s="106" t="s">
        <v>61</v>
      </c>
      <c r="I182">
        <v>6920</v>
      </c>
      <c r="J182" s="106" t="s">
        <v>86</v>
      </c>
      <c r="K182" s="106" t="s">
        <v>87</v>
      </c>
      <c r="L182">
        <v>10100</v>
      </c>
      <c r="M182">
        <v>10200</v>
      </c>
      <c r="N182">
        <v>100</v>
      </c>
      <c r="O182" s="106" t="s">
        <v>63</v>
      </c>
      <c r="P182">
        <v>0.92832365574557196</v>
      </c>
      <c r="Q182">
        <v>0.94055930844743696</v>
      </c>
      <c r="R182" s="15">
        <v>6.2382613233174102E-2</v>
      </c>
      <c r="S182">
        <v>0.154694952828065</v>
      </c>
      <c r="T182">
        <v>-1.4105467818264601</v>
      </c>
      <c r="U182">
        <v>1.4105467818264601</v>
      </c>
      <c r="V182">
        <v>-11.3</v>
      </c>
      <c r="W182">
        <v>7.35</v>
      </c>
      <c r="X182">
        <v>-245378</v>
      </c>
      <c r="Y182">
        <v>-16359</v>
      </c>
      <c r="Z182">
        <v>-0.61</v>
      </c>
      <c r="AA182">
        <v>15</v>
      </c>
      <c r="AB182">
        <v>8</v>
      </c>
      <c r="AC182">
        <v>7</v>
      </c>
      <c r="AD182">
        <v>53.33</v>
      </c>
      <c r="AE182">
        <v>9</v>
      </c>
      <c r="AF182">
        <v>7</v>
      </c>
      <c r="AG182">
        <v>6</v>
      </c>
      <c r="AH182">
        <v>2</v>
      </c>
    </row>
    <row r="183" spans="1:34">
      <c r="A183" s="102">
        <v>80</v>
      </c>
      <c r="B183">
        <v>8058</v>
      </c>
      <c r="C183" s="106" t="s">
        <v>1060</v>
      </c>
      <c r="D183" s="106" t="s">
        <v>101</v>
      </c>
      <c r="E183">
        <v>2934</v>
      </c>
      <c r="F183">
        <v>2932</v>
      </c>
      <c r="G183">
        <v>300</v>
      </c>
      <c r="H183" s="106" t="s">
        <v>61</v>
      </c>
      <c r="I183">
        <v>9956</v>
      </c>
      <c r="J183" s="106" t="s">
        <v>315</v>
      </c>
      <c r="K183" s="106" t="s">
        <v>95</v>
      </c>
      <c r="L183">
        <v>2130</v>
      </c>
      <c r="M183">
        <v>2121</v>
      </c>
      <c r="N183">
        <v>400</v>
      </c>
      <c r="O183" s="106" t="s">
        <v>63</v>
      </c>
      <c r="P183">
        <v>0.95040212496519705</v>
      </c>
      <c r="Q183">
        <v>0.93166764219882203</v>
      </c>
      <c r="R183">
        <v>6.7138838405601097E-3</v>
      </c>
      <c r="S183">
        <v>6.08793134750568E-3</v>
      </c>
      <c r="T183">
        <v>-1.67426584268426</v>
      </c>
      <c r="U183">
        <v>1.67426584268426</v>
      </c>
      <c r="V183">
        <v>-4.3899999999999997</v>
      </c>
      <c r="W183">
        <v>3.55</v>
      </c>
      <c r="X183">
        <v>-248503</v>
      </c>
      <c r="Y183">
        <v>-15531</v>
      </c>
      <c r="Z183">
        <v>-0.79</v>
      </c>
      <c r="AA183">
        <v>16</v>
      </c>
      <c r="AB183">
        <v>4</v>
      </c>
      <c r="AC183">
        <v>12</v>
      </c>
      <c r="AD183">
        <v>25</v>
      </c>
      <c r="AE183">
        <v>14</v>
      </c>
      <c r="AF183">
        <v>3</v>
      </c>
      <c r="AG183">
        <v>2</v>
      </c>
      <c r="AH183">
        <v>11</v>
      </c>
    </row>
    <row r="184" spans="1:34">
      <c r="A184" s="102">
        <v>188</v>
      </c>
      <c r="B184">
        <v>6471</v>
      </c>
      <c r="C184" s="106" t="s">
        <v>137</v>
      </c>
      <c r="D184" s="106" t="s">
        <v>99</v>
      </c>
      <c r="E184">
        <v>1056</v>
      </c>
      <c r="F184">
        <v>1064</v>
      </c>
      <c r="G184">
        <v>600</v>
      </c>
      <c r="H184" s="106" t="s">
        <v>61</v>
      </c>
      <c r="I184">
        <v>6988</v>
      </c>
      <c r="J184" s="106" t="s">
        <v>138</v>
      </c>
      <c r="K184" s="106" t="s">
        <v>62</v>
      </c>
      <c r="L184">
        <v>6350</v>
      </c>
      <c r="M184">
        <v>6300</v>
      </c>
      <c r="N184">
        <v>100</v>
      </c>
      <c r="O184" s="106" t="s">
        <v>63</v>
      </c>
      <c r="P184">
        <v>0.97354549829765702</v>
      </c>
      <c r="Q184">
        <v>0.90352851040321203</v>
      </c>
      <c r="R184" s="15">
        <v>9.0613951377827694E-3</v>
      </c>
      <c r="S184">
        <v>9.3224033289804595E-2</v>
      </c>
      <c r="T184">
        <v>-1.6027769050987499</v>
      </c>
      <c r="U184">
        <v>1.6027769050987499</v>
      </c>
      <c r="V184">
        <v>-3.22</v>
      </c>
      <c r="W184">
        <v>1.33</v>
      </c>
      <c r="X184">
        <v>-260430</v>
      </c>
      <c r="Y184">
        <v>-14468</v>
      </c>
      <c r="Z184">
        <v>-0.98</v>
      </c>
      <c r="AA184">
        <v>18</v>
      </c>
      <c r="AB184">
        <v>5</v>
      </c>
      <c r="AC184">
        <v>13</v>
      </c>
      <c r="AD184">
        <v>27.78</v>
      </c>
      <c r="AE184">
        <v>14</v>
      </c>
      <c r="AF184">
        <v>3</v>
      </c>
      <c r="AG184">
        <v>4</v>
      </c>
      <c r="AH184">
        <v>11</v>
      </c>
    </row>
    <row r="185" spans="1:34">
      <c r="A185" s="102">
        <v>144</v>
      </c>
      <c r="B185">
        <v>3407</v>
      </c>
      <c r="C185" s="106" t="s">
        <v>1061</v>
      </c>
      <c r="D185" s="106" t="s">
        <v>62</v>
      </c>
      <c r="E185">
        <v>1270</v>
      </c>
      <c r="F185">
        <v>1266.5</v>
      </c>
      <c r="G185">
        <v>800</v>
      </c>
      <c r="H185" s="106" t="s">
        <v>63</v>
      </c>
      <c r="I185">
        <v>8359</v>
      </c>
      <c r="J185" s="106" t="s">
        <v>1062</v>
      </c>
      <c r="K185" s="106" t="s">
        <v>82</v>
      </c>
      <c r="L185">
        <v>494</v>
      </c>
      <c r="M185">
        <v>495</v>
      </c>
      <c r="N185">
        <v>2000</v>
      </c>
      <c r="O185" s="106" t="s">
        <v>61</v>
      </c>
      <c r="P185">
        <v>0.90682962998152195</v>
      </c>
      <c r="Q185">
        <v>0.91474857613502503</v>
      </c>
      <c r="R185">
        <v>3.0833977205314899E-2</v>
      </c>
      <c r="S185">
        <v>4.74336546150043E-4</v>
      </c>
      <c r="T185">
        <v>0.20760023463117599</v>
      </c>
      <c r="U185">
        <v>0.20760023463117599</v>
      </c>
      <c r="V185">
        <v>0.56000000000000005</v>
      </c>
      <c r="W185">
        <v>2.29</v>
      </c>
      <c r="X185">
        <v>-264535</v>
      </c>
      <c r="Y185">
        <v>-13227</v>
      </c>
      <c r="Z185">
        <v>-0.69</v>
      </c>
      <c r="AA185">
        <v>20</v>
      </c>
      <c r="AB185">
        <v>8</v>
      </c>
      <c r="AC185">
        <v>12</v>
      </c>
      <c r="AD185">
        <v>40</v>
      </c>
      <c r="AE185">
        <v>14</v>
      </c>
      <c r="AF185">
        <v>5</v>
      </c>
      <c r="AG185">
        <v>7</v>
      </c>
      <c r="AH185">
        <v>8</v>
      </c>
    </row>
    <row r="186" spans="1:34">
      <c r="A186" s="102">
        <v>121</v>
      </c>
      <c r="B186">
        <v>5110</v>
      </c>
      <c r="C186" s="106" t="s">
        <v>127</v>
      </c>
      <c r="D186" s="106" t="s">
        <v>128</v>
      </c>
      <c r="E186">
        <v>1398</v>
      </c>
      <c r="F186">
        <v>1401</v>
      </c>
      <c r="G186">
        <v>700</v>
      </c>
      <c r="H186" s="106" t="s">
        <v>61</v>
      </c>
      <c r="I186">
        <v>5803</v>
      </c>
      <c r="J186" s="106" t="s">
        <v>28</v>
      </c>
      <c r="K186" s="106" t="s">
        <v>131</v>
      </c>
      <c r="L186">
        <v>462</v>
      </c>
      <c r="M186">
        <v>462</v>
      </c>
      <c r="N186">
        <v>2100</v>
      </c>
      <c r="O186" s="106" t="s">
        <v>63</v>
      </c>
      <c r="P186">
        <v>0.93035249833290301</v>
      </c>
      <c r="Q186">
        <v>0.91927776740362499</v>
      </c>
      <c r="R186">
        <v>2.1903708542952201E-2</v>
      </c>
      <c r="S186">
        <v>1.9718652542165E-2</v>
      </c>
      <c r="T186">
        <v>-0.233224087968329</v>
      </c>
      <c r="U186">
        <v>0.233224087968329</v>
      </c>
      <c r="V186">
        <v>-1.28</v>
      </c>
      <c r="W186">
        <v>1.07</v>
      </c>
      <c r="X186">
        <v>-308037</v>
      </c>
      <c r="Y186">
        <v>-17113</v>
      </c>
      <c r="Z186">
        <v>-0.84</v>
      </c>
      <c r="AA186">
        <v>18</v>
      </c>
      <c r="AB186">
        <v>6</v>
      </c>
      <c r="AC186">
        <v>12</v>
      </c>
      <c r="AD186">
        <v>33.33</v>
      </c>
      <c r="AE186">
        <v>12</v>
      </c>
      <c r="AF186">
        <v>5</v>
      </c>
      <c r="AG186">
        <v>6</v>
      </c>
      <c r="AH186">
        <v>7</v>
      </c>
    </row>
    <row r="187" spans="1:34">
      <c r="A187" s="102">
        <v>130</v>
      </c>
      <c r="B187">
        <v>4686</v>
      </c>
      <c r="C187" s="106" t="s">
        <v>1003</v>
      </c>
      <c r="D187" s="106" t="s">
        <v>79</v>
      </c>
      <c r="E187">
        <v>6190</v>
      </c>
      <c r="F187">
        <v>6180</v>
      </c>
      <c r="G187">
        <v>200</v>
      </c>
      <c r="H187" s="106" t="s">
        <v>63</v>
      </c>
      <c r="I187">
        <v>6702</v>
      </c>
      <c r="J187" s="106" t="s">
        <v>329</v>
      </c>
      <c r="K187" s="106" t="s">
        <v>87</v>
      </c>
      <c r="L187">
        <v>10320</v>
      </c>
      <c r="M187">
        <v>10265</v>
      </c>
      <c r="N187">
        <v>100</v>
      </c>
      <c r="O187" s="106" t="s">
        <v>61</v>
      </c>
      <c r="P187">
        <v>0.93731209308054897</v>
      </c>
      <c r="Q187">
        <v>0.91772853713386904</v>
      </c>
      <c r="R187">
        <v>1.66210682353762E-3</v>
      </c>
      <c r="S187">
        <v>0.151212954699495</v>
      </c>
      <c r="T187">
        <v>1.6353218299026699</v>
      </c>
      <c r="U187">
        <v>1.6353218299026699</v>
      </c>
      <c r="V187">
        <v>15.38</v>
      </c>
      <c r="W187">
        <v>20.41</v>
      </c>
      <c r="X187">
        <v>-319315</v>
      </c>
      <c r="Y187">
        <v>-21288</v>
      </c>
      <c r="Z187">
        <v>-1.34</v>
      </c>
      <c r="AA187">
        <v>15</v>
      </c>
      <c r="AB187">
        <v>6</v>
      </c>
      <c r="AC187">
        <v>9</v>
      </c>
      <c r="AD187">
        <v>40</v>
      </c>
      <c r="AE187">
        <v>11</v>
      </c>
      <c r="AF187">
        <v>5</v>
      </c>
      <c r="AG187">
        <v>8</v>
      </c>
      <c r="AH187">
        <v>2</v>
      </c>
    </row>
    <row r="188" spans="1:34">
      <c r="A188" s="102">
        <v>131</v>
      </c>
      <c r="B188">
        <v>1824</v>
      </c>
      <c r="C188" s="106" t="s">
        <v>310</v>
      </c>
      <c r="D188" s="106" t="s">
        <v>78</v>
      </c>
      <c r="E188">
        <v>1072</v>
      </c>
      <c r="F188">
        <v>1068</v>
      </c>
      <c r="G188">
        <v>1000</v>
      </c>
      <c r="H188" s="106" t="s">
        <v>61</v>
      </c>
      <c r="I188">
        <v>1860</v>
      </c>
      <c r="J188" s="106" t="s">
        <v>111</v>
      </c>
      <c r="K188" s="106" t="s">
        <v>78</v>
      </c>
      <c r="L188">
        <v>738</v>
      </c>
      <c r="M188">
        <v>730</v>
      </c>
      <c r="N188">
        <v>1500</v>
      </c>
      <c r="O188" s="106" t="s">
        <v>63</v>
      </c>
      <c r="P188">
        <v>0.93729977548200805</v>
      </c>
      <c r="Q188">
        <v>0.91758470731888697</v>
      </c>
      <c r="R188">
        <v>0.19217789047228401</v>
      </c>
      <c r="S188">
        <v>5.5557454768461599E-2</v>
      </c>
      <c r="T188">
        <v>-0.92670009071610504</v>
      </c>
      <c r="U188">
        <v>0.92670009071610504</v>
      </c>
      <c r="V188">
        <v>-1.74</v>
      </c>
      <c r="W188">
        <v>2.5299999999999998</v>
      </c>
      <c r="X188">
        <v>-347677</v>
      </c>
      <c r="Y188">
        <v>-18299</v>
      </c>
      <c r="Z188">
        <v>-0.89</v>
      </c>
      <c r="AA188">
        <v>19</v>
      </c>
      <c r="AB188">
        <v>7</v>
      </c>
      <c r="AC188">
        <v>12</v>
      </c>
      <c r="AD188">
        <v>36.840000000000003</v>
      </c>
      <c r="AE188">
        <v>12</v>
      </c>
      <c r="AF188">
        <v>3</v>
      </c>
      <c r="AG188">
        <v>8</v>
      </c>
      <c r="AH188">
        <v>8</v>
      </c>
    </row>
    <row r="189" spans="1:34">
      <c r="A189" s="102">
        <v>63</v>
      </c>
      <c r="B189">
        <v>6588</v>
      </c>
      <c r="C189" s="106" t="s">
        <v>788</v>
      </c>
      <c r="D189" s="106" t="s">
        <v>87</v>
      </c>
      <c r="E189">
        <v>4530</v>
      </c>
      <c r="F189">
        <v>4640</v>
      </c>
      <c r="G189">
        <v>200</v>
      </c>
      <c r="H189" s="106" t="s">
        <v>61</v>
      </c>
      <c r="I189">
        <v>6920</v>
      </c>
      <c r="J189" s="106" t="s">
        <v>86</v>
      </c>
      <c r="K189" s="106" t="s">
        <v>87</v>
      </c>
      <c r="L189">
        <v>10100</v>
      </c>
      <c r="M189">
        <v>10200</v>
      </c>
      <c r="N189">
        <v>100</v>
      </c>
      <c r="O189" s="106" t="s">
        <v>63</v>
      </c>
      <c r="P189">
        <v>0.95250605746618999</v>
      </c>
      <c r="Q189">
        <v>0.93589302831250898</v>
      </c>
      <c r="R189">
        <v>0.155148448891549</v>
      </c>
      <c r="S189">
        <v>0.33831472269774299</v>
      </c>
      <c r="T189">
        <v>-1.4492971477679499</v>
      </c>
      <c r="U189">
        <v>1.4492971477679499</v>
      </c>
      <c r="V189">
        <v>-5.53</v>
      </c>
      <c r="W189">
        <v>9.02</v>
      </c>
      <c r="X189">
        <v>-349103</v>
      </c>
      <c r="Y189">
        <v>-21819</v>
      </c>
      <c r="Z189">
        <v>-1.37</v>
      </c>
      <c r="AA189">
        <v>16</v>
      </c>
      <c r="AB189">
        <v>5</v>
      </c>
      <c r="AC189">
        <v>11</v>
      </c>
      <c r="AD189">
        <v>31.25</v>
      </c>
      <c r="AE189">
        <v>9</v>
      </c>
      <c r="AF189">
        <v>3</v>
      </c>
      <c r="AG189">
        <v>10</v>
      </c>
      <c r="AH189">
        <v>3</v>
      </c>
    </row>
    <row r="190" spans="1:34">
      <c r="A190" s="102">
        <v>109</v>
      </c>
      <c r="B190">
        <v>3635</v>
      </c>
      <c r="C190" s="106" t="s">
        <v>85</v>
      </c>
      <c r="D190" s="106" t="s">
        <v>79</v>
      </c>
      <c r="E190">
        <v>2779</v>
      </c>
      <c r="F190">
        <v>2820</v>
      </c>
      <c r="G190">
        <v>200</v>
      </c>
      <c r="H190" s="106" t="s">
        <v>61</v>
      </c>
      <c r="I190">
        <v>4686</v>
      </c>
      <c r="J190" s="106" t="s">
        <v>1003</v>
      </c>
      <c r="K190" s="106" t="s">
        <v>79</v>
      </c>
      <c r="L190">
        <v>6190</v>
      </c>
      <c r="M190">
        <v>6180</v>
      </c>
      <c r="N190">
        <v>100</v>
      </c>
      <c r="O190" s="106" t="s">
        <v>63</v>
      </c>
      <c r="P190">
        <v>0.91719147878076002</v>
      </c>
      <c r="Q190">
        <v>0.92195920766222905</v>
      </c>
      <c r="R190">
        <v>0.10297049210460101</v>
      </c>
      <c r="S190" s="15">
        <v>0.23741873062054</v>
      </c>
      <c r="T190">
        <v>-1.1850520290894799</v>
      </c>
      <c r="U190">
        <v>1.1850520290894799</v>
      </c>
      <c r="V190">
        <v>-15.56</v>
      </c>
      <c r="W190">
        <v>8.74</v>
      </c>
      <c r="X190">
        <v>-359580</v>
      </c>
      <c r="Y190">
        <v>-17123</v>
      </c>
      <c r="Z190">
        <v>-0.72</v>
      </c>
      <c r="AA190">
        <v>21</v>
      </c>
      <c r="AB190">
        <v>10</v>
      </c>
      <c r="AC190">
        <v>11</v>
      </c>
      <c r="AD190">
        <v>47.62</v>
      </c>
      <c r="AE190">
        <v>10</v>
      </c>
      <c r="AF190">
        <v>8</v>
      </c>
      <c r="AG190">
        <v>8</v>
      </c>
      <c r="AH190">
        <v>5</v>
      </c>
    </row>
    <row r="191" spans="1:34">
      <c r="A191" s="102">
        <v>66</v>
      </c>
      <c r="B191">
        <v>3110</v>
      </c>
      <c r="C191" s="106" t="s">
        <v>1030</v>
      </c>
      <c r="D191" s="106" t="s">
        <v>106</v>
      </c>
      <c r="E191">
        <v>4325</v>
      </c>
      <c r="F191">
        <v>4370</v>
      </c>
      <c r="G191">
        <v>100</v>
      </c>
      <c r="H191" s="106" t="s">
        <v>61</v>
      </c>
      <c r="I191">
        <v>4686</v>
      </c>
      <c r="J191" s="106" t="s">
        <v>1003</v>
      </c>
      <c r="K191" s="106" t="s">
        <v>79</v>
      </c>
      <c r="L191">
        <v>6190</v>
      </c>
      <c r="M191">
        <v>6180</v>
      </c>
      <c r="N191">
        <v>100</v>
      </c>
      <c r="O191" s="106" t="s">
        <v>63</v>
      </c>
      <c r="P191">
        <v>0.96215311741338505</v>
      </c>
      <c r="Q191">
        <v>0.93548192539069097</v>
      </c>
      <c r="R191">
        <v>9.5379338545265605E-2</v>
      </c>
      <c r="S191" s="15">
        <v>0.32771271773278898</v>
      </c>
      <c r="T191">
        <v>-0.73056162899183497</v>
      </c>
      <c r="U191">
        <v>0.73056162899183497</v>
      </c>
      <c r="V191">
        <v>-5.67</v>
      </c>
      <c r="W191">
        <v>29.29</v>
      </c>
      <c r="X191">
        <v>-438435</v>
      </c>
      <c r="Y191">
        <v>-36536</v>
      </c>
      <c r="Z191">
        <v>-1.87</v>
      </c>
      <c r="AA191">
        <v>12</v>
      </c>
      <c r="AB191">
        <v>3</v>
      </c>
      <c r="AC191">
        <v>9</v>
      </c>
      <c r="AD191">
        <v>25</v>
      </c>
      <c r="AE191">
        <v>9</v>
      </c>
      <c r="AF191">
        <v>1</v>
      </c>
      <c r="AG191">
        <v>8</v>
      </c>
      <c r="AH191">
        <v>3</v>
      </c>
    </row>
    <row r="192" spans="1:34">
      <c r="A192" s="102">
        <v>134</v>
      </c>
      <c r="B192">
        <v>6383</v>
      </c>
      <c r="C192" s="106" t="s">
        <v>1063</v>
      </c>
      <c r="D192" s="106" t="s">
        <v>99</v>
      </c>
      <c r="E192">
        <v>6530</v>
      </c>
      <c r="F192">
        <v>6650</v>
      </c>
      <c r="G192">
        <v>100</v>
      </c>
      <c r="H192" s="106" t="s">
        <v>63</v>
      </c>
      <c r="I192">
        <v>6965</v>
      </c>
      <c r="J192" s="106" t="s">
        <v>795</v>
      </c>
      <c r="K192" s="106" t="s">
        <v>87</v>
      </c>
      <c r="L192">
        <v>4555</v>
      </c>
      <c r="M192">
        <v>4540</v>
      </c>
      <c r="N192">
        <v>100</v>
      </c>
      <c r="O192" s="106" t="s">
        <v>61</v>
      </c>
      <c r="P192">
        <v>0.90101292224342899</v>
      </c>
      <c r="Q192">
        <v>0.91697638128262804</v>
      </c>
      <c r="R192">
        <v>0.13764026507987701</v>
      </c>
      <c r="S192">
        <v>8.4049128041342892E-3</v>
      </c>
      <c r="T192">
        <v>1.66540547380069</v>
      </c>
      <c r="U192">
        <v>1.66540547380069</v>
      </c>
      <c r="V192">
        <v>4.2300000000000004</v>
      </c>
      <c r="W192">
        <v>31.73</v>
      </c>
      <c r="X192">
        <v>-498068</v>
      </c>
      <c r="Y192">
        <v>-49807</v>
      </c>
      <c r="Z192">
        <v>-2.68</v>
      </c>
      <c r="AA192">
        <v>10</v>
      </c>
      <c r="AB192">
        <v>2</v>
      </c>
      <c r="AC192">
        <v>8</v>
      </c>
      <c r="AD192">
        <v>20</v>
      </c>
      <c r="AE192">
        <v>12</v>
      </c>
      <c r="AF192">
        <v>1</v>
      </c>
      <c r="AG192">
        <v>6</v>
      </c>
      <c r="AH192">
        <v>3</v>
      </c>
    </row>
    <row r="193" spans="3:19">
      <c r="C193" s="106"/>
      <c r="D193" s="106"/>
      <c r="H193" s="106"/>
      <c r="J193" s="106"/>
      <c r="K193" s="106"/>
      <c r="O193" s="106"/>
    </row>
    <row r="194" spans="3:19">
      <c r="C194" s="106"/>
      <c r="D194" s="106"/>
      <c r="H194" s="106"/>
      <c r="J194" s="106"/>
      <c r="K194" s="106"/>
      <c r="O194" s="106"/>
    </row>
    <row r="195" spans="3:19">
      <c r="C195" s="106"/>
      <c r="D195" s="106"/>
      <c r="H195" s="106"/>
      <c r="J195" s="106"/>
      <c r="K195" s="106"/>
      <c r="O195" s="106"/>
    </row>
    <row r="196" spans="3:19">
      <c r="C196" s="106"/>
      <c r="D196" s="106"/>
      <c r="H196" s="106"/>
      <c r="J196" s="106"/>
      <c r="K196" s="106"/>
      <c r="O196" s="106"/>
    </row>
    <row r="197" spans="3:19">
      <c r="C197" s="106"/>
      <c r="D197" s="106"/>
      <c r="H197" s="106"/>
      <c r="J197" s="106"/>
      <c r="K197" s="106"/>
      <c r="O197" s="106"/>
      <c r="R197" s="15"/>
      <c r="S197" s="15"/>
    </row>
    <row r="198" spans="3:19">
      <c r="C198" s="106"/>
      <c r="D198" s="106"/>
      <c r="H198" s="106"/>
      <c r="J198" s="106"/>
      <c r="K198" s="106"/>
      <c r="O198" s="106"/>
    </row>
    <row r="199" spans="3:19">
      <c r="C199" s="106"/>
      <c r="D199" s="106"/>
      <c r="H199" s="106"/>
      <c r="J199" s="106"/>
      <c r="K199" s="106"/>
      <c r="O199" s="106"/>
    </row>
    <row r="200" spans="3:19">
      <c r="C200" s="106"/>
      <c r="D200" s="106"/>
      <c r="H200" s="106"/>
      <c r="J200" s="106"/>
      <c r="K200" s="106"/>
      <c r="O200" s="106"/>
    </row>
    <row r="201" spans="3:19">
      <c r="C201" s="106"/>
      <c r="D201" s="106"/>
      <c r="H201" s="106"/>
      <c r="J201" s="106"/>
      <c r="K201" s="106"/>
      <c r="O201" s="106"/>
    </row>
    <row r="202" spans="3:19">
      <c r="C202" s="106"/>
      <c r="D202" s="106"/>
      <c r="H202" s="106"/>
      <c r="J202" s="106"/>
      <c r="K202" s="106"/>
      <c r="O202" s="106"/>
    </row>
    <row r="203" spans="3:19">
      <c r="C203" s="106"/>
      <c r="D203" s="106"/>
      <c r="H203" s="106"/>
      <c r="J203" s="106"/>
      <c r="K203" s="106"/>
      <c r="O203" s="106"/>
    </row>
    <row r="204" spans="3:19">
      <c r="C204" s="106"/>
      <c r="D204" s="106"/>
      <c r="H204" s="106"/>
      <c r="J204" s="106"/>
      <c r="K204" s="106"/>
      <c r="O204" s="106"/>
    </row>
    <row r="205" spans="3:19">
      <c r="C205" s="106"/>
      <c r="D205" s="106"/>
      <c r="H205" s="106"/>
      <c r="J205" s="106"/>
      <c r="K205" s="106"/>
      <c r="O205" s="106"/>
    </row>
    <row r="206" spans="3:19">
      <c r="C206" s="106"/>
      <c r="D206" s="106"/>
      <c r="H206" s="106"/>
      <c r="J206" s="106"/>
      <c r="K206" s="106"/>
      <c r="O206" s="106"/>
      <c r="R206" s="15"/>
    </row>
    <row r="207" spans="3:19">
      <c r="C207" s="106"/>
      <c r="D207" s="106"/>
      <c r="H207" s="106"/>
      <c r="J207" s="106"/>
      <c r="K207" s="106"/>
      <c r="O207" s="106"/>
    </row>
    <row r="208" spans="3:19">
      <c r="C208" s="106"/>
      <c r="D208" s="106"/>
      <c r="H208" s="106"/>
      <c r="J208" s="106"/>
      <c r="K208" s="106"/>
      <c r="O208" s="106"/>
    </row>
    <row r="209" spans="3:19">
      <c r="C209" s="106"/>
      <c r="D209" s="106"/>
      <c r="H209" s="106"/>
      <c r="J209" s="106"/>
      <c r="K209" s="106"/>
      <c r="O209" s="106"/>
      <c r="S209" s="15"/>
    </row>
    <row r="210" spans="3:19">
      <c r="C210" s="106"/>
      <c r="D210" s="106"/>
      <c r="H210" s="106"/>
      <c r="J210" s="106"/>
      <c r="K210" s="106"/>
      <c r="O210" s="106"/>
      <c r="S210" s="15"/>
    </row>
    <row r="211" spans="3:19">
      <c r="C211" s="106"/>
      <c r="D211" s="106"/>
      <c r="H211" s="106"/>
      <c r="J211" s="106"/>
      <c r="K211" s="106"/>
      <c r="O211" s="106"/>
    </row>
    <row r="212" spans="3:19">
      <c r="C212" s="106"/>
      <c r="D212" s="106"/>
      <c r="H212" s="106"/>
      <c r="J212" s="106"/>
      <c r="K212" s="106"/>
      <c r="O212" s="106"/>
    </row>
    <row r="213" spans="3:19">
      <c r="C213" s="106"/>
      <c r="D213" s="106"/>
      <c r="H213" s="106"/>
      <c r="J213" s="106"/>
      <c r="K213" s="106"/>
      <c r="O213" s="106"/>
      <c r="S213" s="15"/>
    </row>
    <row r="214" spans="3:19">
      <c r="C214" s="106"/>
      <c r="D214" s="106"/>
      <c r="H214" s="106"/>
      <c r="J214" s="106"/>
      <c r="K214" s="106"/>
      <c r="O214" s="106"/>
    </row>
    <row r="215" spans="3:19">
      <c r="C215" s="106"/>
      <c r="D215" s="106"/>
      <c r="H215" s="106"/>
      <c r="J215" s="106"/>
      <c r="K215" s="106"/>
      <c r="O215" s="106"/>
      <c r="R215" s="15"/>
    </row>
    <row r="216" spans="3:19">
      <c r="C216" s="106"/>
      <c r="D216" s="106"/>
      <c r="H216" s="106"/>
      <c r="J216" s="106"/>
      <c r="K216" s="106"/>
      <c r="O216" s="106"/>
    </row>
    <row r="217" spans="3:19">
      <c r="C217" s="106"/>
      <c r="D217" s="106"/>
      <c r="H217" s="106"/>
      <c r="J217" s="106"/>
      <c r="K217" s="106"/>
      <c r="O217" s="106"/>
    </row>
    <row r="218" spans="3:19">
      <c r="C218" s="106"/>
      <c r="D218" s="106"/>
      <c r="H218" s="106"/>
      <c r="J218" s="106"/>
      <c r="K218" s="106"/>
      <c r="O218" s="106"/>
    </row>
    <row r="219" spans="3:19">
      <c r="C219" s="106"/>
      <c r="D219" s="106"/>
      <c r="H219" s="106"/>
      <c r="J219" s="106"/>
      <c r="K219" s="106"/>
      <c r="O219" s="106"/>
    </row>
    <row r="220" spans="3:19">
      <c r="C220" s="106"/>
      <c r="D220" s="106"/>
      <c r="H220" s="106"/>
      <c r="J220" s="106"/>
      <c r="K220" s="106"/>
      <c r="O220" s="106"/>
    </row>
    <row r="221" spans="3:19">
      <c r="C221" s="106"/>
      <c r="D221" s="106"/>
      <c r="H221" s="106"/>
      <c r="J221" s="106"/>
      <c r="K221" s="106"/>
      <c r="O221" s="106"/>
      <c r="R221" s="15"/>
    </row>
    <row r="222" spans="3:19">
      <c r="C222" s="106"/>
      <c r="D222" s="106"/>
      <c r="H222" s="106"/>
      <c r="J222" s="106"/>
      <c r="K222" s="106"/>
      <c r="O222" s="106"/>
      <c r="R222" s="15"/>
    </row>
    <row r="223" spans="3:19">
      <c r="C223" s="106"/>
      <c r="D223" s="106"/>
      <c r="H223" s="106"/>
      <c r="J223" s="106"/>
      <c r="K223" s="106"/>
      <c r="O223" s="106"/>
    </row>
    <row r="224" spans="3:19">
      <c r="C224" s="106"/>
      <c r="D224" s="106"/>
      <c r="H224" s="106"/>
      <c r="J224" s="106"/>
      <c r="K224" s="106"/>
      <c r="O224" s="106"/>
    </row>
    <row r="225" spans="3:19">
      <c r="C225" s="106"/>
      <c r="D225" s="106"/>
      <c r="H225" s="106"/>
      <c r="J225" s="106"/>
      <c r="K225" s="106"/>
      <c r="O225" s="106"/>
      <c r="R225" s="15"/>
    </row>
    <row r="226" spans="3:19">
      <c r="C226" s="106"/>
      <c r="D226" s="106"/>
      <c r="H226" s="106"/>
      <c r="J226" s="106"/>
      <c r="K226" s="106"/>
      <c r="O226" s="106"/>
    </row>
    <row r="227" spans="3:19">
      <c r="C227" s="106"/>
      <c r="D227" s="106"/>
      <c r="H227" s="106"/>
      <c r="J227" s="106"/>
      <c r="K227" s="106"/>
      <c r="O227" s="106"/>
    </row>
    <row r="228" spans="3:19">
      <c r="C228" s="106"/>
      <c r="D228" s="106"/>
      <c r="H228" s="106"/>
      <c r="J228" s="106"/>
      <c r="K228" s="106"/>
      <c r="O228" s="106"/>
    </row>
    <row r="229" spans="3:19">
      <c r="C229" s="106"/>
      <c r="D229" s="106"/>
      <c r="H229" s="106"/>
      <c r="J229" s="106"/>
      <c r="K229" s="106"/>
      <c r="O229" s="106"/>
    </row>
    <row r="230" spans="3:19">
      <c r="C230" s="106"/>
      <c r="D230" s="106"/>
      <c r="H230" s="106"/>
      <c r="J230" s="106"/>
      <c r="K230" s="106"/>
      <c r="O230" s="106"/>
    </row>
    <row r="231" spans="3:19">
      <c r="C231" s="106"/>
      <c r="D231" s="106"/>
      <c r="H231" s="106"/>
      <c r="J231" s="106"/>
      <c r="K231" s="106"/>
      <c r="O231" s="106"/>
    </row>
    <row r="232" spans="3:19">
      <c r="C232" s="106"/>
      <c r="D232" s="106"/>
      <c r="H232" s="106"/>
      <c r="J232" s="106"/>
      <c r="K232" s="106"/>
      <c r="O232" s="106"/>
    </row>
    <row r="233" spans="3:19">
      <c r="C233" s="106"/>
      <c r="D233" s="106"/>
      <c r="H233" s="106"/>
      <c r="J233" s="106"/>
      <c r="K233" s="106"/>
      <c r="O233" s="106"/>
      <c r="R233" s="15"/>
    </row>
    <row r="234" spans="3:19">
      <c r="C234" s="106"/>
      <c r="D234" s="106"/>
      <c r="H234" s="106"/>
      <c r="J234" s="106"/>
      <c r="K234" s="106"/>
      <c r="O234" s="106"/>
    </row>
    <row r="235" spans="3:19">
      <c r="C235" s="106"/>
      <c r="D235" s="106"/>
      <c r="H235" s="106"/>
      <c r="J235" s="106"/>
      <c r="K235" s="106"/>
      <c r="O235" s="106"/>
    </row>
    <row r="236" spans="3:19">
      <c r="C236" s="106"/>
      <c r="D236" s="106"/>
      <c r="H236" s="106"/>
      <c r="J236" s="106"/>
      <c r="K236" s="106"/>
      <c r="O236" s="106"/>
    </row>
    <row r="237" spans="3:19">
      <c r="C237" s="106"/>
      <c r="D237" s="106"/>
      <c r="H237" s="106"/>
      <c r="J237" s="106"/>
      <c r="K237" s="106"/>
      <c r="O237" s="106"/>
      <c r="R237" s="15"/>
      <c r="S237" s="15"/>
    </row>
    <row r="238" spans="3:19">
      <c r="C238" s="106"/>
      <c r="D238" s="106"/>
      <c r="H238" s="106"/>
      <c r="J238" s="106"/>
      <c r="K238" s="106"/>
      <c r="O238" s="106"/>
    </row>
    <row r="239" spans="3:19">
      <c r="C239" s="106"/>
      <c r="D239" s="106"/>
      <c r="H239" s="106"/>
      <c r="J239" s="106"/>
      <c r="K239" s="106"/>
      <c r="O239" s="106"/>
    </row>
    <row r="240" spans="3:19">
      <c r="C240" s="106"/>
      <c r="D240" s="106"/>
      <c r="H240" s="106"/>
      <c r="J240" s="106"/>
      <c r="K240" s="106"/>
      <c r="O240" s="106"/>
      <c r="R240" s="15"/>
    </row>
    <row r="241" spans="3:19">
      <c r="C241" s="106"/>
      <c r="D241" s="106"/>
      <c r="H241" s="106"/>
      <c r="J241" s="106"/>
      <c r="K241" s="106"/>
      <c r="O241" s="106"/>
    </row>
    <row r="242" spans="3:19">
      <c r="C242" s="106"/>
      <c r="D242" s="106"/>
      <c r="H242" s="106"/>
      <c r="J242" s="106"/>
      <c r="K242" s="106"/>
      <c r="O242" s="106"/>
    </row>
    <row r="243" spans="3:19">
      <c r="C243" s="106"/>
      <c r="D243" s="106"/>
      <c r="H243" s="106"/>
      <c r="J243" s="106"/>
      <c r="K243" s="106"/>
      <c r="O243" s="106"/>
      <c r="R243" s="15"/>
    </row>
    <row r="244" spans="3:19">
      <c r="C244" s="106"/>
      <c r="D244" s="106"/>
      <c r="H244" s="106"/>
      <c r="J244" s="106"/>
      <c r="K244" s="106"/>
      <c r="O244" s="106"/>
      <c r="R244" s="15"/>
      <c r="S244" s="15"/>
    </row>
    <row r="245" spans="3:19">
      <c r="C245" s="106"/>
      <c r="D245" s="106"/>
      <c r="H245" s="106"/>
      <c r="J245" s="106"/>
      <c r="K245" s="106"/>
      <c r="O245" s="106"/>
    </row>
    <row r="246" spans="3:19">
      <c r="C246" s="106"/>
      <c r="D246" s="106"/>
      <c r="H246" s="106"/>
      <c r="J246" s="106"/>
      <c r="K246" s="106"/>
      <c r="O246" s="106"/>
    </row>
    <row r="247" spans="3:19">
      <c r="C247" s="106"/>
      <c r="D247" s="106"/>
      <c r="H247" s="106"/>
      <c r="J247" s="106"/>
      <c r="K247" s="106"/>
      <c r="O247" s="106"/>
    </row>
    <row r="248" spans="3:19">
      <c r="C248" s="106"/>
      <c r="D248" s="106"/>
      <c r="H248" s="106"/>
      <c r="J248" s="106"/>
      <c r="K248" s="106"/>
      <c r="O248" s="106"/>
    </row>
    <row r="249" spans="3:19">
      <c r="C249" s="106"/>
      <c r="D249" s="106"/>
      <c r="H249" s="106"/>
      <c r="J249" s="106"/>
      <c r="K249" s="106"/>
      <c r="O249" s="106"/>
    </row>
    <row r="250" spans="3:19">
      <c r="C250" s="106"/>
      <c r="D250" s="106"/>
      <c r="H250" s="106"/>
      <c r="J250" s="106"/>
      <c r="K250" s="106"/>
      <c r="O250" s="106"/>
    </row>
    <row r="251" spans="3:19">
      <c r="C251" s="106"/>
      <c r="D251" s="106"/>
      <c r="H251" s="106"/>
      <c r="J251" s="106"/>
      <c r="K251" s="106"/>
      <c r="O251" s="106"/>
    </row>
    <row r="252" spans="3:19">
      <c r="C252" s="106"/>
      <c r="D252" s="106"/>
      <c r="H252" s="106"/>
      <c r="J252" s="106"/>
      <c r="K252" s="106"/>
      <c r="O252" s="106"/>
    </row>
    <row r="253" spans="3:19">
      <c r="C253" s="106"/>
      <c r="D253" s="106"/>
      <c r="H253" s="106"/>
      <c r="J253" s="106"/>
      <c r="K253" s="106"/>
      <c r="O253" s="106"/>
    </row>
    <row r="254" spans="3:19">
      <c r="C254" s="106"/>
      <c r="D254" s="106"/>
      <c r="H254" s="106"/>
      <c r="J254" s="106"/>
      <c r="K254" s="106"/>
      <c r="O254" s="106"/>
    </row>
    <row r="255" spans="3:19">
      <c r="C255" s="106"/>
      <c r="D255" s="106"/>
      <c r="H255" s="106"/>
      <c r="J255" s="106"/>
      <c r="K255" s="106"/>
      <c r="O255" s="106"/>
    </row>
    <row r="256" spans="3:19">
      <c r="C256" s="106"/>
      <c r="D256" s="106"/>
      <c r="H256" s="106"/>
      <c r="J256" s="106"/>
      <c r="K256" s="106"/>
      <c r="O256" s="106"/>
    </row>
    <row r="257" spans="3:18">
      <c r="C257" s="106"/>
      <c r="D257" s="106"/>
      <c r="H257" s="106"/>
      <c r="J257" s="106"/>
      <c r="K257" s="106"/>
      <c r="O257" s="106"/>
      <c r="R257" s="15"/>
    </row>
    <row r="258" spans="3:18">
      <c r="C258" s="106"/>
      <c r="D258" s="106"/>
      <c r="H258" s="106"/>
      <c r="J258" s="106"/>
      <c r="K258" s="106"/>
      <c r="O258" s="106"/>
    </row>
    <row r="259" spans="3:18">
      <c r="C259" s="106"/>
      <c r="D259" s="106"/>
      <c r="H259" s="106"/>
      <c r="J259" s="106"/>
      <c r="K259" s="106"/>
      <c r="O259" s="106"/>
      <c r="R259" s="15"/>
    </row>
    <row r="260" spans="3:18">
      <c r="C260" s="106"/>
      <c r="D260" s="106"/>
      <c r="H260" s="106"/>
      <c r="J260" s="106"/>
      <c r="K260" s="106"/>
      <c r="O260" s="106"/>
    </row>
    <row r="261" spans="3:18">
      <c r="C261" s="106"/>
      <c r="D261" s="106"/>
      <c r="H261" s="106"/>
      <c r="J261" s="106"/>
      <c r="K261" s="106"/>
      <c r="O261" s="106"/>
    </row>
    <row r="262" spans="3:18">
      <c r="C262" s="106"/>
      <c r="D262" s="106"/>
      <c r="H262" s="106"/>
      <c r="J262" s="106"/>
      <c r="K262" s="106"/>
      <c r="O262" s="106"/>
      <c r="R262" s="15"/>
    </row>
    <row r="263" spans="3:18">
      <c r="C263" s="106"/>
      <c r="D263" s="106"/>
      <c r="H263" s="106"/>
      <c r="J263" s="106"/>
      <c r="K263" s="106"/>
      <c r="O263" s="106"/>
    </row>
    <row r="264" spans="3:18">
      <c r="C264" s="106"/>
      <c r="D264" s="106"/>
      <c r="H264" s="106"/>
      <c r="J264" s="106"/>
      <c r="K264" s="106"/>
      <c r="O264" s="106"/>
    </row>
    <row r="265" spans="3:18">
      <c r="C265" s="106"/>
      <c r="D265" s="106"/>
      <c r="H265" s="106"/>
      <c r="J265" s="106"/>
      <c r="K265" s="106"/>
      <c r="O265" s="106"/>
    </row>
    <row r="266" spans="3:18">
      <c r="C266" s="106"/>
      <c r="D266" s="106"/>
      <c r="H266" s="106"/>
      <c r="J266" s="106"/>
      <c r="K266" s="106"/>
      <c r="O266" s="106"/>
    </row>
    <row r="267" spans="3:18">
      <c r="C267" s="106"/>
      <c r="D267" s="106"/>
      <c r="H267" s="106"/>
      <c r="J267" s="106"/>
      <c r="K267" s="106"/>
      <c r="O267" s="106"/>
    </row>
    <row r="268" spans="3:18">
      <c r="C268" s="106"/>
      <c r="D268" s="106"/>
      <c r="H268" s="106"/>
      <c r="J268" s="106"/>
      <c r="K268" s="106"/>
      <c r="O268" s="106"/>
    </row>
    <row r="269" spans="3:18">
      <c r="C269" s="106"/>
      <c r="D269" s="106"/>
      <c r="H269" s="106"/>
      <c r="J269" s="106"/>
      <c r="K269" s="106"/>
      <c r="O269" s="106"/>
    </row>
    <row r="270" spans="3:18">
      <c r="C270" s="106"/>
      <c r="D270" s="106"/>
      <c r="H270" s="106"/>
      <c r="J270" s="106"/>
      <c r="K270" s="106"/>
      <c r="O270" s="106"/>
    </row>
    <row r="271" spans="3:18">
      <c r="C271" s="106"/>
      <c r="D271" s="106"/>
      <c r="H271" s="106"/>
      <c r="J271" s="106"/>
      <c r="K271" s="106"/>
      <c r="O271" s="106"/>
    </row>
    <row r="272" spans="3:18">
      <c r="C272" s="106"/>
      <c r="D272" s="106"/>
      <c r="H272" s="106"/>
      <c r="J272" s="106"/>
      <c r="K272" s="106"/>
      <c r="O272" s="106"/>
    </row>
    <row r="273" spans="3:18">
      <c r="C273" s="106"/>
      <c r="D273" s="106"/>
      <c r="H273" s="106"/>
      <c r="J273" s="106"/>
      <c r="K273" s="106"/>
      <c r="O273" s="106"/>
    </row>
    <row r="274" spans="3:18">
      <c r="C274" s="106"/>
      <c r="D274" s="106"/>
      <c r="H274" s="106"/>
      <c r="J274" s="106"/>
      <c r="K274" s="106"/>
      <c r="O274" s="106"/>
    </row>
    <row r="275" spans="3:18">
      <c r="C275" s="106"/>
      <c r="D275" s="106"/>
      <c r="H275" s="106"/>
      <c r="J275" s="106"/>
      <c r="K275" s="106"/>
      <c r="O275" s="106"/>
    </row>
    <row r="276" spans="3:18">
      <c r="C276" s="106"/>
      <c r="D276" s="106"/>
      <c r="H276" s="106"/>
      <c r="J276" s="106"/>
      <c r="K276" s="106"/>
      <c r="O276" s="106"/>
    </row>
    <row r="277" spans="3:18">
      <c r="C277" s="106"/>
      <c r="D277" s="106"/>
      <c r="H277" s="106"/>
      <c r="J277" s="106"/>
      <c r="K277" s="106"/>
      <c r="O277" s="106"/>
    </row>
    <row r="278" spans="3:18">
      <c r="C278" s="106"/>
      <c r="D278" s="106"/>
      <c r="H278" s="106"/>
      <c r="J278" s="106"/>
      <c r="K278" s="106"/>
      <c r="O278" s="106"/>
    </row>
    <row r="279" spans="3:18">
      <c r="C279" s="106"/>
      <c r="D279" s="106"/>
      <c r="H279" s="106"/>
      <c r="J279" s="106"/>
      <c r="K279" s="106"/>
      <c r="O279" s="106"/>
    </row>
    <row r="280" spans="3:18">
      <c r="C280" s="106"/>
      <c r="D280" s="106"/>
      <c r="H280" s="106"/>
      <c r="J280" s="106"/>
      <c r="K280" s="106"/>
      <c r="O280" s="106"/>
    </row>
    <row r="281" spans="3:18">
      <c r="C281" s="106"/>
      <c r="D281" s="106"/>
      <c r="H281" s="106"/>
      <c r="J281" s="106"/>
      <c r="K281" s="106"/>
      <c r="O281" s="106"/>
      <c r="R281" s="15"/>
    </row>
    <row r="282" spans="3:18">
      <c r="C282" s="106"/>
      <c r="D282" s="106"/>
      <c r="H282" s="106"/>
      <c r="J282" s="106"/>
      <c r="K282" s="106"/>
      <c r="O282" s="106"/>
    </row>
    <row r="283" spans="3:18">
      <c r="C283" s="106"/>
      <c r="D283" s="106"/>
      <c r="H283" s="106"/>
      <c r="J283" s="106"/>
      <c r="K283" s="106"/>
      <c r="O283" s="106"/>
    </row>
    <row r="284" spans="3:18">
      <c r="C284" s="106"/>
      <c r="D284" s="106"/>
      <c r="H284" s="106"/>
      <c r="J284" s="106"/>
      <c r="K284" s="106"/>
      <c r="O284" s="106"/>
    </row>
    <row r="285" spans="3:18">
      <c r="C285" s="106"/>
      <c r="D285" s="106"/>
      <c r="H285" s="106"/>
      <c r="J285" s="106"/>
      <c r="K285" s="106"/>
      <c r="O285" s="106"/>
    </row>
    <row r="286" spans="3:18">
      <c r="C286" s="106"/>
      <c r="D286" s="106"/>
      <c r="H286" s="106"/>
      <c r="J286" s="106"/>
      <c r="K286" s="106"/>
      <c r="O286" s="106"/>
    </row>
    <row r="287" spans="3:18">
      <c r="C287" s="106"/>
      <c r="D287" s="106"/>
      <c r="H287" s="106"/>
      <c r="J287" s="106"/>
      <c r="K287" s="106"/>
      <c r="O287" s="106"/>
    </row>
    <row r="288" spans="3:18">
      <c r="C288" s="106"/>
      <c r="D288" s="106"/>
      <c r="H288" s="106"/>
      <c r="J288" s="106"/>
      <c r="K288" s="106"/>
      <c r="O288" s="106"/>
    </row>
    <row r="289" spans="3:19">
      <c r="C289" s="106"/>
      <c r="D289" s="106"/>
      <c r="H289" s="106"/>
      <c r="J289" s="106"/>
      <c r="K289" s="106"/>
      <c r="O289" s="106"/>
    </row>
    <row r="290" spans="3:19">
      <c r="C290" s="106"/>
      <c r="D290" s="106"/>
      <c r="H290" s="106"/>
      <c r="J290" s="106"/>
      <c r="K290" s="106"/>
      <c r="O290" s="106"/>
    </row>
    <row r="291" spans="3:19">
      <c r="C291" s="106"/>
      <c r="D291" s="106"/>
      <c r="H291" s="106"/>
      <c r="J291" s="106"/>
      <c r="K291" s="106"/>
      <c r="O291" s="106"/>
    </row>
    <row r="292" spans="3:19">
      <c r="C292" s="106"/>
      <c r="D292" s="106"/>
      <c r="H292" s="106"/>
      <c r="J292" s="106"/>
      <c r="K292" s="106"/>
      <c r="O292" s="106"/>
    </row>
    <row r="293" spans="3:19">
      <c r="C293" s="106"/>
      <c r="D293" s="106"/>
      <c r="H293" s="106"/>
      <c r="J293" s="106"/>
      <c r="K293" s="106"/>
      <c r="O293" s="106"/>
    </row>
    <row r="294" spans="3:19">
      <c r="C294" s="106"/>
      <c r="D294" s="106"/>
      <c r="H294" s="106"/>
      <c r="J294" s="106"/>
      <c r="K294" s="106"/>
      <c r="O294" s="106"/>
    </row>
    <row r="295" spans="3:19">
      <c r="C295" s="106"/>
      <c r="D295" s="106"/>
      <c r="H295" s="106"/>
      <c r="J295" s="106"/>
      <c r="K295" s="106"/>
      <c r="O295" s="106"/>
    </row>
    <row r="296" spans="3:19">
      <c r="C296" s="106"/>
      <c r="D296" s="106"/>
      <c r="H296" s="106"/>
      <c r="J296" s="106"/>
      <c r="K296" s="106"/>
      <c r="O296" s="106"/>
      <c r="R296" s="15"/>
    </row>
    <row r="297" spans="3:19">
      <c r="C297" s="106"/>
      <c r="D297" s="106"/>
      <c r="H297" s="106"/>
      <c r="J297" s="106"/>
      <c r="K297" s="106"/>
      <c r="O297" s="106"/>
      <c r="R297" s="15"/>
    </row>
    <row r="298" spans="3:19">
      <c r="C298" s="106"/>
      <c r="D298" s="106"/>
      <c r="H298" s="106"/>
      <c r="J298" s="106"/>
      <c r="K298" s="106"/>
      <c r="O298" s="106"/>
    </row>
    <row r="299" spans="3:19">
      <c r="C299" s="106"/>
      <c r="D299" s="106"/>
      <c r="H299" s="106"/>
      <c r="J299" s="106"/>
      <c r="K299" s="106"/>
      <c r="O299" s="106"/>
    </row>
    <row r="300" spans="3:19">
      <c r="C300" s="106"/>
      <c r="D300" s="106"/>
      <c r="H300" s="106"/>
      <c r="J300" s="106"/>
      <c r="K300" s="106"/>
      <c r="O300" s="106"/>
    </row>
    <row r="301" spans="3:19">
      <c r="C301" s="106"/>
      <c r="D301" s="106"/>
      <c r="H301" s="106"/>
      <c r="J301" s="106"/>
      <c r="K301" s="106"/>
      <c r="O301" s="106"/>
      <c r="S301" s="15"/>
    </row>
    <row r="302" spans="3:19">
      <c r="C302" s="106"/>
      <c r="D302" s="106"/>
      <c r="H302" s="106"/>
      <c r="J302" s="106"/>
      <c r="K302" s="106"/>
      <c r="O302" s="106"/>
    </row>
    <row r="303" spans="3:19">
      <c r="C303" s="106"/>
      <c r="D303" s="106"/>
      <c r="H303" s="106"/>
      <c r="J303" s="106"/>
      <c r="K303" s="106"/>
      <c r="O303" s="106"/>
    </row>
    <row r="304" spans="3:19">
      <c r="C304" s="106"/>
      <c r="D304" s="106"/>
      <c r="H304" s="106"/>
      <c r="J304" s="106"/>
      <c r="K304" s="106"/>
      <c r="O304" s="106"/>
    </row>
    <row r="305" spans="3:19">
      <c r="C305" s="106"/>
      <c r="D305" s="106"/>
      <c r="H305" s="106"/>
      <c r="J305" s="106"/>
      <c r="K305" s="106"/>
      <c r="O305" s="106"/>
    </row>
    <row r="306" spans="3:19">
      <c r="C306" s="106"/>
      <c r="D306" s="106"/>
      <c r="H306" s="106"/>
      <c r="J306" s="106"/>
      <c r="K306" s="106"/>
      <c r="O306" s="106"/>
      <c r="S306" s="15"/>
    </row>
    <row r="307" spans="3:19">
      <c r="C307" s="106"/>
      <c r="D307" s="106"/>
      <c r="H307" s="106"/>
      <c r="J307" s="106"/>
      <c r="K307" s="106"/>
      <c r="O307" s="106"/>
    </row>
    <row r="308" spans="3:19">
      <c r="C308" s="106"/>
      <c r="D308" s="106"/>
      <c r="H308" s="106"/>
      <c r="J308" s="106"/>
      <c r="K308" s="106"/>
      <c r="O308" s="106"/>
    </row>
    <row r="309" spans="3:19">
      <c r="C309" s="106"/>
      <c r="D309" s="106"/>
      <c r="H309" s="106"/>
      <c r="J309" s="106"/>
      <c r="K309" s="106"/>
      <c r="O309" s="106"/>
    </row>
    <row r="310" spans="3:19">
      <c r="C310" s="106"/>
      <c r="D310" s="106"/>
      <c r="H310" s="106"/>
      <c r="J310" s="106"/>
      <c r="K310" s="106"/>
      <c r="O310" s="106"/>
    </row>
    <row r="311" spans="3:19">
      <c r="C311" s="106"/>
      <c r="D311" s="106"/>
      <c r="H311" s="106"/>
      <c r="J311" s="106"/>
      <c r="K311" s="106"/>
      <c r="O311" s="106"/>
    </row>
    <row r="312" spans="3:19">
      <c r="C312" s="106"/>
      <c r="D312" s="106"/>
      <c r="H312" s="106"/>
      <c r="J312" s="106"/>
      <c r="K312" s="106"/>
      <c r="O312" s="106"/>
    </row>
    <row r="313" spans="3:19">
      <c r="C313" s="106"/>
      <c r="D313" s="106"/>
      <c r="H313" s="106"/>
      <c r="J313" s="106"/>
      <c r="K313" s="106"/>
      <c r="O313" s="106"/>
    </row>
    <row r="314" spans="3:19">
      <c r="C314" s="106"/>
      <c r="D314" s="106"/>
      <c r="H314" s="106"/>
      <c r="J314" s="106"/>
      <c r="K314" s="106"/>
      <c r="O314" s="106"/>
    </row>
    <row r="315" spans="3:19">
      <c r="C315" s="106"/>
      <c r="D315" s="106"/>
      <c r="H315" s="106"/>
      <c r="J315" s="106"/>
      <c r="K315" s="106"/>
      <c r="O315" s="106"/>
    </row>
    <row r="316" spans="3:19">
      <c r="C316" s="106"/>
      <c r="D316" s="106"/>
      <c r="H316" s="106"/>
      <c r="J316" s="106"/>
      <c r="K316" s="106"/>
      <c r="O316" s="106"/>
    </row>
    <row r="317" spans="3:19">
      <c r="C317" s="106"/>
      <c r="D317" s="106"/>
      <c r="H317" s="106"/>
      <c r="J317" s="106"/>
      <c r="K317" s="106"/>
      <c r="O317" s="106"/>
    </row>
    <row r="318" spans="3:19">
      <c r="C318" s="106"/>
      <c r="D318" s="106"/>
      <c r="H318" s="106"/>
      <c r="J318" s="106"/>
      <c r="K318" s="106"/>
      <c r="O318" s="106"/>
    </row>
    <row r="319" spans="3:19">
      <c r="C319" s="106"/>
      <c r="D319" s="106"/>
      <c r="H319" s="106"/>
      <c r="J319" s="106"/>
      <c r="K319" s="106"/>
      <c r="O319" s="106"/>
    </row>
    <row r="320" spans="3:19">
      <c r="C320" s="106"/>
      <c r="D320" s="106"/>
      <c r="H320" s="106"/>
      <c r="J320" s="106"/>
      <c r="K320" s="106"/>
      <c r="O320" s="106"/>
    </row>
    <row r="321" spans="3:18">
      <c r="C321" s="106"/>
      <c r="D321" s="106"/>
      <c r="H321" s="106"/>
      <c r="J321" s="106"/>
      <c r="K321" s="106"/>
      <c r="O321" s="106"/>
      <c r="R321" s="15"/>
    </row>
    <row r="322" spans="3:18">
      <c r="C322" s="106"/>
      <c r="D322" s="106"/>
      <c r="H322" s="106"/>
      <c r="J322" s="106"/>
      <c r="K322" s="106"/>
      <c r="O322" s="106"/>
    </row>
    <row r="323" spans="3:18">
      <c r="C323" s="106"/>
      <c r="D323" s="106"/>
      <c r="H323" s="106"/>
      <c r="J323" s="106"/>
      <c r="K323" s="106"/>
      <c r="O323" s="106"/>
    </row>
    <row r="324" spans="3:18">
      <c r="C324" s="106"/>
      <c r="D324" s="106"/>
      <c r="H324" s="106"/>
      <c r="J324" s="106"/>
      <c r="K324" s="106"/>
      <c r="O324" s="106"/>
    </row>
    <row r="325" spans="3:18">
      <c r="C325" s="106"/>
      <c r="D325" s="106"/>
      <c r="H325" s="106"/>
      <c r="J325" s="106"/>
      <c r="K325" s="106"/>
      <c r="O325" s="106"/>
    </row>
    <row r="326" spans="3:18">
      <c r="C326" s="106"/>
      <c r="D326" s="106"/>
      <c r="H326" s="106"/>
      <c r="J326" s="106"/>
      <c r="K326" s="106"/>
      <c r="O326" s="106"/>
    </row>
    <row r="327" spans="3:18">
      <c r="C327" s="106"/>
      <c r="D327" s="106"/>
      <c r="H327" s="106"/>
      <c r="J327" s="106"/>
      <c r="K327" s="106"/>
      <c r="O327" s="106"/>
    </row>
    <row r="328" spans="3:18">
      <c r="C328" s="106"/>
      <c r="D328" s="106"/>
      <c r="H328" s="106"/>
      <c r="J328" s="106"/>
      <c r="K328" s="106"/>
      <c r="O328" s="106"/>
    </row>
    <row r="329" spans="3:18">
      <c r="C329" s="106"/>
      <c r="D329" s="106"/>
      <c r="H329" s="106"/>
      <c r="J329" s="106"/>
      <c r="K329" s="106"/>
      <c r="O329" s="106"/>
    </row>
    <row r="330" spans="3:18">
      <c r="C330" s="106"/>
      <c r="D330" s="106"/>
      <c r="H330" s="106"/>
      <c r="J330" s="106"/>
      <c r="K330" s="106"/>
      <c r="O330" s="106"/>
    </row>
    <row r="331" spans="3:18">
      <c r="C331" s="106"/>
      <c r="D331" s="106"/>
      <c r="H331" s="106"/>
      <c r="J331" s="106"/>
      <c r="K331" s="106"/>
      <c r="O331" s="106"/>
    </row>
    <row r="332" spans="3:18">
      <c r="C332" s="106"/>
      <c r="D332" s="106"/>
      <c r="H332" s="106"/>
      <c r="J332" s="106"/>
      <c r="K332" s="106"/>
      <c r="O332" s="106"/>
    </row>
    <row r="333" spans="3:18">
      <c r="C333" s="106"/>
      <c r="D333" s="106"/>
      <c r="H333" s="106"/>
      <c r="J333" s="106"/>
      <c r="K333" s="106"/>
      <c r="O333" s="106"/>
    </row>
    <row r="334" spans="3:18">
      <c r="C334" s="106"/>
      <c r="D334" s="106"/>
      <c r="H334" s="106"/>
      <c r="J334" s="106"/>
      <c r="K334" s="106"/>
      <c r="O334" s="106"/>
    </row>
    <row r="335" spans="3:18">
      <c r="C335" s="106"/>
      <c r="D335" s="106"/>
      <c r="H335" s="106"/>
      <c r="J335" s="106"/>
      <c r="K335" s="106"/>
      <c r="O335" s="106"/>
    </row>
    <row r="336" spans="3:18">
      <c r="C336" s="106"/>
      <c r="D336" s="106"/>
      <c r="H336" s="106"/>
      <c r="J336" s="106"/>
      <c r="K336" s="106"/>
      <c r="O336" s="106"/>
      <c r="R336" s="15"/>
    </row>
    <row r="337" spans="3:18">
      <c r="C337" s="106"/>
      <c r="D337" s="106"/>
      <c r="H337" s="106"/>
      <c r="J337" s="106"/>
      <c r="K337" s="106"/>
      <c r="O337" s="106"/>
    </row>
    <row r="338" spans="3:18">
      <c r="C338" s="106"/>
      <c r="D338" s="106"/>
      <c r="H338" s="106"/>
      <c r="J338" s="106"/>
      <c r="K338" s="106"/>
      <c r="O338" s="106"/>
    </row>
    <row r="339" spans="3:18">
      <c r="C339" s="106"/>
      <c r="D339" s="106"/>
      <c r="H339" s="106"/>
      <c r="J339" s="106"/>
      <c r="K339" s="106"/>
      <c r="O339" s="106"/>
    </row>
    <row r="340" spans="3:18">
      <c r="C340" s="106"/>
      <c r="D340" s="106"/>
      <c r="H340" s="106"/>
      <c r="J340" s="106"/>
      <c r="K340" s="106"/>
      <c r="O340" s="106"/>
    </row>
    <row r="341" spans="3:18">
      <c r="C341" s="106"/>
      <c r="D341" s="106"/>
      <c r="H341" s="106"/>
      <c r="J341" s="106"/>
      <c r="K341" s="106"/>
      <c r="O341" s="106"/>
      <c r="R341" s="15"/>
    </row>
    <row r="342" spans="3:18">
      <c r="C342" s="106"/>
      <c r="D342" s="106"/>
      <c r="H342" s="106"/>
      <c r="J342" s="106"/>
      <c r="K342" s="106"/>
      <c r="O342" s="106"/>
    </row>
    <row r="343" spans="3:18">
      <c r="C343" s="106"/>
      <c r="D343" s="106"/>
      <c r="H343" s="106"/>
      <c r="J343" s="106"/>
      <c r="K343" s="106"/>
      <c r="O343" s="106"/>
    </row>
    <row r="344" spans="3:18">
      <c r="C344" s="106"/>
      <c r="D344" s="106"/>
      <c r="H344" s="106"/>
      <c r="J344" s="106"/>
      <c r="K344" s="106"/>
      <c r="O344" s="106"/>
    </row>
    <row r="345" spans="3:18">
      <c r="C345" s="106"/>
      <c r="D345" s="106"/>
      <c r="H345" s="106"/>
      <c r="J345" s="106"/>
      <c r="K345" s="106"/>
      <c r="O345" s="106"/>
    </row>
    <row r="346" spans="3:18">
      <c r="C346" s="106"/>
      <c r="D346" s="106"/>
      <c r="H346" s="106"/>
      <c r="J346" s="106"/>
      <c r="K346" s="106"/>
      <c r="O346" s="106"/>
    </row>
    <row r="347" spans="3:18">
      <c r="C347" s="106"/>
      <c r="D347" s="106"/>
      <c r="H347" s="106"/>
      <c r="J347" s="106"/>
      <c r="K347" s="106"/>
      <c r="O347" s="106"/>
    </row>
    <row r="348" spans="3:18">
      <c r="C348" s="106"/>
      <c r="D348" s="106"/>
      <c r="H348" s="106"/>
      <c r="J348" s="106"/>
      <c r="K348" s="106"/>
      <c r="O348" s="106"/>
    </row>
    <row r="349" spans="3:18">
      <c r="C349" s="106"/>
      <c r="D349" s="106"/>
      <c r="H349" s="106"/>
      <c r="J349" s="106"/>
      <c r="K349" s="106"/>
      <c r="O349" s="106"/>
    </row>
    <row r="350" spans="3:18">
      <c r="C350" s="106"/>
      <c r="D350" s="106"/>
      <c r="H350" s="106"/>
      <c r="J350" s="106"/>
      <c r="K350" s="106"/>
      <c r="O350" s="106"/>
    </row>
    <row r="351" spans="3:18">
      <c r="C351" s="106"/>
      <c r="D351" s="106"/>
      <c r="H351" s="106"/>
      <c r="J351" s="106"/>
      <c r="K351" s="106"/>
      <c r="O351" s="106"/>
    </row>
    <row r="352" spans="3:18">
      <c r="C352" s="106"/>
      <c r="D352" s="106"/>
      <c r="H352" s="106"/>
      <c r="J352" s="106"/>
      <c r="K352" s="106"/>
      <c r="O352" s="106"/>
    </row>
    <row r="353" spans="3:15">
      <c r="C353" s="106"/>
      <c r="D353" s="106"/>
      <c r="H353" s="106"/>
      <c r="J353" s="106"/>
      <c r="K353" s="106"/>
      <c r="O353" s="106"/>
    </row>
    <row r="354" spans="3:15">
      <c r="C354" s="106"/>
      <c r="D354" s="106"/>
      <c r="H354" s="106"/>
      <c r="J354" s="106"/>
      <c r="K354" s="106"/>
      <c r="O354" s="106"/>
    </row>
    <row r="355" spans="3:15">
      <c r="C355" s="106"/>
      <c r="D355" s="106"/>
      <c r="H355" s="106"/>
      <c r="J355" s="106"/>
      <c r="K355" s="106"/>
      <c r="O355" s="106"/>
    </row>
    <row r="356" spans="3:15">
      <c r="C356" s="106"/>
      <c r="D356" s="106"/>
      <c r="H356" s="106"/>
      <c r="J356" s="106"/>
      <c r="K356" s="106"/>
      <c r="O356" s="106"/>
    </row>
    <row r="357" spans="3:15">
      <c r="C357" s="106"/>
      <c r="D357" s="106"/>
      <c r="H357" s="106"/>
      <c r="J357" s="106"/>
      <c r="K357" s="106"/>
      <c r="O357" s="106"/>
    </row>
    <row r="358" spans="3:15">
      <c r="C358" s="106"/>
      <c r="D358" s="106"/>
      <c r="H358" s="106"/>
      <c r="J358" s="106"/>
      <c r="K358" s="106"/>
      <c r="O358" s="106"/>
    </row>
    <row r="359" spans="3:15">
      <c r="C359" s="106"/>
      <c r="D359" s="106"/>
      <c r="H359" s="106"/>
      <c r="J359" s="106"/>
      <c r="K359" s="106"/>
      <c r="O359" s="106"/>
    </row>
    <row r="360" spans="3:15">
      <c r="C360" s="106"/>
      <c r="D360" s="106"/>
      <c r="H360" s="106"/>
      <c r="J360" s="106"/>
      <c r="K360" s="106"/>
      <c r="O360" s="106"/>
    </row>
    <row r="361" spans="3:15">
      <c r="C361" s="106"/>
      <c r="D361" s="106"/>
      <c r="H361" s="106"/>
      <c r="J361" s="106"/>
      <c r="K361" s="106"/>
      <c r="O361" s="106"/>
    </row>
    <row r="362" spans="3:15">
      <c r="C362" s="106"/>
      <c r="D362" s="106"/>
      <c r="H362" s="106"/>
      <c r="J362" s="106"/>
      <c r="K362" s="106"/>
      <c r="O362" s="106"/>
    </row>
    <row r="363" spans="3:15">
      <c r="C363" s="106"/>
      <c r="D363" s="106"/>
      <c r="H363" s="106"/>
      <c r="J363" s="106"/>
      <c r="K363" s="106"/>
      <c r="O363" s="106"/>
    </row>
    <row r="364" spans="3:15">
      <c r="C364" s="106"/>
      <c r="D364" s="106"/>
      <c r="H364" s="106"/>
      <c r="J364" s="106"/>
      <c r="K364" s="106"/>
      <c r="O364" s="106"/>
    </row>
    <row r="365" spans="3:15">
      <c r="C365" s="106"/>
      <c r="D365" s="106"/>
      <c r="H365" s="106"/>
      <c r="J365" s="106"/>
      <c r="K365" s="106"/>
      <c r="O365" s="106"/>
    </row>
    <row r="366" spans="3:15">
      <c r="C366" s="106"/>
      <c r="D366" s="106"/>
      <c r="H366" s="106"/>
      <c r="J366" s="106"/>
      <c r="K366" s="106"/>
      <c r="O366" s="106"/>
    </row>
    <row r="367" spans="3:15">
      <c r="C367" s="106"/>
      <c r="D367" s="106"/>
      <c r="H367" s="106"/>
      <c r="J367" s="106"/>
      <c r="K367" s="106"/>
      <c r="O367" s="106"/>
    </row>
    <row r="368" spans="3:15">
      <c r="C368" s="106"/>
      <c r="D368" s="106"/>
      <c r="H368" s="106"/>
      <c r="J368" s="106"/>
      <c r="K368" s="106"/>
      <c r="O368" s="106"/>
    </row>
    <row r="369" spans="3:19">
      <c r="C369" s="106"/>
      <c r="D369" s="106"/>
      <c r="H369" s="106"/>
      <c r="J369" s="106"/>
      <c r="K369" s="106"/>
      <c r="O369" s="106"/>
    </row>
    <row r="370" spans="3:19">
      <c r="C370" s="106"/>
      <c r="D370" s="106"/>
      <c r="H370" s="106"/>
      <c r="J370" s="106"/>
      <c r="K370" s="106"/>
      <c r="O370" s="106"/>
    </row>
    <row r="371" spans="3:19">
      <c r="C371" s="106"/>
      <c r="D371" s="106"/>
      <c r="H371" s="106"/>
      <c r="J371" s="106"/>
      <c r="K371" s="106"/>
      <c r="O371" s="106"/>
    </row>
    <row r="372" spans="3:19">
      <c r="C372" s="106"/>
      <c r="D372" s="106"/>
      <c r="H372" s="106"/>
      <c r="J372" s="106"/>
      <c r="K372" s="106"/>
      <c r="O372" s="106"/>
    </row>
    <row r="373" spans="3:19">
      <c r="C373" s="106"/>
      <c r="D373" s="106"/>
      <c r="H373" s="106"/>
      <c r="J373" s="106"/>
      <c r="K373" s="106"/>
      <c r="O373" s="106"/>
    </row>
    <row r="374" spans="3:19">
      <c r="C374" s="106"/>
      <c r="D374" s="106"/>
      <c r="H374" s="106"/>
      <c r="J374" s="106"/>
      <c r="K374" s="106"/>
      <c r="O374" s="106"/>
    </row>
    <row r="375" spans="3:19">
      <c r="C375" s="106"/>
      <c r="D375" s="106"/>
      <c r="H375" s="106"/>
      <c r="J375" s="106"/>
      <c r="K375" s="106"/>
      <c r="O375" s="106"/>
    </row>
    <row r="376" spans="3:19">
      <c r="C376" s="106"/>
      <c r="D376" s="106"/>
      <c r="H376" s="106"/>
      <c r="J376" s="106"/>
      <c r="K376" s="106"/>
      <c r="O376" s="106"/>
    </row>
    <row r="377" spans="3:19">
      <c r="C377" s="106"/>
      <c r="D377" s="106"/>
      <c r="H377" s="106"/>
      <c r="J377" s="106"/>
      <c r="K377" s="106"/>
      <c r="O377" s="106"/>
      <c r="S377" s="15"/>
    </row>
    <row r="378" spans="3:19">
      <c r="C378" s="106"/>
      <c r="D378" s="106"/>
      <c r="H378" s="106"/>
      <c r="J378" s="106"/>
      <c r="K378" s="106"/>
      <c r="O378" s="106"/>
    </row>
    <row r="379" spans="3:19">
      <c r="C379" s="106"/>
      <c r="D379" s="106"/>
      <c r="H379" s="106"/>
      <c r="J379" s="106"/>
      <c r="K379" s="106"/>
      <c r="O379" s="106"/>
      <c r="R379" s="15"/>
    </row>
    <row r="380" spans="3:19">
      <c r="C380" s="106"/>
      <c r="D380" s="106"/>
      <c r="H380" s="106"/>
      <c r="J380" s="106"/>
      <c r="K380" s="106"/>
      <c r="O380" s="106"/>
    </row>
    <row r="381" spans="3:19">
      <c r="C381" s="106"/>
      <c r="D381" s="106"/>
      <c r="H381" s="106"/>
      <c r="J381" s="106"/>
      <c r="K381" s="106"/>
      <c r="O381" s="106"/>
    </row>
    <row r="382" spans="3:19">
      <c r="C382" s="106"/>
      <c r="D382" s="106"/>
      <c r="H382" s="106"/>
      <c r="J382" s="106"/>
      <c r="K382" s="106"/>
      <c r="O382" s="106"/>
    </row>
    <row r="383" spans="3:19">
      <c r="C383" s="106"/>
      <c r="D383" s="106"/>
      <c r="H383" s="106"/>
      <c r="J383" s="106"/>
      <c r="K383" s="106"/>
      <c r="O383" s="106"/>
    </row>
    <row r="384" spans="3:19">
      <c r="C384" s="106"/>
      <c r="D384" s="106"/>
      <c r="H384" s="106"/>
      <c r="J384" s="106"/>
      <c r="K384" s="106"/>
      <c r="O384" s="106"/>
    </row>
    <row r="385" spans="3:19">
      <c r="C385" s="106"/>
      <c r="D385" s="106"/>
      <c r="H385" s="106"/>
      <c r="J385" s="106"/>
      <c r="K385" s="106"/>
      <c r="O385" s="106"/>
    </row>
    <row r="386" spans="3:19">
      <c r="C386" s="106"/>
      <c r="D386" s="106"/>
      <c r="H386" s="106"/>
      <c r="J386" s="106"/>
      <c r="K386" s="106"/>
      <c r="O386" s="106"/>
    </row>
    <row r="387" spans="3:19">
      <c r="C387" s="106"/>
      <c r="D387" s="106"/>
      <c r="H387" s="106"/>
      <c r="J387" s="106"/>
      <c r="K387" s="106"/>
      <c r="O387" s="106"/>
    </row>
    <row r="388" spans="3:19">
      <c r="C388" s="106"/>
      <c r="D388" s="106"/>
      <c r="H388" s="106"/>
      <c r="J388" s="106"/>
      <c r="K388" s="106"/>
      <c r="O388" s="106"/>
    </row>
    <row r="389" spans="3:19">
      <c r="C389" s="106"/>
      <c r="D389" s="106"/>
      <c r="H389" s="106"/>
      <c r="J389" s="106"/>
      <c r="K389" s="106"/>
      <c r="O389" s="106"/>
    </row>
    <row r="390" spans="3:19">
      <c r="C390" s="106"/>
      <c r="D390" s="106"/>
      <c r="H390" s="106"/>
      <c r="J390" s="106"/>
      <c r="K390" s="106"/>
      <c r="O390" s="106"/>
      <c r="R390" s="15"/>
    </row>
    <row r="391" spans="3:19">
      <c r="C391" s="106"/>
      <c r="D391" s="106"/>
      <c r="H391" s="106"/>
      <c r="J391" s="106"/>
      <c r="K391" s="106"/>
      <c r="O391" s="106"/>
    </row>
    <row r="392" spans="3:19">
      <c r="C392" s="106"/>
      <c r="D392" s="106"/>
      <c r="H392" s="106"/>
      <c r="J392" s="106"/>
      <c r="K392" s="106"/>
      <c r="O392" s="106"/>
    </row>
    <row r="393" spans="3:19">
      <c r="C393" s="106"/>
      <c r="D393" s="106"/>
      <c r="H393" s="106"/>
      <c r="J393" s="106"/>
      <c r="K393" s="106"/>
      <c r="O393" s="106"/>
    </row>
    <row r="394" spans="3:19">
      <c r="C394" s="106"/>
      <c r="D394" s="106"/>
      <c r="H394" s="106"/>
      <c r="J394" s="106"/>
      <c r="K394" s="106"/>
      <c r="O394" s="106"/>
    </row>
    <row r="395" spans="3:19">
      <c r="C395" s="106"/>
      <c r="D395" s="106"/>
      <c r="H395" s="106"/>
      <c r="J395" s="106"/>
      <c r="K395" s="106"/>
      <c r="O395" s="106"/>
    </row>
    <row r="396" spans="3:19">
      <c r="C396" s="106"/>
      <c r="D396" s="106"/>
      <c r="H396" s="106"/>
      <c r="J396" s="106"/>
      <c r="K396" s="106"/>
      <c r="O396" s="106"/>
    </row>
    <row r="397" spans="3:19">
      <c r="C397" s="106"/>
      <c r="D397" s="106"/>
      <c r="H397" s="106"/>
      <c r="J397" s="106"/>
      <c r="K397" s="106"/>
      <c r="O397" s="106"/>
    </row>
    <row r="398" spans="3:19">
      <c r="C398" s="106"/>
      <c r="D398" s="106"/>
      <c r="H398" s="106"/>
      <c r="J398" s="106"/>
      <c r="K398" s="106"/>
      <c r="O398" s="106"/>
      <c r="S398" s="15"/>
    </row>
    <row r="399" spans="3:19">
      <c r="C399" s="106"/>
      <c r="D399" s="106"/>
      <c r="H399" s="106"/>
      <c r="J399" s="106"/>
      <c r="K399" s="106"/>
      <c r="O399" s="106"/>
    </row>
    <row r="400" spans="3:19">
      <c r="C400" s="106"/>
      <c r="D400" s="106"/>
      <c r="H400" s="106"/>
      <c r="J400" s="106"/>
      <c r="K400" s="106"/>
      <c r="O400" s="106"/>
    </row>
    <row r="401" spans="3:15">
      <c r="C401" s="106"/>
      <c r="D401" s="106"/>
      <c r="H401" s="106"/>
      <c r="J401" s="106"/>
      <c r="K401" s="106"/>
      <c r="O401" s="106"/>
    </row>
    <row r="402" spans="3:15">
      <c r="C402" s="106"/>
      <c r="D402" s="106"/>
      <c r="H402" s="106"/>
      <c r="J402" s="106"/>
      <c r="K402" s="106"/>
      <c r="O402" s="106"/>
    </row>
    <row r="403" spans="3:15">
      <c r="C403" s="106"/>
      <c r="D403" s="106"/>
      <c r="H403" s="106"/>
      <c r="J403" s="106"/>
      <c r="K403" s="106"/>
      <c r="O403" s="106"/>
    </row>
    <row r="404" spans="3:15">
      <c r="C404" s="106"/>
      <c r="D404" s="106"/>
      <c r="H404" s="106"/>
      <c r="J404" s="106"/>
      <c r="K404" s="106"/>
      <c r="O404" s="106"/>
    </row>
    <row r="405" spans="3:15">
      <c r="C405" s="106"/>
      <c r="D405" s="106"/>
      <c r="H405" s="106"/>
      <c r="J405" s="106"/>
      <c r="K405" s="106"/>
      <c r="O405" s="106"/>
    </row>
    <row r="406" spans="3:15">
      <c r="C406" s="106"/>
      <c r="D406" s="106"/>
      <c r="H406" s="106"/>
      <c r="J406" s="106"/>
      <c r="K406" s="106"/>
      <c r="O406" s="106"/>
    </row>
    <row r="407" spans="3:15">
      <c r="C407" s="106"/>
      <c r="D407" s="106"/>
      <c r="H407" s="106"/>
      <c r="J407" s="106"/>
      <c r="K407" s="106"/>
      <c r="O407" s="106"/>
    </row>
    <row r="408" spans="3:15">
      <c r="C408" s="106"/>
      <c r="D408" s="106"/>
      <c r="H408" s="106"/>
      <c r="J408" s="106"/>
      <c r="K408" s="106"/>
      <c r="O408" s="106"/>
    </row>
    <row r="409" spans="3:15">
      <c r="C409" s="106"/>
      <c r="D409" s="106"/>
      <c r="H409" s="106"/>
      <c r="J409" s="106"/>
      <c r="K409" s="106"/>
      <c r="O409" s="106"/>
    </row>
    <row r="410" spans="3:15">
      <c r="C410" s="106"/>
      <c r="D410" s="106"/>
      <c r="H410" s="106"/>
      <c r="J410" s="106"/>
      <c r="K410" s="106"/>
      <c r="O410" s="106"/>
    </row>
    <row r="411" spans="3:15">
      <c r="C411" s="106"/>
      <c r="D411" s="106"/>
      <c r="H411" s="106"/>
      <c r="J411" s="106"/>
      <c r="K411" s="106"/>
      <c r="O411" s="106"/>
    </row>
    <row r="412" spans="3:15">
      <c r="C412" s="106"/>
      <c r="D412" s="106"/>
      <c r="H412" s="106"/>
      <c r="J412" s="106"/>
      <c r="K412" s="106"/>
      <c r="O412" s="106"/>
    </row>
    <row r="413" spans="3:15">
      <c r="C413" s="106"/>
      <c r="D413" s="106"/>
      <c r="H413" s="106"/>
      <c r="J413" s="106"/>
      <c r="K413" s="106"/>
      <c r="O413" s="106"/>
    </row>
    <row r="414" spans="3:15">
      <c r="C414" s="106"/>
      <c r="D414" s="106"/>
      <c r="H414" s="106"/>
      <c r="J414" s="106"/>
      <c r="K414" s="106"/>
      <c r="O414" s="106"/>
    </row>
    <row r="415" spans="3:15">
      <c r="C415" s="106"/>
      <c r="D415" s="106"/>
      <c r="H415" s="106"/>
      <c r="J415" s="106"/>
      <c r="K415" s="106"/>
      <c r="O415" s="106"/>
    </row>
    <row r="416" spans="3:15">
      <c r="C416" s="106"/>
      <c r="D416" s="106"/>
      <c r="H416" s="106"/>
      <c r="J416" s="106"/>
      <c r="K416" s="106"/>
      <c r="O416" s="106"/>
    </row>
    <row r="417" spans="3:15">
      <c r="C417" s="106"/>
      <c r="D417" s="106"/>
      <c r="H417" s="106"/>
      <c r="J417" s="106"/>
      <c r="K417" s="106"/>
      <c r="O417" s="106"/>
    </row>
    <row r="418" spans="3:15">
      <c r="C418" s="106"/>
      <c r="D418" s="106"/>
      <c r="H418" s="106"/>
      <c r="J418" s="106"/>
      <c r="K418" s="106"/>
      <c r="O418" s="106"/>
    </row>
    <row r="419" spans="3:15">
      <c r="C419" s="106"/>
      <c r="D419" s="106"/>
      <c r="H419" s="106"/>
      <c r="J419" s="106"/>
      <c r="K419" s="106"/>
      <c r="O419" s="106"/>
    </row>
    <row r="420" spans="3:15">
      <c r="C420" s="106"/>
      <c r="D420" s="106"/>
      <c r="H420" s="106"/>
      <c r="J420" s="106"/>
      <c r="K420" s="106"/>
      <c r="O420" s="106"/>
    </row>
    <row r="421" spans="3:15">
      <c r="C421" s="106"/>
      <c r="D421" s="106"/>
      <c r="H421" s="106"/>
      <c r="J421" s="106"/>
      <c r="K421" s="106"/>
      <c r="O421" s="106"/>
    </row>
    <row r="422" spans="3:15">
      <c r="C422" s="106"/>
      <c r="D422" s="106"/>
      <c r="H422" s="106"/>
      <c r="J422" s="106"/>
      <c r="K422" s="106"/>
      <c r="O422" s="106"/>
    </row>
    <row r="423" spans="3:15">
      <c r="C423" s="106"/>
      <c r="D423" s="106"/>
      <c r="H423" s="106"/>
      <c r="J423" s="106"/>
      <c r="K423" s="106"/>
      <c r="O423" s="106"/>
    </row>
    <row r="424" spans="3:15">
      <c r="C424" s="106"/>
      <c r="D424" s="106"/>
      <c r="H424" s="106"/>
      <c r="J424" s="106"/>
      <c r="K424" s="106"/>
      <c r="O424" s="106"/>
    </row>
    <row r="425" spans="3:15">
      <c r="C425" s="106"/>
      <c r="D425" s="106"/>
      <c r="H425" s="106"/>
      <c r="J425" s="106"/>
      <c r="K425" s="106"/>
      <c r="O425" s="106"/>
    </row>
    <row r="426" spans="3:15">
      <c r="C426" s="106"/>
      <c r="D426" s="106"/>
      <c r="H426" s="106"/>
      <c r="J426" s="106"/>
      <c r="K426" s="106"/>
      <c r="O426" s="106"/>
    </row>
    <row r="427" spans="3:15">
      <c r="C427" s="106"/>
      <c r="D427" s="106"/>
      <c r="H427" s="106"/>
      <c r="J427" s="106"/>
      <c r="K427" s="106"/>
      <c r="O427" s="106"/>
    </row>
    <row r="428" spans="3:15">
      <c r="C428" s="106"/>
      <c r="D428" s="106"/>
      <c r="H428" s="106"/>
      <c r="J428" s="106"/>
      <c r="K428" s="106"/>
      <c r="O428" s="106"/>
    </row>
    <row r="429" spans="3:15">
      <c r="C429" s="106"/>
      <c r="D429" s="106"/>
      <c r="H429" s="106"/>
      <c r="J429" s="106"/>
      <c r="K429" s="106"/>
      <c r="O429" s="106"/>
    </row>
    <row r="430" spans="3:15">
      <c r="C430" s="106"/>
      <c r="D430" s="106"/>
      <c r="H430" s="106"/>
      <c r="J430" s="106"/>
      <c r="K430" s="106"/>
      <c r="O430" s="106"/>
    </row>
    <row r="431" spans="3:15">
      <c r="C431" s="106"/>
      <c r="D431" s="106"/>
      <c r="H431" s="106"/>
      <c r="J431" s="106"/>
      <c r="K431" s="106"/>
      <c r="O431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F34" sqref="F34"/>
    </sheetView>
  </sheetViews>
  <sheetFormatPr defaultRowHeight="14.25"/>
  <cols>
    <col min="1" max="1" width="27.125" customWidth="1"/>
    <col min="2" max="2" width="34.625" customWidth="1"/>
  </cols>
  <sheetData>
    <row r="1" spans="1:4" s="106" customFormat="1">
      <c r="C1" s="1" t="s">
        <v>837</v>
      </c>
      <c r="D1" s="140">
        <v>0.1</v>
      </c>
    </row>
    <row r="2" spans="1:4" s="106" customFormat="1">
      <c r="A2" s="13" t="s">
        <v>835</v>
      </c>
      <c r="B2" s="1" t="s">
        <v>844</v>
      </c>
      <c r="C2" s="1" t="s">
        <v>836</v>
      </c>
    </row>
    <row r="3" spans="1:4" s="106" customFormat="1">
      <c r="A3" s="106">
        <v>500000</v>
      </c>
      <c r="B3" s="106">
        <v>250</v>
      </c>
      <c r="C3" s="106">
        <f>B3*(1+$D$1)</f>
        <v>275</v>
      </c>
    </row>
    <row r="4" spans="1:4" s="106" customFormat="1">
      <c r="A4" s="106">
        <v>1000000</v>
      </c>
      <c r="B4" s="106">
        <v>487</v>
      </c>
      <c r="C4" s="106">
        <f t="shared" ref="C4:C6" si="0">B4*(1+$D$1)</f>
        <v>535.70000000000005</v>
      </c>
    </row>
    <row r="5" spans="1:4" s="106" customFormat="1">
      <c r="A5" s="106">
        <v>1500000</v>
      </c>
      <c r="B5" s="106">
        <v>582</v>
      </c>
      <c r="C5" s="106">
        <f t="shared" si="0"/>
        <v>640.20000000000005</v>
      </c>
    </row>
    <row r="6" spans="1:4" s="106" customFormat="1">
      <c r="A6" s="106">
        <v>30000000</v>
      </c>
      <c r="B6" s="106">
        <v>921</v>
      </c>
      <c r="C6" s="106">
        <f t="shared" si="0"/>
        <v>1013.1000000000001</v>
      </c>
    </row>
    <row r="7" spans="1:4" s="106" customFormat="1"/>
    <row r="8" spans="1:4" s="106" customFormat="1">
      <c r="A8" s="13" t="s">
        <v>838</v>
      </c>
      <c r="B8" s="1" t="s">
        <v>845</v>
      </c>
    </row>
    <row r="9" spans="1:4" s="106" customFormat="1">
      <c r="A9" s="141" t="s">
        <v>839</v>
      </c>
      <c r="B9" s="143">
        <v>198</v>
      </c>
    </row>
    <row r="10" spans="1:4" s="106" customFormat="1">
      <c r="A10" s="141" t="s">
        <v>840</v>
      </c>
      <c r="B10" s="143">
        <v>385</v>
      </c>
    </row>
    <row r="11" spans="1:4" s="106" customFormat="1">
      <c r="A11" s="1" t="s">
        <v>841</v>
      </c>
      <c r="B11" s="144">
        <v>2.8000000000000001E-2</v>
      </c>
    </row>
    <row r="12" spans="1:4" s="106" customFormat="1">
      <c r="A12" s="1" t="s">
        <v>239</v>
      </c>
      <c r="B12" s="144">
        <v>1.0999999999999999E-2</v>
      </c>
    </row>
    <row r="15" spans="1:4" ht="15">
      <c r="A15" s="78" t="s">
        <v>171</v>
      </c>
    </row>
    <row r="16" spans="1:4">
      <c r="B16" s="1"/>
    </row>
    <row r="17" spans="1:2" ht="15.75" thickBot="1">
      <c r="A17" s="69" t="s">
        <v>172</v>
      </c>
    </row>
    <row r="18" spans="1:2" ht="15.75" thickBot="1">
      <c r="A18" s="71" t="s">
        <v>173</v>
      </c>
      <c r="B18" s="72" t="s">
        <v>174</v>
      </c>
    </row>
    <row r="19" spans="1:2" ht="15.75" thickBot="1">
      <c r="A19" s="73" t="s">
        <v>175</v>
      </c>
      <c r="B19" s="70" t="s">
        <v>176</v>
      </c>
    </row>
    <row r="20" spans="1:2" ht="15.75" thickBot="1">
      <c r="A20" s="73" t="s">
        <v>177</v>
      </c>
      <c r="B20" s="70" t="s">
        <v>178</v>
      </c>
    </row>
    <row r="21" spans="1:2" ht="15.75" thickBot="1">
      <c r="A21" s="73" t="s">
        <v>179</v>
      </c>
      <c r="B21" s="70" t="s">
        <v>180</v>
      </c>
    </row>
    <row r="22" spans="1:2" ht="15.75" thickBot="1">
      <c r="A22" s="73" t="s">
        <v>181</v>
      </c>
      <c r="B22" s="70" t="s">
        <v>182</v>
      </c>
    </row>
    <row r="23" spans="1:2" ht="15.75" thickBot="1">
      <c r="A23" s="74" t="s">
        <v>183</v>
      </c>
      <c r="B23" s="75" t="s">
        <v>184</v>
      </c>
    </row>
    <row r="24" spans="1:2" ht="15.75" thickBot="1">
      <c r="A24" s="76" t="s">
        <v>185</v>
      </c>
      <c r="B24" s="77" t="s">
        <v>186</v>
      </c>
    </row>
    <row r="25" spans="1:2" ht="15.75" thickBot="1">
      <c r="A25" s="73" t="s">
        <v>187</v>
      </c>
      <c r="B25" s="70" t="s">
        <v>188</v>
      </c>
    </row>
    <row r="26" spans="1:2" ht="15.75" thickBot="1">
      <c r="A26" s="73" t="s">
        <v>189</v>
      </c>
      <c r="B26" s="70" t="s">
        <v>190</v>
      </c>
    </row>
    <row r="27" spans="1:2" ht="15.75" thickBot="1">
      <c r="A27" s="69" t="s">
        <v>191</v>
      </c>
    </row>
    <row r="28" spans="1:2" ht="15.75" thickBot="1">
      <c r="A28" s="71" t="s">
        <v>173</v>
      </c>
      <c r="B28" s="72" t="s">
        <v>174</v>
      </c>
    </row>
    <row r="29" spans="1:2" ht="15.75" thickBot="1">
      <c r="A29" s="73" t="s">
        <v>177</v>
      </c>
      <c r="B29" s="70" t="s">
        <v>178</v>
      </c>
    </row>
    <row r="30" spans="1:2" ht="15.75" thickBot="1">
      <c r="A30" s="73" t="s">
        <v>179</v>
      </c>
      <c r="B30" s="70" t="s">
        <v>192</v>
      </c>
    </row>
    <row r="31" spans="1:2" ht="15.75" thickBot="1">
      <c r="A31" s="73" t="s">
        <v>181</v>
      </c>
      <c r="B31" s="70" t="s">
        <v>193</v>
      </c>
    </row>
    <row r="32" spans="1:2" ht="15.75" thickBot="1">
      <c r="A32" s="74" t="s">
        <v>194</v>
      </c>
      <c r="B32" s="75" t="s">
        <v>195</v>
      </c>
    </row>
    <row r="35" spans="1:8" ht="15">
      <c r="A35" s="78" t="s">
        <v>196</v>
      </c>
    </row>
    <row r="36" spans="1:8" ht="15" thickBot="1"/>
    <row r="37" spans="1:8" ht="15.75" thickBot="1">
      <c r="A37" s="71" t="s">
        <v>197</v>
      </c>
      <c r="B37" s="72" t="s">
        <v>163</v>
      </c>
    </row>
    <row r="38" spans="1:8" ht="15.75" thickBot="1">
      <c r="A38" s="73" t="s">
        <v>177</v>
      </c>
      <c r="B38" s="70" t="s">
        <v>198</v>
      </c>
    </row>
    <row r="39" spans="1:8" ht="15.75" thickBot="1">
      <c r="A39" s="73" t="s">
        <v>179</v>
      </c>
      <c r="B39" s="70" t="s">
        <v>199</v>
      </c>
    </row>
    <row r="40" spans="1:8" ht="15.75" thickBot="1">
      <c r="A40" s="73" t="s">
        <v>200</v>
      </c>
      <c r="B40" s="70" t="s">
        <v>201</v>
      </c>
    </row>
    <row r="41" spans="1:8" ht="15.75" thickBot="1">
      <c r="A41" s="73" t="s">
        <v>181</v>
      </c>
      <c r="B41" s="70" t="s">
        <v>202</v>
      </c>
    </row>
    <row r="42" spans="1:8" ht="15.75" thickBot="1">
      <c r="A42" s="73" t="s">
        <v>183</v>
      </c>
      <c r="B42" s="70" t="s">
        <v>203</v>
      </c>
    </row>
    <row r="43" spans="1:8" ht="15.75" thickBot="1">
      <c r="A43" s="73" t="s">
        <v>204</v>
      </c>
      <c r="B43" s="70" t="s">
        <v>205</v>
      </c>
    </row>
    <row r="44" spans="1:8" ht="15">
      <c r="A44" s="80" t="s">
        <v>206</v>
      </c>
      <c r="B44" s="312" t="s">
        <v>208</v>
      </c>
    </row>
    <row r="45" spans="1:8" ht="30.75" thickBot="1">
      <c r="A45" s="73" t="s">
        <v>207</v>
      </c>
      <c r="B45" s="313"/>
    </row>
    <row r="47" spans="1:8" ht="15" thickBot="1"/>
    <row r="48" spans="1:8" ht="15" thickBot="1">
      <c r="A48" s="314" t="s">
        <v>157</v>
      </c>
      <c r="B48" s="315"/>
      <c r="C48" s="318" t="s">
        <v>209</v>
      </c>
      <c r="D48" s="319"/>
      <c r="E48" s="319"/>
      <c r="F48" s="319"/>
      <c r="G48" s="320"/>
      <c r="H48" s="86"/>
    </row>
    <row r="49" spans="1:8" ht="15" thickBot="1">
      <c r="A49" s="316"/>
      <c r="B49" s="317"/>
      <c r="C49" s="321" t="s">
        <v>210</v>
      </c>
      <c r="D49" s="322"/>
      <c r="E49" s="81" t="s">
        <v>211</v>
      </c>
      <c r="F49" s="323" t="s">
        <v>212</v>
      </c>
      <c r="G49" s="324"/>
    </row>
    <row r="50" spans="1:8" ht="15" thickBot="1">
      <c r="A50" s="87" t="s">
        <v>213</v>
      </c>
      <c r="B50" s="82" t="s">
        <v>214</v>
      </c>
      <c r="C50" s="82" t="s">
        <v>215</v>
      </c>
      <c r="D50" s="83" t="s">
        <v>214</v>
      </c>
      <c r="E50" s="83" t="s">
        <v>215</v>
      </c>
      <c r="F50" s="81" t="s">
        <v>215</v>
      </c>
      <c r="G50" s="84" t="s">
        <v>214</v>
      </c>
      <c r="H50" s="84" t="s">
        <v>215</v>
      </c>
    </row>
    <row r="51" spans="1:8" ht="28.5" customHeight="1" thickBot="1">
      <c r="A51" s="88" t="s">
        <v>216</v>
      </c>
      <c r="B51" s="309" t="s">
        <v>217</v>
      </c>
      <c r="C51" s="310"/>
      <c r="D51" s="309" t="s">
        <v>218</v>
      </c>
      <c r="E51" s="311"/>
      <c r="F51" s="311"/>
      <c r="G51" s="311"/>
      <c r="H51" s="310"/>
    </row>
    <row r="52" spans="1:8" ht="43.5" thickBot="1">
      <c r="A52" s="88" t="s">
        <v>219</v>
      </c>
      <c r="B52" s="309" t="s">
        <v>220</v>
      </c>
      <c r="C52" s="310"/>
      <c r="D52" s="85" t="s">
        <v>221</v>
      </c>
      <c r="E52" s="85" t="s">
        <v>222</v>
      </c>
      <c r="F52" s="85" t="s">
        <v>222</v>
      </c>
      <c r="G52" s="85" t="s">
        <v>221</v>
      </c>
      <c r="H52" s="85" t="s">
        <v>222</v>
      </c>
    </row>
    <row r="53" spans="1:8" ht="15" thickBot="1">
      <c r="A53" s="88" t="s">
        <v>223</v>
      </c>
      <c r="B53" s="309" t="s">
        <v>224</v>
      </c>
      <c r="C53" s="310"/>
      <c r="D53" s="309" t="s">
        <v>210</v>
      </c>
      <c r="E53" s="310"/>
      <c r="F53" s="85" t="s">
        <v>225</v>
      </c>
      <c r="G53" s="309" t="s">
        <v>226</v>
      </c>
      <c r="H53" s="310"/>
    </row>
    <row r="54" spans="1:8" ht="15" thickBot="1">
      <c r="A54" s="88" t="s">
        <v>163</v>
      </c>
      <c r="B54" s="309" t="s">
        <v>227</v>
      </c>
      <c r="C54" s="311"/>
      <c r="D54" s="311"/>
      <c r="E54" s="311"/>
      <c r="F54" s="310"/>
      <c r="G54" s="309" t="s">
        <v>228</v>
      </c>
      <c r="H54" s="310"/>
    </row>
    <row r="55" spans="1:8" ht="42.75">
      <c r="A55" s="142" t="s">
        <v>841</v>
      </c>
      <c r="B55" s="79" t="s">
        <v>230</v>
      </c>
      <c r="C55" s="312" t="s">
        <v>233</v>
      </c>
      <c r="D55" s="79" t="s">
        <v>230</v>
      </c>
      <c r="E55" s="312" t="s">
        <v>233</v>
      </c>
      <c r="F55" s="312" t="s">
        <v>233</v>
      </c>
      <c r="G55" s="79" t="s">
        <v>236</v>
      </c>
      <c r="H55" s="312" t="s">
        <v>233</v>
      </c>
    </row>
    <row r="56" spans="1:8" ht="42.75">
      <c r="A56" s="89" t="s">
        <v>229</v>
      </c>
      <c r="B56" s="90" t="s">
        <v>843</v>
      </c>
      <c r="C56" s="325"/>
      <c r="D56" s="79" t="s">
        <v>234</v>
      </c>
      <c r="E56" s="325"/>
      <c r="F56" s="325"/>
      <c r="G56" s="79" t="s">
        <v>237</v>
      </c>
      <c r="H56" s="325"/>
    </row>
    <row r="57" spans="1:8" ht="42.75">
      <c r="A57" s="89"/>
      <c r="B57" s="79" t="s">
        <v>231</v>
      </c>
      <c r="C57" s="325"/>
      <c r="D57" s="79" t="s">
        <v>231</v>
      </c>
      <c r="E57" s="325"/>
      <c r="F57" s="325"/>
      <c r="G57" s="79" t="s">
        <v>238</v>
      </c>
      <c r="H57" s="325"/>
    </row>
    <row r="58" spans="1:8" ht="15" thickBot="1">
      <c r="A58" s="88"/>
      <c r="B58" s="85" t="s">
        <v>232</v>
      </c>
      <c r="C58" s="313"/>
      <c r="D58" s="85" t="s">
        <v>235</v>
      </c>
      <c r="E58" s="313"/>
      <c r="F58" s="313"/>
      <c r="G58" s="85"/>
      <c r="H58" s="313"/>
    </row>
    <row r="59" spans="1:8" ht="42.75">
      <c r="A59" s="142" t="s">
        <v>842</v>
      </c>
      <c r="B59" s="312" t="s">
        <v>233</v>
      </c>
      <c r="C59" s="326">
        <v>1.0999999999999999E-2</v>
      </c>
      <c r="D59" s="312" t="s">
        <v>233</v>
      </c>
      <c r="E59" s="329">
        <v>1.0999999999999999E-2</v>
      </c>
      <c r="F59" s="329">
        <v>3.9E-2</v>
      </c>
      <c r="G59" s="312" t="s">
        <v>233</v>
      </c>
      <c r="H59" s="79" t="s">
        <v>236</v>
      </c>
    </row>
    <row r="60" spans="1:8" ht="42.75">
      <c r="A60" s="89" t="s">
        <v>229</v>
      </c>
      <c r="B60" s="325"/>
      <c r="C60" s="327"/>
      <c r="D60" s="325"/>
      <c r="E60" s="330"/>
      <c r="F60" s="330"/>
      <c r="G60" s="325"/>
      <c r="H60" s="79" t="s">
        <v>237</v>
      </c>
    </row>
    <row r="61" spans="1:8" ht="43.5" thickBot="1">
      <c r="A61" s="88"/>
      <c r="B61" s="313"/>
      <c r="C61" s="328"/>
      <c r="D61" s="313"/>
      <c r="E61" s="331"/>
      <c r="F61" s="331"/>
      <c r="G61" s="313"/>
      <c r="H61" s="85" t="s">
        <v>238</v>
      </c>
    </row>
    <row r="62" spans="1:8" ht="127.5" customHeight="1">
      <c r="A62" s="89" t="s">
        <v>240</v>
      </c>
      <c r="B62" s="312" t="s">
        <v>233</v>
      </c>
      <c r="C62" s="340" t="s">
        <v>242</v>
      </c>
      <c r="D62" s="312" t="s">
        <v>233</v>
      </c>
      <c r="E62" s="312" t="s">
        <v>233</v>
      </c>
      <c r="F62" s="312" t="s">
        <v>233</v>
      </c>
      <c r="G62" s="312" t="s">
        <v>233</v>
      </c>
      <c r="H62" s="312" t="s">
        <v>243</v>
      </c>
    </row>
    <row r="63" spans="1:8" ht="15" thickBot="1">
      <c r="A63" s="88" t="s">
        <v>241</v>
      </c>
      <c r="B63" s="313"/>
      <c r="C63" s="341"/>
      <c r="D63" s="313"/>
      <c r="E63" s="313"/>
      <c r="F63" s="313"/>
      <c r="G63" s="313"/>
      <c r="H63" s="313"/>
    </row>
    <row r="64" spans="1:8" ht="15" thickBot="1">
      <c r="A64" s="88" t="s">
        <v>244</v>
      </c>
      <c r="B64" s="309" t="s">
        <v>245</v>
      </c>
      <c r="C64" s="311"/>
      <c r="D64" s="311"/>
      <c r="E64" s="311"/>
      <c r="F64" s="311"/>
      <c r="G64" s="311"/>
      <c r="H64" s="310"/>
    </row>
    <row r="65" spans="1:8" ht="14.25" customHeight="1">
      <c r="A65" s="332" t="s">
        <v>246</v>
      </c>
      <c r="B65" s="334" t="s">
        <v>247</v>
      </c>
      <c r="C65" s="335"/>
      <c r="D65" s="335"/>
      <c r="E65" s="335"/>
      <c r="F65" s="335"/>
      <c r="G65" s="335"/>
      <c r="H65" s="336"/>
    </row>
    <row r="66" spans="1:8" ht="15" thickBot="1">
      <c r="A66" s="333"/>
      <c r="B66" s="337" t="s">
        <v>248</v>
      </c>
      <c r="C66" s="338"/>
      <c r="D66" s="338"/>
      <c r="E66" s="338"/>
      <c r="F66" s="338"/>
      <c r="G66" s="338"/>
      <c r="H66" s="339"/>
    </row>
    <row r="67" spans="1:8" ht="14.25" customHeight="1">
      <c r="A67" s="332" t="s">
        <v>249</v>
      </c>
      <c r="B67" s="334" t="s">
        <v>250</v>
      </c>
      <c r="C67" s="335"/>
      <c r="D67" s="335"/>
      <c r="E67" s="335"/>
      <c r="F67" s="335"/>
      <c r="G67" s="335"/>
      <c r="H67" s="336"/>
    </row>
    <row r="68" spans="1:8" ht="15" thickBot="1">
      <c r="A68" s="333"/>
      <c r="B68" s="337" t="s">
        <v>251</v>
      </c>
      <c r="C68" s="338"/>
      <c r="D68" s="338"/>
      <c r="E68" s="338"/>
      <c r="F68" s="338"/>
      <c r="G68" s="338"/>
      <c r="H68" s="339"/>
    </row>
    <row r="69" spans="1:8" ht="28.5" customHeight="1">
      <c r="A69" s="332" t="s">
        <v>252</v>
      </c>
      <c r="B69" s="334" t="s">
        <v>253</v>
      </c>
      <c r="C69" s="335"/>
      <c r="D69" s="336"/>
      <c r="E69" s="334" t="s">
        <v>254</v>
      </c>
      <c r="F69" s="335"/>
      <c r="G69" s="335"/>
      <c r="H69" s="336"/>
    </row>
    <row r="70" spans="1:8" ht="28.5" customHeight="1">
      <c r="A70" s="342"/>
      <c r="B70" s="343"/>
      <c r="C70" s="344"/>
      <c r="D70" s="345"/>
      <c r="E70" s="343" t="s">
        <v>255</v>
      </c>
      <c r="F70" s="344"/>
      <c r="G70" s="344"/>
      <c r="H70" s="345"/>
    </row>
    <row r="71" spans="1:8" ht="28.5" customHeight="1" thickBot="1">
      <c r="A71" s="333"/>
      <c r="B71" s="337"/>
      <c r="C71" s="338"/>
      <c r="D71" s="339"/>
      <c r="E71" s="337" t="s">
        <v>256</v>
      </c>
      <c r="F71" s="338"/>
      <c r="G71" s="338"/>
      <c r="H71" s="339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O17" sqref="O17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J795"/>
  <sheetViews>
    <sheetView showGridLines="0" zoomScaleNormal="100" workbookViewId="0">
      <selection activeCell="C3" sqref="C2:C3"/>
    </sheetView>
  </sheetViews>
  <sheetFormatPr defaultRowHeight="14.25"/>
  <cols>
    <col min="5" max="5" width="7" customWidth="1"/>
    <col min="8" max="8" width="26.5" customWidth="1"/>
  </cols>
  <sheetData>
    <row r="1" spans="1:10">
      <c r="A1" s="106" t="s">
        <v>339</v>
      </c>
      <c r="B1" s="106" t="s">
        <v>340</v>
      </c>
      <c r="C1" s="106" t="s">
        <v>341</v>
      </c>
      <c r="D1" s="106" t="s">
        <v>342</v>
      </c>
      <c r="E1" s="106" t="s">
        <v>343</v>
      </c>
      <c r="F1" s="106" t="s">
        <v>344</v>
      </c>
      <c r="G1" s="106" t="s">
        <v>345</v>
      </c>
      <c r="H1" s="106" t="s">
        <v>346</v>
      </c>
      <c r="I1" s="106" t="s">
        <v>347</v>
      </c>
    </row>
    <row r="2" spans="1:10">
      <c r="A2" s="106" t="s">
        <v>411</v>
      </c>
      <c r="B2" s="106" t="s">
        <v>348</v>
      </c>
      <c r="C2" s="106" t="s">
        <v>358</v>
      </c>
      <c r="D2" s="106" t="s">
        <v>354</v>
      </c>
      <c r="E2" s="106">
        <v>3308</v>
      </c>
      <c r="F2" s="106" t="s">
        <v>412</v>
      </c>
      <c r="G2" s="106" t="s">
        <v>388</v>
      </c>
      <c r="H2" s="106" t="s">
        <v>389</v>
      </c>
      <c r="I2" s="106">
        <v>154</v>
      </c>
    </row>
    <row r="3" spans="1:10">
      <c r="A3" s="106" t="s">
        <v>1996</v>
      </c>
      <c r="B3" s="106" t="s">
        <v>348</v>
      </c>
      <c r="C3" s="106" t="s">
        <v>360</v>
      </c>
      <c r="D3" s="106" t="s">
        <v>350</v>
      </c>
      <c r="E3">
        <v>3544</v>
      </c>
      <c r="F3" s="106" t="s">
        <v>1997</v>
      </c>
      <c r="G3" s="106" t="s">
        <v>351</v>
      </c>
      <c r="H3" s="106" t="s">
        <v>361</v>
      </c>
      <c r="I3">
        <v>85</v>
      </c>
    </row>
    <row r="4" spans="1:10">
      <c r="A4" s="106" t="s">
        <v>1998</v>
      </c>
      <c r="B4" s="106" t="s">
        <v>348</v>
      </c>
      <c r="C4" s="106" t="s">
        <v>360</v>
      </c>
      <c r="D4" s="106" t="s">
        <v>350</v>
      </c>
      <c r="E4">
        <v>3160</v>
      </c>
      <c r="F4" s="106" t="s">
        <v>774</v>
      </c>
      <c r="G4" s="106" t="s">
        <v>351</v>
      </c>
      <c r="H4" s="106" t="s">
        <v>357</v>
      </c>
      <c r="I4">
        <v>93</v>
      </c>
    </row>
    <row r="5" spans="1:10">
      <c r="A5" s="106" t="s">
        <v>1998</v>
      </c>
      <c r="B5" s="106" t="s">
        <v>348</v>
      </c>
      <c r="C5" s="106" t="s">
        <v>349</v>
      </c>
      <c r="D5" s="106" t="s">
        <v>354</v>
      </c>
      <c r="E5">
        <v>3333</v>
      </c>
      <c r="F5" s="106" t="s">
        <v>1999</v>
      </c>
      <c r="G5" s="106" t="s">
        <v>351</v>
      </c>
      <c r="H5" s="106" t="s">
        <v>361</v>
      </c>
      <c r="I5">
        <v>348</v>
      </c>
    </row>
    <row r="6" spans="1:10">
      <c r="A6" s="106" t="s">
        <v>852</v>
      </c>
      <c r="B6" s="106" t="s">
        <v>348</v>
      </c>
      <c r="C6" s="106" t="s">
        <v>349</v>
      </c>
      <c r="D6" s="106" t="s">
        <v>350</v>
      </c>
      <c r="E6">
        <v>2925</v>
      </c>
      <c r="F6" s="106" t="s">
        <v>2000</v>
      </c>
      <c r="G6" s="106" t="s">
        <v>351</v>
      </c>
      <c r="H6" s="106" t="s">
        <v>352</v>
      </c>
      <c r="I6">
        <v>193</v>
      </c>
    </row>
    <row r="7" spans="1:10">
      <c r="A7" s="106" t="s">
        <v>852</v>
      </c>
      <c r="B7" s="106" t="s">
        <v>348</v>
      </c>
      <c r="C7" s="106" t="s">
        <v>353</v>
      </c>
      <c r="D7" s="106" t="s">
        <v>354</v>
      </c>
      <c r="E7">
        <v>3174</v>
      </c>
      <c r="F7" s="106" t="s">
        <v>2001</v>
      </c>
      <c r="G7" s="106" t="s">
        <v>355</v>
      </c>
      <c r="H7" s="106" t="s">
        <v>361</v>
      </c>
      <c r="I7" s="106">
        <v>26</v>
      </c>
      <c r="J7" s="106"/>
    </row>
    <row r="8" spans="1:10">
      <c r="A8" s="106" t="s">
        <v>852</v>
      </c>
      <c r="B8" s="106" t="s">
        <v>348</v>
      </c>
      <c r="C8" s="106" t="s">
        <v>353</v>
      </c>
      <c r="D8" s="106" t="s">
        <v>354</v>
      </c>
      <c r="E8">
        <v>6196</v>
      </c>
      <c r="F8" s="106" t="s">
        <v>2002</v>
      </c>
      <c r="G8" s="106" t="s">
        <v>351</v>
      </c>
      <c r="H8" s="106" t="s">
        <v>356</v>
      </c>
      <c r="I8" s="106">
        <v>827</v>
      </c>
      <c r="J8" s="106"/>
    </row>
    <row r="9" spans="1:10">
      <c r="A9" s="106" t="s">
        <v>852</v>
      </c>
      <c r="B9" s="106" t="s">
        <v>348</v>
      </c>
      <c r="C9" s="106" t="s">
        <v>349</v>
      </c>
      <c r="D9" s="106" t="s">
        <v>350</v>
      </c>
      <c r="E9">
        <v>8227</v>
      </c>
      <c r="F9" s="106" t="s">
        <v>778</v>
      </c>
      <c r="G9" s="106" t="s">
        <v>351</v>
      </c>
      <c r="H9" s="106" t="s">
        <v>361</v>
      </c>
      <c r="I9" s="106" t="s">
        <v>437</v>
      </c>
      <c r="J9" s="106" t="s">
        <v>2003</v>
      </c>
    </row>
    <row r="10" spans="1:10">
      <c r="A10" s="106" t="s">
        <v>413</v>
      </c>
      <c r="B10" s="106" t="s">
        <v>375</v>
      </c>
      <c r="C10" s="106" t="s">
        <v>358</v>
      </c>
      <c r="D10" s="106" t="s">
        <v>350</v>
      </c>
      <c r="E10">
        <v>7965</v>
      </c>
      <c r="F10" s="106" t="s">
        <v>797</v>
      </c>
      <c r="G10" s="106" t="s">
        <v>351</v>
      </c>
      <c r="H10" s="106" t="s">
        <v>376</v>
      </c>
      <c r="I10" s="106" t="s">
        <v>382</v>
      </c>
      <c r="J10" s="106" t="s">
        <v>936</v>
      </c>
    </row>
    <row r="11" spans="1:10">
      <c r="A11" s="106" t="s">
        <v>413</v>
      </c>
      <c r="B11" s="106" t="s">
        <v>348</v>
      </c>
      <c r="C11" s="106" t="s">
        <v>353</v>
      </c>
      <c r="D11" s="106" t="s">
        <v>350</v>
      </c>
      <c r="E11">
        <v>3035</v>
      </c>
      <c r="F11" s="106" t="s">
        <v>414</v>
      </c>
      <c r="G11" s="106" t="s">
        <v>355</v>
      </c>
      <c r="H11" s="106" t="s">
        <v>357</v>
      </c>
      <c r="I11">
        <v>23</v>
      </c>
    </row>
    <row r="12" spans="1:10">
      <c r="A12" s="106" t="s">
        <v>413</v>
      </c>
      <c r="B12" s="106" t="s">
        <v>348</v>
      </c>
      <c r="C12" s="106" t="s">
        <v>349</v>
      </c>
      <c r="D12" s="106" t="s">
        <v>350</v>
      </c>
      <c r="E12">
        <v>7624</v>
      </c>
      <c r="F12" s="106" t="s">
        <v>415</v>
      </c>
      <c r="G12" s="106" t="s">
        <v>355</v>
      </c>
      <c r="H12" s="106" t="s">
        <v>357</v>
      </c>
      <c r="I12">
        <v>123</v>
      </c>
    </row>
    <row r="13" spans="1:10">
      <c r="A13" s="106" t="s">
        <v>413</v>
      </c>
      <c r="B13" s="106" t="s">
        <v>348</v>
      </c>
      <c r="C13" s="106" t="s">
        <v>349</v>
      </c>
      <c r="D13" s="106" t="s">
        <v>350</v>
      </c>
      <c r="E13">
        <v>7630</v>
      </c>
      <c r="F13" s="106" t="s">
        <v>775</v>
      </c>
      <c r="G13" s="106" t="s">
        <v>351</v>
      </c>
      <c r="H13" s="106" t="s">
        <v>361</v>
      </c>
      <c r="I13" s="106" t="s">
        <v>382</v>
      </c>
      <c r="J13" s="106" t="s">
        <v>2004</v>
      </c>
    </row>
    <row r="14" spans="1:10">
      <c r="A14" s="106" t="s">
        <v>413</v>
      </c>
      <c r="B14" s="106" t="s">
        <v>348</v>
      </c>
      <c r="C14" s="106" t="s">
        <v>349</v>
      </c>
      <c r="D14" s="106" t="s">
        <v>350</v>
      </c>
      <c r="E14">
        <v>8251</v>
      </c>
      <c r="F14" s="106" t="s">
        <v>2005</v>
      </c>
      <c r="G14" s="106" t="s">
        <v>351</v>
      </c>
      <c r="H14" s="106" t="s">
        <v>361</v>
      </c>
      <c r="I14" s="106" t="s">
        <v>382</v>
      </c>
      <c r="J14" s="106" t="s">
        <v>2006</v>
      </c>
    </row>
    <row r="15" spans="1:10">
      <c r="A15" s="106" t="s">
        <v>416</v>
      </c>
      <c r="B15" s="106" t="s">
        <v>417</v>
      </c>
      <c r="C15" s="106" t="s">
        <v>360</v>
      </c>
      <c r="D15" s="106" t="s">
        <v>350</v>
      </c>
      <c r="E15">
        <v>3321</v>
      </c>
      <c r="F15" s="106" t="s">
        <v>2007</v>
      </c>
      <c r="G15" s="106" t="s">
        <v>351</v>
      </c>
      <c r="H15" s="106" t="s">
        <v>357</v>
      </c>
      <c r="I15">
        <v>60</v>
      </c>
    </row>
    <row r="16" spans="1:10">
      <c r="A16" s="106" t="s">
        <v>416</v>
      </c>
      <c r="B16" s="106" t="s">
        <v>417</v>
      </c>
      <c r="C16" s="106" t="s">
        <v>358</v>
      </c>
      <c r="D16" s="106" t="s">
        <v>350</v>
      </c>
      <c r="E16">
        <v>6664</v>
      </c>
      <c r="F16" s="106" t="s">
        <v>418</v>
      </c>
      <c r="G16" s="106" t="s">
        <v>355</v>
      </c>
      <c r="H16" s="106" t="s">
        <v>376</v>
      </c>
      <c r="I16" s="106">
        <v>42</v>
      </c>
      <c r="J16" s="106"/>
    </row>
    <row r="17" spans="1:10">
      <c r="A17" s="106" t="s">
        <v>416</v>
      </c>
      <c r="B17" s="106" t="s">
        <v>417</v>
      </c>
      <c r="C17" s="106" t="s">
        <v>349</v>
      </c>
      <c r="D17" s="106" t="s">
        <v>354</v>
      </c>
      <c r="E17">
        <v>7611</v>
      </c>
      <c r="F17" s="106" t="s">
        <v>419</v>
      </c>
      <c r="G17" s="106" t="s">
        <v>351</v>
      </c>
      <c r="H17" s="106" t="s">
        <v>361</v>
      </c>
      <c r="I17" s="106">
        <v>841</v>
      </c>
      <c r="J17" s="106"/>
    </row>
    <row r="18" spans="1:10">
      <c r="A18" s="106" t="s">
        <v>416</v>
      </c>
      <c r="B18" s="106" t="s">
        <v>348</v>
      </c>
      <c r="C18" s="106" t="s">
        <v>349</v>
      </c>
      <c r="D18" s="106" t="s">
        <v>350</v>
      </c>
      <c r="E18">
        <v>2354</v>
      </c>
      <c r="F18" s="106" t="s">
        <v>773</v>
      </c>
      <c r="G18" s="106" t="s">
        <v>359</v>
      </c>
      <c r="H18" s="106" t="s">
        <v>362</v>
      </c>
      <c r="I18">
        <v>104</v>
      </c>
    </row>
    <row r="19" spans="1:10">
      <c r="A19" s="106" t="s">
        <v>416</v>
      </c>
      <c r="B19" s="106" t="s">
        <v>348</v>
      </c>
      <c r="C19" s="106" t="s">
        <v>353</v>
      </c>
      <c r="D19" s="106" t="s">
        <v>350</v>
      </c>
      <c r="E19">
        <v>2484</v>
      </c>
      <c r="F19" s="106" t="s">
        <v>2008</v>
      </c>
      <c r="G19" s="106" t="s">
        <v>355</v>
      </c>
      <c r="H19" s="106" t="s">
        <v>362</v>
      </c>
      <c r="I19">
        <v>503</v>
      </c>
    </row>
    <row r="20" spans="1:10">
      <c r="A20" s="106" t="s">
        <v>416</v>
      </c>
      <c r="B20" s="106" t="s">
        <v>348</v>
      </c>
      <c r="C20" s="106" t="s">
        <v>349</v>
      </c>
      <c r="D20" s="106" t="s">
        <v>350</v>
      </c>
      <c r="E20">
        <v>2778</v>
      </c>
      <c r="F20" s="106" t="s">
        <v>2009</v>
      </c>
      <c r="G20" s="106" t="s">
        <v>359</v>
      </c>
      <c r="H20" s="106" t="s">
        <v>361</v>
      </c>
      <c r="I20">
        <v>39</v>
      </c>
    </row>
    <row r="21" spans="1:10">
      <c r="A21" s="106" t="s">
        <v>416</v>
      </c>
      <c r="B21" s="106" t="s">
        <v>348</v>
      </c>
      <c r="C21" s="106" t="s">
        <v>349</v>
      </c>
      <c r="D21" s="106" t="s">
        <v>350</v>
      </c>
      <c r="E21">
        <v>3086</v>
      </c>
      <c r="F21" s="106" t="s">
        <v>2010</v>
      </c>
      <c r="G21" s="106" t="s">
        <v>351</v>
      </c>
      <c r="H21" s="106" t="s">
        <v>361</v>
      </c>
      <c r="I21" s="106" t="s">
        <v>401</v>
      </c>
      <c r="J21" s="106" t="s">
        <v>2011</v>
      </c>
    </row>
    <row r="22" spans="1:10">
      <c r="A22" s="106" t="s">
        <v>416</v>
      </c>
      <c r="B22" s="106" t="s">
        <v>348</v>
      </c>
      <c r="C22" s="106" t="s">
        <v>360</v>
      </c>
      <c r="D22" s="106" t="s">
        <v>350</v>
      </c>
      <c r="E22">
        <v>4465</v>
      </c>
      <c r="F22" s="106" t="s">
        <v>2012</v>
      </c>
      <c r="G22" s="106" t="s">
        <v>351</v>
      </c>
      <c r="H22" s="106" t="s">
        <v>364</v>
      </c>
      <c r="I22" s="106">
        <v>106</v>
      </c>
      <c r="J22" s="106"/>
    </row>
    <row r="23" spans="1:10">
      <c r="A23" s="106" t="s">
        <v>416</v>
      </c>
      <c r="B23" s="106" t="s">
        <v>348</v>
      </c>
      <c r="C23" s="106" t="s">
        <v>360</v>
      </c>
      <c r="D23" s="106" t="s">
        <v>350</v>
      </c>
      <c r="E23">
        <v>4825</v>
      </c>
      <c r="F23" s="106" t="s">
        <v>2013</v>
      </c>
      <c r="G23" s="106" t="s">
        <v>351</v>
      </c>
      <c r="H23" s="106" t="s">
        <v>362</v>
      </c>
      <c r="I23">
        <v>412</v>
      </c>
    </row>
    <row r="24" spans="1:10">
      <c r="A24" s="106" t="s">
        <v>416</v>
      </c>
      <c r="B24" s="106" t="s">
        <v>348</v>
      </c>
      <c r="C24" s="106" t="s">
        <v>349</v>
      </c>
      <c r="D24" s="106" t="s">
        <v>350</v>
      </c>
      <c r="E24">
        <v>6279</v>
      </c>
      <c r="F24" s="106" t="s">
        <v>420</v>
      </c>
      <c r="G24" s="106" t="s">
        <v>359</v>
      </c>
      <c r="H24" s="106" t="s">
        <v>372</v>
      </c>
      <c r="I24" s="106">
        <v>278</v>
      </c>
      <c r="J24" s="106"/>
    </row>
    <row r="25" spans="1:10">
      <c r="A25" s="106" t="s">
        <v>416</v>
      </c>
      <c r="B25" s="106" t="s">
        <v>348</v>
      </c>
      <c r="C25" s="106" t="s">
        <v>353</v>
      </c>
      <c r="D25" s="106" t="s">
        <v>350</v>
      </c>
      <c r="E25">
        <v>7447</v>
      </c>
      <c r="F25" s="106" t="s">
        <v>2014</v>
      </c>
      <c r="G25" s="106" t="s">
        <v>351</v>
      </c>
      <c r="H25" s="106" t="s">
        <v>357</v>
      </c>
      <c r="I25" s="106">
        <v>994</v>
      </c>
      <c r="J25" s="106"/>
    </row>
    <row r="26" spans="1:10">
      <c r="A26" s="106" t="s">
        <v>416</v>
      </c>
      <c r="B26" s="106" t="s">
        <v>348</v>
      </c>
      <c r="C26" s="106" t="s">
        <v>349</v>
      </c>
      <c r="D26" s="106" t="s">
        <v>350</v>
      </c>
      <c r="E26">
        <v>7649</v>
      </c>
      <c r="F26" s="106" t="s">
        <v>2015</v>
      </c>
      <c r="G26" s="106" t="s">
        <v>351</v>
      </c>
      <c r="H26" s="106" t="s">
        <v>361</v>
      </c>
      <c r="I26" s="106" t="s">
        <v>437</v>
      </c>
      <c r="J26" s="106" t="s">
        <v>2016</v>
      </c>
    </row>
    <row r="27" spans="1:10">
      <c r="A27" s="106" t="s">
        <v>416</v>
      </c>
      <c r="B27" s="106" t="s">
        <v>348</v>
      </c>
      <c r="C27" s="106" t="s">
        <v>360</v>
      </c>
      <c r="D27" s="106" t="s">
        <v>350</v>
      </c>
      <c r="E27">
        <v>7921</v>
      </c>
      <c r="F27" s="106" t="s">
        <v>854</v>
      </c>
      <c r="G27" s="106" t="s">
        <v>351</v>
      </c>
      <c r="H27" s="106" t="s">
        <v>373</v>
      </c>
      <c r="I27">
        <v>227</v>
      </c>
    </row>
    <row r="28" spans="1:10">
      <c r="A28" s="106" t="s">
        <v>416</v>
      </c>
      <c r="B28" s="106" t="s">
        <v>348</v>
      </c>
      <c r="C28" s="106" t="s">
        <v>349</v>
      </c>
      <c r="D28" s="106" t="s">
        <v>350</v>
      </c>
      <c r="E28">
        <v>8217</v>
      </c>
      <c r="F28" s="106" t="s">
        <v>777</v>
      </c>
      <c r="G28" s="106" t="s">
        <v>351</v>
      </c>
      <c r="H28" s="106" t="s">
        <v>361</v>
      </c>
      <c r="I28">
        <v>645</v>
      </c>
    </row>
    <row r="29" spans="1:10">
      <c r="A29" s="106" t="s">
        <v>416</v>
      </c>
      <c r="B29" s="106" t="s">
        <v>348</v>
      </c>
      <c r="C29" s="106" t="s">
        <v>349</v>
      </c>
      <c r="D29" s="106" t="s">
        <v>350</v>
      </c>
      <c r="E29">
        <v>8233</v>
      </c>
      <c r="F29" s="106" t="s">
        <v>2017</v>
      </c>
      <c r="G29" s="106" t="s">
        <v>351</v>
      </c>
      <c r="H29" s="106" t="s">
        <v>361</v>
      </c>
      <c r="I29" s="106" t="s">
        <v>374</v>
      </c>
      <c r="J29" s="106" t="s">
        <v>853</v>
      </c>
    </row>
    <row r="30" spans="1:10">
      <c r="A30" s="106" t="s">
        <v>416</v>
      </c>
      <c r="B30" s="106" t="s">
        <v>348</v>
      </c>
      <c r="C30" s="106" t="s">
        <v>349</v>
      </c>
      <c r="D30" s="106" t="s">
        <v>350</v>
      </c>
      <c r="E30">
        <v>8276</v>
      </c>
      <c r="F30" s="106" t="s">
        <v>2018</v>
      </c>
      <c r="G30" s="106" t="s">
        <v>351</v>
      </c>
      <c r="H30" s="106" t="s">
        <v>361</v>
      </c>
      <c r="I30" s="106" t="s">
        <v>382</v>
      </c>
      <c r="J30" s="106" t="s">
        <v>2019</v>
      </c>
    </row>
    <row r="31" spans="1:10">
      <c r="A31" s="106" t="s">
        <v>416</v>
      </c>
      <c r="B31" s="106" t="s">
        <v>348</v>
      </c>
      <c r="C31" s="106" t="s">
        <v>349</v>
      </c>
      <c r="D31" s="106" t="s">
        <v>354</v>
      </c>
      <c r="E31">
        <v>9976</v>
      </c>
      <c r="F31" s="106" t="s">
        <v>2020</v>
      </c>
      <c r="G31" s="106" t="s">
        <v>355</v>
      </c>
      <c r="H31" s="106" t="s">
        <v>361</v>
      </c>
      <c r="I31">
        <v>71</v>
      </c>
    </row>
    <row r="32" spans="1:10">
      <c r="A32" s="106" t="s">
        <v>416</v>
      </c>
      <c r="B32" s="106" t="s">
        <v>348</v>
      </c>
      <c r="C32" s="106" t="s">
        <v>349</v>
      </c>
      <c r="D32" s="106" t="s">
        <v>350</v>
      </c>
      <c r="E32">
        <v>9982</v>
      </c>
      <c r="F32" s="106" t="s">
        <v>422</v>
      </c>
      <c r="G32" s="106" t="s">
        <v>351</v>
      </c>
      <c r="H32" s="106" t="s">
        <v>357</v>
      </c>
      <c r="I32">
        <v>192</v>
      </c>
    </row>
    <row r="33" spans="1:10">
      <c r="A33" s="106" t="s">
        <v>423</v>
      </c>
      <c r="B33" s="106" t="s">
        <v>348</v>
      </c>
      <c r="C33" s="106" t="s">
        <v>349</v>
      </c>
      <c r="D33" s="106" t="s">
        <v>350</v>
      </c>
      <c r="E33">
        <v>2186</v>
      </c>
      <c r="F33" s="106" t="s">
        <v>424</v>
      </c>
      <c r="G33" s="106" t="s">
        <v>355</v>
      </c>
      <c r="H33" s="106" t="s">
        <v>356</v>
      </c>
      <c r="I33" s="106">
        <v>100</v>
      </c>
      <c r="J33" s="106"/>
    </row>
    <row r="34" spans="1:10">
      <c r="A34" s="106" t="s">
        <v>423</v>
      </c>
      <c r="B34" s="106" t="s">
        <v>348</v>
      </c>
      <c r="C34" s="106" t="s">
        <v>349</v>
      </c>
      <c r="D34" s="106" t="s">
        <v>350</v>
      </c>
      <c r="E34">
        <v>2685</v>
      </c>
      <c r="F34" s="106" t="s">
        <v>425</v>
      </c>
      <c r="G34" s="106" t="s">
        <v>351</v>
      </c>
      <c r="H34" s="106" t="s">
        <v>361</v>
      </c>
      <c r="I34" s="106" t="s">
        <v>382</v>
      </c>
      <c r="J34" s="106" t="s">
        <v>2021</v>
      </c>
    </row>
    <row r="35" spans="1:10">
      <c r="A35" s="106" t="s">
        <v>423</v>
      </c>
      <c r="B35" s="106" t="s">
        <v>348</v>
      </c>
      <c r="C35" s="106" t="s">
        <v>349</v>
      </c>
      <c r="D35" s="106" t="s">
        <v>354</v>
      </c>
      <c r="E35">
        <v>2742</v>
      </c>
      <c r="F35" s="106" t="s">
        <v>2022</v>
      </c>
      <c r="G35" s="106" t="s">
        <v>351</v>
      </c>
      <c r="H35" s="106" t="s">
        <v>361</v>
      </c>
      <c r="I35">
        <v>554</v>
      </c>
    </row>
    <row r="36" spans="1:10">
      <c r="A36" s="106" t="s">
        <v>423</v>
      </c>
      <c r="B36" s="106" t="s">
        <v>348</v>
      </c>
      <c r="C36" s="106" t="s">
        <v>360</v>
      </c>
      <c r="D36" s="106" t="s">
        <v>350</v>
      </c>
      <c r="E36">
        <v>2761</v>
      </c>
      <c r="F36" s="106" t="s">
        <v>2023</v>
      </c>
      <c r="G36" s="106" t="s">
        <v>355</v>
      </c>
      <c r="H36" s="106" t="s">
        <v>357</v>
      </c>
      <c r="I36">
        <v>763</v>
      </c>
    </row>
    <row r="37" spans="1:10">
      <c r="A37" s="106" t="s">
        <v>423</v>
      </c>
      <c r="B37" s="106" t="s">
        <v>348</v>
      </c>
      <c r="C37" s="106" t="s">
        <v>349</v>
      </c>
      <c r="D37" s="106" t="s">
        <v>350</v>
      </c>
      <c r="E37">
        <v>3050</v>
      </c>
      <c r="F37" s="106" t="s">
        <v>2024</v>
      </c>
      <c r="G37" s="106" t="s">
        <v>351</v>
      </c>
      <c r="H37" s="106" t="s">
        <v>361</v>
      </c>
      <c r="I37" s="106" t="s">
        <v>382</v>
      </c>
      <c r="J37" s="106" t="s">
        <v>2025</v>
      </c>
    </row>
    <row r="38" spans="1:10">
      <c r="A38" s="106" t="s">
        <v>423</v>
      </c>
      <c r="B38" s="106" t="s">
        <v>348</v>
      </c>
      <c r="C38" s="106" t="s">
        <v>358</v>
      </c>
      <c r="D38" s="106" t="s">
        <v>350</v>
      </c>
      <c r="E38">
        <v>3089</v>
      </c>
      <c r="F38" s="106" t="s">
        <v>2026</v>
      </c>
      <c r="G38" s="106" t="s">
        <v>355</v>
      </c>
      <c r="H38" s="106" t="s">
        <v>357</v>
      </c>
      <c r="I38">
        <v>25</v>
      </c>
    </row>
    <row r="39" spans="1:10">
      <c r="A39" s="106" t="s">
        <v>423</v>
      </c>
      <c r="B39" s="106" t="s">
        <v>348</v>
      </c>
      <c r="C39" s="106" t="s">
        <v>349</v>
      </c>
      <c r="D39" s="106" t="s">
        <v>350</v>
      </c>
      <c r="E39">
        <v>3919</v>
      </c>
      <c r="F39" s="106" t="s">
        <v>426</v>
      </c>
      <c r="G39" s="106" t="s">
        <v>351</v>
      </c>
      <c r="H39" s="106" t="s">
        <v>362</v>
      </c>
      <c r="I39">
        <v>140</v>
      </c>
    </row>
    <row r="40" spans="1:10">
      <c r="A40" s="106" t="s">
        <v>423</v>
      </c>
      <c r="B40" s="106" t="s">
        <v>348</v>
      </c>
      <c r="C40" s="106" t="s">
        <v>360</v>
      </c>
      <c r="D40" s="106" t="s">
        <v>350</v>
      </c>
      <c r="E40">
        <v>6083</v>
      </c>
      <c r="F40" s="106" t="s">
        <v>2027</v>
      </c>
      <c r="G40" s="106" t="s">
        <v>351</v>
      </c>
      <c r="H40" s="106" t="s">
        <v>356</v>
      </c>
      <c r="I40">
        <v>61</v>
      </c>
    </row>
    <row r="41" spans="1:10">
      <c r="A41" s="106" t="s">
        <v>423</v>
      </c>
      <c r="B41" s="106" t="s">
        <v>348</v>
      </c>
      <c r="C41" s="106" t="s">
        <v>353</v>
      </c>
      <c r="D41" s="106" t="s">
        <v>350</v>
      </c>
      <c r="E41">
        <v>7514</v>
      </c>
      <c r="F41" s="106" t="s">
        <v>798</v>
      </c>
      <c r="G41" s="106" t="s">
        <v>351</v>
      </c>
      <c r="H41" s="106" t="s">
        <v>361</v>
      </c>
      <c r="I41">
        <v>104</v>
      </c>
    </row>
    <row r="42" spans="1:10">
      <c r="A42" s="106" t="s">
        <v>423</v>
      </c>
      <c r="B42" s="106" t="s">
        <v>348</v>
      </c>
      <c r="C42" s="106" t="s">
        <v>349</v>
      </c>
      <c r="D42" s="106" t="s">
        <v>354</v>
      </c>
      <c r="E42">
        <v>8166</v>
      </c>
      <c r="F42" s="106" t="s">
        <v>2028</v>
      </c>
      <c r="G42" s="106" t="s">
        <v>351</v>
      </c>
      <c r="H42" s="106" t="s">
        <v>361</v>
      </c>
      <c r="I42">
        <v>46</v>
      </c>
    </row>
    <row r="43" spans="1:10">
      <c r="A43" s="106" t="s">
        <v>423</v>
      </c>
      <c r="B43" s="106" t="s">
        <v>348</v>
      </c>
      <c r="C43" s="106" t="s">
        <v>349</v>
      </c>
      <c r="D43" s="106" t="s">
        <v>354</v>
      </c>
      <c r="E43">
        <v>8168</v>
      </c>
      <c r="F43" s="106" t="s">
        <v>2029</v>
      </c>
      <c r="G43" s="106" t="s">
        <v>351</v>
      </c>
      <c r="H43" s="106" t="s">
        <v>361</v>
      </c>
      <c r="I43">
        <v>367</v>
      </c>
    </row>
    <row r="44" spans="1:10">
      <c r="A44" s="106" t="s">
        <v>423</v>
      </c>
      <c r="B44" s="106" t="s">
        <v>348</v>
      </c>
      <c r="C44" s="106" t="s">
        <v>360</v>
      </c>
      <c r="D44" s="106" t="s">
        <v>350</v>
      </c>
      <c r="E44">
        <v>9651</v>
      </c>
      <c r="F44" s="106" t="s">
        <v>427</v>
      </c>
      <c r="G44" s="106" t="s">
        <v>355</v>
      </c>
      <c r="H44" s="106" t="s">
        <v>362</v>
      </c>
      <c r="I44">
        <v>99</v>
      </c>
    </row>
    <row r="45" spans="1:10">
      <c r="A45" s="106" t="s">
        <v>423</v>
      </c>
      <c r="B45" s="106" t="s">
        <v>348</v>
      </c>
      <c r="C45" s="106" t="s">
        <v>349</v>
      </c>
      <c r="D45" s="106" t="s">
        <v>350</v>
      </c>
      <c r="E45">
        <v>9843</v>
      </c>
      <c r="F45" s="106" t="s">
        <v>2030</v>
      </c>
      <c r="G45" s="106" t="s">
        <v>351</v>
      </c>
      <c r="H45" s="106" t="s">
        <v>361</v>
      </c>
      <c r="I45" s="106" t="s">
        <v>935</v>
      </c>
      <c r="J45" s="106" t="s">
        <v>2031</v>
      </c>
    </row>
    <row r="46" spans="1:10">
      <c r="A46" s="106" t="s">
        <v>423</v>
      </c>
      <c r="B46" s="106" t="s">
        <v>348</v>
      </c>
      <c r="C46" s="106" t="s">
        <v>358</v>
      </c>
      <c r="D46" s="106" t="s">
        <v>350</v>
      </c>
      <c r="E46">
        <v>9872</v>
      </c>
      <c r="F46" s="106" t="s">
        <v>2032</v>
      </c>
      <c r="G46" s="106" t="s">
        <v>351</v>
      </c>
      <c r="H46" s="106" t="s">
        <v>357</v>
      </c>
      <c r="I46">
        <v>96</v>
      </c>
    </row>
    <row r="47" spans="1:10">
      <c r="A47" s="106" t="s">
        <v>428</v>
      </c>
      <c r="B47" s="106" t="s">
        <v>348</v>
      </c>
      <c r="C47" s="106" t="s">
        <v>360</v>
      </c>
      <c r="D47" s="106" t="s">
        <v>350</v>
      </c>
      <c r="E47">
        <v>1376</v>
      </c>
      <c r="F47" s="106" t="s">
        <v>2033</v>
      </c>
      <c r="G47" s="106" t="s">
        <v>351</v>
      </c>
      <c r="H47" s="106" t="s">
        <v>399</v>
      </c>
      <c r="I47">
        <v>176</v>
      </c>
    </row>
    <row r="48" spans="1:10">
      <c r="A48" s="106" t="s">
        <v>428</v>
      </c>
      <c r="B48" s="106" t="s">
        <v>348</v>
      </c>
      <c r="C48" s="106" t="s">
        <v>349</v>
      </c>
      <c r="D48" s="106" t="s">
        <v>350</v>
      </c>
      <c r="E48">
        <v>1712</v>
      </c>
      <c r="F48" s="106" t="s">
        <v>429</v>
      </c>
      <c r="G48" s="106" t="s">
        <v>351</v>
      </c>
      <c r="H48" s="106" t="s">
        <v>378</v>
      </c>
      <c r="I48">
        <v>173</v>
      </c>
    </row>
    <row r="49" spans="1:10">
      <c r="A49" s="106" t="s">
        <v>428</v>
      </c>
      <c r="B49" s="106" t="s">
        <v>348</v>
      </c>
      <c r="C49" s="106" t="s">
        <v>349</v>
      </c>
      <c r="D49" s="106" t="s">
        <v>350</v>
      </c>
      <c r="E49">
        <v>2305</v>
      </c>
      <c r="F49" s="106" t="s">
        <v>2034</v>
      </c>
      <c r="G49" s="106" t="s">
        <v>351</v>
      </c>
      <c r="H49" s="106" t="s">
        <v>356</v>
      </c>
      <c r="I49">
        <v>329</v>
      </c>
    </row>
    <row r="50" spans="1:10">
      <c r="A50" s="106" t="s">
        <v>428</v>
      </c>
      <c r="B50" s="106" t="s">
        <v>348</v>
      </c>
      <c r="C50" s="106" t="s">
        <v>353</v>
      </c>
      <c r="D50" s="106" t="s">
        <v>354</v>
      </c>
      <c r="E50">
        <v>6264</v>
      </c>
      <c r="F50" s="106" t="s">
        <v>637</v>
      </c>
      <c r="G50" s="106" t="s">
        <v>351</v>
      </c>
      <c r="H50" s="106" t="s">
        <v>372</v>
      </c>
      <c r="I50" s="106">
        <v>128</v>
      </c>
      <c r="J50" s="106"/>
    </row>
    <row r="51" spans="1:10">
      <c r="A51" s="106" t="s">
        <v>428</v>
      </c>
      <c r="B51" s="106" t="s">
        <v>348</v>
      </c>
      <c r="C51" s="106" t="s">
        <v>349</v>
      </c>
      <c r="D51" s="106" t="s">
        <v>350</v>
      </c>
      <c r="E51">
        <v>9793</v>
      </c>
      <c r="F51" s="106" t="s">
        <v>430</v>
      </c>
      <c r="G51" s="106" t="s">
        <v>351</v>
      </c>
      <c r="H51" s="106" t="s">
        <v>356</v>
      </c>
      <c r="I51" s="106" t="s">
        <v>382</v>
      </c>
      <c r="J51" s="106" t="s">
        <v>2035</v>
      </c>
    </row>
    <row r="52" spans="1:10">
      <c r="A52" s="106" t="s">
        <v>428</v>
      </c>
      <c r="B52" s="106" t="s">
        <v>348</v>
      </c>
      <c r="C52" s="106" t="s">
        <v>349</v>
      </c>
      <c r="D52" s="106" t="s">
        <v>354</v>
      </c>
      <c r="E52">
        <v>9977</v>
      </c>
      <c r="F52" s="106" t="s">
        <v>2036</v>
      </c>
      <c r="G52" s="106" t="s">
        <v>355</v>
      </c>
      <c r="H52" s="106" t="s">
        <v>361</v>
      </c>
      <c r="I52">
        <v>169</v>
      </c>
    </row>
    <row r="53" spans="1:10">
      <c r="A53" s="106" t="s">
        <v>431</v>
      </c>
      <c r="B53" s="106" t="s">
        <v>417</v>
      </c>
      <c r="C53" s="106" t="s">
        <v>358</v>
      </c>
      <c r="D53" s="106" t="s">
        <v>350</v>
      </c>
      <c r="E53">
        <v>3186</v>
      </c>
      <c r="F53" s="106" t="s">
        <v>629</v>
      </c>
      <c r="G53" s="106" t="s">
        <v>351</v>
      </c>
      <c r="H53" s="106" t="s">
        <v>361</v>
      </c>
      <c r="I53">
        <v>952</v>
      </c>
    </row>
    <row r="54" spans="1:10">
      <c r="A54" s="106" t="s">
        <v>431</v>
      </c>
      <c r="B54" s="106" t="s">
        <v>348</v>
      </c>
      <c r="C54" s="106" t="s">
        <v>353</v>
      </c>
      <c r="D54" s="106" t="s">
        <v>354</v>
      </c>
      <c r="E54">
        <v>1997</v>
      </c>
      <c r="F54" s="106" t="s">
        <v>2037</v>
      </c>
      <c r="G54" s="106" t="s">
        <v>355</v>
      </c>
      <c r="H54" s="106" t="s">
        <v>378</v>
      </c>
      <c r="I54">
        <v>36</v>
      </c>
    </row>
    <row r="55" spans="1:10">
      <c r="A55" s="106" t="s">
        <v>431</v>
      </c>
      <c r="B55" s="106" t="s">
        <v>348</v>
      </c>
      <c r="C55" s="106" t="s">
        <v>349</v>
      </c>
      <c r="D55" s="106" t="s">
        <v>350</v>
      </c>
      <c r="E55">
        <v>2659</v>
      </c>
      <c r="F55" s="106" t="s">
        <v>2038</v>
      </c>
      <c r="G55" s="106" t="s">
        <v>351</v>
      </c>
      <c r="H55" s="106" t="s">
        <v>361</v>
      </c>
      <c r="I55" s="106" t="s">
        <v>382</v>
      </c>
      <c r="J55" s="106" t="s">
        <v>2039</v>
      </c>
    </row>
    <row r="56" spans="1:10">
      <c r="A56" s="106" t="s">
        <v>431</v>
      </c>
      <c r="B56" s="106" t="s">
        <v>348</v>
      </c>
      <c r="C56" s="106" t="s">
        <v>360</v>
      </c>
      <c r="D56" s="106" t="s">
        <v>350</v>
      </c>
      <c r="E56">
        <v>2792</v>
      </c>
      <c r="F56" s="106" t="s">
        <v>432</v>
      </c>
      <c r="G56" s="106" t="s">
        <v>351</v>
      </c>
      <c r="H56" s="106" t="s">
        <v>361</v>
      </c>
      <c r="I56">
        <v>446</v>
      </c>
    </row>
    <row r="57" spans="1:10">
      <c r="A57" s="106" t="s">
        <v>431</v>
      </c>
      <c r="B57" s="106" t="s">
        <v>348</v>
      </c>
      <c r="C57" s="106" t="s">
        <v>358</v>
      </c>
      <c r="D57" s="106" t="s">
        <v>350</v>
      </c>
      <c r="E57">
        <v>3244</v>
      </c>
      <c r="F57" s="106" t="s">
        <v>2040</v>
      </c>
      <c r="G57" s="106" t="s">
        <v>351</v>
      </c>
      <c r="H57" s="106" t="s">
        <v>377</v>
      </c>
      <c r="I57">
        <v>894</v>
      </c>
    </row>
    <row r="58" spans="1:10">
      <c r="A58" s="106" t="s">
        <v>431</v>
      </c>
      <c r="B58" s="106" t="s">
        <v>348</v>
      </c>
      <c r="C58" s="106" t="s">
        <v>360</v>
      </c>
      <c r="D58" s="106" t="s">
        <v>350</v>
      </c>
      <c r="E58">
        <v>4735</v>
      </c>
      <c r="F58" s="106" t="s">
        <v>2041</v>
      </c>
      <c r="G58" s="106" t="s">
        <v>359</v>
      </c>
      <c r="H58" s="106" t="s">
        <v>356</v>
      </c>
      <c r="I58">
        <v>78</v>
      </c>
    </row>
    <row r="59" spans="1:10">
      <c r="A59" s="106" t="s">
        <v>431</v>
      </c>
      <c r="B59" s="106" t="s">
        <v>348</v>
      </c>
      <c r="C59" s="106" t="s">
        <v>360</v>
      </c>
      <c r="D59" s="106" t="s">
        <v>354</v>
      </c>
      <c r="E59">
        <v>7673</v>
      </c>
      <c r="F59" s="106" t="s">
        <v>664</v>
      </c>
      <c r="G59" s="106" t="s">
        <v>359</v>
      </c>
      <c r="H59" s="106" t="s">
        <v>357</v>
      </c>
      <c r="I59">
        <v>73</v>
      </c>
    </row>
    <row r="60" spans="1:10">
      <c r="A60" s="106" t="s">
        <v>431</v>
      </c>
      <c r="B60" s="106" t="s">
        <v>348</v>
      </c>
      <c r="C60" s="106" t="s">
        <v>349</v>
      </c>
      <c r="D60" s="106" t="s">
        <v>350</v>
      </c>
      <c r="E60">
        <v>7679</v>
      </c>
      <c r="F60" s="106" t="s">
        <v>2042</v>
      </c>
      <c r="G60" s="106" t="s">
        <v>351</v>
      </c>
      <c r="H60" s="106" t="s">
        <v>361</v>
      </c>
      <c r="I60">
        <v>501</v>
      </c>
    </row>
    <row r="61" spans="1:10">
      <c r="A61" s="106" t="s">
        <v>431</v>
      </c>
      <c r="B61" s="106" t="s">
        <v>348</v>
      </c>
      <c r="C61" s="106" t="s">
        <v>349</v>
      </c>
      <c r="D61" s="106" t="s">
        <v>350</v>
      </c>
      <c r="E61">
        <v>8008</v>
      </c>
      <c r="F61" s="106" t="s">
        <v>639</v>
      </c>
      <c r="G61" s="106" t="s">
        <v>351</v>
      </c>
      <c r="H61" s="106" t="s">
        <v>361</v>
      </c>
      <c r="I61">
        <v>660</v>
      </c>
    </row>
    <row r="62" spans="1:10">
      <c r="A62" s="106" t="s">
        <v>431</v>
      </c>
      <c r="B62" s="106" t="s">
        <v>348</v>
      </c>
      <c r="C62" s="106" t="s">
        <v>349</v>
      </c>
      <c r="D62" s="106" t="s">
        <v>350</v>
      </c>
      <c r="E62">
        <v>8125</v>
      </c>
      <c r="F62" s="106" t="s">
        <v>640</v>
      </c>
      <c r="G62" s="106" t="s">
        <v>351</v>
      </c>
      <c r="H62" s="106" t="s">
        <v>357</v>
      </c>
      <c r="I62">
        <v>588</v>
      </c>
    </row>
    <row r="63" spans="1:10">
      <c r="A63" s="106" t="s">
        <v>431</v>
      </c>
      <c r="B63" s="106" t="s">
        <v>348</v>
      </c>
      <c r="C63" s="106" t="s">
        <v>349</v>
      </c>
      <c r="D63" s="106" t="s">
        <v>354</v>
      </c>
      <c r="E63">
        <v>8931</v>
      </c>
      <c r="F63" s="106" t="s">
        <v>2043</v>
      </c>
      <c r="G63" s="106" t="s">
        <v>355</v>
      </c>
      <c r="H63" s="106" t="s">
        <v>377</v>
      </c>
      <c r="I63">
        <v>92</v>
      </c>
    </row>
    <row r="64" spans="1:10">
      <c r="A64" s="106" t="s">
        <v>431</v>
      </c>
      <c r="B64" s="106" t="s">
        <v>348</v>
      </c>
      <c r="C64" s="106" t="s">
        <v>349</v>
      </c>
      <c r="D64" s="106" t="s">
        <v>350</v>
      </c>
      <c r="E64">
        <v>9974</v>
      </c>
      <c r="F64" s="106" t="s">
        <v>2044</v>
      </c>
      <c r="G64" s="106" t="s">
        <v>351</v>
      </c>
      <c r="H64" s="106" t="s">
        <v>361</v>
      </c>
      <c r="I64" s="106" t="s">
        <v>382</v>
      </c>
      <c r="J64" s="106" t="s">
        <v>2045</v>
      </c>
    </row>
    <row r="65" spans="1:10">
      <c r="A65" s="106" t="s">
        <v>433</v>
      </c>
      <c r="B65" s="106" t="s">
        <v>348</v>
      </c>
      <c r="C65" s="106" t="s">
        <v>349</v>
      </c>
      <c r="D65" s="106" t="s">
        <v>350</v>
      </c>
      <c r="E65">
        <v>2178</v>
      </c>
      <c r="F65" s="106" t="s">
        <v>2046</v>
      </c>
      <c r="G65" s="106" t="s">
        <v>363</v>
      </c>
      <c r="H65" s="106" t="s">
        <v>356</v>
      </c>
      <c r="I65">
        <v>93</v>
      </c>
    </row>
    <row r="66" spans="1:10">
      <c r="A66" s="106" t="s">
        <v>433</v>
      </c>
      <c r="B66" s="106" t="s">
        <v>348</v>
      </c>
      <c r="C66" s="106" t="s">
        <v>349</v>
      </c>
      <c r="D66" s="106" t="s">
        <v>350</v>
      </c>
      <c r="E66">
        <v>2670</v>
      </c>
      <c r="F66" s="106" t="s">
        <v>2047</v>
      </c>
      <c r="G66" s="106" t="s">
        <v>351</v>
      </c>
      <c r="H66" s="106" t="s">
        <v>361</v>
      </c>
      <c r="I66" s="106" t="s">
        <v>410</v>
      </c>
      <c r="J66" s="106" t="s">
        <v>2048</v>
      </c>
    </row>
    <row r="67" spans="1:10">
      <c r="A67" s="106" t="s">
        <v>433</v>
      </c>
      <c r="B67" s="106" t="s">
        <v>348</v>
      </c>
      <c r="C67" s="106" t="s">
        <v>349</v>
      </c>
      <c r="D67" s="106" t="s">
        <v>350</v>
      </c>
      <c r="E67">
        <v>3141</v>
      </c>
      <c r="F67" s="106" t="s">
        <v>2049</v>
      </c>
      <c r="G67" s="106" t="s">
        <v>351</v>
      </c>
      <c r="H67" s="106" t="s">
        <v>361</v>
      </c>
      <c r="I67" s="106" t="s">
        <v>669</v>
      </c>
      <c r="J67" s="106" t="s">
        <v>2050</v>
      </c>
    </row>
    <row r="68" spans="1:10">
      <c r="A68" s="106" t="s">
        <v>433</v>
      </c>
      <c r="B68" s="106" t="s">
        <v>348</v>
      </c>
      <c r="C68" s="106" t="s">
        <v>349</v>
      </c>
      <c r="D68" s="106" t="s">
        <v>350</v>
      </c>
      <c r="E68">
        <v>3550</v>
      </c>
      <c r="F68" s="106" t="s">
        <v>2051</v>
      </c>
      <c r="G68" s="106" t="s">
        <v>363</v>
      </c>
      <c r="H68" s="106" t="s">
        <v>361</v>
      </c>
      <c r="I68">
        <v>87</v>
      </c>
    </row>
    <row r="69" spans="1:10">
      <c r="A69" s="106" t="s">
        <v>433</v>
      </c>
      <c r="B69" s="106" t="s">
        <v>348</v>
      </c>
      <c r="C69" s="106" t="s">
        <v>349</v>
      </c>
      <c r="D69" s="106" t="s">
        <v>350</v>
      </c>
      <c r="E69">
        <v>4714</v>
      </c>
      <c r="F69" s="106" t="s">
        <v>434</v>
      </c>
      <c r="G69" s="106" t="s">
        <v>351</v>
      </c>
      <c r="H69" s="106" t="s">
        <v>356</v>
      </c>
      <c r="I69" s="106">
        <v>600</v>
      </c>
      <c r="J69" s="106"/>
    </row>
    <row r="70" spans="1:10">
      <c r="A70" s="106" t="s">
        <v>433</v>
      </c>
      <c r="B70" s="106" t="s">
        <v>348</v>
      </c>
      <c r="C70" s="106" t="s">
        <v>349</v>
      </c>
      <c r="D70" s="106" t="s">
        <v>350</v>
      </c>
      <c r="E70">
        <v>6183</v>
      </c>
      <c r="F70" s="106" t="s">
        <v>2052</v>
      </c>
      <c r="G70" s="106" t="s">
        <v>351</v>
      </c>
      <c r="H70" s="106" t="s">
        <v>356</v>
      </c>
      <c r="I70" s="106" t="s">
        <v>382</v>
      </c>
      <c r="J70" s="106" t="s">
        <v>2053</v>
      </c>
    </row>
    <row r="71" spans="1:10">
      <c r="A71" s="106" t="s">
        <v>433</v>
      </c>
      <c r="B71" s="106" t="s">
        <v>348</v>
      </c>
      <c r="C71" s="106" t="s">
        <v>349</v>
      </c>
      <c r="D71" s="106" t="s">
        <v>354</v>
      </c>
      <c r="E71">
        <v>6469</v>
      </c>
      <c r="F71" s="106" t="s">
        <v>2054</v>
      </c>
      <c r="G71" s="106" t="s">
        <v>355</v>
      </c>
      <c r="H71" s="106" t="s">
        <v>372</v>
      </c>
      <c r="I71">
        <v>70</v>
      </c>
    </row>
    <row r="72" spans="1:10">
      <c r="A72" s="106" t="s">
        <v>433</v>
      </c>
      <c r="B72" s="106" t="s">
        <v>348</v>
      </c>
      <c r="C72" s="106" t="s">
        <v>360</v>
      </c>
      <c r="D72" s="106" t="s">
        <v>354</v>
      </c>
      <c r="E72">
        <v>6552</v>
      </c>
      <c r="F72" s="106" t="s">
        <v>2055</v>
      </c>
      <c r="G72" s="106" t="s">
        <v>351</v>
      </c>
      <c r="H72" s="106" t="s">
        <v>356</v>
      </c>
      <c r="I72">
        <v>143</v>
      </c>
    </row>
    <row r="73" spans="1:10">
      <c r="A73" s="106" t="s">
        <v>433</v>
      </c>
      <c r="B73" s="106" t="s">
        <v>348</v>
      </c>
      <c r="C73" s="106" t="s">
        <v>353</v>
      </c>
      <c r="D73" s="106" t="s">
        <v>350</v>
      </c>
      <c r="E73">
        <v>7581</v>
      </c>
      <c r="F73" s="106" t="s">
        <v>2056</v>
      </c>
      <c r="G73" s="106" t="s">
        <v>351</v>
      </c>
      <c r="H73" s="106" t="s">
        <v>361</v>
      </c>
      <c r="I73" s="106" t="s">
        <v>382</v>
      </c>
      <c r="J73" s="106" t="s">
        <v>2057</v>
      </c>
    </row>
    <row r="74" spans="1:10">
      <c r="A74" s="106" t="s">
        <v>433</v>
      </c>
      <c r="B74" s="106" t="s">
        <v>348</v>
      </c>
      <c r="C74" s="106" t="s">
        <v>349</v>
      </c>
      <c r="D74" s="106" t="s">
        <v>350</v>
      </c>
      <c r="E74">
        <v>8278</v>
      </c>
      <c r="F74" s="106" t="s">
        <v>2058</v>
      </c>
      <c r="G74" s="106" t="s">
        <v>351</v>
      </c>
      <c r="H74" s="106" t="s">
        <v>361</v>
      </c>
      <c r="I74" s="106">
        <v>761</v>
      </c>
      <c r="J74" s="106"/>
    </row>
    <row r="75" spans="1:10">
      <c r="A75" s="106" t="s">
        <v>433</v>
      </c>
      <c r="B75" s="106" t="s">
        <v>348</v>
      </c>
      <c r="C75" s="106" t="s">
        <v>360</v>
      </c>
      <c r="D75" s="106" t="s">
        <v>350</v>
      </c>
      <c r="E75">
        <v>9265</v>
      </c>
      <c r="F75" s="106" t="s">
        <v>2059</v>
      </c>
      <c r="G75" s="106" t="s">
        <v>351</v>
      </c>
      <c r="H75" s="106" t="s">
        <v>357</v>
      </c>
      <c r="I75" s="106">
        <v>39</v>
      </c>
      <c r="J75" s="106"/>
    </row>
    <row r="76" spans="1:10">
      <c r="A76" s="106" t="s">
        <v>433</v>
      </c>
      <c r="B76" s="106" t="s">
        <v>348</v>
      </c>
      <c r="C76" s="106" t="s">
        <v>353</v>
      </c>
      <c r="D76" s="106" t="s">
        <v>350</v>
      </c>
      <c r="E76">
        <v>9414</v>
      </c>
      <c r="F76" s="106" t="s">
        <v>2060</v>
      </c>
      <c r="G76" s="106" t="s">
        <v>351</v>
      </c>
      <c r="H76" s="106" t="s">
        <v>362</v>
      </c>
      <c r="I76">
        <v>197</v>
      </c>
    </row>
    <row r="77" spans="1:10">
      <c r="A77" s="106" t="s">
        <v>433</v>
      </c>
      <c r="B77" s="106" t="s">
        <v>348</v>
      </c>
      <c r="C77" s="106" t="s">
        <v>349</v>
      </c>
      <c r="D77" s="106" t="s">
        <v>350</v>
      </c>
      <c r="E77">
        <v>9846</v>
      </c>
      <c r="F77" s="106" t="s">
        <v>2061</v>
      </c>
      <c r="G77" s="106" t="s">
        <v>359</v>
      </c>
      <c r="H77" s="106" t="s">
        <v>361</v>
      </c>
      <c r="I77">
        <v>141</v>
      </c>
    </row>
    <row r="78" spans="1:10">
      <c r="A78" s="106" t="s">
        <v>433</v>
      </c>
      <c r="B78" s="106" t="s">
        <v>348</v>
      </c>
      <c r="C78" s="106" t="s">
        <v>349</v>
      </c>
      <c r="D78" s="106" t="s">
        <v>350</v>
      </c>
      <c r="E78">
        <v>9993</v>
      </c>
      <c r="F78" s="106" t="s">
        <v>2062</v>
      </c>
      <c r="G78" s="106" t="s">
        <v>351</v>
      </c>
      <c r="H78" s="106" t="s">
        <v>361</v>
      </c>
      <c r="I78">
        <v>187</v>
      </c>
    </row>
    <row r="79" spans="1:10">
      <c r="A79" s="106" t="s">
        <v>435</v>
      </c>
      <c r="B79" s="106" t="s">
        <v>417</v>
      </c>
      <c r="C79" s="106" t="s">
        <v>360</v>
      </c>
      <c r="D79" s="106" t="s">
        <v>354</v>
      </c>
      <c r="E79">
        <v>4430</v>
      </c>
      <c r="F79" s="106" t="s">
        <v>635</v>
      </c>
      <c r="G79" s="106" t="s">
        <v>359</v>
      </c>
      <c r="H79" s="106" t="s">
        <v>362</v>
      </c>
      <c r="I79">
        <v>52</v>
      </c>
    </row>
    <row r="80" spans="1:10">
      <c r="A80" s="106" t="s">
        <v>435</v>
      </c>
      <c r="B80" s="106" t="s">
        <v>348</v>
      </c>
      <c r="C80" s="106" t="s">
        <v>360</v>
      </c>
      <c r="D80" s="106" t="s">
        <v>350</v>
      </c>
      <c r="E80">
        <v>1377</v>
      </c>
      <c r="F80" s="106" t="s">
        <v>642</v>
      </c>
      <c r="G80" s="106" t="s">
        <v>351</v>
      </c>
      <c r="H80" s="106" t="s">
        <v>399</v>
      </c>
      <c r="I80" s="106" t="s">
        <v>382</v>
      </c>
      <c r="J80" s="106" t="s">
        <v>940</v>
      </c>
    </row>
    <row r="81" spans="1:10">
      <c r="A81" s="106" t="s">
        <v>435</v>
      </c>
      <c r="B81" s="106" t="s">
        <v>348</v>
      </c>
      <c r="C81" s="106" t="s">
        <v>360</v>
      </c>
      <c r="D81" s="106" t="s">
        <v>354</v>
      </c>
      <c r="E81">
        <v>2303</v>
      </c>
      <c r="F81" s="106" t="s">
        <v>645</v>
      </c>
      <c r="G81" s="106" t="s">
        <v>355</v>
      </c>
      <c r="H81" s="106" t="s">
        <v>362</v>
      </c>
      <c r="I81">
        <v>52</v>
      </c>
    </row>
    <row r="82" spans="1:10">
      <c r="A82" s="106" t="s">
        <v>435</v>
      </c>
      <c r="B82" s="106" t="s">
        <v>348</v>
      </c>
      <c r="C82" s="106" t="s">
        <v>349</v>
      </c>
      <c r="D82" s="106" t="s">
        <v>350</v>
      </c>
      <c r="E82">
        <v>2341</v>
      </c>
      <c r="F82" s="106" t="s">
        <v>2063</v>
      </c>
      <c r="G82" s="106" t="s">
        <v>355</v>
      </c>
      <c r="H82" s="106" t="s">
        <v>356</v>
      </c>
      <c r="I82">
        <v>65</v>
      </c>
    </row>
    <row r="83" spans="1:10">
      <c r="A83" s="106" t="s">
        <v>435</v>
      </c>
      <c r="B83" s="106" t="s">
        <v>348</v>
      </c>
      <c r="C83" s="106" t="s">
        <v>360</v>
      </c>
      <c r="D83" s="106" t="s">
        <v>350</v>
      </c>
      <c r="E83">
        <v>2462</v>
      </c>
      <c r="F83" s="106" t="s">
        <v>646</v>
      </c>
      <c r="G83" s="106" t="s">
        <v>351</v>
      </c>
      <c r="H83" s="106" t="s">
        <v>356</v>
      </c>
      <c r="I83">
        <v>324</v>
      </c>
    </row>
    <row r="84" spans="1:10">
      <c r="A84" s="106" t="s">
        <v>435</v>
      </c>
      <c r="B84" s="106" t="s">
        <v>348</v>
      </c>
      <c r="C84" s="106" t="s">
        <v>360</v>
      </c>
      <c r="D84" s="106" t="s">
        <v>350</v>
      </c>
      <c r="E84">
        <v>2791</v>
      </c>
      <c r="F84" s="106" t="s">
        <v>2064</v>
      </c>
      <c r="G84" s="106" t="s">
        <v>351</v>
      </c>
      <c r="H84" s="106" t="s">
        <v>361</v>
      </c>
      <c r="I84">
        <v>468</v>
      </c>
    </row>
    <row r="85" spans="1:10">
      <c r="A85" s="106" t="s">
        <v>435</v>
      </c>
      <c r="B85" s="106" t="s">
        <v>348</v>
      </c>
      <c r="C85" s="106" t="s">
        <v>358</v>
      </c>
      <c r="D85" s="106" t="s">
        <v>350</v>
      </c>
      <c r="E85">
        <v>2809</v>
      </c>
      <c r="F85" s="106" t="s">
        <v>436</v>
      </c>
      <c r="G85" s="106" t="s">
        <v>351</v>
      </c>
      <c r="H85" s="106" t="s">
        <v>352</v>
      </c>
      <c r="I85" s="106" t="s">
        <v>437</v>
      </c>
      <c r="J85" s="106" t="s">
        <v>799</v>
      </c>
    </row>
    <row r="86" spans="1:10">
      <c r="A86" s="106" t="s">
        <v>435</v>
      </c>
      <c r="B86" s="106" t="s">
        <v>348</v>
      </c>
      <c r="C86" s="106" t="s">
        <v>358</v>
      </c>
      <c r="D86" s="106" t="s">
        <v>350</v>
      </c>
      <c r="E86">
        <v>2830</v>
      </c>
      <c r="F86" s="106" t="s">
        <v>2065</v>
      </c>
      <c r="G86" s="106" t="s">
        <v>359</v>
      </c>
      <c r="H86" s="106" t="s">
        <v>352</v>
      </c>
      <c r="I86">
        <v>191</v>
      </c>
    </row>
    <row r="87" spans="1:10">
      <c r="A87" s="106" t="s">
        <v>435</v>
      </c>
      <c r="B87" s="106" t="s">
        <v>348</v>
      </c>
      <c r="C87" s="106" t="s">
        <v>349</v>
      </c>
      <c r="D87" s="106" t="s">
        <v>350</v>
      </c>
      <c r="E87">
        <v>2918</v>
      </c>
      <c r="F87" s="106" t="s">
        <v>2066</v>
      </c>
      <c r="G87" s="106" t="s">
        <v>351</v>
      </c>
      <c r="H87" s="106" t="s">
        <v>352</v>
      </c>
      <c r="I87">
        <v>303</v>
      </c>
    </row>
    <row r="88" spans="1:10">
      <c r="A88" s="106" t="s">
        <v>435</v>
      </c>
      <c r="B88" s="106" t="s">
        <v>348</v>
      </c>
      <c r="C88" s="106" t="s">
        <v>353</v>
      </c>
      <c r="D88" s="106" t="s">
        <v>350</v>
      </c>
      <c r="E88">
        <v>2927</v>
      </c>
      <c r="F88" s="106" t="s">
        <v>438</v>
      </c>
      <c r="G88" s="106" t="s">
        <v>355</v>
      </c>
      <c r="H88" s="106" t="s">
        <v>352</v>
      </c>
      <c r="I88">
        <v>94</v>
      </c>
    </row>
    <row r="89" spans="1:10">
      <c r="A89" s="106" t="s">
        <v>435</v>
      </c>
      <c r="B89" s="106" t="s">
        <v>348</v>
      </c>
      <c r="C89" s="106" t="s">
        <v>349</v>
      </c>
      <c r="D89" s="106" t="s">
        <v>354</v>
      </c>
      <c r="E89">
        <v>3083</v>
      </c>
      <c r="F89" s="106" t="s">
        <v>2067</v>
      </c>
      <c r="G89" s="106" t="s">
        <v>355</v>
      </c>
      <c r="H89" s="106" t="s">
        <v>361</v>
      </c>
      <c r="I89">
        <v>14</v>
      </c>
    </row>
    <row r="90" spans="1:10">
      <c r="A90" s="106" t="s">
        <v>435</v>
      </c>
      <c r="B90" s="106" t="s">
        <v>348</v>
      </c>
      <c r="C90" s="106" t="s">
        <v>353</v>
      </c>
      <c r="D90" s="106" t="s">
        <v>350</v>
      </c>
      <c r="E90">
        <v>3376</v>
      </c>
      <c r="F90" s="106" t="s">
        <v>2068</v>
      </c>
      <c r="G90" s="106" t="s">
        <v>351</v>
      </c>
      <c r="H90" s="106" t="s">
        <v>361</v>
      </c>
      <c r="I90">
        <v>48</v>
      </c>
    </row>
    <row r="91" spans="1:10">
      <c r="A91" s="106" t="s">
        <v>435</v>
      </c>
      <c r="B91" s="106" t="s">
        <v>348</v>
      </c>
      <c r="C91" s="106" t="s">
        <v>349</v>
      </c>
      <c r="D91" s="106" t="s">
        <v>350</v>
      </c>
      <c r="E91">
        <v>3382</v>
      </c>
      <c r="F91" s="106" t="s">
        <v>631</v>
      </c>
      <c r="G91" s="106" t="s">
        <v>351</v>
      </c>
      <c r="H91" s="106" t="s">
        <v>361</v>
      </c>
      <c r="I91" s="106" t="s">
        <v>632</v>
      </c>
      <c r="J91" s="106" t="s">
        <v>2069</v>
      </c>
    </row>
    <row r="92" spans="1:10">
      <c r="A92" s="106" t="s">
        <v>435</v>
      </c>
      <c r="B92" s="106" t="s">
        <v>348</v>
      </c>
      <c r="C92" s="106" t="s">
        <v>349</v>
      </c>
      <c r="D92" s="106" t="s">
        <v>350</v>
      </c>
      <c r="E92">
        <v>3396</v>
      </c>
      <c r="F92" s="106" t="s">
        <v>439</v>
      </c>
      <c r="G92" s="106" t="s">
        <v>351</v>
      </c>
      <c r="H92" s="106" t="s">
        <v>361</v>
      </c>
      <c r="I92" s="106">
        <v>103</v>
      </c>
      <c r="J92" s="106"/>
    </row>
    <row r="93" spans="1:10">
      <c r="A93" s="106" t="s">
        <v>435</v>
      </c>
      <c r="B93" s="106" t="s">
        <v>348</v>
      </c>
      <c r="C93" s="106" t="s">
        <v>353</v>
      </c>
      <c r="D93" s="106" t="s">
        <v>350</v>
      </c>
      <c r="E93">
        <v>3697</v>
      </c>
      <c r="F93" s="106" t="s">
        <v>2070</v>
      </c>
      <c r="G93" s="106" t="s">
        <v>351</v>
      </c>
      <c r="H93" s="106" t="s">
        <v>362</v>
      </c>
      <c r="I93" s="106" t="s">
        <v>382</v>
      </c>
      <c r="J93" s="106" t="s">
        <v>2071</v>
      </c>
    </row>
    <row r="94" spans="1:10">
      <c r="A94" s="106" t="s">
        <v>435</v>
      </c>
      <c r="B94" s="106" t="s">
        <v>348</v>
      </c>
      <c r="C94" s="106" t="s">
        <v>358</v>
      </c>
      <c r="D94" s="106" t="s">
        <v>350</v>
      </c>
      <c r="E94">
        <v>4187</v>
      </c>
      <c r="F94" s="106" t="s">
        <v>2072</v>
      </c>
      <c r="G94" s="106" t="s">
        <v>351</v>
      </c>
      <c r="H94" s="106" t="s">
        <v>364</v>
      </c>
      <c r="I94">
        <v>339</v>
      </c>
    </row>
    <row r="95" spans="1:10">
      <c r="A95" s="106" t="s">
        <v>435</v>
      </c>
      <c r="B95" s="106" t="s">
        <v>348</v>
      </c>
      <c r="C95" s="106" t="s">
        <v>349</v>
      </c>
      <c r="D95" s="106" t="s">
        <v>354</v>
      </c>
      <c r="E95">
        <v>4745</v>
      </c>
      <c r="F95" s="106" t="s">
        <v>2073</v>
      </c>
      <c r="G95" s="106" t="s">
        <v>351</v>
      </c>
      <c r="H95" s="106" t="s">
        <v>356</v>
      </c>
      <c r="I95" s="106">
        <v>386</v>
      </c>
      <c r="J95" s="106"/>
    </row>
    <row r="96" spans="1:10">
      <c r="A96" s="106" t="s">
        <v>435</v>
      </c>
      <c r="B96" s="106" t="s">
        <v>348</v>
      </c>
      <c r="C96" s="106" t="s">
        <v>349</v>
      </c>
      <c r="D96" s="106" t="s">
        <v>350</v>
      </c>
      <c r="E96">
        <v>4763</v>
      </c>
      <c r="F96" s="106" t="s">
        <v>2074</v>
      </c>
      <c r="G96" s="106" t="s">
        <v>351</v>
      </c>
      <c r="H96" s="106" t="s">
        <v>356</v>
      </c>
      <c r="I96">
        <v>253</v>
      </c>
    </row>
    <row r="97" spans="1:10">
      <c r="A97" s="106" t="s">
        <v>435</v>
      </c>
      <c r="B97" s="106" t="s">
        <v>348</v>
      </c>
      <c r="C97" s="106" t="s">
        <v>360</v>
      </c>
      <c r="D97" s="106" t="s">
        <v>350</v>
      </c>
      <c r="E97">
        <v>5932</v>
      </c>
      <c r="F97" s="106" t="s">
        <v>2075</v>
      </c>
      <c r="G97" s="106" t="s">
        <v>351</v>
      </c>
      <c r="H97" s="106" t="s">
        <v>366</v>
      </c>
      <c r="I97">
        <v>406</v>
      </c>
    </row>
    <row r="98" spans="1:10">
      <c r="A98" s="106" t="s">
        <v>435</v>
      </c>
      <c r="B98" s="106" t="s">
        <v>348</v>
      </c>
      <c r="C98" s="106" t="s">
        <v>358</v>
      </c>
      <c r="D98" s="106" t="s">
        <v>350</v>
      </c>
      <c r="E98">
        <v>5942</v>
      </c>
      <c r="F98" s="106" t="s">
        <v>2076</v>
      </c>
      <c r="G98" s="106" t="s">
        <v>351</v>
      </c>
      <c r="H98" s="106" t="s">
        <v>366</v>
      </c>
      <c r="I98">
        <v>114</v>
      </c>
    </row>
    <row r="99" spans="1:10">
      <c r="A99" s="106" t="s">
        <v>435</v>
      </c>
      <c r="B99" s="106" t="s">
        <v>348</v>
      </c>
      <c r="C99" s="106" t="s">
        <v>349</v>
      </c>
      <c r="D99" s="106" t="s">
        <v>350</v>
      </c>
      <c r="E99">
        <v>6093</v>
      </c>
      <c r="F99" s="106" t="s">
        <v>2077</v>
      </c>
      <c r="G99" s="106" t="s">
        <v>351</v>
      </c>
      <c r="H99" s="106" t="s">
        <v>356</v>
      </c>
      <c r="I99">
        <v>97</v>
      </c>
    </row>
    <row r="100" spans="1:10">
      <c r="A100" s="106" t="s">
        <v>435</v>
      </c>
      <c r="B100" s="106" t="s">
        <v>348</v>
      </c>
      <c r="C100" s="106" t="s">
        <v>349</v>
      </c>
      <c r="D100" s="106" t="s">
        <v>350</v>
      </c>
      <c r="E100">
        <v>6312</v>
      </c>
      <c r="F100" s="106" t="s">
        <v>2078</v>
      </c>
      <c r="G100" s="106" t="s">
        <v>355</v>
      </c>
      <c r="H100" s="106" t="s">
        <v>372</v>
      </c>
      <c r="I100" s="106">
        <v>149</v>
      </c>
      <c r="J100" s="106"/>
    </row>
    <row r="101" spans="1:10">
      <c r="A101" s="106" t="s">
        <v>435</v>
      </c>
      <c r="B101" s="106" t="s">
        <v>348</v>
      </c>
      <c r="C101" s="106" t="s">
        <v>360</v>
      </c>
      <c r="D101" s="106" t="s">
        <v>350</v>
      </c>
      <c r="E101">
        <v>6489</v>
      </c>
      <c r="F101" s="106" t="s">
        <v>659</v>
      </c>
      <c r="G101" s="106" t="s">
        <v>351</v>
      </c>
      <c r="H101" s="106" t="s">
        <v>372</v>
      </c>
      <c r="I101" s="106">
        <v>84</v>
      </c>
      <c r="J101" s="106"/>
    </row>
    <row r="102" spans="1:10">
      <c r="A102" s="106" t="s">
        <v>435</v>
      </c>
      <c r="B102" s="106" t="s">
        <v>348</v>
      </c>
      <c r="C102" s="106" t="s">
        <v>360</v>
      </c>
      <c r="D102" s="106" t="s">
        <v>354</v>
      </c>
      <c r="E102">
        <v>6496</v>
      </c>
      <c r="F102" s="106" t="s">
        <v>638</v>
      </c>
      <c r="G102" s="106" t="s">
        <v>359</v>
      </c>
      <c r="H102" s="106" t="s">
        <v>372</v>
      </c>
      <c r="I102">
        <v>101</v>
      </c>
    </row>
    <row r="103" spans="1:10">
      <c r="A103" s="106" t="s">
        <v>435</v>
      </c>
      <c r="B103" s="106" t="s">
        <v>348</v>
      </c>
      <c r="C103" s="106" t="s">
        <v>349</v>
      </c>
      <c r="D103" s="106" t="s">
        <v>350</v>
      </c>
      <c r="E103">
        <v>6506</v>
      </c>
      <c r="F103" s="106" t="s">
        <v>2079</v>
      </c>
      <c r="G103" s="106" t="s">
        <v>351</v>
      </c>
      <c r="H103" s="106" t="s">
        <v>376</v>
      </c>
      <c r="I103" s="106" t="s">
        <v>620</v>
      </c>
      <c r="J103" s="106" t="s">
        <v>2080</v>
      </c>
    </row>
    <row r="104" spans="1:10">
      <c r="A104" s="106" t="s">
        <v>435</v>
      </c>
      <c r="B104" s="106" t="s">
        <v>348</v>
      </c>
      <c r="C104" s="106" t="s">
        <v>349</v>
      </c>
      <c r="D104" s="106" t="s">
        <v>350</v>
      </c>
      <c r="E104">
        <v>6734</v>
      </c>
      <c r="F104" s="106" t="s">
        <v>2081</v>
      </c>
      <c r="G104" s="106" t="s">
        <v>355</v>
      </c>
      <c r="H104" s="106" t="s">
        <v>376</v>
      </c>
      <c r="I104" s="106">
        <v>23</v>
      </c>
      <c r="J104" s="106"/>
    </row>
    <row r="105" spans="1:10">
      <c r="A105" s="106" t="s">
        <v>435</v>
      </c>
      <c r="B105" s="106" t="s">
        <v>348</v>
      </c>
      <c r="C105" s="106" t="s">
        <v>349</v>
      </c>
      <c r="D105" s="106" t="s">
        <v>350</v>
      </c>
      <c r="E105">
        <v>7544</v>
      </c>
      <c r="F105" s="106" t="s">
        <v>2082</v>
      </c>
      <c r="G105" s="106" t="s">
        <v>359</v>
      </c>
      <c r="H105" s="106" t="s">
        <v>361</v>
      </c>
      <c r="I105" s="106">
        <v>32</v>
      </c>
      <c r="J105" s="106"/>
    </row>
    <row r="106" spans="1:10">
      <c r="A106" s="106" t="s">
        <v>435</v>
      </c>
      <c r="B106" s="106" t="s">
        <v>348</v>
      </c>
      <c r="C106" s="106" t="s">
        <v>349</v>
      </c>
      <c r="D106" s="106" t="s">
        <v>350</v>
      </c>
      <c r="E106">
        <v>7601</v>
      </c>
      <c r="F106" s="106" t="s">
        <v>2083</v>
      </c>
      <c r="G106" s="106" t="s">
        <v>351</v>
      </c>
      <c r="H106" s="106" t="s">
        <v>361</v>
      </c>
      <c r="I106" s="106">
        <v>63</v>
      </c>
      <c r="J106" s="106"/>
    </row>
    <row r="107" spans="1:10">
      <c r="A107" s="106" t="s">
        <v>435</v>
      </c>
      <c r="B107" s="106" t="s">
        <v>348</v>
      </c>
      <c r="C107" s="106" t="s">
        <v>349</v>
      </c>
      <c r="D107" s="106" t="s">
        <v>354</v>
      </c>
      <c r="E107">
        <v>7847</v>
      </c>
      <c r="F107" s="106" t="s">
        <v>2084</v>
      </c>
      <c r="G107" s="106" t="s">
        <v>355</v>
      </c>
      <c r="H107" s="106" t="s">
        <v>373</v>
      </c>
      <c r="I107">
        <v>35</v>
      </c>
    </row>
    <row r="108" spans="1:10">
      <c r="A108" s="106" t="s">
        <v>435</v>
      </c>
      <c r="B108" s="106" t="s">
        <v>348</v>
      </c>
      <c r="C108" s="106" t="s">
        <v>360</v>
      </c>
      <c r="D108" s="106" t="s">
        <v>350</v>
      </c>
      <c r="E108">
        <v>7888</v>
      </c>
      <c r="F108" s="106" t="s">
        <v>2085</v>
      </c>
      <c r="G108" s="106" t="s">
        <v>351</v>
      </c>
      <c r="H108" s="106" t="s">
        <v>364</v>
      </c>
      <c r="I108" s="106">
        <v>136</v>
      </c>
      <c r="J108" s="106"/>
    </row>
    <row r="109" spans="1:10">
      <c r="A109" s="106" t="s">
        <v>435</v>
      </c>
      <c r="B109" s="106" t="s">
        <v>348</v>
      </c>
      <c r="C109" s="106" t="s">
        <v>349</v>
      </c>
      <c r="D109" s="106" t="s">
        <v>350</v>
      </c>
      <c r="E109">
        <v>7975</v>
      </c>
      <c r="F109" s="106" t="s">
        <v>2086</v>
      </c>
      <c r="G109" s="106" t="s">
        <v>359</v>
      </c>
      <c r="H109" s="106" t="s">
        <v>373</v>
      </c>
      <c r="I109" s="106">
        <v>35</v>
      </c>
      <c r="J109" s="106"/>
    </row>
    <row r="110" spans="1:10">
      <c r="A110" s="106" t="s">
        <v>435</v>
      </c>
      <c r="B110" s="106" t="s">
        <v>348</v>
      </c>
      <c r="C110" s="106" t="s">
        <v>353</v>
      </c>
      <c r="D110" s="106" t="s">
        <v>354</v>
      </c>
      <c r="E110">
        <v>8184</v>
      </c>
      <c r="F110" s="106" t="s">
        <v>2087</v>
      </c>
      <c r="G110" s="106" t="s">
        <v>351</v>
      </c>
      <c r="H110" s="106" t="s">
        <v>361</v>
      </c>
      <c r="I110" s="106" t="s">
        <v>382</v>
      </c>
      <c r="J110" s="106" t="s">
        <v>2088</v>
      </c>
    </row>
    <row r="111" spans="1:10">
      <c r="A111" s="106" t="s">
        <v>435</v>
      </c>
      <c r="B111" s="106" t="s">
        <v>348</v>
      </c>
      <c r="C111" s="106" t="s">
        <v>349</v>
      </c>
      <c r="D111" s="106" t="s">
        <v>350</v>
      </c>
      <c r="E111">
        <v>8237</v>
      </c>
      <c r="F111" s="106" t="s">
        <v>2089</v>
      </c>
      <c r="G111" s="106" t="s">
        <v>351</v>
      </c>
      <c r="H111" s="106" t="s">
        <v>361</v>
      </c>
      <c r="I111">
        <v>474</v>
      </c>
    </row>
    <row r="112" spans="1:10">
      <c r="A112" s="106" t="s">
        <v>435</v>
      </c>
      <c r="B112" s="106" t="s">
        <v>348</v>
      </c>
      <c r="C112" s="106" t="s">
        <v>349</v>
      </c>
      <c r="D112" s="106" t="s">
        <v>350</v>
      </c>
      <c r="E112">
        <v>8260</v>
      </c>
      <c r="F112" s="106" t="s">
        <v>2090</v>
      </c>
      <c r="G112" s="106" t="s">
        <v>351</v>
      </c>
      <c r="H112" s="106" t="s">
        <v>361</v>
      </c>
      <c r="I112">
        <v>29</v>
      </c>
    </row>
    <row r="113" spans="1:10">
      <c r="A113" s="106" t="s">
        <v>435</v>
      </c>
      <c r="B113" s="106" t="s">
        <v>348</v>
      </c>
      <c r="C113" s="106" t="s">
        <v>349</v>
      </c>
      <c r="D113" s="106" t="s">
        <v>350</v>
      </c>
      <c r="E113">
        <v>8273</v>
      </c>
      <c r="F113" s="106" t="s">
        <v>2091</v>
      </c>
      <c r="G113" s="106" t="s">
        <v>351</v>
      </c>
      <c r="H113" s="106" t="s">
        <v>361</v>
      </c>
      <c r="I113" s="106" t="s">
        <v>374</v>
      </c>
      <c r="J113" s="106" t="s">
        <v>2092</v>
      </c>
    </row>
    <row r="114" spans="1:10">
      <c r="A114" s="106" t="s">
        <v>435</v>
      </c>
      <c r="B114" s="106" t="s">
        <v>348</v>
      </c>
      <c r="C114" s="106" t="s">
        <v>360</v>
      </c>
      <c r="D114" s="106" t="s">
        <v>354</v>
      </c>
      <c r="E114">
        <v>8887</v>
      </c>
      <c r="F114" s="106" t="s">
        <v>2093</v>
      </c>
      <c r="G114" s="106" t="s">
        <v>355</v>
      </c>
      <c r="H114" s="106" t="s">
        <v>377</v>
      </c>
      <c r="I114">
        <v>104</v>
      </c>
    </row>
    <row r="115" spans="1:10">
      <c r="A115" s="106" t="s">
        <v>435</v>
      </c>
      <c r="B115" s="106" t="s">
        <v>348</v>
      </c>
      <c r="C115" s="106" t="s">
        <v>349</v>
      </c>
      <c r="D115" s="106" t="s">
        <v>350</v>
      </c>
      <c r="E115">
        <v>8905</v>
      </c>
      <c r="F115" s="106" t="s">
        <v>2094</v>
      </c>
      <c r="G115" s="106" t="s">
        <v>351</v>
      </c>
      <c r="H115" s="106" t="s">
        <v>377</v>
      </c>
      <c r="I115" s="106" t="s">
        <v>401</v>
      </c>
      <c r="J115" s="106" t="s">
        <v>2095</v>
      </c>
    </row>
    <row r="116" spans="1:10">
      <c r="A116" s="106" t="s">
        <v>435</v>
      </c>
      <c r="B116" s="106" t="s">
        <v>348</v>
      </c>
      <c r="C116" s="106" t="s">
        <v>360</v>
      </c>
      <c r="D116" s="106" t="s">
        <v>350</v>
      </c>
      <c r="E116">
        <v>8908</v>
      </c>
      <c r="F116" s="106" t="s">
        <v>440</v>
      </c>
      <c r="G116" s="106" t="s">
        <v>351</v>
      </c>
      <c r="H116" s="106" t="s">
        <v>377</v>
      </c>
      <c r="I116">
        <v>156</v>
      </c>
    </row>
    <row r="117" spans="1:10">
      <c r="A117" s="106" t="s">
        <v>435</v>
      </c>
      <c r="B117" s="106" t="s">
        <v>348</v>
      </c>
      <c r="C117" s="106" t="s">
        <v>358</v>
      </c>
      <c r="D117" s="106" t="s">
        <v>350</v>
      </c>
      <c r="E117">
        <v>8923</v>
      </c>
      <c r="F117" s="106" t="s">
        <v>453</v>
      </c>
      <c r="G117" s="106" t="s">
        <v>351</v>
      </c>
      <c r="H117" s="106" t="s">
        <v>377</v>
      </c>
      <c r="I117">
        <v>728</v>
      </c>
    </row>
    <row r="118" spans="1:10">
      <c r="A118" s="106" t="s">
        <v>435</v>
      </c>
      <c r="B118" s="106" t="s">
        <v>348</v>
      </c>
      <c r="C118" s="106" t="s">
        <v>358</v>
      </c>
      <c r="D118" s="106" t="s">
        <v>350</v>
      </c>
      <c r="E118">
        <v>9369</v>
      </c>
      <c r="F118" s="106" t="s">
        <v>2096</v>
      </c>
      <c r="G118" s="106" t="s">
        <v>351</v>
      </c>
      <c r="H118" s="106" t="s">
        <v>707</v>
      </c>
      <c r="I118" s="106">
        <v>241</v>
      </c>
      <c r="J118" s="106"/>
    </row>
    <row r="119" spans="1:10">
      <c r="A119" s="106" t="s">
        <v>435</v>
      </c>
      <c r="B119" s="106" t="s">
        <v>348</v>
      </c>
      <c r="C119" s="106" t="s">
        <v>349</v>
      </c>
      <c r="D119" s="106" t="s">
        <v>350</v>
      </c>
      <c r="E119">
        <v>9716</v>
      </c>
      <c r="F119" s="106" t="s">
        <v>2097</v>
      </c>
      <c r="G119" s="106" t="s">
        <v>351</v>
      </c>
      <c r="H119" s="106" t="s">
        <v>356</v>
      </c>
      <c r="I119" s="106" t="s">
        <v>382</v>
      </c>
      <c r="J119" s="106" t="s">
        <v>2098</v>
      </c>
    </row>
    <row r="120" spans="1:10">
      <c r="A120" s="106" t="s">
        <v>435</v>
      </c>
      <c r="B120" s="106" t="s">
        <v>348</v>
      </c>
      <c r="C120" s="106" t="s">
        <v>360</v>
      </c>
      <c r="D120" s="106" t="s">
        <v>350</v>
      </c>
      <c r="E120">
        <v>9765</v>
      </c>
      <c r="F120" s="106" t="s">
        <v>2099</v>
      </c>
      <c r="G120" s="106" t="s">
        <v>351</v>
      </c>
      <c r="H120" s="106" t="s">
        <v>356</v>
      </c>
      <c r="I120" s="106">
        <v>169</v>
      </c>
      <c r="J120" s="106"/>
    </row>
    <row r="121" spans="1:10">
      <c r="A121" s="106" t="s">
        <v>435</v>
      </c>
      <c r="B121" s="106" t="s">
        <v>348</v>
      </c>
      <c r="C121" s="106" t="s">
        <v>349</v>
      </c>
      <c r="D121" s="106" t="s">
        <v>354</v>
      </c>
      <c r="E121">
        <v>9778</v>
      </c>
      <c r="F121" s="106" t="s">
        <v>2100</v>
      </c>
      <c r="G121" s="106" t="s">
        <v>355</v>
      </c>
      <c r="H121" s="106" t="s">
        <v>356</v>
      </c>
      <c r="I121" s="106">
        <v>31</v>
      </c>
      <c r="J121" s="106"/>
    </row>
    <row r="122" spans="1:10">
      <c r="A122" s="106" t="s">
        <v>435</v>
      </c>
      <c r="B122" s="106" t="s">
        <v>348</v>
      </c>
      <c r="C122" s="106" t="s">
        <v>349</v>
      </c>
      <c r="D122" s="106" t="s">
        <v>350</v>
      </c>
      <c r="E122">
        <v>9903</v>
      </c>
      <c r="F122" s="106" t="s">
        <v>2101</v>
      </c>
      <c r="G122" s="106" t="s">
        <v>355</v>
      </c>
      <c r="H122" s="106" t="s">
        <v>361</v>
      </c>
      <c r="I122">
        <v>138</v>
      </c>
    </row>
    <row r="123" spans="1:10">
      <c r="A123" s="106" t="s">
        <v>435</v>
      </c>
      <c r="B123" s="106" t="s">
        <v>348</v>
      </c>
      <c r="C123" s="106" t="s">
        <v>353</v>
      </c>
      <c r="D123" s="106" t="s">
        <v>350</v>
      </c>
      <c r="E123">
        <v>9983</v>
      </c>
      <c r="F123" s="106" t="s">
        <v>441</v>
      </c>
      <c r="G123" s="106" t="s">
        <v>351</v>
      </c>
      <c r="H123" s="106" t="s">
        <v>361</v>
      </c>
      <c r="I123" s="106" t="s">
        <v>2102</v>
      </c>
      <c r="J123" s="106" t="s">
        <v>850</v>
      </c>
    </row>
    <row r="124" spans="1:10">
      <c r="A124" s="106" t="s">
        <v>442</v>
      </c>
      <c r="B124" s="106" t="s">
        <v>417</v>
      </c>
      <c r="C124" s="106" t="s">
        <v>349</v>
      </c>
      <c r="D124" s="106" t="s">
        <v>350</v>
      </c>
      <c r="E124">
        <v>3093</v>
      </c>
      <c r="F124" s="106" t="s">
        <v>857</v>
      </c>
      <c r="G124" s="106" t="s">
        <v>351</v>
      </c>
      <c r="H124" s="106" t="s">
        <v>361</v>
      </c>
      <c r="I124" s="106">
        <v>124</v>
      </c>
      <c r="J124" s="106"/>
    </row>
    <row r="125" spans="1:10">
      <c r="A125" s="106" t="s">
        <v>442</v>
      </c>
      <c r="B125" s="106" t="s">
        <v>417</v>
      </c>
      <c r="C125" s="106" t="s">
        <v>358</v>
      </c>
      <c r="D125" s="106" t="s">
        <v>350</v>
      </c>
      <c r="E125">
        <v>6136</v>
      </c>
      <c r="F125" s="106" t="s">
        <v>2103</v>
      </c>
      <c r="G125" s="106" t="s">
        <v>351</v>
      </c>
      <c r="H125" s="106" t="s">
        <v>372</v>
      </c>
      <c r="I125" s="106" t="s">
        <v>374</v>
      </c>
      <c r="J125" s="106" t="s">
        <v>2104</v>
      </c>
    </row>
    <row r="126" spans="1:10">
      <c r="A126" s="106" t="s">
        <v>442</v>
      </c>
      <c r="B126" s="106" t="s">
        <v>417</v>
      </c>
      <c r="C126" s="106" t="s">
        <v>349</v>
      </c>
      <c r="D126" s="106" t="s">
        <v>350</v>
      </c>
      <c r="E126">
        <v>6432</v>
      </c>
      <c r="F126" s="106" t="s">
        <v>2105</v>
      </c>
      <c r="G126" s="106" t="s">
        <v>351</v>
      </c>
      <c r="H126" s="106" t="s">
        <v>372</v>
      </c>
      <c r="I126">
        <v>824</v>
      </c>
    </row>
    <row r="127" spans="1:10">
      <c r="A127" s="106" t="s">
        <v>442</v>
      </c>
      <c r="B127" s="106" t="s">
        <v>417</v>
      </c>
      <c r="C127" s="106" t="s">
        <v>360</v>
      </c>
      <c r="D127" s="106" t="s">
        <v>350</v>
      </c>
      <c r="E127">
        <v>6567</v>
      </c>
      <c r="F127" s="106" t="s">
        <v>443</v>
      </c>
      <c r="G127" s="106" t="s">
        <v>363</v>
      </c>
      <c r="H127" s="106" t="s">
        <v>356</v>
      </c>
      <c r="I127">
        <v>25</v>
      </c>
    </row>
    <row r="128" spans="1:10">
      <c r="A128" s="106" t="s">
        <v>442</v>
      </c>
      <c r="B128" s="106" t="s">
        <v>2106</v>
      </c>
      <c r="C128" s="106" t="s">
        <v>360</v>
      </c>
      <c r="D128" s="106" t="s">
        <v>350</v>
      </c>
      <c r="E128">
        <v>8886</v>
      </c>
      <c r="F128" s="106" t="s">
        <v>2107</v>
      </c>
      <c r="G128" s="106" t="s">
        <v>355</v>
      </c>
      <c r="H128" s="106" t="s">
        <v>377</v>
      </c>
      <c r="I128">
        <v>36</v>
      </c>
    </row>
    <row r="129" spans="1:10">
      <c r="A129" s="106" t="s">
        <v>442</v>
      </c>
      <c r="B129" s="106" t="s">
        <v>348</v>
      </c>
      <c r="C129" s="106" t="s">
        <v>360</v>
      </c>
      <c r="D129" s="106" t="s">
        <v>354</v>
      </c>
      <c r="E129">
        <v>1401</v>
      </c>
      <c r="F129" s="106" t="s">
        <v>2108</v>
      </c>
      <c r="G129" s="106" t="s">
        <v>363</v>
      </c>
      <c r="H129" s="106" t="s">
        <v>378</v>
      </c>
      <c r="I129">
        <v>74</v>
      </c>
    </row>
    <row r="130" spans="1:10">
      <c r="A130" s="106" t="s">
        <v>442</v>
      </c>
      <c r="B130" s="106" t="s">
        <v>348</v>
      </c>
      <c r="C130" s="106" t="s">
        <v>360</v>
      </c>
      <c r="D130" s="106" t="s">
        <v>354</v>
      </c>
      <c r="E130">
        <v>1430</v>
      </c>
      <c r="F130" s="106" t="s">
        <v>626</v>
      </c>
      <c r="G130" s="106" t="s">
        <v>351</v>
      </c>
      <c r="H130" s="106" t="s">
        <v>378</v>
      </c>
      <c r="I130">
        <v>84</v>
      </c>
    </row>
    <row r="131" spans="1:10">
      <c r="A131" s="106" t="s">
        <v>442</v>
      </c>
      <c r="B131" s="106" t="s">
        <v>348</v>
      </c>
      <c r="C131" s="106" t="s">
        <v>360</v>
      </c>
      <c r="D131" s="106" t="s">
        <v>350</v>
      </c>
      <c r="E131">
        <v>2153</v>
      </c>
      <c r="F131" s="106" t="s">
        <v>2109</v>
      </c>
      <c r="G131" s="106" t="s">
        <v>351</v>
      </c>
      <c r="H131" s="106" t="s">
        <v>356</v>
      </c>
      <c r="I131" s="106">
        <v>120</v>
      </c>
      <c r="J131" s="106"/>
    </row>
    <row r="132" spans="1:10">
      <c r="A132" s="106" t="s">
        <v>442</v>
      </c>
      <c r="B132" s="106" t="s">
        <v>348</v>
      </c>
      <c r="C132" s="106" t="s">
        <v>353</v>
      </c>
      <c r="D132" s="106" t="s">
        <v>350</v>
      </c>
      <c r="E132">
        <v>2157</v>
      </c>
      <c r="F132" s="106" t="s">
        <v>2110</v>
      </c>
      <c r="G132" s="106" t="s">
        <v>351</v>
      </c>
      <c r="H132" s="106" t="s">
        <v>356</v>
      </c>
      <c r="I132" s="106" t="s">
        <v>382</v>
      </c>
      <c r="J132" s="106" t="s">
        <v>2053</v>
      </c>
    </row>
    <row r="133" spans="1:10">
      <c r="A133" s="106" t="s">
        <v>442</v>
      </c>
      <c r="B133" s="106" t="s">
        <v>348</v>
      </c>
      <c r="C133" s="106" t="s">
        <v>353</v>
      </c>
      <c r="D133" s="106" t="s">
        <v>350</v>
      </c>
      <c r="E133">
        <v>2164</v>
      </c>
      <c r="F133" s="106" t="s">
        <v>2111</v>
      </c>
      <c r="G133" s="106" t="s">
        <v>355</v>
      </c>
      <c r="H133" s="106" t="s">
        <v>356</v>
      </c>
      <c r="I133">
        <v>14</v>
      </c>
    </row>
    <row r="134" spans="1:10">
      <c r="A134" s="106" t="s">
        <v>442</v>
      </c>
      <c r="B134" s="106" t="s">
        <v>348</v>
      </c>
      <c r="C134" s="106" t="s">
        <v>349</v>
      </c>
      <c r="D134" s="106" t="s">
        <v>350</v>
      </c>
      <c r="E134">
        <v>2292</v>
      </c>
      <c r="F134" s="106" t="s">
        <v>2112</v>
      </c>
      <c r="G134" s="106" t="s">
        <v>351</v>
      </c>
      <c r="H134" s="106" t="s">
        <v>352</v>
      </c>
      <c r="I134" s="106">
        <v>914</v>
      </c>
      <c r="J134" s="106"/>
    </row>
    <row r="135" spans="1:10">
      <c r="A135" s="106" t="s">
        <v>442</v>
      </c>
      <c r="B135" s="106" t="s">
        <v>348</v>
      </c>
      <c r="C135" s="106" t="s">
        <v>349</v>
      </c>
      <c r="D135" s="106" t="s">
        <v>354</v>
      </c>
      <c r="E135">
        <v>2294</v>
      </c>
      <c r="F135" s="106" t="s">
        <v>644</v>
      </c>
      <c r="G135" s="106" t="s">
        <v>351</v>
      </c>
      <c r="H135" s="106" t="s">
        <v>352</v>
      </c>
      <c r="I135" s="106">
        <v>373</v>
      </c>
      <c r="J135" s="106"/>
    </row>
    <row r="136" spans="1:10">
      <c r="A136" s="106" t="s">
        <v>442</v>
      </c>
      <c r="B136" s="106" t="s">
        <v>348</v>
      </c>
      <c r="C136" s="106" t="s">
        <v>349</v>
      </c>
      <c r="D136" s="106" t="s">
        <v>350</v>
      </c>
      <c r="E136">
        <v>2337</v>
      </c>
      <c r="F136" s="106" t="s">
        <v>858</v>
      </c>
      <c r="G136" s="106" t="s">
        <v>351</v>
      </c>
      <c r="H136" s="106" t="s">
        <v>377</v>
      </c>
      <c r="I136" s="106" t="s">
        <v>374</v>
      </c>
      <c r="J136" s="106" t="s">
        <v>829</v>
      </c>
    </row>
    <row r="137" spans="1:10">
      <c r="A137" s="106" t="s">
        <v>442</v>
      </c>
      <c r="B137" s="106" t="s">
        <v>348</v>
      </c>
      <c r="C137" s="106" t="s">
        <v>349</v>
      </c>
      <c r="D137" s="106" t="s">
        <v>350</v>
      </c>
      <c r="E137">
        <v>2338</v>
      </c>
      <c r="F137" s="106" t="s">
        <v>444</v>
      </c>
      <c r="G137" s="106" t="s">
        <v>359</v>
      </c>
      <c r="H137" s="106" t="s">
        <v>362</v>
      </c>
      <c r="I137">
        <v>24</v>
      </c>
    </row>
    <row r="138" spans="1:10">
      <c r="A138" s="106" t="s">
        <v>442</v>
      </c>
      <c r="B138" s="106" t="s">
        <v>348</v>
      </c>
      <c r="C138" s="106" t="s">
        <v>349</v>
      </c>
      <c r="D138" s="106" t="s">
        <v>354</v>
      </c>
      <c r="E138">
        <v>2379</v>
      </c>
      <c r="F138" s="106" t="s">
        <v>2113</v>
      </c>
      <c r="G138" s="106" t="s">
        <v>351</v>
      </c>
      <c r="H138" s="106" t="s">
        <v>356</v>
      </c>
      <c r="I138" s="106" t="s">
        <v>374</v>
      </c>
      <c r="J138" s="106" t="s">
        <v>2011</v>
      </c>
    </row>
    <row r="139" spans="1:10">
      <c r="A139" s="106" t="s">
        <v>442</v>
      </c>
      <c r="B139" s="106" t="s">
        <v>348</v>
      </c>
      <c r="C139" s="106" t="s">
        <v>360</v>
      </c>
      <c r="D139" s="106" t="s">
        <v>350</v>
      </c>
      <c r="E139">
        <v>2459</v>
      </c>
      <c r="F139" s="106" t="s">
        <v>2114</v>
      </c>
      <c r="G139" s="106" t="s">
        <v>359</v>
      </c>
      <c r="H139" s="106" t="s">
        <v>356</v>
      </c>
      <c r="I139">
        <v>18</v>
      </c>
    </row>
    <row r="140" spans="1:10">
      <c r="A140" s="106" t="s">
        <v>442</v>
      </c>
      <c r="B140" s="106" t="s">
        <v>348</v>
      </c>
      <c r="C140" s="106" t="s">
        <v>349</v>
      </c>
      <c r="D140" s="106" t="s">
        <v>350</v>
      </c>
      <c r="E140">
        <v>2651</v>
      </c>
      <c r="F140" s="106" t="s">
        <v>445</v>
      </c>
      <c r="G140" s="106" t="s">
        <v>351</v>
      </c>
      <c r="H140" s="106" t="s">
        <v>361</v>
      </c>
      <c r="I140" s="106" t="s">
        <v>410</v>
      </c>
      <c r="J140" s="106" t="s">
        <v>2115</v>
      </c>
    </row>
    <row r="141" spans="1:10">
      <c r="A141" s="106" t="s">
        <v>442</v>
      </c>
      <c r="B141" s="106" t="s">
        <v>348</v>
      </c>
      <c r="C141" s="106" t="s">
        <v>349</v>
      </c>
      <c r="D141" s="106" t="s">
        <v>350</v>
      </c>
      <c r="E141">
        <v>2668</v>
      </c>
      <c r="F141" s="106" t="s">
        <v>2116</v>
      </c>
      <c r="G141" s="106" t="s">
        <v>359</v>
      </c>
      <c r="H141" s="106" t="s">
        <v>357</v>
      </c>
      <c r="I141">
        <v>77</v>
      </c>
    </row>
    <row r="142" spans="1:10">
      <c r="A142" s="106" t="s">
        <v>442</v>
      </c>
      <c r="B142" s="106" t="s">
        <v>348</v>
      </c>
      <c r="C142" s="106" t="s">
        <v>349</v>
      </c>
      <c r="D142" s="106" t="s">
        <v>354</v>
      </c>
      <c r="E142">
        <v>2669</v>
      </c>
      <c r="F142" s="106" t="s">
        <v>2117</v>
      </c>
      <c r="G142" s="106" t="s">
        <v>355</v>
      </c>
      <c r="H142" s="106" t="s">
        <v>361</v>
      </c>
      <c r="I142">
        <v>302</v>
      </c>
    </row>
    <row r="143" spans="1:10">
      <c r="A143" s="106" t="s">
        <v>442</v>
      </c>
      <c r="B143" s="106" t="s">
        <v>348</v>
      </c>
      <c r="C143" s="106" t="s">
        <v>349</v>
      </c>
      <c r="D143" s="106" t="s">
        <v>350</v>
      </c>
      <c r="E143">
        <v>2686</v>
      </c>
      <c r="F143" s="106" t="s">
        <v>2118</v>
      </c>
      <c r="G143" s="106" t="s">
        <v>351</v>
      </c>
      <c r="H143" s="106" t="s">
        <v>361</v>
      </c>
      <c r="I143">
        <v>265</v>
      </c>
    </row>
    <row r="144" spans="1:10">
      <c r="A144" s="106" t="s">
        <v>442</v>
      </c>
      <c r="B144" s="106" t="s">
        <v>348</v>
      </c>
      <c r="C144" s="106" t="s">
        <v>349</v>
      </c>
      <c r="D144" s="106" t="s">
        <v>350</v>
      </c>
      <c r="E144">
        <v>2687</v>
      </c>
      <c r="F144" s="106" t="s">
        <v>2119</v>
      </c>
      <c r="G144" s="106" t="s">
        <v>351</v>
      </c>
      <c r="H144" s="106" t="s">
        <v>361</v>
      </c>
      <c r="I144">
        <v>35</v>
      </c>
    </row>
    <row r="145" spans="1:10">
      <c r="A145" s="106" t="s">
        <v>442</v>
      </c>
      <c r="B145" s="106" t="s">
        <v>348</v>
      </c>
      <c r="C145" s="106" t="s">
        <v>349</v>
      </c>
      <c r="D145" s="106" t="s">
        <v>354</v>
      </c>
      <c r="E145">
        <v>2706</v>
      </c>
      <c r="F145" s="106" t="s">
        <v>446</v>
      </c>
      <c r="G145" s="106" t="s">
        <v>355</v>
      </c>
      <c r="H145" s="106" t="s">
        <v>373</v>
      </c>
      <c r="I145">
        <v>133</v>
      </c>
    </row>
    <row r="146" spans="1:10">
      <c r="A146" s="106" t="s">
        <v>442</v>
      </c>
      <c r="B146" s="106" t="s">
        <v>348</v>
      </c>
      <c r="C146" s="106" t="s">
        <v>353</v>
      </c>
      <c r="D146" s="106" t="s">
        <v>350</v>
      </c>
      <c r="E146">
        <v>2735</v>
      </c>
      <c r="F146" s="106" t="s">
        <v>2120</v>
      </c>
      <c r="G146" s="106" t="s">
        <v>351</v>
      </c>
      <c r="H146" s="106" t="s">
        <v>361</v>
      </c>
      <c r="I146" s="106">
        <v>84</v>
      </c>
      <c r="J146" s="106"/>
    </row>
    <row r="147" spans="1:10">
      <c r="A147" s="106" t="s">
        <v>442</v>
      </c>
      <c r="B147" s="106" t="s">
        <v>348</v>
      </c>
      <c r="C147" s="106" t="s">
        <v>353</v>
      </c>
      <c r="D147" s="106" t="s">
        <v>350</v>
      </c>
      <c r="E147">
        <v>2736</v>
      </c>
      <c r="F147" s="106" t="s">
        <v>2121</v>
      </c>
      <c r="G147" s="106" t="s">
        <v>355</v>
      </c>
      <c r="H147" s="106" t="s">
        <v>361</v>
      </c>
      <c r="I147" s="106">
        <v>21</v>
      </c>
      <c r="J147" s="106"/>
    </row>
    <row r="148" spans="1:10">
      <c r="A148" s="106" t="s">
        <v>442</v>
      </c>
      <c r="B148" s="106" t="s">
        <v>348</v>
      </c>
      <c r="C148" s="106" t="s">
        <v>349</v>
      </c>
      <c r="D148" s="106" t="s">
        <v>354</v>
      </c>
      <c r="E148">
        <v>2747</v>
      </c>
      <c r="F148" s="106" t="s">
        <v>2122</v>
      </c>
      <c r="G148" s="106" t="s">
        <v>355</v>
      </c>
      <c r="H148" s="106" t="s">
        <v>361</v>
      </c>
      <c r="I148">
        <v>42</v>
      </c>
    </row>
    <row r="149" spans="1:10">
      <c r="A149" s="106" t="s">
        <v>442</v>
      </c>
      <c r="B149" s="106" t="s">
        <v>348</v>
      </c>
      <c r="C149" s="106" t="s">
        <v>349</v>
      </c>
      <c r="D149" s="106" t="s">
        <v>354</v>
      </c>
      <c r="E149">
        <v>2872</v>
      </c>
      <c r="F149" s="106" t="s">
        <v>2123</v>
      </c>
      <c r="G149" s="106" t="s">
        <v>359</v>
      </c>
      <c r="H149" s="106" t="s">
        <v>352</v>
      </c>
      <c r="I149" s="106">
        <v>15</v>
      </c>
      <c r="J149" s="106"/>
    </row>
    <row r="150" spans="1:10">
      <c r="A150" s="106" t="s">
        <v>442</v>
      </c>
      <c r="B150" s="106" t="s">
        <v>348</v>
      </c>
      <c r="C150" s="106" t="s">
        <v>358</v>
      </c>
      <c r="D150" s="106" t="s">
        <v>350</v>
      </c>
      <c r="E150">
        <v>2975</v>
      </c>
      <c r="F150" s="106" t="s">
        <v>2124</v>
      </c>
      <c r="G150" s="106" t="s">
        <v>351</v>
      </c>
      <c r="H150" s="106" t="s">
        <v>377</v>
      </c>
      <c r="I150" s="106">
        <v>299</v>
      </c>
      <c r="J150" s="106"/>
    </row>
    <row r="151" spans="1:10">
      <c r="A151" s="106" t="s">
        <v>442</v>
      </c>
      <c r="B151" s="106" t="s">
        <v>348</v>
      </c>
      <c r="C151" s="106" t="s">
        <v>353</v>
      </c>
      <c r="D151" s="106" t="s">
        <v>350</v>
      </c>
      <c r="E151">
        <v>3045</v>
      </c>
      <c r="F151" s="106" t="s">
        <v>2125</v>
      </c>
      <c r="G151" s="106" t="s">
        <v>359</v>
      </c>
      <c r="H151" s="106" t="s">
        <v>357</v>
      </c>
      <c r="I151">
        <v>28</v>
      </c>
    </row>
    <row r="152" spans="1:10">
      <c r="A152" s="106" t="s">
        <v>442</v>
      </c>
      <c r="B152" s="106" t="s">
        <v>348</v>
      </c>
      <c r="C152" s="106" t="s">
        <v>353</v>
      </c>
      <c r="D152" s="106" t="s">
        <v>350</v>
      </c>
      <c r="E152">
        <v>3046</v>
      </c>
      <c r="F152" s="106" t="s">
        <v>2126</v>
      </c>
      <c r="G152" s="106" t="s">
        <v>351</v>
      </c>
      <c r="H152" s="106" t="s">
        <v>361</v>
      </c>
      <c r="I152" s="106" t="s">
        <v>382</v>
      </c>
      <c r="J152" s="106" t="s">
        <v>2127</v>
      </c>
    </row>
    <row r="153" spans="1:10">
      <c r="A153" s="106" t="s">
        <v>442</v>
      </c>
      <c r="B153" s="106" t="s">
        <v>348</v>
      </c>
      <c r="C153" s="106" t="s">
        <v>353</v>
      </c>
      <c r="D153" s="106" t="s">
        <v>350</v>
      </c>
      <c r="E153">
        <v>3048</v>
      </c>
      <c r="F153" s="106" t="s">
        <v>2128</v>
      </c>
      <c r="G153" s="106" t="s">
        <v>351</v>
      </c>
      <c r="H153" s="106" t="s">
        <v>361</v>
      </c>
      <c r="I153" s="106" t="s">
        <v>374</v>
      </c>
      <c r="J153" s="106" t="s">
        <v>2129</v>
      </c>
    </row>
    <row r="154" spans="1:10">
      <c r="A154" s="106" t="s">
        <v>442</v>
      </c>
      <c r="B154" s="106" t="s">
        <v>348</v>
      </c>
      <c r="C154" s="106" t="s">
        <v>349</v>
      </c>
      <c r="D154" s="106" t="s">
        <v>350</v>
      </c>
      <c r="E154">
        <v>3063</v>
      </c>
      <c r="F154" s="106" t="s">
        <v>2130</v>
      </c>
      <c r="G154" s="106" t="s">
        <v>363</v>
      </c>
      <c r="H154" s="106" t="s">
        <v>361</v>
      </c>
      <c r="I154" s="106">
        <v>67</v>
      </c>
      <c r="J154" s="106"/>
    </row>
    <row r="155" spans="1:10">
      <c r="A155" s="106" t="s">
        <v>442</v>
      </c>
      <c r="B155" s="106" t="s">
        <v>348</v>
      </c>
      <c r="C155" s="106" t="s">
        <v>349</v>
      </c>
      <c r="D155" s="106" t="s">
        <v>354</v>
      </c>
      <c r="E155">
        <v>3065</v>
      </c>
      <c r="F155" s="106" t="s">
        <v>2131</v>
      </c>
      <c r="G155" s="106" t="s">
        <v>355</v>
      </c>
      <c r="H155" s="106" t="s">
        <v>361</v>
      </c>
      <c r="I155" s="106">
        <v>68</v>
      </c>
      <c r="J155" s="106"/>
    </row>
    <row r="156" spans="1:10">
      <c r="A156" s="106" t="s">
        <v>442</v>
      </c>
      <c r="B156" s="106" t="s">
        <v>348</v>
      </c>
      <c r="C156" s="106" t="s">
        <v>349</v>
      </c>
      <c r="D156" s="106" t="s">
        <v>354</v>
      </c>
      <c r="E156">
        <v>3094</v>
      </c>
      <c r="F156" s="106" t="s">
        <v>2132</v>
      </c>
      <c r="G156" s="106" t="s">
        <v>355</v>
      </c>
      <c r="H156" s="106" t="s">
        <v>361</v>
      </c>
      <c r="I156" s="106">
        <v>34</v>
      </c>
      <c r="J156" s="106"/>
    </row>
    <row r="157" spans="1:10">
      <c r="A157" s="106" t="s">
        <v>442</v>
      </c>
      <c r="B157" s="106" t="s">
        <v>348</v>
      </c>
      <c r="C157" s="106" t="s">
        <v>353</v>
      </c>
      <c r="D157" s="106" t="s">
        <v>350</v>
      </c>
      <c r="E157">
        <v>3189</v>
      </c>
      <c r="F157" s="106" t="s">
        <v>2133</v>
      </c>
      <c r="G157" s="106" t="s">
        <v>355</v>
      </c>
      <c r="H157" s="106" t="s">
        <v>361</v>
      </c>
      <c r="I157">
        <v>27</v>
      </c>
    </row>
    <row r="158" spans="1:10">
      <c r="A158" s="106" t="s">
        <v>442</v>
      </c>
      <c r="B158" s="106" t="s">
        <v>348</v>
      </c>
      <c r="C158" s="106" t="s">
        <v>349</v>
      </c>
      <c r="D158" s="106" t="s">
        <v>350</v>
      </c>
      <c r="E158">
        <v>3194</v>
      </c>
      <c r="F158" s="106" t="s">
        <v>2134</v>
      </c>
      <c r="G158" s="106" t="s">
        <v>351</v>
      </c>
      <c r="H158" s="106" t="s">
        <v>361</v>
      </c>
      <c r="I158" s="106">
        <v>237</v>
      </c>
      <c r="J158" s="106"/>
    </row>
    <row r="159" spans="1:10">
      <c r="A159" s="106" t="s">
        <v>442</v>
      </c>
      <c r="B159" s="106" t="s">
        <v>348</v>
      </c>
      <c r="C159" s="106" t="s">
        <v>358</v>
      </c>
      <c r="D159" s="106" t="s">
        <v>350</v>
      </c>
      <c r="E159">
        <v>3267</v>
      </c>
      <c r="F159" s="106" t="s">
        <v>2135</v>
      </c>
      <c r="G159" s="106" t="s">
        <v>363</v>
      </c>
      <c r="H159" s="106" t="s">
        <v>378</v>
      </c>
      <c r="I159" s="106">
        <v>217</v>
      </c>
      <c r="J159" s="106"/>
    </row>
    <row r="160" spans="1:10">
      <c r="A160" s="106" t="s">
        <v>442</v>
      </c>
      <c r="B160" s="106" t="s">
        <v>348</v>
      </c>
      <c r="C160" s="106" t="s">
        <v>349</v>
      </c>
      <c r="D160" s="106" t="s">
        <v>350</v>
      </c>
      <c r="E160">
        <v>3280</v>
      </c>
      <c r="F160" s="106" t="s">
        <v>2136</v>
      </c>
      <c r="G160" s="106" t="s">
        <v>351</v>
      </c>
      <c r="H160" s="106" t="s">
        <v>377</v>
      </c>
      <c r="I160" s="106">
        <v>50</v>
      </c>
      <c r="J160" s="106"/>
    </row>
    <row r="161" spans="1:10">
      <c r="A161" s="106" t="s">
        <v>442</v>
      </c>
      <c r="B161" s="106" t="s">
        <v>348</v>
      </c>
      <c r="C161" s="106" t="s">
        <v>360</v>
      </c>
      <c r="D161" s="106" t="s">
        <v>354</v>
      </c>
      <c r="E161">
        <v>3297</v>
      </c>
      <c r="F161" s="106" t="s">
        <v>648</v>
      </c>
      <c r="G161" s="106" t="s">
        <v>355</v>
      </c>
      <c r="H161" s="106" t="s">
        <v>377</v>
      </c>
      <c r="I161" s="106">
        <v>29</v>
      </c>
      <c r="J161" s="106"/>
    </row>
    <row r="162" spans="1:10">
      <c r="A162" s="106" t="s">
        <v>442</v>
      </c>
      <c r="B162" s="106" t="s">
        <v>348</v>
      </c>
      <c r="C162" s="106" t="s">
        <v>360</v>
      </c>
      <c r="D162" s="106" t="s">
        <v>350</v>
      </c>
      <c r="E162">
        <v>3349</v>
      </c>
      <c r="F162" s="106" t="s">
        <v>859</v>
      </c>
      <c r="G162" s="106" t="s">
        <v>351</v>
      </c>
      <c r="H162" s="106" t="s">
        <v>361</v>
      </c>
      <c r="I162" s="106" t="s">
        <v>401</v>
      </c>
      <c r="J162" s="106" t="s">
        <v>2137</v>
      </c>
    </row>
    <row r="163" spans="1:10">
      <c r="A163" s="106" t="s">
        <v>442</v>
      </c>
      <c r="B163" s="106" t="s">
        <v>348</v>
      </c>
      <c r="C163" s="106" t="s">
        <v>358</v>
      </c>
      <c r="D163" s="106" t="s">
        <v>354</v>
      </c>
      <c r="E163">
        <v>3377</v>
      </c>
      <c r="F163" s="106" t="s">
        <v>649</v>
      </c>
      <c r="G163" s="106" t="s">
        <v>359</v>
      </c>
      <c r="H163" s="106" t="s">
        <v>357</v>
      </c>
      <c r="I163" s="106">
        <v>30</v>
      </c>
      <c r="J163" s="106"/>
    </row>
    <row r="164" spans="1:10">
      <c r="A164" s="106" t="s">
        <v>442</v>
      </c>
      <c r="B164" s="106" t="s">
        <v>348</v>
      </c>
      <c r="C164" s="106" t="s">
        <v>358</v>
      </c>
      <c r="D164" s="106" t="s">
        <v>350</v>
      </c>
      <c r="E164">
        <v>3454</v>
      </c>
      <c r="F164" s="106" t="s">
        <v>633</v>
      </c>
      <c r="G164" s="106" t="s">
        <v>351</v>
      </c>
      <c r="H164" s="106" t="s">
        <v>377</v>
      </c>
      <c r="I164">
        <v>187</v>
      </c>
    </row>
    <row r="165" spans="1:10">
      <c r="A165" s="106" t="s">
        <v>442</v>
      </c>
      <c r="B165" s="106" t="s">
        <v>348</v>
      </c>
      <c r="C165" s="106" t="s">
        <v>349</v>
      </c>
      <c r="D165" s="106" t="s">
        <v>354</v>
      </c>
      <c r="E165">
        <v>3490</v>
      </c>
      <c r="F165" s="106" t="s">
        <v>2138</v>
      </c>
      <c r="G165" s="106" t="s">
        <v>355</v>
      </c>
      <c r="H165" s="106" t="s">
        <v>377</v>
      </c>
      <c r="I165" s="106">
        <v>13</v>
      </c>
      <c r="J165" s="106"/>
    </row>
    <row r="166" spans="1:10">
      <c r="A166" s="106" t="s">
        <v>442</v>
      </c>
      <c r="B166" s="106" t="s">
        <v>348</v>
      </c>
      <c r="C166" s="106" t="s">
        <v>349</v>
      </c>
      <c r="D166" s="106" t="s">
        <v>350</v>
      </c>
      <c r="E166">
        <v>3543</v>
      </c>
      <c r="F166" s="106" t="s">
        <v>2139</v>
      </c>
      <c r="G166" s="106" t="s">
        <v>351</v>
      </c>
      <c r="H166" s="106" t="s">
        <v>357</v>
      </c>
      <c r="I166" s="106">
        <v>960</v>
      </c>
      <c r="J166" s="106"/>
    </row>
    <row r="167" spans="1:10">
      <c r="A167" s="106" t="s">
        <v>442</v>
      </c>
      <c r="B167" s="106" t="s">
        <v>348</v>
      </c>
      <c r="C167" s="106" t="s">
        <v>349</v>
      </c>
      <c r="D167" s="106" t="s">
        <v>350</v>
      </c>
      <c r="E167">
        <v>3546</v>
      </c>
      <c r="F167" s="106" t="s">
        <v>447</v>
      </c>
      <c r="G167" s="106" t="s">
        <v>351</v>
      </c>
      <c r="H167" s="106" t="s">
        <v>361</v>
      </c>
      <c r="I167" s="106">
        <v>289</v>
      </c>
      <c r="J167" s="106"/>
    </row>
    <row r="168" spans="1:10">
      <c r="A168" s="106" t="s">
        <v>442</v>
      </c>
      <c r="B168" s="106" t="s">
        <v>348</v>
      </c>
      <c r="C168" s="106" t="s">
        <v>353</v>
      </c>
      <c r="D168" s="106" t="s">
        <v>354</v>
      </c>
      <c r="E168">
        <v>3560</v>
      </c>
      <c r="F168" s="106" t="s">
        <v>2140</v>
      </c>
      <c r="G168" s="106" t="s">
        <v>355</v>
      </c>
      <c r="H168" s="106" t="s">
        <v>361</v>
      </c>
      <c r="I168">
        <v>124</v>
      </c>
    </row>
    <row r="169" spans="1:10">
      <c r="A169" s="106" t="s">
        <v>442</v>
      </c>
      <c r="B169" s="106" t="s">
        <v>348</v>
      </c>
      <c r="C169" s="106" t="s">
        <v>353</v>
      </c>
      <c r="D169" s="106" t="s">
        <v>350</v>
      </c>
      <c r="E169">
        <v>3607</v>
      </c>
      <c r="F169" s="106" t="s">
        <v>2141</v>
      </c>
      <c r="G169" s="106" t="s">
        <v>351</v>
      </c>
      <c r="H169" s="106" t="s">
        <v>384</v>
      </c>
      <c r="I169">
        <v>47</v>
      </c>
    </row>
    <row r="170" spans="1:10">
      <c r="A170" s="106" t="s">
        <v>442</v>
      </c>
      <c r="B170" s="106" t="s">
        <v>348</v>
      </c>
      <c r="C170" s="106" t="s">
        <v>349</v>
      </c>
      <c r="D170" s="106" t="s">
        <v>350</v>
      </c>
      <c r="E170">
        <v>3608</v>
      </c>
      <c r="F170" s="106" t="s">
        <v>2142</v>
      </c>
      <c r="G170" s="106" t="s">
        <v>351</v>
      </c>
      <c r="H170" s="106" t="s">
        <v>384</v>
      </c>
      <c r="I170">
        <v>585</v>
      </c>
    </row>
    <row r="171" spans="1:10">
      <c r="A171" s="106" t="s">
        <v>442</v>
      </c>
      <c r="B171" s="106" t="s">
        <v>348</v>
      </c>
      <c r="C171" s="106" t="s">
        <v>349</v>
      </c>
      <c r="D171" s="106" t="s">
        <v>350</v>
      </c>
      <c r="E171">
        <v>3627</v>
      </c>
      <c r="F171" s="106" t="s">
        <v>2143</v>
      </c>
      <c r="G171" s="106" t="s">
        <v>351</v>
      </c>
      <c r="H171" s="106" t="s">
        <v>362</v>
      </c>
      <c r="I171">
        <v>92</v>
      </c>
    </row>
    <row r="172" spans="1:10">
      <c r="A172" s="106" t="s">
        <v>442</v>
      </c>
      <c r="B172" s="106" t="s">
        <v>348</v>
      </c>
      <c r="C172" s="106" t="s">
        <v>360</v>
      </c>
      <c r="D172" s="106" t="s">
        <v>350</v>
      </c>
      <c r="E172">
        <v>3645</v>
      </c>
      <c r="F172" s="106" t="s">
        <v>2144</v>
      </c>
      <c r="G172" s="106" t="s">
        <v>363</v>
      </c>
      <c r="H172" s="106" t="s">
        <v>362</v>
      </c>
      <c r="I172">
        <v>27</v>
      </c>
    </row>
    <row r="173" spans="1:10">
      <c r="A173" s="106" t="s">
        <v>442</v>
      </c>
      <c r="B173" s="106" t="s">
        <v>348</v>
      </c>
      <c r="C173" s="106" t="s">
        <v>349</v>
      </c>
      <c r="D173" s="106" t="s">
        <v>350</v>
      </c>
      <c r="E173">
        <v>3670</v>
      </c>
      <c r="F173" s="106" t="s">
        <v>2145</v>
      </c>
      <c r="G173" s="106" t="s">
        <v>355</v>
      </c>
      <c r="H173" s="106" t="s">
        <v>362</v>
      </c>
      <c r="I173">
        <v>23</v>
      </c>
    </row>
    <row r="174" spans="1:10">
      <c r="A174" s="106" t="s">
        <v>442</v>
      </c>
      <c r="B174" s="106" t="s">
        <v>348</v>
      </c>
      <c r="C174" s="106" t="s">
        <v>353</v>
      </c>
      <c r="D174" s="106" t="s">
        <v>350</v>
      </c>
      <c r="E174">
        <v>3711</v>
      </c>
      <c r="F174" s="106" t="s">
        <v>2146</v>
      </c>
      <c r="G174" s="106" t="s">
        <v>355</v>
      </c>
      <c r="H174" s="106" t="s">
        <v>362</v>
      </c>
      <c r="I174">
        <v>463</v>
      </c>
    </row>
    <row r="175" spans="1:10">
      <c r="A175" s="106" t="s">
        <v>442</v>
      </c>
      <c r="B175" s="106" t="s">
        <v>348</v>
      </c>
      <c r="C175" s="106" t="s">
        <v>353</v>
      </c>
      <c r="D175" s="106" t="s">
        <v>350</v>
      </c>
      <c r="E175">
        <v>3815</v>
      </c>
      <c r="F175" s="106" t="s">
        <v>2147</v>
      </c>
      <c r="G175" s="106" t="s">
        <v>363</v>
      </c>
      <c r="H175" s="106" t="s">
        <v>362</v>
      </c>
      <c r="I175" s="106">
        <v>54</v>
      </c>
      <c r="J175" s="106"/>
    </row>
    <row r="176" spans="1:10">
      <c r="A176" s="106" t="s">
        <v>442</v>
      </c>
      <c r="B176" s="106" t="s">
        <v>348</v>
      </c>
      <c r="C176" s="106" t="s">
        <v>349</v>
      </c>
      <c r="D176" s="106" t="s">
        <v>354</v>
      </c>
      <c r="E176">
        <v>3826</v>
      </c>
      <c r="F176" s="106" t="s">
        <v>2148</v>
      </c>
      <c r="G176" s="106" t="s">
        <v>351</v>
      </c>
      <c r="H176" s="106" t="s">
        <v>362</v>
      </c>
      <c r="I176" s="106">
        <v>91</v>
      </c>
      <c r="J176" s="106"/>
    </row>
    <row r="177" spans="1:10">
      <c r="A177" s="106" t="s">
        <v>442</v>
      </c>
      <c r="B177" s="106" t="s">
        <v>348</v>
      </c>
      <c r="C177" s="106" t="s">
        <v>360</v>
      </c>
      <c r="D177" s="106" t="s">
        <v>354</v>
      </c>
      <c r="E177">
        <v>3892</v>
      </c>
      <c r="F177" s="106" t="s">
        <v>2149</v>
      </c>
      <c r="G177" s="106" t="s">
        <v>355</v>
      </c>
      <c r="H177" s="106" t="s">
        <v>385</v>
      </c>
      <c r="I177" s="106">
        <v>44</v>
      </c>
      <c r="J177" s="106"/>
    </row>
    <row r="178" spans="1:10">
      <c r="A178" s="106" t="s">
        <v>442</v>
      </c>
      <c r="B178" s="106" t="s">
        <v>348</v>
      </c>
      <c r="C178" s="106" t="s">
        <v>349</v>
      </c>
      <c r="D178" s="106" t="s">
        <v>350</v>
      </c>
      <c r="E178">
        <v>3915</v>
      </c>
      <c r="F178" s="106" t="s">
        <v>2150</v>
      </c>
      <c r="G178" s="106" t="s">
        <v>351</v>
      </c>
      <c r="H178" s="106" t="s">
        <v>362</v>
      </c>
      <c r="I178">
        <v>292</v>
      </c>
    </row>
    <row r="179" spans="1:10">
      <c r="A179" s="106" t="s">
        <v>442</v>
      </c>
      <c r="B179" s="106" t="s">
        <v>348</v>
      </c>
      <c r="C179" s="106" t="s">
        <v>349</v>
      </c>
      <c r="D179" s="106" t="s">
        <v>350</v>
      </c>
      <c r="E179">
        <v>3922</v>
      </c>
      <c r="F179" s="106" t="s">
        <v>448</v>
      </c>
      <c r="G179" s="106" t="s">
        <v>351</v>
      </c>
      <c r="H179" s="106" t="s">
        <v>362</v>
      </c>
      <c r="I179">
        <v>148</v>
      </c>
    </row>
    <row r="180" spans="1:10">
      <c r="A180" s="106" t="s">
        <v>442</v>
      </c>
      <c r="B180" s="106" t="s">
        <v>348</v>
      </c>
      <c r="C180" s="106" t="s">
        <v>349</v>
      </c>
      <c r="D180" s="106" t="s">
        <v>350</v>
      </c>
      <c r="E180">
        <v>3967</v>
      </c>
      <c r="F180" s="106" t="s">
        <v>2151</v>
      </c>
      <c r="G180" s="106" t="s">
        <v>363</v>
      </c>
      <c r="H180" s="106" t="s">
        <v>362</v>
      </c>
      <c r="I180" s="106">
        <v>94</v>
      </c>
      <c r="J180" s="106"/>
    </row>
    <row r="181" spans="1:10">
      <c r="A181" s="106" t="s">
        <v>442</v>
      </c>
      <c r="B181" s="106" t="s">
        <v>348</v>
      </c>
      <c r="C181" s="106" t="s">
        <v>358</v>
      </c>
      <c r="D181" s="106" t="s">
        <v>354</v>
      </c>
      <c r="E181">
        <v>4394</v>
      </c>
      <c r="F181" s="106" t="s">
        <v>2152</v>
      </c>
      <c r="G181" s="106" t="s">
        <v>363</v>
      </c>
      <c r="H181" s="106" t="s">
        <v>362</v>
      </c>
      <c r="I181" s="106">
        <v>70</v>
      </c>
      <c r="J181" s="106"/>
    </row>
    <row r="182" spans="1:10">
      <c r="A182" s="106" t="s">
        <v>442</v>
      </c>
      <c r="B182" s="106" t="s">
        <v>348</v>
      </c>
      <c r="C182" s="106" t="s">
        <v>353</v>
      </c>
      <c r="D182" s="106" t="s">
        <v>350</v>
      </c>
      <c r="E182">
        <v>4439</v>
      </c>
      <c r="F182" s="106" t="s">
        <v>2153</v>
      </c>
      <c r="G182" s="106" t="s">
        <v>363</v>
      </c>
      <c r="H182" s="106" t="s">
        <v>362</v>
      </c>
      <c r="I182" s="106">
        <v>96</v>
      </c>
      <c r="J182" s="106"/>
    </row>
    <row r="183" spans="1:10">
      <c r="A183" s="106" t="s">
        <v>442</v>
      </c>
      <c r="B183" s="106" t="s">
        <v>348</v>
      </c>
      <c r="C183" s="106" t="s">
        <v>353</v>
      </c>
      <c r="D183" s="106" t="s">
        <v>350</v>
      </c>
      <c r="E183">
        <v>4440</v>
      </c>
      <c r="F183" s="106" t="s">
        <v>656</v>
      </c>
      <c r="G183" s="106" t="s">
        <v>363</v>
      </c>
      <c r="H183" s="106" t="s">
        <v>362</v>
      </c>
      <c r="I183">
        <v>87</v>
      </c>
    </row>
    <row r="184" spans="1:10">
      <c r="A184" s="106" t="s">
        <v>442</v>
      </c>
      <c r="B184" s="106" t="s">
        <v>348</v>
      </c>
      <c r="C184" s="106" t="s">
        <v>349</v>
      </c>
      <c r="D184" s="106" t="s">
        <v>350</v>
      </c>
      <c r="E184">
        <v>4530</v>
      </c>
      <c r="F184" s="106" t="s">
        <v>860</v>
      </c>
      <c r="G184" s="106" t="s">
        <v>351</v>
      </c>
      <c r="H184" s="106" t="s">
        <v>396</v>
      </c>
      <c r="I184" s="106" t="s">
        <v>401</v>
      </c>
      <c r="J184" s="106" t="s">
        <v>2154</v>
      </c>
    </row>
    <row r="185" spans="1:10">
      <c r="A185" s="106" t="s">
        <v>442</v>
      </c>
      <c r="B185" s="106" t="s">
        <v>348</v>
      </c>
      <c r="C185" s="106" t="s">
        <v>353</v>
      </c>
      <c r="D185" s="106" t="s">
        <v>350</v>
      </c>
      <c r="E185">
        <v>4760</v>
      </c>
      <c r="F185" s="106" t="s">
        <v>2155</v>
      </c>
      <c r="G185" s="106" t="s">
        <v>355</v>
      </c>
      <c r="H185" s="106" t="s">
        <v>356</v>
      </c>
      <c r="I185" s="106">
        <v>14</v>
      </c>
      <c r="J185" s="106"/>
    </row>
    <row r="186" spans="1:10">
      <c r="A186" s="106" t="s">
        <v>442</v>
      </c>
      <c r="B186" s="106" t="s">
        <v>348</v>
      </c>
      <c r="C186" s="106" t="s">
        <v>360</v>
      </c>
      <c r="D186" s="106" t="s">
        <v>350</v>
      </c>
      <c r="E186">
        <v>4829</v>
      </c>
      <c r="F186" s="106" t="s">
        <v>449</v>
      </c>
      <c r="G186" s="106" t="s">
        <v>351</v>
      </c>
      <c r="H186" s="106" t="s">
        <v>362</v>
      </c>
      <c r="I186" s="106">
        <v>94</v>
      </c>
      <c r="J186" s="106"/>
    </row>
    <row r="187" spans="1:10">
      <c r="A187" s="106" t="s">
        <v>442</v>
      </c>
      <c r="B187" s="106" t="s">
        <v>348</v>
      </c>
      <c r="C187" s="106" t="s">
        <v>349</v>
      </c>
      <c r="D187" s="106" t="s">
        <v>350</v>
      </c>
      <c r="E187">
        <v>4920</v>
      </c>
      <c r="F187" s="106" t="s">
        <v>2156</v>
      </c>
      <c r="G187" s="106" t="s">
        <v>355</v>
      </c>
      <c r="H187" s="106" t="s">
        <v>364</v>
      </c>
      <c r="I187" s="106">
        <v>50</v>
      </c>
      <c r="J187" s="106"/>
    </row>
    <row r="188" spans="1:10">
      <c r="A188" s="106" t="s">
        <v>442</v>
      </c>
      <c r="B188" s="106" t="s">
        <v>348</v>
      </c>
      <c r="C188" s="106" t="s">
        <v>349</v>
      </c>
      <c r="D188" s="106" t="s">
        <v>350</v>
      </c>
      <c r="E188">
        <v>5271</v>
      </c>
      <c r="F188" s="106" t="s">
        <v>2157</v>
      </c>
      <c r="G188" s="106" t="s">
        <v>359</v>
      </c>
      <c r="H188" s="106" t="s">
        <v>393</v>
      </c>
      <c r="I188" s="106">
        <v>27</v>
      </c>
      <c r="J188" s="106"/>
    </row>
    <row r="189" spans="1:10">
      <c r="A189" s="106" t="s">
        <v>442</v>
      </c>
      <c r="B189" s="106" t="s">
        <v>348</v>
      </c>
      <c r="C189" s="106" t="s">
        <v>349</v>
      </c>
      <c r="D189" s="106" t="s">
        <v>354</v>
      </c>
      <c r="E189">
        <v>5900</v>
      </c>
      <c r="F189" s="106" t="s">
        <v>2158</v>
      </c>
      <c r="G189" s="106" t="s">
        <v>355</v>
      </c>
      <c r="H189" s="106" t="s">
        <v>366</v>
      </c>
      <c r="I189" s="106">
        <v>43</v>
      </c>
      <c r="J189" s="106"/>
    </row>
    <row r="190" spans="1:10">
      <c r="A190" s="106" t="s">
        <v>442</v>
      </c>
      <c r="B190" s="106" t="s">
        <v>348</v>
      </c>
      <c r="C190" s="106" t="s">
        <v>349</v>
      </c>
      <c r="D190" s="106" t="s">
        <v>350</v>
      </c>
      <c r="E190">
        <v>5982</v>
      </c>
      <c r="F190" s="106" t="s">
        <v>2159</v>
      </c>
      <c r="G190" s="106" t="s">
        <v>359</v>
      </c>
      <c r="H190" s="106" t="s">
        <v>366</v>
      </c>
      <c r="I190">
        <v>428</v>
      </c>
    </row>
    <row r="191" spans="1:10">
      <c r="A191" s="106" t="s">
        <v>442</v>
      </c>
      <c r="B191" s="106" t="s">
        <v>348</v>
      </c>
      <c r="C191" s="106" t="s">
        <v>349</v>
      </c>
      <c r="D191" s="106" t="s">
        <v>350</v>
      </c>
      <c r="E191">
        <v>6058</v>
      </c>
      <c r="F191" s="106" t="s">
        <v>450</v>
      </c>
      <c r="G191" s="106" t="s">
        <v>351</v>
      </c>
      <c r="H191" s="106" t="s">
        <v>356</v>
      </c>
      <c r="I191" s="106">
        <v>488</v>
      </c>
      <c r="J191" s="106"/>
    </row>
    <row r="192" spans="1:10">
      <c r="A192" s="106" t="s">
        <v>442</v>
      </c>
      <c r="B192" s="106" t="s">
        <v>348</v>
      </c>
      <c r="C192" s="106" t="s">
        <v>360</v>
      </c>
      <c r="D192" s="106" t="s">
        <v>350</v>
      </c>
      <c r="E192">
        <v>6150</v>
      </c>
      <c r="F192" s="106" t="s">
        <v>2160</v>
      </c>
      <c r="G192" s="106" t="s">
        <v>355</v>
      </c>
      <c r="H192" s="106" t="s">
        <v>372</v>
      </c>
      <c r="I192" s="106">
        <v>30</v>
      </c>
      <c r="J192" s="106"/>
    </row>
    <row r="193" spans="1:10">
      <c r="A193" s="106" t="s">
        <v>442</v>
      </c>
      <c r="B193" s="106" t="s">
        <v>348</v>
      </c>
      <c r="C193" s="106" t="s">
        <v>353</v>
      </c>
      <c r="D193" s="106" t="s">
        <v>350</v>
      </c>
      <c r="E193">
        <v>6255</v>
      </c>
      <c r="F193" s="106" t="s">
        <v>2161</v>
      </c>
      <c r="G193" s="106" t="s">
        <v>363</v>
      </c>
      <c r="H193" s="106" t="s">
        <v>372</v>
      </c>
      <c r="I193" s="106">
        <v>97</v>
      </c>
      <c r="J193" s="106"/>
    </row>
    <row r="194" spans="1:10">
      <c r="A194" s="106" t="s">
        <v>442</v>
      </c>
      <c r="B194" s="106" t="s">
        <v>348</v>
      </c>
      <c r="C194" s="106" t="s">
        <v>353</v>
      </c>
      <c r="D194" s="106" t="s">
        <v>350</v>
      </c>
      <c r="E194">
        <v>6289</v>
      </c>
      <c r="F194" s="106" t="s">
        <v>938</v>
      </c>
      <c r="G194" s="106" t="s">
        <v>351</v>
      </c>
      <c r="H194" s="106" t="s">
        <v>372</v>
      </c>
      <c r="I194" s="106" t="s">
        <v>382</v>
      </c>
      <c r="J194" s="106" t="s">
        <v>2162</v>
      </c>
    </row>
    <row r="195" spans="1:10">
      <c r="A195" s="106" t="s">
        <v>442</v>
      </c>
      <c r="B195" s="106" t="s">
        <v>348</v>
      </c>
      <c r="C195" s="106" t="s">
        <v>349</v>
      </c>
      <c r="D195" s="106" t="s">
        <v>350</v>
      </c>
      <c r="E195">
        <v>6323</v>
      </c>
      <c r="F195" s="106" t="s">
        <v>2163</v>
      </c>
      <c r="G195" s="106" t="s">
        <v>351</v>
      </c>
      <c r="H195" s="106" t="s">
        <v>372</v>
      </c>
      <c r="I195" s="106">
        <v>739</v>
      </c>
      <c r="J195" s="106"/>
    </row>
    <row r="196" spans="1:10">
      <c r="A196" s="106" t="s">
        <v>442</v>
      </c>
      <c r="B196" s="106" t="s">
        <v>348</v>
      </c>
      <c r="C196" s="106" t="s">
        <v>358</v>
      </c>
      <c r="D196" s="106" t="s">
        <v>350</v>
      </c>
      <c r="E196">
        <v>6492</v>
      </c>
      <c r="F196" s="106" t="s">
        <v>451</v>
      </c>
      <c r="G196" s="106" t="s">
        <v>359</v>
      </c>
      <c r="H196" s="106" t="s">
        <v>372</v>
      </c>
      <c r="I196" s="106">
        <v>36</v>
      </c>
      <c r="J196" s="106"/>
    </row>
    <row r="197" spans="1:10">
      <c r="A197" s="106" t="s">
        <v>442</v>
      </c>
      <c r="B197" s="106" t="s">
        <v>348</v>
      </c>
      <c r="C197" s="106" t="s">
        <v>353</v>
      </c>
      <c r="D197" s="106" t="s">
        <v>350</v>
      </c>
      <c r="E197">
        <v>6668</v>
      </c>
      <c r="F197" s="106" t="s">
        <v>2164</v>
      </c>
      <c r="G197" s="106" t="s">
        <v>359</v>
      </c>
      <c r="H197" s="106" t="s">
        <v>376</v>
      </c>
      <c r="I197">
        <v>122</v>
      </c>
    </row>
    <row r="198" spans="1:10">
      <c r="A198" s="106" t="s">
        <v>442</v>
      </c>
      <c r="B198" s="106" t="s">
        <v>348</v>
      </c>
      <c r="C198" s="106" t="s">
        <v>349</v>
      </c>
      <c r="D198" s="106" t="s">
        <v>350</v>
      </c>
      <c r="E198">
        <v>6897</v>
      </c>
      <c r="F198" s="106" t="s">
        <v>2165</v>
      </c>
      <c r="G198" s="106" t="s">
        <v>359</v>
      </c>
      <c r="H198" s="106" t="s">
        <v>376</v>
      </c>
      <c r="I198" s="106">
        <v>44</v>
      </c>
      <c r="J198" s="106"/>
    </row>
    <row r="199" spans="1:10">
      <c r="A199" s="106" t="s">
        <v>442</v>
      </c>
      <c r="B199" s="106" t="s">
        <v>348</v>
      </c>
      <c r="C199" s="106" t="s">
        <v>360</v>
      </c>
      <c r="D199" s="106" t="s">
        <v>354</v>
      </c>
      <c r="E199">
        <v>7068</v>
      </c>
      <c r="F199" s="106" t="s">
        <v>421</v>
      </c>
      <c r="G199" s="106" t="s">
        <v>363</v>
      </c>
      <c r="H199" s="106" t="s">
        <v>356</v>
      </c>
      <c r="I199" s="106">
        <v>111</v>
      </c>
      <c r="J199" s="106"/>
    </row>
    <row r="200" spans="1:10">
      <c r="A200" s="106" t="s">
        <v>442</v>
      </c>
      <c r="B200" s="106" t="s">
        <v>348</v>
      </c>
      <c r="C200" s="106" t="s">
        <v>358</v>
      </c>
      <c r="D200" s="106" t="s">
        <v>354</v>
      </c>
      <c r="E200">
        <v>7074</v>
      </c>
      <c r="F200" s="106">
        <v>247</v>
      </c>
      <c r="G200" s="106" t="s">
        <v>363</v>
      </c>
      <c r="H200" s="106" t="s">
        <v>356</v>
      </c>
      <c r="I200">
        <v>206</v>
      </c>
    </row>
    <row r="201" spans="1:10">
      <c r="A201" s="106" t="s">
        <v>442</v>
      </c>
      <c r="B201" s="106" t="s">
        <v>348</v>
      </c>
      <c r="C201" s="106" t="s">
        <v>353</v>
      </c>
      <c r="D201" s="106" t="s">
        <v>350</v>
      </c>
      <c r="E201">
        <v>7219</v>
      </c>
      <c r="F201" s="106" t="s">
        <v>2166</v>
      </c>
      <c r="G201" s="106" t="s">
        <v>355</v>
      </c>
      <c r="H201" s="106" t="s">
        <v>381</v>
      </c>
      <c r="I201" s="106">
        <v>29</v>
      </c>
      <c r="J201" s="106"/>
    </row>
    <row r="202" spans="1:10">
      <c r="A202" s="106" t="s">
        <v>442</v>
      </c>
      <c r="B202" s="106" t="s">
        <v>348</v>
      </c>
      <c r="C202" s="106" t="s">
        <v>360</v>
      </c>
      <c r="D202" s="106" t="s">
        <v>350</v>
      </c>
      <c r="E202">
        <v>7420</v>
      </c>
      <c r="F202" s="106" t="s">
        <v>861</v>
      </c>
      <c r="G202" s="106" t="s">
        <v>351</v>
      </c>
      <c r="H202" s="106" t="s">
        <v>357</v>
      </c>
      <c r="I202">
        <v>166</v>
      </c>
    </row>
    <row r="203" spans="1:10">
      <c r="A203" s="106" t="s">
        <v>442</v>
      </c>
      <c r="B203" s="106" t="s">
        <v>348</v>
      </c>
      <c r="C203" s="106" t="s">
        <v>349</v>
      </c>
      <c r="D203" s="106" t="s">
        <v>350</v>
      </c>
      <c r="E203">
        <v>7427</v>
      </c>
      <c r="F203" s="106" t="s">
        <v>2167</v>
      </c>
      <c r="G203" s="106" t="s">
        <v>351</v>
      </c>
      <c r="H203" s="106" t="s">
        <v>357</v>
      </c>
      <c r="I203">
        <v>34</v>
      </c>
    </row>
    <row r="204" spans="1:10">
      <c r="A204" s="106" t="s">
        <v>442</v>
      </c>
      <c r="B204" s="106" t="s">
        <v>348</v>
      </c>
      <c r="C204" s="106" t="s">
        <v>360</v>
      </c>
      <c r="D204" s="106" t="s">
        <v>354</v>
      </c>
      <c r="E204">
        <v>7434</v>
      </c>
      <c r="F204" s="106" t="s">
        <v>2168</v>
      </c>
      <c r="G204" s="106" t="s">
        <v>355</v>
      </c>
      <c r="H204" s="106" t="s">
        <v>357</v>
      </c>
      <c r="I204" s="106">
        <v>73</v>
      </c>
      <c r="J204" s="106"/>
    </row>
    <row r="205" spans="1:10">
      <c r="A205" s="106" t="s">
        <v>442</v>
      </c>
      <c r="B205" s="106" t="s">
        <v>348</v>
      </c>
      <c r="C205" s="106" t="s">
        <v>349</v>
      </c>
      <c r="D205" s="106" t="s">
        <v>354</v>
      </c>
      <c r="E205">
        <v>7450</v>
      </c>
      <c r="F205" s="106" t="s">
        <v>2169</v>
      </c>
      <c r="G205" s="106" t="s">
        <v>355</v>
      </c>
      <c r="H205" s="106" t="s">
        <v>361</v>
      </c>
      <c r="I205" s="106">
        <v>166</v>
      </c>
      <c r="J205" s="106"/>
    </row>
    <row r="206" spans="1:10">
      <c r="A206" s="106" t="s">
        <v>442</v>
      </c>
      <c r="B206" s="106" t="s">
        <v>348</v>
      </c>
      <c r="C206" s="106" t="s">
        <v>349</v>
      </c>
      <c r="D206" s="106" t="s">
        <v>350</v>
      </c>
      <c r="E206">
        <v>7453</v>
      </c>
      <c r="F206" s="106" t="s">
        <v>862</v>
      </c>
      <c r="G206" s="106" t="s">
        <v>351</v>
      </c>
      <c r="H206" s="106" t="s">
        <v>361</v>
      </c>
      <c r="I206" s="106" t="s">
        <v>669</v>
      </c>
      <c r="J206" s="106" t="s">
        <v>2170</v>
      </c>
    </row>
    <row r="207" spans="1:10">
      <c r="A207" s="106" t="s">
        <v>442</v>
      </c>
      <c r="B207" s="106" t="s">
        <v>348</v>
      </c>
      <c r="C207" s="106" t="s">
        <v>360</v>
      </c>
      <c r="D207" s="106" t="s">
        <v>350</v>
      </c>
      <c r="E207">
        <v>7487</v>
      </c>
      <c r="F207" s="106" t="s">
        <v>2171</v>
      </c>
      <c r="G207" s="106" t="s">
        <v>351</v>
      </c>
      <c r="H207" s="106" t="s">
        <v>357</v>
      </c>
      <c r="I207">
        <v>151</v>
      </c>
    </row>
    <row r="208" spans="1:10">
      <c r="A208" s="106" t="s">
        <v>442</v>
      </c>
      <c r="B208" s="106" t="s">
        <v>348</v>
      </c>
      <c r="C208" s="106" t="s">
        <v>349</v>
      </c>
      <c r="D208" s="106" t="s">
        <v>350</v>
      </c>
      <c r="E208">
        <v>7516</v>
      </c>
      <c r="F208" s="106" t="s">
        <v>2172</v>
      </c>
      <c r="G208" s="106" t="s">
        <v>351</v>
      </c>
      <c r="H208" s="106" t="s">
        <v>361</v>
      </c>
      <c r="I208" s="106">
        <v>899</v>
      </c>
      <c r="J208" s="106"/>
    </row>
    <row r="209" spans="1:10">
      <c r="A209" s="106" t="s">
        <v>442</v>
      </c>
      <c r="B209" s="106" t="s">
        <v>348</v>
      </c>
      <c r="C209" s="106" t="s">
        <v>349</v>
      </c>
      <c r="D209" s="106" t="s">
        <v>350</v>
      </c>
      <c r="E209">
        <v>7520</v>
      </c>
      <c r="F209" s="106" t="s">
        <v>2173</v>
      </c>
      <c r="G209" s="106" t="s">
        <v>351</v>
      </c>
      <c r="H209" s="106" t="s">
        <v>361</v>
      </c>
      <c r="I209" s="106">
        <v>202</v>
      </c>
      <c r="J209" s="106"/>
    </row>
    <row r="210" spans="1:10">
      <c r="A210" s="106" t="s">
        <v>442</v>
      </c>
      <c r="B210" s="106" t="s">
        <v>348</v>
      </c>
      <c r="C210" s="106" t="s">
        <v>349</v>
      </c>
      <c r="D210" s="106" t="s">
        <v>354</v>
      </c>
      <c r="E210">
        <v>7603</v>
      </c>
      <c r="F210" s="106" t="s">
        <v>2174</v>
      </c>
      <c r="G210" s="106" t="s">
        <v>355</v>
      </c>
      <c r="H210" s="106" t="s">
        <v>361</v>
      </c>
      <c r="I210" s="106">
        <v>93</v>
      </c>
      <c r="J210" s="106"/>
    </row>
    <row r="211" spans="1:10">
      <c r="A211" s="106" t="s">
        <v>442</v>
      </c>
      <c r="B211" s="106" t="s">
        <v>348</v>
      </c>
      <c r="C211" s="106" t="s">
        <v>353</v>
      </c>
      <c r="D211" s="106" t="s">
        <v>350</v>
      </c>
      <c r="E211">
        <v>7607</v>
      </c>
      <c r="F211" s="106" t="s">
        <v>2175</v>
      </c>
      <c r="G211" s="106" t="s">
        <v>351</v>
      </c>
      <c r="H211" s="106" t="s">
        <v>357</v>
      </c>
      <c r="I211" s="106">
        <v>346</v>
      </c>
      <c r="J211" s="106"/>
    </row>
    <row r="212" spans="1:10">
      <c r="A212" s="106" t="s">
        <v>442</v>
      </c>
      <c r="B212" s="106" t="s">
        <v>348</v>
      </c>
      <c r="C212" s="106" t="s">
        <v>360</v>
      </c>
      <c r="D212" s="106" t="s">
        <v>350</v>
      </c>
      <c r="E212">
        <v>7713</v>
      </c>
      <c r="F212" s="106" t="s">
        <v>863</v>
      </c>
      <c r="G212" s="106" t="s">
        <v>355</v>
      </c>
      <c r="H212" s="106" t="s">
        <v>464</v>
      </c>
      <c r="I212" s="106">
        <v>139</v>
      </c>
      <c r="J212" s="106"/>
    </row>
    <row r="213" spans="1:10">
      <c r="A213" s="106" t="s">
        <v>442</v>
      </c>
      <c r="B213" s="106" t="s">
        <v>348</v>
      </c>
      <c r="C213" s="106" t="s">
        <v>360</v>
      </c>
      <c r="D213" s="106" t="s">
        <v>350</v>
      </c>
      <c r="E213">
        <v>7725</v>
      </c>
      <c r="F213" s="106" t="s">
        <v>2176</v>
      </c>
      <c r="G213" s="106" t="s">
        <v>351</v>
      </c>
      <c r="H213" s="106" t="s">
        <v>464</v>
      </c>
      <c r="I213" s="106">
        <v>331</v>
      </c>
      <c r="J213" s="106"/>
    </row>
    <row r="214" spans="1:10">
      <c r="A214" s="106" t="s">
        <v>442</v>
      </c>
      <c r="B214" s="106" t="s">
        <v>348</v>
      </c>
      <c r="C214" s="106" t="s">
        <v>353</v>
      </c>
      <c r="D214" s="106" t="s">
        <v>350</v>
      </c>
      <c r="E214">
        <v>7730</v>
      </c>
      <c r="F214" s="106" t="s">
        <v>2177</v>
      </c>
      <c r="G214" s="106" t="s">
        <v>351</v>
      </c>
      <c r="H214" s="106" t="s">
        <v>464</v>
      </c>
      <c r="I214" s="106" t="s">
        <v>437</v>
      </c>
      <c r="J214" s="106" t="s">
        <v>855</v>
      </c>
    </row>
    <row r="215" spans="1:10">
      <c r="A215" s="106" t="s">
        <v>442</v>
      </c>
      <c r="B215" s="106" t="s">
        <v>348</v>
      </c>
      <c r="C215" s="106" t="s">
        <v>349</v>
      </c>
      <c r="D215" s="106" t="s">
        <v>350</v>
      </c>
      <c r="E215">
        <v>7807</v>
      </c>
      <c r="F215" s="106" t="s">
        <v>2178</v>
      </c>
      <c r="G215" s="106" t="s">
        <v>355</v>
      </c>
      <c r="H215" s="106" t="s">
        <v>373</v>
      </c>
      <c r="I215" s="106">
        <v>62</v>
      </c>
      <c r="J215" s="106"/>
    </row>
    <row r="216" spans="1:10">
      <c r="A216" s="106" t="s">
        <v>442</v>
      </c>
      <c r="B216" s="106" t="s">
        <v>348</v>
      </c>
      <c r="C216" s="106" t="s">
        <v>353</v>
      </c>
      <c r="D216" s="106" t="s">
        <v>350</v>
      </c>
      <c r="E216">
        <v>7818</v>
      </c>
      <c r="F216" s="106" t="s">
        <v>2179</v>
      </c>
      <c r="G216" s="106" t="s">
        <v>351</v>
      </c>
      <c r="H216" s="106" t="s">
        <v>373</v>
      </c>
      <c r="I216" s="106">
        <v>290</v>
      </c>
      <c r="J216" s="106"/>
    </row>
    <row r="217" spans="1:10">
      <c r="A217" s="106" t="s">
        <v>442</v>
      </c>
      <c r="B217" s="106" t="s">
        <v>348</v>
      </c>
      <c r="C217" s="106" t="s">
        <v>353</v>
      </c>
      <c r="D217" s="106" t="s">
        <v>350</v>
      </c>
      <c r="E217">
        <v>7928</v>
      </c>
      <c r="F217" s="106" t="s">
        <v>2180</v>
      </c>
      <c r="G217" s="106" t="s">
        <v>355</v>
      </c>
      <c r="H217" s="106" t="s">
        <v>364</v>
      </c>
      <c r="I217">
        <v>20</v>
      </c>
    </row>
    <row r="218" spans="1:10">
      <c r="A218" s="106" t="s">
        <v>442</v>
      </c>
      <c r="B218" s="106" t="s">
        <v>348</v>
      </c>
      <c r="C218" s="106" t="s">
        <v>349</v>
      </c>
      <c r="D218" s="106" t="s">
        <v>350</v>
      </c>
      <c r="E218">
        <v>8016</v>
      </c>
      <c r="F218" s="106" t="s">
        <v>2181</v>
      </c>
      <c r="G218" s="106" t="s">
        <v>351</v>
      </c>
      <c r="H218" s="106" t="s">
        <v>384</v>
      </c>
      <c r="I218" s="106" t="s">
        <v>382</v>
      </c>
      <c r="J218" s="106" t="s">
        <v>2182</v>
      </c>
    </row>
    <row r="219" spans="1:10">
      <c r="A219" s="106" t="s">
        <v>442</v>
      </c>
      <c r="B219" s="106" t="s">
        <v>348</v>
      </c>
      <c r="C219" s="106" t="s">
        <v>349</v>
      </c>
      <c r="D219" s="106" t="s">
        <v>350</v>
      </c>
      <c r="E219">
        <v>8028</v>
      </c>
      <c r="F219" s="106" t="s">
        <v>2183</v>
      </c>
      <c r="G219" s="106" t="s">
        <v>351</v>
      </c>
      <c r="H219" s="106" t="s">
        <v>361</v>
      </c>
      <c r="I219" s="106" t="s">
        <v>575</v>
      </c>
      <c r="J219" s="106" t="s">
        <v>2184</v>
      </c>
    </row>
    <row r="220" spans="1:10">
      <c r="A220" s="106" t="s">
        <v>442</v>
      </c>
      <c r="B220" s="106" t="s">
        <v>348</v>
      </c>
      <c r="C220" s="106" t="s">
        <v>358</v>
      </c>
      <c r="D220" s="106" t="s">
        <v>350</v>
      </c>
      <c r="E220">
        <v>8095</v>
      </c>
      <c r="F220" s="106" t="s">
        <v>2185</v>
      </c>
      <c r="G220" s="106" t="s">
        <v>351</v>
      </c>
      <c r="H220" s="106" t="s">
        <v>357</v>
      </c>
      <c r="I220">
        <v>166</v>
      </c>
    </row>
    <row r="221" spans="1:10">
      <c r="A221" s="106" t="s">
        <v>442</v>
      </c>
      <c r="B221" s="106" t="s">
        <v>348</v>
      </c>
      <c r="C221" s="106" t="s">
        <v>353</v>
      </c>
      <c r="D221" s="106" t="s">
        <v>350</v>
      </c>
      <c r="E221">
        <v>8127</v>
      </c>
      <c r="F221" s="106" t="s">
        <v>2186</v>
      </c>
      <c r="G221" s="106" t="s">
        <v>351</v>
      </c>
      <c r="H221" s="106" t="s">
        <v>384</v>
      </c>
      <c r="I221">
        <v>86</v>
      </c>
    </row>
    <row r="222" spans="1:10">
      <c r="A222" s="106" t="s">
        <v>442</v>
      </c>
      <c r="B222" s="106" t="s">
        <v>348</v>
      </c>
      <c r="C222" s="106" t="s">
        <v>349</v>
      </c>
      <c r="D222" s="106" t="s">
        <v>350</v>
      </c>
      <c r="E222">
        <v>8143</v>
      </c>
      <c r="F222" s="106" t="s">
        <v>2187</v>
      </c>
      <c r="G222" s="106" t="s">
        <v>359</v>
      </c>
      <c r="H222" s="106" t="s">
        <v>384</v>
      </c>
      <c r="I222">
        <v>16</v>
      </c>
    </row>
    <row r="223" spans="1:10">
      <c r="A223" s="106" t="s">
        <v>442</v>
      </c>
      <c r="B223" s="106" t="s">
        <v>348</v>
      </c>
      <c r="C223" s="106" t="s">
        <v>349</v>
      </c>
      <c r="D223" s="106" t="s">
        <v>350</v>
      </c>
      <c r="E223">
        <v>8167</v>
      </c>
      <c r="F223" s="106" t="s">
        <v>2188</v>
      </c>
      <c r="G223" s="106" t="s">
        <v>359</v>
      </c>
      <c r="H223" s="106" t="s">
        <v>361</v>
      </c>
      <c r="I223" s="106">
        <v>418</v>
      </c>
      <c r="J223" s="106"/>
    </row>
    <row r="224" spans="1:10">
      <c r="A224" s="106" t="s">
        <v>442</v>
      </c>
      <c r="B224" s="106" t="s">
        <v>348</v>
      </c>
      <c r="C224" s="106" t="s">
        <v>349</v>
      </c>
      <c r="D224" s="106" t="s">
        <v>350</v>
      </c>
      <c r="E224">
        <v>8185</v>
      </c>
      <c r="F224" s="106" t="s">
        <v>2189</v>
      </c>
      <c r="G224" s="106" t="s">
        <v>351</v>
      </c>
      <c r="H224" s="106" t="s">
        <v>361</v>
      </c>
      <c r="I224" s="106">
        <v>669</v>
      </c>
      <c r="J224" s="106"/>
    </row>
    <row r="225" spans="1:10">
      <c r="A225" s="106" t="s">
        <v>442</v>
      </c>
      <c r="B225" s="106" t="s">
        <v>348</v>
      </c>
      <c r="C225" s="106" t="s">
        <v>349</v>
      </c>
      <c r="D225" s="106" t="s">
        <v>350</v>
      </c>
      <c r="E225">
        <v>8194</v>
      </c>
      <c r="F225" s="106" t="s">
        <v>2190</v>
      </c>
      <c r="G225" s="106" t="s">
        <v>351</v>
      </c>
      <c r="H225" s="106" t="s">
        <v>361</v>
      </c>
      <c r="I225" s="106" t="s">
        <v>382</v>
      </c>
      <c r="J225" s="106" t="s">
        <v>2191</v>
      </c>
    </row>
    <row r="226" spans="1:10">
      <c r="A226" s="106" t="s">
        <v>442</v>
      </c>
      <c r="B226" s="106" t="s">
        <v>348</v>
      </c>
      <c r="C226" s="106" t="s">
        <v>349</v>
      </c>
      <c r="D226" s="106" t="s">
        <v>350</v>
      </c>
      <c r="E226">
        <v>8203</v>
      </c>
      <c r="F226" s="106" t="s">
        <v>2192</v>
      </c>
      <c r="G226" s="106" t="s">
        <v>351</v>
      </c>
      <c r="H226" s="106" t="s">
        <v>361</v>
      </c>
      <c r="I226" s="106">
        <v>199</v>
      </c>
      <c r="J226" s="106"/>
    </row>
    <row r="227" spans="1:10">
      <c r="A227" s="106" t="s">
        <v>442</v>
      </c>
      <c r="B227" s="106" t="s">
        <v>348</v>
      </c>
      <c r="C227" s="106" t="s">
        <v>349</v>
      </c>
      <c r="D227" s="106" t="s">
        <v>350</v>
      </c>
      <c r="E227">
        <v>8287</v>
      </c>
      <c r="F227" s="106" t="s">
        <v>2193</v>
      </c>
      <c r="G227" s="106" t="s">
        <v>359</v>
      </c>
      <c r="H227" s="106" t="s">
        <v>361</v>
      </c>
      <c r="I227" s="106">
        <v>918</v>
      </c>
      <c r="J227" s="106"/>
    </row>
    <row r="228" spans="1:10">
      <c r="A228" s="106" t="s">
        <v>442</v>
      </c>
      <c r="B228" s="106" t="s">
        <v>348</v>
      </c>
      <c r="C228" s="106" t="s">
        <v>353</v>
      </c>
      <c r="D228" s="106" t="s">
        <v>350</v>
      </c>
      <c r="E228">
        <v>8904</v>
      </c>
      <c r="F228" s="106" t="s">
        <v>2194</v>
      </c>
      <c r="G228" s="106" t="s">
        <v>351</v>
      </c>
      <c r="H228" s="106" t="s">
        <v>377</v>
      </c>
      <c r="I228" s="106">
        <v>154</v>
      </c>
      <c r="J228" s="106"/>
    </row>
    <row r="229" spans="1:10">
      <c r="A229" s="106" t="s">
        <v>442</v>
      </c>
      <c r="B229" s="106" t="s">
        <v>348</v>
      </c>
      <c r="C229" s="106" t="s">
        <v>358</v>
      </c>
      <c r="D229" s="106" t="s">
        <v>354</v>
      </c>
      <c r="E229">
        <v>9286</v>
      </c>
      <c r="F229" s="106" t="s">
        <v>2195</v>
      </c>
      <c r="G229" s="106" t="s">
        <v>388</v>
      </c>
      <c r="H229" s="106" t="s">
        <v>389</v>
      </c>
      <c r="I229" s="106">
        <v>90</v>
      </c>
      <c r="J229" s="106"/>
    </row>
    <row r="230" spans="1:10">
      <c r="A230" s="106" t="s">
        <v>442</v>
      </c>
      <c r="B230" s="106" t="s">
        <v>348</v>
      </c>
      <c r="C230" s="106" t="s">
        <v>358</v>
      </c>
      <c r="D230" s="106" t="s">
        <v>350</v>
      </c>
      <c r="E230">
        <v>9313</v>
      </c>
      <c r="F230" s="106" t="s">
        <v>2196</v>
      </c>
      <c r="G230" s="106" t="s">
        <v>359</v>
      </c>
      <c r="H230" s="106" t="s">
        <v>707</v>
      </c>
      <c r="I230">
        <v>54</v>
      </c>
    </row>
    <row r="231" spans="1:10">
      <c r="A231" s="106" t="s">
        <v>442</v>
      </c>
      <c r="B231" s="106" t="s">
        <v>348</v>
      </c>
      <c r="C231" s="106" t="s">
        <v>349</v>
      </c>
      <c r="D231" s="106" t="s">
        <v>350</v>
      </c>
      <c r="E231">
        <v>9381</v>
      </c>
      <c r="F231" s="106" t="s">
        <v>864</v>
      </c>
      <c r="G231" s="106" t="s">
        <v>351</v>
      </c>
      <c r="H231" s="106" t="s">
        <v>707</v>
      </c>
      <c r="I231" s="106">
        <v>234</v>
      </c>
      <c r="J231" s="106"/>
    </row>
    <row r="232" spans="1:10">
      <c r="A232" s="106" t="s">
        <v>442</v>
      </c>
      <c r="B232" s="106" t="s">
        <v>348</v>
      </c>
      <c r="C232" s="106" t="s">
        <v>349</v>
      </c>
      <c r="D232" s="106" t="s">
        <v>350</v>
      </c>
      <c r="E232">
        <v>9661</v>
      </c>
      <c r="F232" s="106" t="s">
        <v>2197</v>
      </c>
      <c r="G232" s="106" t="s">
        <v>359</v>
      </c>
      <c r="H232" s="106" t="s">
        <v>356</v>
      </c>
      <c r="I232" s="106">
        <v>708</v>
      </c>
      <c r="J232" s="106"/>
    </row>
    <row r="233" spans="1:10">
      <c r="A233" s="106" t="s">
        <v>442</v>
      </c>
      <c r="B233" s="106" t="s">
        <v>348</v>
      </c>
      <c r="C233" s="106" t="s">
        <v>358</v>
      </c>
      <c r="D233" s="106" t="s">
        <v>354</v>
      </c>
      <c r="E233">
        <v>9717</v>
      </c>
      <c r="F233" s="106" t="s">
        <v>2198</v>
      </c>
      <c r="G233" s="106" t="s">
        <v>351</v>
      </c>
      <c r="H233" s="106" t="s">
        <v>362</v>
      </c>
      <c r="I233" s="106">
        <v>204</v>
      </c>
      <c r="J233" s="106"/>
    </row>
    <row r="234" spans="1:10">
      <c r="A234" s="106" t="s">
        <v>442</v>
      </c>
      <c r="B234" s="106" t="s">
        <v>348</v>
      </c>
      <c r="C234" s="106" t="s">
        <v>349</v>
      </c>
      <c r="D234" s="106" t="s">
        <v>350</v>
      </c>
      <c r="E234">
        <v>9740</v>
      </c>
      <c r="F234" s="106" t="s">
        <v>2199</v>
      </c>
      <c r="G234" s="106" t="s">
        <v>351</v>
      </c>
      <c r="H234" s="106" t="s">
        <v>356</v>
      </c>
      <c r="I234" s="106">
        <v>923</v>
      </c>
      <c r="J234" s="106"/>
    </row>
    <row r="235" spans="1:10">
      <c r="A235" s="106" t="s">
        <v>442</v>
      </c>
      <c r="B235" s="106" t="s">
        <v>348</v>
      </c>
      <c r="C235" s="106" t="s">
        <v>360</v>
      </c>
      <c r="D235" s="106" t="s">
        <v>350</v>
      </c>
      <c r="E235">
        <v>9812</v>
      </c>
      <c r="F235" s="106" t="s">
        <v>2200</v>
      </c>
      <c r="G235" s="106" t="s">
        <v>355</v>
      </c>
      <c r="H235" s="106" t="s">
        <v>357</v>
      </c>
      <c r="I235" s="106">
        <v>38</v>
      </c>
      <c r="J235" s="106"/>
    </row>
    <row r="236" spans="1:10">
      <c r="A236" s="106" t="s">
        <v>442</v>
      </c>
      <c r="B236" s="106" t="s">
        <v>348</v>
      </c>
      <c r="C236" s="106" t="s">
        <v>349</v>
      </c>
      <c r="D236" s="106" t="s">
        <v>350</v>
      </c>
      <c r="E236">
        <v>9861</v>
      </c>
      <c r="F236" s="106" t="s">
        <v>2201</v>
      </c>
      <c r="G236" s="106" t="s">
        <v>351</v>
      </c>
      <c r="H236" s="106" t="s">
        <v>361</v>
      </c>
      <c r="I236" s="106" t="s">
        <v>382</v>
      </c>
      <c r="J236" s="106" t="s">
        <v>2202</v>
      </c>
    </row>
    <row r="237" spans="1:10">
      <c r="A237" s="106" t="s">
        <v>442</v>
      </c>
      <c r="B237" s="106" t="s">
        <v>348</v>
      </c>
      <c r="C237" s="106" t="s">
        <v>349</v>
      </c>
      <c r="D237" s="106" t="s">
        <v>350</v>
      </c>
      <c r="E237">
        <v>9948</v>
      </c>
      <c r="F237" s="106" t="s">
        <v>2203</v>
      </c>
      <c r="G237" s="106" t="s">
        <v>351</v>
      </c>
      <c r="H237" s="106" t="s">
        <v>361</v>
      </c>
      <c r="I237" s="106" t="s">
        <v>382</v>
      </c>
      <c r="J237" s="106" t="s">
        <v>2204</v>
      </c>
    </row>
    <row r="238" spans="1:10">
      <c r="A238" s="106" t="s">
        <v>442</v>
      </c>
      <c r="B238" s="106" t="s">
        <v>348</v>
      </c>
      <c r="C238" s="106" t="s">
        <v>353</v>
      </c>
      <c r="D238" s="106" t="s">
        <v>350</v>
      </c>
      <c r="E238">
        <v>9978</v>
      </c>
      <c r="F238" s="106" t="s">
        <v>2205</v>
      </c>
      <c r="G238" s="106" t="s">
        <v>355</v>
      </c>
      <c r="H238" s="106" t="s">
        <v>361</v>
      </c>
      <c r="I238" s="106">
        <v>23</v>
      </c>
      <c r="J238" s="106"/>
    </row>
    <row r="239" spans="1:10">
      <c r="A239" s="106" t="s">
        <v>454</v>
      </c>
      <c r="B239" s="106" t="s">
        <v>865</v>
      </c>
      <c r="C239" s="106" t="s">
        <v>349</v>
      </c>
      <c r="D239" s="106" t="s">
        <v>354</v>
      </c>
      <c r="E239">
        <v>3415</v>
      </c>
      <c r="F239" s="106" t="s">
        <v>866</v>
      </c>
      <c r="G239" s="106" t="s">
        <v>351</v>
      </c>
      <c r="H239" s="106" t="s">
        <v>361</v>
      </c>
      <c r="I239" s="106">
        <v>307</v>
      </c>
      <c r="J239" s="106"/>
    </row>
    <row r="240" spans="1:10">
      <c r="A240" s="106" t="s">
        <v>454</v>
      </c>
      <c r="B240" s="106" t="s">
        <v>417</v>
      </c>
      <c r="C240" s="106" t="s">
        <v>358</v>
      </c>
      <c r="D240" s="106" t="s">
        <v>350</v>
      </c>
      <c r="E240">
        <v>2734</v>
      </c>
      <c r="F240" s="106" t="s">
        <v>627</v>
      </c>
      <c r="G240" s="106" t="s">
        <v>351</v>
      </c>
      <c r="H240" s="106" t="s">
        <v>361</v>
      </c>
      <c r="I240" s="106">
        <v>419</v>
      </c>
      <c r="J240" s="106"/>
    </row>
    <row r="241" spans="1:10">
      <c r="A241" s="106" t="s">
        <v>454</v>
      </c>
      <c r="B241" s="106" t="s">
        <v>2106</v>
      </c>
      <c r="C241" s="106" t="s">
        <v>360</v>
      </c>
      <c r="D241" s="106" t="s">
        <v>350</v>
      </c>
      <c r="E241">
        <v>2722</v>
      </c>
      <c r="F241" s="106" t="s">
        <v>2206</v>
      </c>
      <c r="G241" s="106" t="s">
        <v>359</v>
      </c>
      <c r="H241" s="106" t="s">
        <v>361</v>
      </c>
      <c r="I241" s="106">
        <v>97</v>
      </c>
      <c r="J241" s="106"/>
    </row>
    <row r="242" spans="1:10">
      <c r="A242" s="106" t="s">
        <v>454</v>
      </c>
      <c r="B242" s="106" t="s">
        <v>348</v>
      </c>
      <c r="C242" s="106" t="s">
        <v>349</v>
      </c>
      <c r="D242" s="106" t="s">
        <v>350</v>
      </c>
      <c r="E242">
        <v>1418</v>
      </c>
      <c r="F242" s="106" t="s">
        <v>2207</v>
      </c>
      <c r="G242" s="106" t="s">
        <v>355</v>
      </c>
      <c r="H242" s="106" t="s">
        <v>378</v>
      </c>
      <c r="I242" s="106">
        <v>51</v>
      </c>
      <c r="J242" s="106"/>
    </row>
    <row r="243" spans="1:10">
      <c r="A243" s="106" t="s">
        <v>454</v>
      </c>
      <c r="B243" s="106" t="s">
        <v>348</v>
      </c>
      <c r="C243" s="106" t="s">
        <v>360</v>
      </c>
      <c r="D243" s="106" t="s">
        <v>350</v>
      </c>
      <c r="E243">
        <v>1419</v>
      </c>
      <c r="F243" s="106" t="s">
        <v>2208</v>
      </c>
      <c r="G243" s="106" t="s">
        <v>351</v>
      </c>
      <c r="H243" s="106" t="s">
        <v>378</v>
      </c>
      <c r="I243" s="106">
        <v>503</v>
      </c>
      <c r="J243" s="106"/>
    </row>
    <row r="244" spans="1:10">
      <c r="A244" s="106" t="s">
        <v>454</v>
      </c>
      <c r="B244" s="106" t="s">
        <v>348</v>
      </c>
      <c r="C244" s="106" t="s">
        <v>353</v>
      </c>
      <c r="D244" s="106" t="s">
        <v>350</v>
      </c>
      <c r="E244">
        <v>1434</v>
      </c>
      <c r="F244" s="106" t="s">
        <v>2209</v>
      </c>
      <c r="G244" s="106" t="s">
        <v>359</v>
      </c>
      <c r="H244" s="106" t="s">
        <v>378</v>
      </c>
      <c r="I244" s="106">
        <v>25</v>
      </c>
      <c r="J244" s="106"/>
    </row>
    <row r="245" spans="1:10">
      <c r="A245" s="106" t="s">
        <v>454</v>
      </c>
      <c r="B245" s="106" t="s">
        <v>348</v>
      </c>
      <c r="C245" s="106" t="s">
        <v>360</v>
      </c>
      <c r="D245" s="106" t="s">
        <v>350</v>
      </c>
      <c r="E245">
        <v>1887</v>
      </c>
      <c r="F245" s="106" t="s">
        <v>643</v>
      </c>
      <c r="G245" s="106" t="s">
        <v>351</v>
      </c>
      <c r="H245" s="106" t="s">
        <v>378</v>
      </c>
      <c r="I245" s="106">
        <v>626</v>
      </c>
      <c r="J245" s="106"/>
    </row>
    <row r="246" spans="1:10">
      <c r="A246" s="106" t="s">
        <v>454</v>
      </c>
      <c r="B246" s="106" t="s">
        <v>348</v>
      </c>
      <c r="C246" s="106" t="s">
        <v>353</v>
      </c>
      <c r="D246" s="106" t="s">
        <v>350</v>
      </c>
      <c r="E246">
        <v>2449</v>
      </c>
      <c r="F246" s="106" t="s">
        <v>2210</v>
      </c>
      <c r="G246" s="106" t="s">
        <v>355</v>
      </c>
      <c r="H246" s="106" t="s">
        <v>356</v>
      </c>
      <c r="I246" s="106">
        <v>69</v>
      </c>
      <c r="J246" s="106"/>
    </row>
    <row r="247" spans="1:10">
      <c r="A247" s="106" t="s">
        <v>454</v>
      </c>
      <c r="B247" s="106" t="s">
        <v>348</v>
      </c>
      <c r="C247" s="106" t="s">
        <v>358</v>
      </c>
      <c r="D247" s="106" t="s">
        <v>350</v>
      </c>
      <c r="E247">
        <v>2471</v>
      </c>
      <c r="F247" s="106" t="s">
        <v>455</v>
      </c>
      <c r="G247" s="106" t="s">
        <v>351</v>
      </c>
      <c r="H247" s="106" t="s">
        <v>356</v>
      </c>
      <c r="I247" s="106">
        <v>603</v>
      </c>
      <c r="J247" s="106"/>
    </row>
    <row r="248" spans="1:10">
      <c r="A248" s="106" t="s">
        <v>454</v>
      </c>
      <c r="B248" s="106" t="s">
        <v>348</v>
      </c>
      <c r="C248" s="106" t="s">
        <v>349</v>
      </c>
      <c r="D248" s="106" t="s">
        <v>350</v>
      </c>
      <c r="E248">
        <v>2726</v>
      </c>
      <c r="F248" s="106" t="s">
        <v>2211</v>
      </c>
      <c r="G248" s="106" t="s">
        <v>351</v>
      </c>
      <c r="H248" s="106" t="s">
        <v>361</v>
      </c>
      <c r="I248" s="106">
        <v>831</v>
      </c>
      <c r="J248" s="106"/>
    </row>
    <row r="249" spans="1:10">
      <c r="A249" s="106" t="s">
        <v>454</v>
      </c>
      <c r="B249" s="106" t="s">
        <v>348</v>
      </c>
      <c r="C249" s="106" t="s">
        <v>360</v>
      </c>
      <c r="D249" s="106" t="s">
        <v>350</v>
      </c>
      <c r="E249">
        <v>2769</v>
      </c>
      <c r="F249" s="106" t="s">
        <v>2212</v>
      </c>
      <c r="G249" s="106" t="s">
        <v>355</v>
      </c>
      <c r="H249" s="106" t="s">
        <v>361</v>
      </c>
      <c r="I249" s="106">
        <v>80</v>
      </c>
      <c r="J249" s="106"/>
    </row>
    <row r="250" spans="1:10">
      <c r="A250" s="106" t="s">
        <v>454</v>
      </c>
      <c r="B250" s="106" t="s">
        <v>348</v>
      </c>
      <c r="C250" s="106" t="s">
        <v>360</v>
      </c>
      <c r="D250" s="106" t="s">
        <v>350</v>
      </c>
      <c r="E250">
        <v>2796</v>
      </c>
      <c r="F250" s="106" t="s">
        <v>2213</v>
      </c>
      <c r="G250" s="106" t="s">
        <v>351</v>
      </c>
      <c r="H250" s="106" t="s">
        <v>361</v>
      </c>
      <c r="I250" s="106">
        <v>61</v>
      </c>
      <c r="J250" s="106"/>
    </row>
    <row r="251" spans="1:10">
      <c r="A251" s="106" t="s">
        <v>454</v>
      </c>
      <c r="B251" s="106" t="s">
        <v>348</v>
      </c>
      <c r="C251" s="106" t="s">
        <v>349</v>
      </c>
      <c r="D251" s="106" t="s">
        <v>350</v>
      </c>
      <c r="E251">
        <v>2798</v>
      </c>
      <c r="F251" s="106" t="s">
        <v>2214</v>
      </c>
      <c r="G251" s="106" t="s">
        <v>359</v>
      </c>
      <c r="H251" s="106" t="s">
        <v>361</v>
      </c>
      <c r="I251">
        <v>67</v>
      </c>
    </row>
    <row r="252" spans="1:10">
      <c r="A252" s="106" t="s">
        <v>454</v>
      </c>
      <c r="B252" s="106" t="s">
        <v>348</v>
      </c>
      <c r="C252" s="106" t="s">
        <v>349</v>
      </c>
      <c r="D252" s="106" t="s">
        <v>350</v>
      </c>
      <c r="E252">
        <v>2884</v>
      </c>
      <c r="F252" s="106" t="s">
        <v>2215</v>
      </c>
      <c r="G252" s="106" t="s">
        <v>351</v>
      </c>
      <c r="H252" s="106" t="s">
        <v>352</v>
      </c>
      <c r="I252">
        <v>245</v>
      </c>
    </row>
    <row r="253" spans="1:10">
      <c r="A253" s="106" t="s">
        <v>454</v>
      </c>
      <c r="B253" s="106" t="s">
        <v>348</v>
      </c>
      <c r="C253" s="106" t="s">
        <v>349</v>
      </c>
      <c r="D253" s="106" t="s">
        <v>354</v>
      </c>
      <c r="E253">
        <v>2930</v>
      </c>
      <c r="F253" s="106" t="s">
        <v>456</v>
      </c>
      <c r="G253" s="106" t="s">
        <v>351</v>
      </c>
      <c r="H253" s="106" t="s">
        <v>352</v>
      </c>
      <c r="I253" s="106">
        <v>955</v>
      </c>
      <c r="J253" s="106"/>
    </row>
    <row r="254" spans="1:10">
      <c r="A254" s="106" t="s">
        <v>454</v>
      </c>
      <c r="B254" s="106" t="s">
        <v>348</v>
      </c>
      <c r="C254" s="106" t="s">
        <v>360</v>
      </c>
      <c r="D254" s="106" t="s">
        <v>350</v>
      </c>
      <c r="E254">
        <v>3021</v>
      </c>
      <c r="F254" s="106" t="s">
        <v>2216</v>
      </c>
      <c r="G254" s="106" t="s">
        <v>359</v>
      </c>
      <c r="H254" s="106" t="s">
        <v>361</v>
      </c>
      <c r="I254" s="106">
        <v>90</v>
      </c>
      <c r="J254" s="106"/>
    </row>
    <row r="255" spans="1:10">
      <c r="A255" s="106" t="s">
        <v>454</v>
      </c>
      <c r="B255" s="106" t="s">
        <v>348</v>
      </c>
      <c r="C255" s="106" t="s">
        <v>349</v>
      </c>
      <c r="D255" s="106" t="s">
        <v>354</v>
      </c>
      <c r="E255">
        <v>3030</v>
      </c>
      <c r="F255" s="106" t="s">
        <v>457</v>
      </c>
      <c r="G255" s="106" t="s">
        <v>351</v>
      </c>
      <c r="H255" s="106" t="s">
        <v>361</v>
      </c>
      <c r="I255" s="106">
        <v>114</v>
      </c>
      <c r="J255" s="106"/>
    </row>
    <row r="256" spans="1:10">
      <c r="A256" s="106" t="s">
        <v>454</v>
      </c>
      <c r="B256" s="106" t="s">
        <v>348</v>
      </c>
      <c r="C256" s="106" t="s">
        <v>349</v>
      </c>
      <c r="D256" s="106" t="s">
        <v>350</v>
      </c>
      <c r="E256">
        <v>3073</v>
      </c>
      <c r="F256" s="106" t="s">
        <v>2217</v>
      </c>
      <c r="G256" s="106" t="s">
        <v>351</v>
      </c>
      <c r="H256" s="106" t="s">
        <v>361</v>
      </c>
      <c r="I256" s="106">
        <v>236</v>
      </c>
      <c r="J256" s="106"/>
    </row>
    <row r="257" spans="1:10">
      <c r="A257" s="106" t="s">
        <v>454</v>
      </c>
      <c r="B257" s="106" t="s">
        <v>348</v>
      </c>
      <c r="C257" s="106" t="s">
        <v>349</v>
      </c>
      <c r="D257" s="106" t="s">
        <v>350</v>
      </c>
      <c r="E257">
        <v>3080</v>
      </c>
      <c r="F257" s="106" t="s">
        <v>2218</v>
      </c>
      <c r="G257" s="106" t="s">
        <v>355</v>
      </c>
      <c r="H257" s="106" t="s">
        <v>361</v>
      </c>
      <c r="I257">
        <v>45</v>
      </c>
    </row>
    <row r="258" spans="1:10">
      <c r="A258" s="106" t="s">
        <v>454</v>
      </c>
      <c r="B258" s="106" t="s">
        <v>348</v>
      </c>
      <c r="C258" s="106" t="s">
        <v>349</v>
      </c>
      <c r="D258" s="106" t="s">
        <v>350</v>
      </c>
      <c r="E258">
        <v>3087</v>
      </c>
      <c r="F258" s="106" t="s">
        <v>2219</v>
      </c>
      <c r="G258" s="106" t="s">
        <v>351</v>
      </c>
      <c r="H258" s="106" t="s">
        <v>361</v>
      </c>
      <c r="I258" s="106" t="s">
        <v>382</v>
      </c>
      <c r="J258" s="106" t="s">
        <v>874</v>
      </c>
    </row>
    <row r="259" spans="1:10">
      <c r="A259" s="106" t="s">
        <v>454</v>
      </c>
      <c r="B259" s="106" t="s">
        <v>348</v>
      </c>
      <c r="C259" s="106" t="s">
        <v>358</v>
      </c>
      <c r="D259" s="106" t="s">
        <v>350</v>
      </c>
      <c r="E259">
        <v>3139</v>
      </c>
      <c r="F259" s="106" t="s">
        <v>2220</v>
      </c>
      <c r="G259" s="106" t="s">
        <v>351</v>
      </c>
      <c r="H259" s="106" t="s">
        <v>357</v>
      </c>
      <c r="I259" s="106">
        <v>347</v>
      </c>
      <c r="J259" s="106"/>
    </row>
    <row r="260" spans="1:10">
      <c r="A260" s="106" t="s">
        <v>454</v>
      </c>
      <c r="B260" s="106" t="s">
        <v>348</v>
      </c>
      <c r="C260" s="106" t="s">
        <v>360</v>
      </c>
      <c r="D260" s="106" t="s">
        <v>350</v>
      </c>
      <c r="E260">
        <v>3148</v>
      </c>
      <c r="F260" s="106" t="s">
        <v>2221</v>
      </c>
      <c r="G260" s="106" t="s">
        <v>351</v>
      </c>
      <c r="H260" s="106" t="s">
        <v>361</v>
      </c>
      <c r="I260" s="106" t="s">
        <v>382</v>
      </c>
      <c r="J260" s="106" t="s">
        <v>963</v>
      </c>
    </row>
    <row r="261" spans="1:10">
      <c r="A261" s="106" t="s">
        <v>454</v>
      </c>
      <c r="B261" s="106" t="s">
        <v>348</v>
      </c>
      <c r="C261" s="106" t="s">
        <v>353</v>
      </c>
      <c r="D261" s="106" t="s">
        <v>350</v>
      </c>
      <c r="E261">
        <v>3168</v>
      </c>
      <c r="F261" s="106" t="s">
        <v>628</v>
      </c>
      <c r="G261" s="106" t="s">
        <v>351</v>
      </c>
      <c r="H261" s="106" t="s">
        <v>357</v>
      </c>
      <c r="I261" s="106">
        <v>66</v>
      </c>
      <c r="J261" s="106"/>
    </row>
    <row r="262" spans="1:10">
      <c r="A262" s="106" t="s">
        <v>454</v>
      </c>
      <c r="B262" s="106" t="s">
        <v>348</v>
      </c>
      <c r="C262" s="106" t="s">
        <v>349</v>
      </c>
      <c r="D262" s="106" t="s">
        <v>354</v>
      </c>
      <c r="E262">
        <v>3181</v>
      </c>
      <c r="F262" s="106" t="s">
        <v>2222</v>
      </c>
      <c r="G262" s="106" t="s">
        <v>355</v>
      </c>
      <c r="H262" s="106" t="s">
        <v>361</v>
      </c>
      <c r="I262" s="106">
        <v>11</v>
      </c>
      <c r="J262" s="106"/>
    </row>
    <row r="263" spans="1:10">
      <c r="A263" s="106" t="s">
        <v>454</v>
      </c>
      <c r="B263" s="106" t="s">
        <v>348</v>
      </c>
      <c r="C263" s="106" t="s">
        <v>349</v>
      </c>
      <c r="D263" s="106" t="s">
        <v>354</v>
      </c>
      <c r="E263">
        <v>3192</v>
      </c>
      <c r="F263" s="106" t="s">
        <v>2223</v>
      </c>
      <c r="G263" s="106" t="s">
        <v>355</v>
      </c>
      <c r="H263" s="106" t="s">
        <v>361</v>
      </c>
      <c r="I263" s="106">
        <v>21</v>
      </c>
      <c r="J263" s="106"/>
    </row>
    <row r="264" spans="1:10">
      <c r="A264" s="106" t="s">
        <v>454</v>
      </c>
      <c r="B264" s="106" t="s">
        <v>348</v>
      </c>
      <c r="C264" s="106" t="s">
        <v>349</v>
      </c>
      <c r="D264" s="106" t="s">
        <v>350</v>
      </c>
      <c r="E264">
        <v>3198</v>
      </c>
      <c r="F264" s="106" t="s">
        <v>2224</v>
      </c>
      <c r="G264" s="106" t="s">
        <v>351</v>
      </c>
      <c r="H264" s="106" t="s">
        <v>361</v>
      </c>
      <c r="I264" s="106">
        <v>583</v>
      </c>
      <c r="J264" s="106"/>
    </row>
    <row r="265" spans="1:10">
      <c r="A265" s="106" t="s">
        <v>454</v>
      </c>
      <c r="B265" s="106" t="s">
        <v>348</v>
      </c>
      <c r="C265" s="106" t="s">
        <v>349</v>
      </c>
      <c r="D265" s="106" t="s">
        <v>354</v>
      </c>
      <c r="E265">
        <v>3223</v>
      </c>
      <c r="F265" s="106" t="s">
        <v>2225</v>
      </c>
      <c r="G265" s="106" t="s">
        <v>355</v>
      </c>
      <c r="H265" s="106" t="s">
        <v>361</v>
      </c>
      <c r="I265" s="106">
        <v>23</v>
      </c>
      <c r="J265" s="106"/>
    </row>
    <row r="266" spans="1:10">
      <c r="A266" s="106" t="s">
        <v>454</v>
      </c>
      <c r="B266" s="106" t="s">
        <v>348</v>
      </c>
      <c r="C266" s="106" t="s">
        <v>353</v>
      </c>
      <c r="D266" s="106" t="s">
        <v>350</v>
      </c>
      <c r="E266">
        <v>3228</v>
      </c>
      <c r="F266" s="106" t="s">
        <v>2226</v>
      </c>
      <c r="G266" s="106" t="s">
        <v>351</v>
      </c>
      <c r="H266" s="106" t="s">
        <v>377</v>
      </c>
      <c r="I266" s="106">
        <v>341</v>
      </c>
      <c r="J266" s="106"/>
    </row>
    <row r="267" spans="1:10">
      <c r="A267" s="106" t="s">
        <v>454</v>
      </c>
      <c r="B267" s="106" t="s">
        <v>348</v>
      </c>
      <c r="C267" s="106" t="s">
        <v>360</v>
      </c>
      <c r="D267" s="106" t="s">
        <v>354</v>
      </c>
      <c r="E267">
        <v>3236</v>
      </c>
      <c r="F267" s="106" t="s">
        <v>2227</v>
      </c>
      <c r="G267" s="106" t="s">
        <v>355</v>
      </c>
      <c r="H267" s="106" t="s">
        <v>377</v>
      </c>
      <c r="I267" s="106">
        <v>60</v>
      </c>
      <c r="J267" s="106"/>
    </row>
    <row r="268" spans="1:10">
      <c r="A268" s="106" t="s">
        <v>454</v>
      </c>
      <c r="B268" s="106" t="s">
        <v>348</v>
      </c>
      <c r="C268" s="106" t="s">
        <v>358</v>
      </c>
      <c r="D268" s="106" t="s">
        <v>350</v>
      </c>
      <c r="E268">
        <v>3266</v>
      </c>
      <c r="F268" s="106" t="s">
        <v>2228</v>
      </c>
      <c r="G268" s="106" t="s">
        <v>355</v>
      </c>
      <c r="H268" s="106" t="s">
        <v>377</v>
      </c>
      <c r="I268" s="106">
        <v>39</v>
      </c>
      <c r="J268" s="106"/>
    </row>
    <row r="269" spans="1:10">
      <c r="A269" s="106" t="s">
        <v>454</v>
      </c>
      <c r="B269" s="106" t="s">
        <v>348</v>
      </c>
      <c r="C269" s="106" t="s">
        <v>349</v>
      </c>
      <c r="D269" s="106" t="s">
        <v>350</v>
      </c>
      <c r="E269">
        <v>3387</v>
      </c>
      <c r="F269" s="106" t="s">
        <v>650</v>
      </c>
      <c r="G269" s="106" t="s">
        <v>351</v>
      </c>
      <c r="H269" s="106" t="s">
        <v>361</v>
      </c>
      <c r="I269" s="106" t="s">
        <v>382</v>
      </c>
      <c r="J269" s="106" t="s">
        <v>2229</v>
      </c>
    </row>
    <row r="270" spans="1:10">
      <c r="A270" s="106" t="s">
        <v>454</v>
      </c>
      <c r="B270" s="106" t="s">
        <v>348</v>
      </c>
      <c r="C270" s="106" t="s">
        <v>353</v>
      </c>
      <c r="D270" s="106" t="s">
        <v>350</v>
      </c>
      <c r="E270">
        <v>3440</v>
      </c>
      <c r="F270" s="106" t="s">
        <v>2230</v>
      </c>
      <c r="G270" s="106" t="s">
        <v>359</v>
      </c>
      <c r="H270" s="106" t="s">
        <v>366</v>
      </c>
      <c r="I270" s="106">
        <v>61</v>
      </c>
      <c r="J270" s="106"/>
    </row>
    <row r="271" spans="1:10">
      <c r="A271" s="106" t="s">
        <v>454</v>
      </c>
      <c r="B271" s="106" t="s">
        <v>348</v>
      </c>
      <c r="C271" s="106" t="s">
        <v>349</v>
      </c>
      <c r="D271" s="106" t="s">
        <v>350</v>
      </c>
      <c r="E271">
        <v>3479</v>
      </c>
      <c r="F271" s="106" t="s">
        <v>458</v>
      </c>
      <c r="G271" s="106" t="s">
        <v>363</v>
      </c>
      <c r="H271" s="106" t="s">
        <v>377</v>
      </c>
      <c r="I271" s="106" t="s">
        <v>382</v>
      </c>
      <c r="J271" s="106" t="s">
        <v>2231</v>
      </c>
    </row>
    <row r="272" spans="1:10">
      <c r="A272" s="106" t="s">
        <v>454</v>
      </c>
      <c r="B272" s="106" t="s">
        <v>348</v>
      </c>
      <c r="C272" s="106" t="s">
        <v>353</v>
      </c>
      <c r="D272" s="106" t="s">
        <v>350</v>
      </c>
      <c r="E272">
        <v>3498</v>
      </c>
      <c r="F272" s="106" t="s">
        <v>2232</v>
      </c>
      <c r="G272" s="106" t="s">
        <v>363</v>
      </c>
      <c r="H272" s="106" t="s">
        <v>377</v>
      </c>
      <c r="I272" s="106">
        <v>165</v>
      </c>
      <c r="J272" s="106"/>
    </row>
    <row r="273" spans="1:10">
      <c r="A273" s="106" t="s">
        <v>454</v>
      </c>
      <c r="B273" s="106" t="s">
        <v>348</v>
      </c>
      <c r="C273" s="106" t="s">
        <v>353</v>
      </c>
      <c r="D273" s="106" t="s">
        <v>350</v>
      </c>
      <c r="E273">
        <v>3536</v>
      </c>
      <c r="F273" s="106" t="s">
        <v>2233</v>
      </c>
      <c r="G273" s="106" t="s">
        <v>355</v>
      </c>
      <c r="H273" s="106" t="s">
        <v>361</v>
      </c>
      <c r="I273" s="106">
        <v>37</v>
      </c>
      <c r="J273" s="106"/>
    </row>
    <row r="274" spans="1:10">
      <c r="A274" s="106" t="s">
        <v>454</v>
      </c>
      <c r="B274" s="106" t="s">
        <v>348</v>
      </c>
      <c r="C274" s="106" t="s">
        <v>353</v>
      </c>
      <c r="D274" s="106" t="s">
        <v>354</v>
      </c>
      <c r="E274">
        <v>3541</v>
      </c>
      <c r="F274" s="106" t="s">
        <v>2234</v>
      </c>
      <c r="G274" s="106" t="s">
        <v>363</v>
      </c>
      <c r="H274" s="106" t="s">
        <v>357</v>
      </c>
      <c r="I274">
        <v>106</v>
      </c>
    </row>
    <row r="275" spans="1:10">
      <c r="A275" s="106" t="s">
        <v>454</v>
      </c>
      <c r="B275" s="106" t="s">
        <v>348</v>
      </c>
      <c r="C275" s="106" t="s">
        <v>358</v>
      </c>
      <c r="D275" s="106" t="s">
        <v>350</v>
      </c>
      <c r="E275">
        <v>3547</v>
      </c>
      <c r="F275" s="106" t="s">
        <v>2235</v>
      </c>
      <c r="G275" s="106" t="s">
        <v>351</v>
      </c>
      <c r="H275" s="106" t="s">
        <v>361</v>
      </c>
      <c r="I275" s="106">
        <v>197</v>
      </c>
      <c r="J275" s="106"/>
    </row>
    <row r="276" spans="1:10">
      <c r="A276" s="106" t="s">
        <v>454</v>
      </c>
      <c r="B276" s="106" t="s">
        <v>348</v>
      </c>
      <c r="C276" s="106" t="s">
        <v>349</v>
      </c>
      <c r="D276" s="106" t="s">
        <v>354</v>
      </c>
      <c r="E276">
        <v>3557</v>
      </c>
      <c r="F276" s="106" t="s">
        <v>652</v>
      </c>
      <c r="G276" s="106" t="s">
        <v>363</v>
      </c>
      <c r="H276" s="106" t="s">
        <v>361</v>
      </c>
      <c r="I276" s="106">
        <v>48</v>
      </c>
      <c r="J276" s="106"/>
    </row>
    <row r="277" spans="1:10">
      <c r="A277" s="106" t="s">
        <v>454</v>
      </c>
      <c r="B277" s="106" t="s">
        <v>348</v>
      </c>
      <c r="C277" s="106" t="s">
        <v>349</v>
      </c>
      <c r="D277" s="106" t="s">
        <v>350</v>
      </c>
      <c r="E277">
        <v>3558</v>
      </c>
      <c r="F277" s="106" t="s">
        <v>2236</v>
      </c>
      <c r="G277" s="106" t="s">
        <v>363</v>
      </c>
      <c r="H277" s="106" t="s">
        <v>361</v>
      </c>
      <c r="I277" s="106">
        <v>99</v>
      </c>
      <c r="J277" s="106"/>
    </row>
    <row r="278" spans="1:10">
      <c r="A278" s="106" t="s">
        <v>454</v>
      </c>
      <c r="B278" s="106" t="s">
        <v>348</v>
      </c>
      <c r="C278" s="106" t="s">
        <v>349</v>
      </c>
      <c r="D278" s="106" t="s">
        <v>350</v>
      </c>
      <c r="E278">
        <v>3562</v>
      </c>
      <c r="F278" s="106" t="s">
        <v>459</v>
      </c>
      <c r="G278" s="106" t="s">
        <v>355</v>
      </c>
      <c r="H278" s="106" t="s">
        <v>357</v>
      </c>
      <c r="I278">
        <v>38</v>
      </c>
    </row>
    <row r="279" spans="1:10">
      <c r="A279" s="106" t="s">
        <v>454</v>
      </c>
      <c r="B279" s="106" t="s">
        <v>348</v>
      </c>
      <c r="C279" s="106" t="s">
        <v>349</v>
      </c>
      <c r="D279" s="106" t="s">
        <v>350</v>
      </c>
      <c r="E279">
        <v>3678</v>
      </c>
      <c r="F279" s="106" t="s">
        <v>460</v>
      </c>
      <c r="G279" s="106" t="s">
        <v>351</v>
      </c>
      <c r="H279" s="106" t="s">
        <v>362</v>
      </c>
      <c r="I279">
        <v>560</v>
      </c>
    </row>
    <row r="280" spans="1:10">
      <c r="A280" s="106" t="s">
        <v>454</v>
      </c>
      <c r="B280" s="106" t="s">
        <v>348</v>
      </c>
      <c r="C280" s="106" t="s">
        <v>360</v>
      </c>
      <c r="D280" s="106" t="s">
        <v>354</v>
      </c>
      <c r="E280">
        <v>3760</v>
      </c>
      <c r="F280" s="106" t="s">
        <v>2237</v>
      </c>
      <c r="G280" s="106" t="s">
        <v>355</v>
      </c>
      <c r="H280" s="106" t="s">
        <v>362</v>
      </c>
      <c r="I280" s="106">
        <v>66</v>
      </c>
      <c r="J280" s="106"/>
    </row>
    <row r="281" spans="1:10">
      <c r="A281" s="106" t="s">
        <v>454</v>
      </c>
      <c r="B281" s="106" t="s">
        <v>348</v>
      </c>
      <c r="C281" s="106" t="s">
        <v>360</v>
      </c>
      <c r="D281" s="106" t="s">
        <v>350</v>
      </c>
      <c r="E281">
        <v>3791</v>
      </c>
      <c r="F281" s="106" t="s">
        <v>2238</v>
      </c>
      <c r="G281" s="106" t="s">
        <v>355</v>
      </c>
      <c r="H281" s="106" t="s">
        <v>362</v>
      </c>
      <c r="I281" s="106">
        <v>78</v>
      </c>
      <c r="J281" s="106"/>
    </row>
    <row r="282" spans="1:10">
      <c r="A282" s="106" t="s">
        <v>454</v>
      </c>
      <c r="B282" s="106" t="s">
        <v>348</v>
      </c>
      <c r="C282" s="106" t="s">
        <v>360</v>
      </c>
      <c r="D282" s="106" t="s">
        <v>350</v>
      </c>
      <c r="E282">
        <v>3810</v>
      </c>
      <c r="F282" s="106" t="s">
        <v>2239</v>
      </c>
      <c r="G282" s="106" t="s">
        <v>359</v>
      </c>
      <c r="H282" s="106" t="s">
        <v>362</v>
      </c>
      <c r="I282">
        <v>121</v>
      </c>
    </row>
    <row r="283" spans="1:10">
      <c r="A283" s="106" t="s">
        <v>454</v>
      </c>
      <c r="B283" s="106" t="s">
        <v>348</v>
      </c>
      <c r="C283" s="106" t="s">
        <v>353</v>
      </c>
      <c r="D283" s="106" t="s">
        <v>350</v>
      </c>
      <c r="E283">
        <v>3823</v>
      </c>
      <c r="F283" s="106" t="s">
        <v>2240</v>
      </c>
      <c r="G283" s="106" t="s">
        <v>359</v>
      </c>
      <c r="H283" s="106" t="s">
        <v>362</v>
      </c>
      <c r="I283" s="106">
        <v>61</v>
      </c>
      <c r="J283" s="106"/>
    </row>
    <row r="284" spans="1:10">
      <c r="A284" s="106" t="s">
        <v>454</v>
      </c>
      <c r="B284" s="106" t="s">
        <v>348</v>
      </c>
      <c r="C284" s="106" t="s">
        <v>349</v>
      </c>
      <c r="D284" s="106" t="s">
        <v>350</v>
      </c>
      <c r="E284">
        <v>3935</v>
      </c>
      <c r="F284" s="106" t="s">
        <v>2241</v>
      </c>
      <c r="G284" s="106" t="s">
        <v>363</v>
      </c>
      <c r="H284" s="106" t="s">
        <v>362</v>
      </c>
      <c r="I284" s="106">
        <v>50</v>
      </c>
      <c r="J284" s="106"/>
    </row>
    <row r="285" spans="1:10">
      <c r="A285" s="106" t="s">
        <v>454</v>
      </c>
      <c r="B285" s="106" t="s">
        <v>348</v>
      </c>
      <c r="C285" s="106" t="s">
        <v>360</v>
      </c>
      <c r="D285" s="106" t="s">
        <v>350</v>
      </c>
      <c r="E285">
        <v>3990</v>
      </c>
      <c r="F285" s="106" t="s">
        <v>2242</v>
      </c>
      <c r="G285" s="106" t="s">
        <v>363</v>
      </c>
      <c r="H285" s="106" t="s">
        <v>362</v>
      </c>
      <c r="I285" s="106">
        <v>928</v>
      </c>
      <c r="J285" s="106"/>
    </row>
    <row r="286" spans="1:10">
      <c r="A286" s="106" t="s">
        <v>454</v>
      </c>
      <c r="B286" s="106" t="s">
        <v>348</v>
      </c>
      <c r="C286" s="106" t="s">
        <v>353</v>
      </c>
      <c r="D286" s="106" t="s">
        <v>350</v>
      </c>
      <c r="E286">
        <v>3991</v>
      </c>
      <c r="F286" s="106" t="s">
        <v>2243</v>
      </c>
      <c r="G286" s="106" t="s">
        <v>363</v>
      </c>
      <c r="H286" s="106" t="s">
        <v>362</v>
      </c>
      <c r="I286">
        <v>186</v>
      </c>
    </row>
    <row r="287" spans="1:10">
      <c r="A287" s="106" t="s">
        <v>454</v>
      </c>
      <c r="B287" s="106" t="s">
        <v>348</v>
      </c>
      <c r="C287" s="106" t="s">
        <v>358</v>
      </c>
      <c r="D287" s="106" t="s">
        <v>350</v>
      </c>
      <c r="E287">
        <v>3994</v>
      </c>
      <c r="F287" s="106" t="s">
        <v>2244</v>
      </c>
      <c r="G287" s="106" t="s">
        <v>363</v>
      </c>
      <c r="H287" s="106" t="s">
        <v>362</v>
      </c>
      <c r="I287" s="106" t="s">
        <v>382</v>
      </c>
      <c r="J287" s="106" t="s">
        <v>2245</v>
      </c>
    </row>
    <row r="288" spans="1:10">
      <c r="A288" s="106" t="s">
        <v>454</v>
      </c>
      <c r="B288" s="106" t="s">
        <v>348</v>
      </c>
      <c r="C288" s="106" t="s">
        <v>349</v>
      </c>
      <c r="D288" s="106" t="s">
        <v>354</v>
      </c>
      <c r="E288">
        <v>3996</v>
      </c>
      <c r="F288" s="106" t="s">
        <v>653</v>
      </c>
      <c r="G288" s="106" t="s">
        <v>351</v>
      </c>
      <c r="H288" s="106" t="s">
        <v>362</v>
      </c>
      <c r="I288" s="106">
        <v>230</v>
      </c>
      <c r="J288" s="106"/>
    </row>
    <row r="289" spans="1:10">
      <c r="A289" s="106" t="s">
        <v>454</v>
      </c>
      <c r="B289" s="106" t="s">
        <v>348</v>
      </c>
      <c r="C289" s="106" t="s">
        <v>353</v>
      </c>
      <c r="D289" s="106" t="s">
        <v>350</v>
      </c>
      <c r="E289">
        <v>4397</v>
      </c>
      <c r="F289" s="106" t="s">
        <v>2246</v>
      </c>
      <c r="G289" s="106" t="s">
        <v>363</v>
      </c>
      <c r="H289" s="106" t="s">
        <v>362</v>
      </c>
      <c r="I289" s="106">
        <v>343</v>
      </c>
      <c r="J289" s="106"/>
    </row>
    <row r="290" spans="1:10">
      <c r="A290" s="106" t="s">
        <v>454</v>
      </c>
      <c r="B290" s="106" t="s">
        <v>348</v>
      </c>
      <c r="C290" s="106" t="s">
        <v>349</v>
      </c>
      <c r="D290" s="106" t="s">
        <v>350</v>
      </c>
      <c r="E290">
        <v>4429</v>
      </c>
      <c r="F290" s="106" t="s">
        <v>634</v>
      </c>
      <c r="G290" s="106" t="s">
        <v>363</v>
      </c>
      <c r="H290" s="106" t="s">
        <v>362</v>
      </c>
      <c r="I290" s="106">
        <v>225</v>
      </c>
      <c r="J290" s="106"/>
    </row>
    <row r="291" spans="1:10">
      <c r="A291" s="106" t="s">
        <v>454</v>
      </c>
      <c r="B291" s="106" t="s">
        <v>348</v>
      </c>
      <c r="C291" s="106" t="s">
        <v>349</v>
      </c>
      <c r="D291" s="106" t="s">
        <v>354</v>
      </c>
      <c r="E291">
        <v>4434</v>
      </c>
      <c r="F291" s="106" t="s">
        <v>655</v>
      </c>
      <c r="G291" s="106" t="s">
        <v>363</v>
      </c>
      <c r="H291" s="106" t="s">
        <v>362</v>
      </c>
      <c r="I291" s="106">
        <v>282</v>
      </c>
      <c r="J291" s="106"/>
    </row>
    <row r="292" spans="1:10">
      <c r="A292" s="106" t="s">
        <v>454</v>
      </c>
      <c r="B292" s="106" t="s">
        <v>348</v>
      </c>
      <c r="C292" s="106" t="s">
        <v>360</v>
      </c>
      <c r="D292" s="106" t="s">
        <v>350</v>
      </c>
      <c r="E292">
        <v>4443</v>
      </c>
      <c r="F292" s="106" t="s">
        <v>636</v>
      </c>
      <c r="G292" s="106" t="s">
        <v>363</v>
      </c>
      <c r="H292" s="106" t="s">
        <v>362</v>
      </c>
      <c r="I292" s="106" t="s">
        <v>382</v>
      </c>
      <c r="J292" s="106" t="s">
        <v>2247</v>
      </c>
    </row>
    <row r="293" spans="1:10">
      <c r="A293" s="106" t="s">
        <v>454</v>
      </c>
      <c r="B293" s="106" t="s">
        <v>348</v>
      </c>
      <c r="C293" s="106" t="s">
        <v>360</v>
      </c>
      <c r="D293" s="106" t="s">
        <v>350</v>
      </c>
      <c r="E293">
        <v>4577</v>
      </c>
      <c r="F293" s="106" t="s">
        <v>2248</v>
      </c>
      <c r="G293" s="106" t="s">
        <v>351</v>
      </c>
      <c r="H293" s="106" t="s">
        <v>396</v>
      </c>
      <c r="I293" s="106">
        <v>403</v>
      </c>
      <c r="J293" s="106"/>
    </row>
    <row r="294" spans="1:10">
      <c r="A294" s="106" t="s">
        <v>454</v>
      </c>
      <c r="B294" s="106" t="s">
        <v>348</v>
      </c>
      <c r="C294" s="106" t="s">
        <v>358</v>
      </c>
      <c r="D294" s="106" t="s">
        <v>350</v>
      </c>
      <c r="E294">
        <v>4616</v>
      </c>
      <c r="F294" s="106" t="s">
        <v>2249</v>
      </c>
      <c r="G294" s="106" t="s">
        <v>359</v>
      </c>
      <c r="H294" s="106" t="s">
        <v>364</v>
      </c>
      <c r="I294" s="106">
        <v>14</v>
      </c>
      <c r="J294" s="106"/>
    </row>
    <row r="295" spans="1:10">
      <c r="A295" s="106" t="s">
        <v>454</v>
      </c>
      <c r="B295" s="106" t="s">
        <v>348</v>
      </c>
      <c r="C295" s="106" t="s">
        <v>349</v>
      </c>
      <c r="D295" s="106" t="s">
        <v>350</v>
      </c>
      <c r="E295">
        <v>4645</v>
      </c>
      <c r="F295" s="106" t="s">
        <v>2250</v>
      </c>
      <c r="G295" s="106" t="s">
        <v>355</v>
      </c>
      <c r="H295" s="106" t="s">
        <v>356</v>
      </c>
      <c r="I295" s="106">
        <v>52</v>
      </c>
      <c r="J295" s="106"/>
    </row>
    <row r="296" spans="1:10">
      <c r="A296" s="106" t="s">
        <v>454</v>
      </c>
      <c r="B296" s="106" t="s">
        <v>348</v>
      </c>
      <c r="C296" s="106" t="s">
        <v>353</v>
      </c>
      <c r="D296" s="106" t="s">
        <v>350</v>
      </c>
      <c r="E296">
        <v>4668</v>
      </c>
      <c r="F296" s="106" t="s">
        <v>461</v>
      </c>
      <c r="G296" s="106" t="s">
        <v>351</v>
      </c>
      <c r="H296" s="106" t="s">
        <v>356</v>
      </c>
      <c r="I296" s="106">
        <v>283</v>
      </c>
      <c r="J296" s="106"/>
    </row>
    <row r="297" spans="1:10">
      <c r="A297" s="106" t="s">
        <v>454</v>
      </c>
      <c r="B297" s="106" t="s">
        <v>348</v>
      </c>
      <c r="C297" s="106" t="s">
        <v>353</v>
      </c>
      <c r="D297" s="106" t="s">
        <v>350</v>
      </c>
      <c r="E297">
        <v>4728</v>
      </c>
      <c r="F297" s="106" t="s">
        <v>2251</v>
      </c>
      <c r="G297" s="106" t="s">
        <v>351</v>
      </c>
      <c r="H297" s="106" t="s">
        <v>362</v>
      </c>
      <c r="I297" s="106">
        <v>71</v>
      </c>
      <c r="J297" s="106"/>
    </row>
    <row r="298" spans="1:10">
      <c r="A298" s="106" t="s">
        <v>454</v>
      </c>
      <c r="B298" s="106" t="s">
        <v>348</v>
      </c>
      <c r="C298" s="106" t="s">
        <v>358</v>
      </c>
      <c r="D298" s="106" t="s">
        <v>350</v>
      </c>
      <c r="E298">
        <v>4992</v>
      </c>
      <c r="F298" s="106" t="s">
        <v>2252</v>
      </c>
      <c r="G298" s="106" t="s">
        <v>351</v>
      </c>
      <c r="H298" s="106" t="s">
        <v>364</v>
      </c>
      <c r="I298" s="106">
        <v>181</v>
      </c>
      <c r="J298" s="106"/>
    </row>
    <row r="299" spans="1:10">
      <c r="A299" s="106" t="s">
        <v>454</v>
      </c>
      <c r="B299" s="106" t="s">
        <v>348</v>
      </c>
      <c r="C299" s="106" t="s">
        <v>349</v>
      </c>
      <c r="D299" s="106" t="s">
        <v>350</v>
      </c>
      <c r="E299">
        <v>5018</v>
      </c>
      <c r="F299" s="106" t="s">
        <v>2253</v>
      </c>
      <c r="G299" s="106" t="s">
        <v>351</v>
      </c>
      <c r="H299" s="106" t="s">
        <v>2254</v>
      </c>
      <c r="I299" s="106">
        <v>137</v>
      </c>
      <c r="J299" s="106"/>
    </row>
    <row r="300" spans="1:10">
      <c r="A300" s="106" t="s">
        <v>454</v>
      </c>
      <c r="B300" s="106" t="s">
        <v>348</v>
      </c>
      <c r="C300" s="106" t="s">
        <v>349</v>
      </c>
      <c r="D300" s="106" t="s">
        <v>350</v>
      </c>
      <c r="E300">
        <v>5817</v>
      </c>
      <c r="F300" s="106" t="s">
        <v>2255</v>
      </c>
      <c r="G300" s="106" t="s">
        <v>359</v>
      </c>
      <c r="H300" s="106" t="s">
        <v>502</v>
      </c>
      <c r="I300">
        <v>18</v>
      </c>
    </row>
    <row r="301" spans="1:10">
      <c r="A301" s="106" t="s">
        <v>454</v>
      </c>
      <c r="B301" s="106" t="s">
        <v>348</v>
      </c>
      <c r="C301" s="106" t="s">
        <v>360</v>
      </c>
      <c r="D301" s="106" t="s">
        <v>350</v>
      </c>
      <c r="E301">
        <v>5967</v>
      </c>
      <c r="F301" s="106" t="s">
        <v>657</v>
      </c>
      <c r="G301" s="106" t="s">
        <v>359</v>
      </c>
      <c r="H301" s="106" t="s">
        <v>366</v>
      </c>
      <c r="I301" s="106">
        <v>62</v>
      </c>
      <c r="J301" s="106"/>
    </row>
    <row r="302" spans="1:10">
      <c r="A302" s="106" t="s">
        <v>454</v>
      </c>
      <c r="B302" s="106" t="s">
        <v>348</v>
      </c>
      <c r="C302" s="106" t="s">
        <v>360</v>
      </c>
      <c r="D302" s="106" t="s">
        <v>350</v>
      </c>
      <c r="E302">
        <v>6044</v>
      </c>
      <c r="F302" s="106" t="s">
        <v>2256</v>
      </c>
      <c r="G302" s="106" t="s">
        <v>351</v>
      </c>
      <c r="H302" s="106" t="s">
        <v>356</v>
      </c>
      <c r="I302" s="106">
        <v>61</v>
      </c>
      <c r="J302" s="106"/>
    </row>
    <row r="303" spans="1:10">
      <c r="A303" s="106" t="s">
        <v>454</v>
      </c>
      <c r="B303" s="106" t="s">
        <v>348</v>
      </c>
      <c r="C303" s="106" t="s">
        <v>360</v>
      </c>
      <c r="D303" s="106" t="s">
        <v>350</v>
      </c>
      <c r="E303">
        <v>6047</v>
      </c>
      <c r="F303" s="106" t="s">
        <v>2257</v>
      </c>
      <c r="G303" s="106" t="s">
        <v>351</v>
      </c>
      <c r="H303" s="106" t="s">
        <v>356</v>
      </c>
      <c r="I303" s="106">
        <v>367</v>
      </c>
      <c r="J303" s="106"/>
    </row>
    <row r="304" spans="1:10">
      <c r="A304" s="106" t="s">
        <v>454</v>
      </c>
      <c r="B304" s="106" t="s">
        <v>348</v>
      </c>
      <c r="C304" s="106" t="s">
        <v>353</v>
      </c>
      <c r="D304" s="106" t="s">
        <v>350</v>
      </c>
      <c r="E304">
        <v>6048</v>
      </c>
      <c r="F304" s="106" t="s">
        <v>2258</v>
      </c>
      <c r="G304" s="106" t="s">
        <v>351</v>
      </c>
      <c r="H304" s="106" t="s">
        <v>356</v>
      </c>
      <c r="I304" s="106">
        <v>52</v>
      </c>
      <c r="J304" s="106"/>
    </row>
    <row r="305" spans="1:10">
      <c r="A305" s="106" t="s">
        <v>454</v>
      </c>
      <c r="B305" s="106" t="s">
        <v>348</v>
      </c>
      <c r="C305" s="106" t="s">
        <v>349</v>
      </c>
      <c r="D305" s="106" t="s">
        <v>350</v>
      </c>
      <c r="E305">
        <v>6070</v>
      </c>
      <c r="F305" s="106" t="s">
        <v>2259</v>
      </c>
      <c r="G305" s="106" t="s">
        <v>351</v>
      </c>
      <c r="H305" s="106" t="s">
        <v>356</v>
      </c>
      <c r="I305">
        <v>75</v>
      </c>
    </row>
    <row r="306" spans="1:10">
      <c r="A306" s="106" t="s">
        <v>454</v>
      </c>
      <c r="B306" s="106" t="s">
        <v>348</v>
      </c>
      <c r="C306" s="106" t="s">
        <v>349</v>
      </c>
      <c r="D306" s="106" t="s">
        <v>350</v>
      </c>
      <c r="E306">
        <v>6086</v>
      </c>
      <c r="F306" s="106" t="s">
        <v>2260</v>
      </c>
      <c r="G306" s="106" t="s">
        <v>363</v>
      </c>
      <c r="H306" s="106" t="s">
        <v>356</v>
      </c>
      <c r="I306" s="106">
        <v>122</v>
      </c>
      <c r="J306" s="106"/>
    </row>
    <row r="307" spans="1:10">
      <c r="A307" s="106" t="s">
        <v>454</v>
      </c>
      <c r="B307" s="106" t="s">
        <v>348</v>
      </c>
      <c r="C307" s="106" t="s">
        <v>349</v>
      </c>
      <c r="D307" s="106" t="s">
        <v>350</v>
      </c>
      <c r="E307">
        <v>6173</v>
      </c>
      <c r="F307" s="106" t="s">
        <v>658</v>
      </c>
      <c r="G307" s="106" t="s">
        <v>363</v>
      </c>
      <c r="H307" s="106" t="s">
        <v>356</v>
      </c>
      <c r="I307" s="106">
        <v>23</v>
      </c>
      <c r="J307" s="106"/>
    </row>
    <row r="308" spans="1:10">
      <c r="A308" s="106" t="s">
        <v>454</v>
      </c>
      <c r="B308" s="106" t="s">
        <v>348</v>
      </c>
      <c r="C308" s="106" t="s">
        <v>349</v>
      </c>
      <c r="D308" s="106" t="s">
        <v>350</v>
      </c>
      <c r="E308">
        <v>6182</v>
      </c>
      <c r="F308" s="106" t="s">
        <v>2261</v>
      </c>
      <c r="G308" s="106" t="s">
        <v>363</v>
      </c>
      <c r="H308" s="106" t="s">
        <v>356</v>
      </c>
      <c r="I308">
        <v>388</v>
      </c>
    </row>
    <row r="309" spans="1:10">
      <c r="A309" s="106" t="s">
        <v>454</v>
      </c>
      <c r="B309" s="106" t="s">
        <v>348</v>
      </c>
      <c r="C309" s="106" t="s">
        <v>353</v>
      </c>
      <c r="D309" s="106" t="s">
        <v>350</v>
      </c>
      <c r="E309">
        <v>6199</v>
      </c>
      <c r="F309" s="106" t="s">
        <v>2262</v>
      </c>
      <c r="G309" s="106" t="s">
        <v>351</v>
      </c>
      <c r="H309" s="106" t="s">
        <v>356</v>
      </c>
      <c r="I309" s="106">
        <v>109</v>
      </c>
      <c r="J309" s="106"/>
    </row>
    <row r="310" spans="1:10">
      <c r="A310" s="106" t="s">
        <v>454</v>
      </c>
      <c r="B310" s="106" t="s">
        <v>348</v>
      </c>
      <c r="C310" s="106" t="s">
        <v>360</v>
      </c>
      <c r="D310" s="106" t="s">
        <v>350</v>
      </c>
      <c r="E310">
        <v>6505</v>
      </c>
      <c r="F310" s="106" t="s">
        <v>2263</v>
      </c>
      <c r="G310" s="106" t="s">
        <v>351</v>
      </c>
      <c r="H310" s="106" t="s">
        <v>376</v>
      </c>
      <c r="I310" s="106">
        <v>154</v>
      </c>
      <c r="J310" s="106"/>
    </row>
    <row r="311" spans="1:10">
      <c r="A311" s="106" t="s">
        <v>454</v>
      </c>
      <c r="B311" s="106" t="s">
        <v>348</v>
      </c>
      <c r="C311" s="106" t="s">
        <v>349</v>
      </c>
      <c r="D311" s="106" t="s">
        <v>354</v>
      </c>
      <c r="E311">
        <v>6532</v>
      </c>
      <c r="F311" s="106" t="s">
        <v>452</v>
      </c>
      <c r="G311" s="106" t="s">
        <v>351</v>
      </c>
      <c r="H311" s="106" t="s">
        <v>356</v>
      </c>
      <c r="I311">
        <v>839</v>
      </c>
    </row>
    <row r="312" spans="1:10">
      <c r="A312" s="106" t="s">
        <v>454</v>
      </c>
      <c r="B312" s="106" t="s">
        <v>348</v>
      </c>
      <c r="C312" s="106" t="s">
        <v>349</v>
      </c>
      <c r="D312" s="106" t="s">
        <v>350</v>
      </c>
      <c r="E312">
        <v>6543</v>
      </c>
      <c r="F312" s="106" t="s">
        <v>660</v>
      </c>
      <c r="G312" s="106" t="s">
        <v>355</v>
      </c>
      <c r="H312" s="106" t="s">
        <v>356</v>
      </c>
      <c r="I312">
        <v>26</v>
      </c>
    </row>
    <row r="313" spans="1:10">
      <c r="A313" s="106" t="s">
        <v>454</v>
      </c>
      <c r="B313" s="106" t="s">
        <v>348</v>
      </c>
      <c r="C313" s="106" t="s">
        <v>358</v>
      </c>
      <c r="D313" s="106" t="s">
        <v>354</v>
      </c>
      <c r="E313">
        <v>6558</v>
      </c>
      <c r="F313" s="106" t="s">
        <v>2264</v>
      </c>
      <c r="G313" s="106" t="s">
        <v>363</v>
      </c>
      <c r="H313" s="106" t="s">
        <v>356</v>
      </c>
      <c r="I313">
        <v>60</v>
      </c>
    </row>
    <row r="314" spans="1:10">
      <c r="A314" s="106" t="s">
        <v>454</v>
      </c>
      <c r="B314" s="106" t="s">
        <v>348</v>
      </c>
      <c r="C314" s="106" t="s">
        <v>349</v>
      </c>
      <c r="D314" s="106" t="s">
        <v>350</v>
      </c>
      <c r="E314">
        <v>6572</v>
      </c>
      <c r="F314" s="106" t="s">
        <v>2265</v>
      </c>
      <c r="G314" s="106" t="s">
        <v>351</v>
      </c>
      <c r="H314" s="106" t="s">
        <v>356</v>
      </c>
      <c r="I314" s="106">
        <v>657</v>
      </c>
      <c r="J314" s="106"/>
    </row>
    <row r="315" spans="1:10">
      <c r="A315" s="106" t="s">
        <v>454</v>
      </c>
      <c r="B315" s="106" t="s">
        <v>348</v>
      </c>
      <c r="C315" s="106" t="s">
        <v>349</v>
      </c>
      <c r="D315" s="106" t="s">
        <v>350</v>
      </c>
      <c r="E315">
        <v>6578</v>
      </c>
      <c r="F315" s="106" t="s">
        <v>469</v>
      </c>
      <c r="G315" s="106" t="s">
        <v>359</v>
      </c>
      <c r="H315" s="106" t="s">
        <v>356</v>
      </c>
      <c r="I315" s="106">
        <v>28</v>
      </c>
      <c r="J315" s="106"/>
    </row>
    <row r="316" spans="1:10">
      <c r="A316" s="106" t="s">
        <v>454</v>
      </c>
      <c r="B316" s="106" t="s">
        <v>348</v>
      </c>
      <c r="C316" s="106" t="s">
        <v>349</v>
      </c>
      <c r="D316" s="106" t="s">
        <v>350</v>
      </c>
      <c r="E316">
        <v>6814</v>
      </c>
      <c r="F316" s="106" t="s">
        <v>462</v>
      </c>
      <c r="G316" s="106" t="s">
        <v>351</v>
      </c>
      <c r="H316" s="106" t="s">
        <v>376</v>
      </c>
      <c r="I316" s="106">
        <v>435</v>
      </c>
      <c r="J316" s="106"/>
    </row>
    <row r="317" spans="1:10">
      <c r="A317" s="106" t="s">
        <v>454</v>
      </c>
      <c r="B317" s="106" t="s">
        <v>348</v>
      </c>
      <c r="C317" s="106" t="s">
        <v>353</v>
      </c>
      <c r="D317" s="106" t="s">
        <v>354</v>
      </c>
      <c r="E317">
        <v>7035</v>
      </c>
      <c r="F317" s="106" t="s">
        <v>2266</v>
      </c>
      <c r="G317" s="106" t="s">
        <v>363</v>
      </c>
      <c r="H317" s="106" t="s">
        <v>356</v>
      </c>
      <c r="I317" s="106">
        <v>221</v>
      </c>
      <c r="J317" s="106"/>
    </row>
    <row r="318" spans="1:10">
      <c r="A318" s="106" t="s">
        <v>454</v>
      </c>
      <c r="B318" s="106" t="s">
        <v>348</v>
      </c>
      <c r="C318" s="106" t="s">
        <v>349</v>
      </c>
      <c r="D318" s="106" t="s">
        <v>350</v>
      </c>
      <c r="E318">
        <v>7049</v>
      </c>
      <c r="F318" s="106" t="s">
        <v>661</v>
      </c>
      <c r="G318" s="106" t="s">
        <v>363</v>
      </c>
      <c r="H318" s="106" t="s">
        <v>356</v>
      </c>
      <c r="I318">
        <v>117</v>
      </c>
    </row>
    <row r="319" spans="1:10">
      <c r="A319" s="106" t="s">
        <v>454</v>
      </c>
      <c r="B319" s="106" t="s">
        <v>348</v>
      </c>
      <c r="C319" s="106" t="s">
        <v>353</v>
      </c>
      <c r="D319" s="106" t="s">
        <v>350</v>
      </c>
      <c r="E319">
        <v>7065</v>
      </c>
      <c r="F319" s="106" t="s">
        <v>663</v>
      </c>
      <c r="G319" s="106" t="s">
        <v>359</v>
      </c>
      <c r="H319" s="106" t="s">
        <v>356</v>
      </c>
      <c r="I319" s="106">
        <v>176</v>
      </c>
      <c r="J319" s="106"/>
    </row>
    <row r="320" spans="1:10">
      <c r="A320" s="106" t="s">
        <v>454</v>
      </c>
      <c r="B320" s="106" t="s">
        <v>348</v>
      </c>
      <c r="C320" s="106" t="s">
        <v>353</v>
      </c>
      <c r="D320" s="106" t="s">
        <v>350</v>
      </c>
      <c r="E320">
        <v>7445</v>
      </c>
      <c r="F320" s="106" t="s">
        <v>2267</v>
      </c>
      <c r="G320" s="106" t="s">
        <v>351</v>
      </c>
      <c r="H320" s="106" t="s">
        <v>361</v>
      </c>
      <c r="I320" s="106">
        <v>182</v>
      </c>
      <c r="J320" s="106"/>
    </row>
    <row r="321" spans="1:10">
      <c r="A321" s="106" t="s">
        <v>454</v>
      </c>
      <c r="B321" s="106" t="s">
        <v>348</v>
      </c>
      <c r="C321" s="106" t="s">
        <v>349</v>
      </c>
      <c r="D321" s="106" t="s">
        <v>350</v>
      </c>
      <c r="E321">
        <v>7515</v>
      </c>
      <c r="F321" s="106" t="s">
        <v>2268</v>
      </c>
      <c r="G321" s="106" t="s">
        <v>359</v>
      </c>
      <c r="H321" s="106" t="s">
        <v>361</v>
      </c>
      <c r="I321" s="106">
        <v>24</v>
      </c>
      <c r="J321" s="106"/>
    </row>
    <row r="322" spans="1:10">
      <c r="A322" s="106" t="s">
        <v>454</v>
      </c>
      <c r="B322" s="106" t="s">
        <v>348</v>
      </c>
      <c r="C322" s="106" t="s">
        <v>349</v>
      </c>
      <c r="D322" s="106" t="s">
        <v>350</v>
      </c>
      <c r="E322">
        <v>7599</v>
      </c>
      <c r="F322" s="106" t="s">
        <v>2269</v>
      </c>
      <c r="G322" s="106" t="s">
        <v>351</v>
      </c>
      <c r="H322" s="106" t="s">
        <v>357</v>
      </c>
      <c r="I322" s="106">
        <v>668</v>
      </c>
      <c r="J322" s="106"/>
    </row>
    <row r="323" spans="1:10">
      <c r="A323" s="106" t="s">
        <v>454</v>
      </c>
      <c r="B323" s="106" t="s">
        <v>348</v>
      </c>
      <c r="C323" s="106" t="s">
        <v>349</v>
      </c>
      <c r="D323" s="106" t="s">
        <v>350</v>
      </c>
      <c r="E323">
        <v>7608</v>
      </c>
      <c r="F323" s="106" t="s">
        <v>2270</v>
      </c>
      <c r="G323" s="106" t="s">
        <v>351</v>
      </c>
      <c r="H323" s="106" t="s">
        <v>357</v>
      </c>
      <c r="I323" s="106">
        <v>37</v>
      </c>
      <c r="J323" s="106"/>
    </row>
    <row r="324" spans="1:10">
      <c r="A324" s="106" t="s">
        <v>454</v>
      </c>
      <c r="B324" s="106" t="s">
        <v>348</v>
      </c>
      <c r="C324" s="106" t="s">
        <v>349</v>
      </c>
      <c r="D324" s="106" t="s">
        <v>350</v>
      </c>
      <c r="E324">
        <v>7719</v>
      </c>
      <c r="F324" s="106" t="s">
        <v>463</v>
      </c>
      <c r="G324" s="106" t="s">
        <v>359</v>
      </c>
      <c r="H324" s="106" t="s">
        <v>464</v>
      </c>
      <c r="I324" s="106">
        <v>18</v>
      </c>
      <c r="J324" s="106"/>
    </row>
    <row r="325" spans="1:10">
      <c r="A325" s="106" t="s">
        <v>454</v>
      </c>
      <c r="B325" s="106" t="s">
        <v>348</v>
      </c>
      <c r="C325" s="106" t="s">
        <v>360</v>
      </c>
      <c r="D325" s="106" t="s">
        <v>350</v>
      </c>
      <c r="E325">
        <v>7808</v>
      </c>
      <c r="F325" s="106" t="s">
        <v>2271</v>
      </c>
      <c r="G325" s="106" t="s">
        <v>355</v>
      </c>
      <c r="H325" s="106" t="s">
        <v>373</v>
      </c>
      <c r="I325" s="106">
        <v>22</v>
      </c>
      <c r="J325" s="106"/>
    </row>
    <row r="326" spans="1:10">
      <c r="A326" s="106" t="s">
        <v>454</v>
      </c>
      <c r="B326" s="106" t="s">
        <v>348</v>
      </c>
      <c r="C326" s="106" t="s">
        <v>349</v>
      </c>
      <c r="D326" s="106" t="s">
        <v>350</v>
      </c>
      <c r="E326">
        <v>7811</v>
      </c>
      <c r="F326" s="106" t="s">
        <v>665</v>
      </c>
      <c r="G326" s="106" t="s">
        <v>351</v>
      </c>
      <c r="H326" s="106" t="s">
        <v>373</v>
      </c>
      <c r="I326">
        <v>127</v>
      </c>
    </row>
    <row r="327" spans="1:10">
      <c r="A327" s="106" t="s">
        <v>454</v>
      </c>
      <c r="B327" s="106" t="s">
        <v>348</v>
      </c>
      <c r="C327" s="106" t="s">
        <v>349</v>
      </c>
      <c r="D327" s="106" t="s">
        <v>354</v>
      </c>
      <c r="E327">
        <v>8181</v>
      </c>
      <c r="F327" s="106" t="s">
        <v>2272</v>
      </c>
      <c r="G327" s="106" t="s">
        <v>351</v>
      </c>
      <c r="H327" s="106" t="s">
        <v>361</v>
      </c>
      <c r="I327" s="106">
        <v>33</v>
      </c>
      <c r="J327" s="106"/>
    </row>
    <row r="328" spans="1:10">
      <c r="A328" s="106" t="s">
        <v>454</v>
      </c>
      <c r="B328" s="106" t="s">
        <v>348</v>
      </c>
      <c r="C328" s="106" t="s">
        <v>349</v>
      </c>
      <c r="D328" s="106" t="s">
        <v>350</v>
      </c>
      <c r="E328">
        <v>8254</v>
      </c>
      <c r="F328" s="106" t="s">
        <v>2273</v>
      </c>
      <c r="G328" s="106" t="s">
        <v>359</v>
      </c>
      <c r="H328" s="106" t="s">
        <v>361</v>
      </c>
      <c r="I328">
        <v>10</v>
      </c>
    </row>
    <row r="329" spans="1:10">
      <c r="A329" s="106" t="s">
        <v>454</v>
      </c>
      <c r="B329" s="106" t="s">
        <v>348</v>
      </c>
      <c r="C329" s="106" t="s">
        <v>349</v>
      </c>
      <c r="D329" s="106" t="s">
        <v>350</v>
      </c>
      <c r="E329">
        <v>8257</v>
      </c>
      <c r="F329" s="106" t="s">
        <v>2274</v>
      </c>
      <c r="G329" s="106" t="s">
        <v>355</v>
      </c>
      <c r="H329" s="106" t="s">
        <v>361</v>
      </c>
      <c r="I329">
        <v>17</v>
      </c>
    </row>
    <row r="330" spans="1:10">
      <c r="A330" s="106" t="s">
        <v>454</v>
      </c>
      <c r="B330" s="106" t="s">
        <v>348</v>
      </c>
      <c r="C330" s="106" t="s">
        <v>360</v>
      </c>
      <c r="D330" s="106" t="s">
        <v>350</v>
      </c>
      <c r="E330">
        <v>8940</v>
      </c>
      <c r="F330" s="106" t="s">
        <v>2275</v>
      </c>
      <c r="G330" s="106" t="s">
        <v>351</v>
      </c>
      <c r="H330" s="106" t="s">
        <v>377</v>
      </c>
      <c r="I330" s="106">
        <v>64</v>
      </c>
      <c r="J330" s="106"/>
    </row>
    <row r="331" spans="1:10">
      <c r="A331" s="106" t="s">
        <v>454</v>
      </c>
      <c r="B331" s="106" t="s">
        <v>348</v>
      </c>
      <c r="C331" s="106" t="s">
        <v>353</v>
      </c>
      <c r="D331" s="106" t="s">
        <v>350</v>
      </c>
      <c r="E331">
        <v>9264</v>
      </c>
      <c r="F331" s="106" t="s">
        <v>2276</v>
      </c>
      <c r="G331" s="106" t="s">
        <v>355</v>
      </c>
      <c r="H331" s="106" t="s">
        <v>357</v>
      </c>
      <c r="I331" s="106">
        <v>52</v>
      </c>
      <c r="J331" s="106"/>
    </row>
    <row r="332" spans="1:10">
      <c r="A332" s="106" t="s">
        <v>454</v>
      </c>
      <c r="B332" s="106" t="s">
        <v>348</v>
      </c>
      <c r="C332" s="106" t="s">
        <v>353</v>
      </c>
      <c r="D332" s="106" t="s">
        <v>350</v>
      </c>
      <c r="E332">
        <v>9270</v>
      </c>
      <c r="F332" s="106" t="s">
        <v>2277</v>
      </c>
      <c r="G332" s="106" t="s">
        <v>363</v>
      </c>
      <c r="H332" s="106" t="s">
        <v>357</v>
      </c>
      <c r="I332" s="106">
        <v>327</v>
      </c>
      <c r="J332" s="106"/>
    </row>
    <row r="333" spans="1:10">
      <c r="A333" s="106" t="s">
        <v>454</v>
      </c>
      <c r="B333" s="106" t="s">
        <v>348</v>
      </c>
      <c r="C333" s="106" t="s">
        <v>349</v>
      </c>
      <c r="D333" s="106" t="s">
        <v>350</v>
      </c>
      <c r="E333">
        <v>9275</v>
      </c>
      <c r="F333" s="106" t="s">
        <v>2278</v>
      </c>
      <c r="G333" s="106" t="s">
        <v>351</v>
      </c>
      <c r="H333" s="106" t="s">
        <v>361</v>
      </c>
      <c r="I333">
        <v>137</v>
      </c>
    </row>
    <row r="334" spans="1:10">
      <c r="A334" s="106" t="s">
        <v>454</v>
      </c>
      <c r="B334" s="106" t="s">
        <v>348</v>
      </c>
      <c r="C334" s="106" t="s">
        <v>349</v>
      </c>
      <c r="D334" s="106" t="s">
        <v>350</v>
      </c>
      <c r="E334">
        <v>9601</v>
      </c>
      <c r="F334" s="106" t="s">
        <v>2279</v>
      </c>
      <c r="G334" s="106" t="s">
        <v>351</v>
      </c>
      <c r="H334" s="106" t="s">
        <v>362</v>
      </c>
      <c r="I334" s="106" t="s">
        <v>374</v>
      </c>
      <c r="J334" s="106" t="s">
        <v>2280</v>
      </c>
    </row>
    <row r="335" spans="1:10">
      <c r="A335" s="106" t="s">
        <v>454</v>
      </c>
      <c r="B335" s="106" t="s">
        <v>348</v>
      </c>
      <c r="C335" s="106" t="s">
        <v>349</v>
      </c>
      <c r="D335" s="106" t="s">
        <v>350</v>
      </c>
      <c r="E335">
        <v>9602</v>
      </c>
      <c r="F335" s="106" t="s">
        <v>465</v>
      </c>
      <c r="G335" s="106" t="s">
        <v>351</v>
      </c>
      <c r="H335" s="106" t="s">
        <v>362</v>
      </c>
      <c r="I335" s="106" t="s">
        <v>466</v>
      </c>
      <c r="J335" s="106" t="s">
        <v>824</v>
      </c>
    </row>
    <row r="336" spans="1:10">
      <c r="A336" s="106" t="s">
        <v>454</v>
      </c>
      <c r="B336" s="106" t="s">
        <v>348</v>
      </c>
      <c r="C336" s="106" t="s">
        <v>358</v>
      </c>
      <c r="D336" s="106" t="s">
        <v>350</v>
      </c>
      <c r="E336">
        <v>9837</v>
      </c>
      <c r="F336" s="106" t="s">
        <v>2281</v>
      </c>
      <c r="G336" s="106" t="s">
        <v>351</v>
      </c>
      <c r="H336" s="106" t="s">
        <v>357</v>
      </c>
      <c r="I336" s="106">
        <v>247</v>
      </c>
      <c r="J336" s="106"/>
    </row>
    <row r="337" spans="1:10">
      <c r="A337" s="106" t="s">
        <v>454</v>
      </c>
      <c r="B337" s="106" t="s">
        <v>348</v>
      </c>
      <c r="C337" s="106" t="s">
        <v>349</v>
      </c>
      <c r="D337" s="106" t="s">
        <v>350</v>
      </c>
      <c r="E337">
        <v>9945</v>
      </c>
      <c r="F337" s="106" t="s">
        <v>868</v>
      </c>
      <c r="G337" s="106" t="s">
        <v>351</v>
      </c>
      <c r="H337" s="106" t="s">
        <v>361</v>
      </c>
      <c r="I337" s="106">
        <v>855</v>
      </c>
      <c r="J337" s="106"/>
    </row>
    <row r="338" spans="1:10">
      <c r="A338" s="106" t="s">
        <v>454</v>
      </c>
      <c r="B338" s="106" t="s">
        <v>348</v>
      </c>
      <c r="C338" s="106" t="s">
        <v>358</v>
      </c>
      <c r="D338" s="106" t="s">
        <v>350</v>
      </c>
      <c r="E338">
        <v>9972</v>
      </c>
      <c r="F338" s="106" t="s">
        <v>2282</v>
      </c>
      <c r="G338" s="106" t="s">
        <v>351</v>
      </c>
      <c r="H338" s="106" t="s">
        <v>357</v>
      </c>
      <c r="I338">
        <v>45</v>
      </c>
    </row>
    <row r="339" spans="1:10">
      <c r="A339" s="106" t="s">
        <v>454</v>
      </c>
      <c r="B339" s="106" t="s">
        <v>348</v>
      </c>
      <c r="C339" s="106" t="s">
        <v>353</v>
      </c>
      <c r="D339" s="106" t="s">
        <v>350</v>
      </c>
      <c r="E339">
        <v>9979</v>
      </c>
      <c r="F339" s="106" t="s">
        <v>2283</v>
      </c>
      <c r="G339" s="106" t="s">
        <v>351</v>
      </c>
      <c r="H339" s="106" t="s">
        <v>361</v>
      </c>
      <c r="I339" s="106">
        <v>349</v>
      </c>
      <c r="J339" s="106"/>
    </row>
    <row r="340" spans="1:10">
      <c r="A340" s="106" t="s">
        <v>467</v>
      </c>
      <c r="B340" s="106" t="s">
        <v>348</v>
      </c>
      <c r="C340" s="106" t="s">
        <v>358</v>
      </c>
      <c r="D340" s="106" t="s">
        <v>350</v>
      </c>
      <c r="E340">
        <v>3201</v>
      </c>
      <c r="F340" s="106" t="s">
        <v>2284</v>
      </c>
      <c r="G340" s="106" t="s">
        <v>351</v>
      </c>
      <c r="H340" s="106" t="s">
        <v>384</v>
      </c>
      <c r="I340">
        <v>990</v>
      </c>
    </row>
    <row r="341" spans="1:10">
      <c r="A341" s="106" t="s">
        <v>467</v>
      </c>
      <c r="B341" s="106" t="s">
        <v>348</v>
      </c>
      <c r="C341" s="106" t="s">
        <v>358</v>
      </c>
      <c r="D341" s="106" t="s">
        <v>350</v>
      </c>
      <c r="E341">
        <v>3907</v>
      </c>
      <c r="F341" s="106" t="s">
        <v>468</v>
      </c>
      <c r="G341" s="106" t="s">
        <v>363</v>
      </c>
      <c r="H341" s="106" t="s">
        <v>362</v>
      </c>
      <c r="I341" s="106">
        <v>49</v>
      </c>
      <c r="J341" s="106"/>
    </row>
    <row r="342" spans="1:10">
      <c r="A342" s="106" t="s">
        <v>467</v>
      </c>
      <c r="B342" s="106" t="s">
        <v>348</v>
      </c>
      <c r="C342" s="106" t="s">
        <v>358</v>
      </c>
      <c r="D342" s="106" t="s">
        <v>350</v>
      </c>
      <c r="E342">
        <v>4361</v>
      </c>
      <c r="F342" s="106" t="s">
        <v>2285</v>
      </c>
      <c r="G342" s="106" t="s">
        <v>359</v>
      </c>
      <c r="H342" s="106" t="s">
        <v>364</v>
      </c>
      <c r="I342" s="106">
        <v>12</v>
      </c>
      <c r="J342" s="106"/>
    </row>
    <row r="343" spans="1:10">
      <c r="A343" s="106" t="s">
        <v>467</v>
      </c>
      <c r="B343" s="106" t="s">
        <v>348</v>
      </c>
      <c r="C343" s="106" t="s">
        <v>358</v>
      </c>
      <c r="D343" s="106" t="s">
        <v>354</v>
      </c>
      <c r="E343">
        <v>4673</v>
      </c>
      <c r="F343" s="106" t="s">
        <v>2286</v>
      </c>
      <c r="G343" s="106" t="s">
        <v>355</v>
      </c>
      <c r="H343" s="106" t="s">
        <v>356</v>
      </c>
      <c r="I343" s="106">
        <v>21</v>
      </c>
      <c r="J343" s="106"/>
    </row>
    <row r="344" spans="1:10">
      <c r="A344" s="106" t="s">
        <v>467</v>
      </c>
      <c r="B344" s="106" t="s">
        <v>348</v>
      </c>
      <c r="C344" s="106" t="s">
        <v>358</v>
      </c>
      <c r="D344" s="106" t="s">
        <v>350</v>
      </c>
      <c r="E344">
        <v>6064</v>
      </c>
      <c r="F344" s="106" t="s">
        <v>2287</v>
      </c>
      <c r="G344" s="106" t="s">
        <v>363</v>
      </c>
      <c r="H344" s="106" t="s">
        <v>356</v>
      </c>
      <c r="I344" s="106">
        <v>124</v>
      </c>
      <c r="J344" s="106"/>
    </row>
    <row r="345" spans="1:10">
      <c r="A345" s="106" t="s">
        <v>467</v>
      </c>
      <c r="B345" s="106" t="s">
        <v>348</v>
      </c>
      <c r="C345" s="106" t="s">
        <v>358</v>
      </c>
      <c r="D345" s="106" t="s">
        <v>350</v>
      </c>
      <c r="E345">
        <v>6474</v>
      </c>
      <c r="F345" s="106" t="s">
        <v>2288</v>
      </c>
      <c r="G345" s="106" t="s">
        <v>351</v>
      </c>
      <c r="H345" s="106" t="s">
        <v>372</v>
      </c>
      <c r="I345" s="106" t="s">
        <v>382</v>
      </c>
      <c r="J345" s="106" t="s">
        <v>2289</v>
      </c>
    </row>
    <row r="346" spans="1:10">
      <c r="A346" s="106" t="s">
        <v>467</v>
      </c>
      <c r="B346" s="106" t="s">
        <v>348</v>
      </c>
      <c r="C346" s="106" t="s">
        <v>358</v>
      </c>
      <c r="D346" s="106" t="s">
        <v>350</v>
      </c>
      <c r="E346">
        <v>7594</v>
      </c>
      <c r="F346" s="106" t="s">
        <v>2290</v>
      </c>
      <c r="G346" s="106" t="s">
        <v>351</v>
      </c>
      <c r="H346" s="106" t="s">
        <v>357</v>
      </c>
      <c r="I346" s="106">
        <v>223</v>
      </c>
      <c r="J346" s="106"/>
    </row>
    <row r="347" spans="1:10">
      <c r="A347" s="106" t="s">
        <v>467</v>
      </c>
      <c r="B347" s="106" t="s">
        <v>348</v>
      </c>
      <c r="C347" s="106" t="s">
        <v>349</v>
      </c>
      <c r="D347" s="106" t="s">
        <v>354</v>
      </c>
      <c r="E347">
        <v>7610</v>
      </c>
      <c r="F347" s="106" t="s">
        <v>470</v>
      </c>
      <c r="G347" s="106" t="s">
        <v>355</v>
      </c>
      <c r="H347" s="106" t="s">
        <v>361</v>
      </c>
      <c r="I347" s="106">
        <v>25</v>
      </c>
      <c r="J347" s="106"/>
    </row>
    <row r="348" spans="1:10">
      <c r="A348" s="106" t="s">
        <v>467</v>
      </c>
      <c r="B348" s="106" t="s">
        <v>348</v>
      </c>
      <c r="C348" s="106" t="s">
        <v>358</v>
      </c>
      <c r="D348" s="106" t="s">
        <v>350</v>
      </c>
      <c r="E348">
        <v>7879</v>
      </c>
      <c r="F348" s="106" t="s">
        <v>2291</v>
      </c>
      <c r="G348" s="106" t="s">
        <v>359</v>
      </c>
      <c r="H348" s="106" t="s">
        <v>373</v>
      </c>
      <c r="I348" s="106">
        <v>157</v>
      </c>
      <c r="J348" s="106"/>
    </row>
    <row r="349" spans="1:10">
      <c r="A349" s="106" t="s">
        <v>467</v>
      </c>
      <c r="B349" s="106" t="s">
        <v>348</v>
      </c>
      <c r="C349" s="106" t="s">
        <v>358</v>
      </c>
      <c r="D349" s="106" t="s">
        <v>354</v>
      </c>
      <c r="E349">
        <v>9281</v>
      </c>
      <c r="F349" s="106" t="s">
        <v>2292</v>
      </c>
      <c r="G349" s="106" t="s">
        <v>388</v>
      </c>
      <c r="H349" s="106" t="s">
        <v>389</v>
      </c>
      <c r="I349" s="106">
        <v>224</v>
      </c>
      <c r="J349" s="106"/>
    </row>
    <row r="350" spans="1:10">
      <c r="A350" s="106" t="s">
        <v>2293</v>
      </c>
      <c r="B350" s="106" t="s">
        <v>348</v>
      </c>
      <c r="C350" s="106" t="s">
        <v>358</v>
      </c>
      <c r="D350" s="106" t="s">
        <v>354</v>
      </c>
      <c r="E350">
        <v>8966</v>
      </c>
      <c r="F350" s="106" t="s">
        <v>2294</v>
      </c>
      <c r="G350" s="106" t="s">
        <v>388</v>
      </c>
      <c r="H350" s="106" t="s">
        <v>389</v>
      </c>
      <c r="I350" s="106" t="s">
        <v>382</v>
      </c>
      <c r="J350" s="106" t="s">
        <v>2295</v>
      </c>
    </row>
    <row r="351" spans="1:10">
      <c r="A351" s="106" t="s">
        <v>471</v>
      </c>
      <c r="B351" s="106" t="s">
        <v>348</v>
      </c>
      <c r="C351" s="106" t="s">
        <v>358</v>
      </c>
      <c r="D351" s="106" t="s">
        <v>354</v>
      </c>
      <c r="E351">
        <v>3279</v>
      </c>
      <c r="F351" s="106" t="s">
        <v>472</v>
      </c>
      <c r="G351" s="106" t="s">
        <v>388</v>
      </c>
      <c r="H351" s="106" t="s">
        <v>389</v>
      </c>
      <c r="I351" s="106" t="s">
        <v>401</v>
      </c>
      <c r="J351" s="106" t="s">
        <v>2296</v>
      </c>
    </row>
    <row r="352" spans="1:10">
      <c r="A352" s="106" t="s">
        <v>471</v>
      </c>
      <c r="B352" s="106" t="s">
        <v>348</v>
      </c>
      <c r="C352" s="106" t="s">
        <v>358</v>
      </c>
      <c r="D352" s="106" t="s">
        <v>354</v>
      </c>
      <c r="E352">
        <v>3283</v>
      </c>
      <c r="F352" s="106" t="s">
        <v>2297</v>
      </c>
      <c r="G352" s="106" t="s">
        <v>388</v>
      </c>
      <c r="H352" s="106" t="s">
        <v>389</v>
      </c>
      <c r="I352" s="106" t="s">
        <v>410</v>
      </c>
      <c r="J352" s="106" t="s">
        <v>896</v>
      </c>
    </row>
    <row r="353" spans="1:10">
      <c r="A353" s="106" t="s">
        <v>471</v>
      </c>
      <c r="B353" s="106" t="s">
        <v>348</v>
      </c>
      <c r="C353" s="106" t="s">
        <v>358</v>
      </c>
      <c r="D353" s="106" t="s">
        <v>350</v>
      </c>
      <c r="E353">
        <v>6217</v>
      </c>
      <c r="F353" s="106" t="s">
        <v>2298</v>
      </c>
      <c r="G353" s="106" t="s">
        <v>351</v>
      </c>
      <c r="H353" s="106" t="s">
        <v>372</v>
      </c>
      <c r="I353" s="106">
        <v>89</v>
      </c>
      <c r="J353" s="106"/>
    </row>
    <row r="354" spans="1:10">
      <c r="A354" s="106" t="s">
        <v>471</v>
      </c>
      <c r="B354" s="106" t="s">
        <v>348</v>
      </c>
      <c r="C354" s="106" t="s">
        <v>358</v>
      </c>
      <c r="D354" s="106" t="s">
        <v>350</v>
      </c>
      <c r="E354">
        <v>6634</v>
      </c>
      <c r="F354" s="106" t="s">
        <v>473</v>
      </c>
      <c r="G354" s="106" t="s">
        <v>355</v>
      </c>
      <c r="H354" s="106" t="s">
        <v>376</v>
      </c>
      <c r="I354" s="106">
        <v>30</v>
      </c>
      <c r="J354" s="106"/>
    </row>
    <row r="355" spans="1:10">
      <c r="A355" s="106" t="s">
        <v>471</v>
      </c>
      <c r="B355" s="106" t="s">
        <v>348</v>
      </c>
      <c r="C355" s="106" t="s">
        <v>358</v>
      </c>
      <c r="D355" s="106" t="s">
        <v>354</v>
      </c>
      <c r="E355">
        <v>7501</v>
      </c>
      <c r="F355" s="106" t="s">
        <v>474</v>
      </c>
      <c r="G355" s="106" t="s">
        <v>355</v>
      </c>
      <c r="H355" s="106" t="s">
        <v>357</v>
      </c>
      <c r="I355" s="106">
        <v>20</v>
      </c>
      <c r="J355" s="106"/>
    </row>
    <row r="356" spans="1:10">
      <c r="A356" s="106" t="s">
        <v>471</v>
      </c>
      <c r="B356" s="106" t="s">
        <v>348</v>
      </c>
      <c r="C356" s="106" t="s">
        <v>358</v>
      </c>
      <c r="D356" s="106" t="s">
        <v>350</v>
      </c>
      <c r="E356">
        <v>7997</v>
      </c>
      <c r="F356" s="106" t="s">
        <v>2299</v>
      </c>
      <c r="G356" s="106" t="s">
        <v>359</v>
      </c>
      <c r="H356" s="106" t="s">
        <v>373</v>
      </c>
      <c r="I356" s="106">
        <v>18</v>
      </c>
      <c r="J356" s="106"/>
    </row>
    <row r="357" spans="1:10">
      <c r="A357" s="106" t="s">
        <v>471</v>
      </c>
      <c r="B357" s="106" t="s">
        <v>348</v>
      </c>
      <c r="C357" s="106" t="s">
        <v>358</v>
      </c>
      <c r="D357" s="106" t="s">
        <v>354</v>
      </c>
      <c r="E357">
        <v>8960</v>
      </c>
      <c r="F357" s="106" t="s">
        <v>2300</v>
      </c>
      <c r="G357" s="106" t="s">
        <v>388</v>
      </c>
      <c r="H357" s="106" t="s">
        <v>389</v>
      </c>
      <c r="I357" s="106" t="s">
        <v>410</v>
      </c>
      <c r="J357" s="106" t="s">
        <v>856</v>
      </c>
    </row>
    <row r="358" spans="1:10">
      <c r="A358" s="106" t="s">
        <v>471</v>
      </c>
      <c r="B358" s="106" t="s">
        <v>348</v>
      </c>
      <c r="C358" s="106" t="s">
        <v>358</v>
      </c>
      <c r="D358" s="106" t="s">
        <v>350</v>
      </c>
      <c r="E358">
        <v>9647</v>
      </c>
      <c r="F358" s="106" t="s">
        <v>2301</v>
      </c>
      <c r="G358" s="106" t="s">
        <v>355</v>
      </c>
      <c r="H358" s="106" t="s">
        <v>356</v>
      </c>
      <c r="I358" s="106">
        <v>17</v>
      </c>
      <c r="J358" s="106"/>
    </row>
    <row r="359" spans="1:10">
      <c r="A359" s="106" t="s">
        <v>2302</v>
      </c>
      <c r="B359" s="106" t="s">
        <v>348</v>
      </c>
      <c r="C359" s="106" t="s">
        <v>358</v>
      </c>
      <c r="D359" s="106" t="s">
        <v>350</v>
      </c>
      <c r="E359">
        <v>5341</v>
      </c>
      <c r="F359" s="106" t="s">
        <v>2303</v>
      </c>
      <c r="G359" s="106" t="s">
        <v>359</v>
      </c>
      <c r="H359" s="106" t="s">
        <v>393</v>
      </c>
      <c r="I359" s="106">
        <v>10</v>
      </c>
      <c r="J359" s="106"/>
    </row>
    <row r="360" spans="1:10">
      <c r="A360" s="106" t="s">
        <v>2304</v>
      </c>
      <c r="B360" s="106" t="s">
        <v>348</v>
      </c>
      <c r="C360" s="106" t="s">
        <v>358</v>
      </c>
      <c r="D360" s="106" t="s">
        <v>354</v>
      </c>
      <c r="E360">
        <v>3472</v>
      </c>
      <c r="F360" s="106" t="s">
        <v>2305</v>
      </c>
      <c r="G360" s="106" t="s">
        <v>388</v>
      </c>
      <c r="H360" s="106" t="s">
        <v>389</v>
      </c>
      <c r="I360">
        <v>217</v>
      </c>
    </row>
    <row r="361" spans="1:10">
      <c r="A361" s="106" t="s">
        <v>2304</v>
      </c>
      <c r="B361" s="106" t="s">
        <v>348</v>
      </c>
      <c r="C361" s="106" t="s">
        <v>358</v>
      </c>
      <c r="D361" s="106" t="s">
        <v>354</v>
      </c>
      <c r="E361">
        <v>8976</v>
      </c>
      <c r="F361" s="106" t="s">
        <v>2306</v>
      </c>
      <c r="G361" s="106" t="s">
        <v>388</v>
      </c>
      <c r="H361" s="106" t="s">
        <v>389</v>
      </c>
      <c r="I361" s="106" t="s">
        <v>401</v>
      </c>
      <c r="J361" s="106" t="s">
        <v>867</v>
      </c>
    </row>
    <row r="362" spans="1:10">
      <c r="A362" s="106" t="s">
        <v>475</v>
      </c>
      <c r="B362" s="106" t="s">
        <v>348</v>
      </c>
      <c r="C362" s="106" t="s">
        <v>349</v>
      </c>
      <c r="D362" s="106" t="s">
        <v>350</v>
      </c>
      <c r="E362">
        <v>6146</v>
      </c>
      <c r="F362" s="106" t="s">
        <v>476</v>
      </c>
      <c r="G362" s="106" t="s">
        <v>351</v>
      </c>
      <c r="H362" s="106" t="s">
        <v>372</v>
      </c>
      <c r="I362" s="106" t="s">
        <v>536</v>
      </c>
      <c r="J362" s="106" t="s">
        <v>2204</v>
      </c>
    </row>
    <row r="363" spans="1:10">
      <c r="A363" s="106" t="s">
        <v>475</v>
      </c>
      <c r="B363" s="106" t="s">
        <v>348</v>
      </c>
      <c r="C363" s="106" t="s">
        <v>358</v>
      </c>
      <c r="D363" s="106" t="s">
        <v>354</v>
      </c>
      <c r="E363">
        <v>8977</v>
      </c>
      <c r="F363" s="106" t="s">
        <v>869</v>
      </c>
      <c r="G363" s="106" t="s">
        <v>388</v>
      </c>
      <c r="H363" s="106" t="s">
        <v>389</v>
      </c>
      <c r="I363" s="106" t="s">
        <v>382</v>
      </c>
      <c r="J363" s="106" t="s">
        <v>2307</v>
      </c>
    </row>
    <row r="364" spans="1:10">
      <c r="A364" s="106" t="s">
        <v>2308</v>
      </c>
      <c r="B364" s="106" t="s">
        <v>348</v>
      </c>
      <c r="C364" s="106" t="s">
        <v>349</v>
      </c>
      <c r="D364" s="106" t="s">
        <v>350</v>
      </c>
      <c r="E364">
        <v>6961</v>
      </c>
      <c r="F364" s="106" t="s">
        <v>2309</v>
      </c>
      <c r="G364" s="106" t="s">
        <v>351</v>
      </c>
      <c r="H364" s="106" t="s">
        <v>376</v>
      </c>
      <c r="I364">
        <v>657</v>
      </c>
    </row>
    <row r="365" spans="1:10">
      <c r="A365" s="106" t="s">
        <v>2308</v>
      </c>
      <c r="B365" s="106" t="s">
        <v>348</v>
      </c>
      <c r="C365" s="106" t="s">
        <v>349</v>
      </c>
      <c r="D365" s="106" t="s">
        <v>350</v>
      </c>
      <c r="E365">
        <v>8595</v>
      </c>
      <c r="F365" s="106" t="s">
        <v>2310</v>
      </c>
      <c r="G365" s="106" t="s">
        <v>351</v>
      </c>
      <c r="H365" s="106" t="s">
        <v>2311</v>
      </c>
      <c r="I365" s="106" t="s">
        <v>382</v>
      </c>
      <c r="J365" s="106" t="s">
        <v>2312</v>
      </c>
    </row>
    <row r="366" spans="1:10">
      <c r="A366" s="106" t="s">
        <v>477</v>
      </c>
      <c r="B366" s="106" t="s">
        <v>348</v>
      </c>
      <c r="C366" s="106" t="s">
        <v>349</v>
      </c>
      <c r="D366" s="106" t="s">
        <v>350</v>
      </c>
      <c r="E366">
        <v>9433</v>
      </c>
      <c r="F366" s="106" t="s">
        <v>478</v>
      </c>
      <c r="G366" s="106" t="s">
        <v>351</v>
      </c>
      <c r="H366" s="106" t="s">
        <v>362</v>
      </c>
      <c r="I366" s="106" t="s">
        <v>2313</v>
      </c>
      <c r="J366" s="106" t="s">
        <v>2314</v>
      </c>
    </row>
    <row r="367" spans="1:10">
      <c r="A367" s="106" t="s">
        <v>479</v>
      </c>
      <c r="B367" s="106" t="s">
        <v>417</v>
      </c>
      <c r="C367" s="106" t="s">
        <v>349</v>
      </c>
      <c r="D367" s="106" t="s">
        <v>354</v>
      </c>
      <c r="E367">
        <v>4973</v>
      </c>
      <c r="F367" s="106" t="s">
        <v>480</v>
      </c>
      <c r="G367" s="106" t="s">
        <v>351</v>
      </c>
      <c r="H367" s="106" t="s">
        <v>364</v>
      </c>
      <c r="I367" s="106">
        <v>167</v>
      </c>
      <c r="J367" s="106"/>
    </row>
    <row r="368" spans="1:10">
      <c r="A368" s="106" t="s">
        <v>479</v>
      </c>
      <c r="B368" s="106" t="s">
        <v>348</v>
      </c>
      <c r="C368" s="106" t="s">
        <v>349</v>
      </c>
      <c r="D368" s="106" t="s">
        <v>350</v>
      </c>
      <c r="E368">
        <v>5936</v>
      </c>
      <c r="F368" s="106" t="s">
        <v>2315</v>
      </c>
      <c r="G368" s="106" t="s">
        <v>351</v>
      </c>
      <c r="H368" s="106" t="s">
        <v>366</v>
      </c>
      <c r="I368">
        <v>46</v>
      </c>
    </row>
    <row r="369" spans="1:10">
      <c r="A369" s="106" t="s">
        <v>481</v>
      </c>
      <c r="B369" s="106" t="s">
        <v>375</v>
      </c>
      <c r="C369" s="106" t="s">
        <v>349</v>
      </c>
      <c r="D369" s="106" t="s">
        <v>350</v>
      </c>
      <c r="E369">
        <v>9478</v>
      </c>
      <c r="F369" s="106" t="s">
        <v>2316</v>
      </c>
      <c r="G369" s="106" t="s">
        <v>355</v>
      </c>
      <c r="H369" s="106" t="s">
        <v>362</v>
      </c>
      <c r="I369" s="106">
        <v>45</v>
      </c>
      <c r="J369" s="106"/>
    </row>
    <row r="370" spans="1:10">
      <c r="A370" s="106" t="s">
        <v>481</v>
      </c>
      <c r="B370" s="106" t="s">
        <v>348</v>
      </c>
      <c r="C370" s="106" t="s">
        <v>349</v>
      </c>
      <c r="D370" s="106" t="s">
        <v>350</v>
      </c>
      <c r="E370">
        <v>4462</v>
      </c>
      <c r="F370" s="106" t="s">
        <v>482</v>
      </c>
      <c r="G370" s="106" t="s">
        <v>351</v>
      </c>
      <c r="H370" s="106" t="s">
        <v>364</v>
      </c>
      <c r="I370" s="106">
        <v>167</v>
      </c>
      <c r="J370" s="106"/>
    </row>
    <row r="371" spans="1:10">
      <c r="A371" s="106" t="s">
        <v>483</v>
      </c>
      <c r="B371" s="106" t="s">
        <v>417</v>
      </c>
      <c r="C371" s="106" t="s">
        <v>349</v>
      </c>
      <c r="D371" s="106" t="s">
        <v>350</v>
      </c>
      <c r="E371">
        <v>3850</v>
      </c>
      <c r="F371" s="106" t="s">
        <v>2317</v>
      </c>
      <c r="G371" s="106" t="s">
        <v>359</v>
      </c>
      <c r="H371" s="106" t="s">
        <v>362</v>
      </c>
      <c r="I371" s="106">
        <v>203</v>
      </c>
      <c r="J371" s="106"/>
    </row>
    <row r="372" spans="1:10">
      <c r="A372" s="106" t="s">
        <v>483</v>
      </c>
      <c r="B372" s="106" t="s">
        <v>348</v>
      </c>
      <c r="C372" s="106" t="s">
        <v>349</v>
      </c>
      <c r="D372" s="106" t="s">
        <v>354</v>
      </c>
      <c r="E372">
        <v>2540</v>
      </c>
      <c r="F372" s="106" t="s">
        <v>2318</v>
      </c>
      <c r="G372" s="106" t="s">
        <v>351</v>
      </c>
      <c r="H372" s="106" t="s">
        <v>352</v>
      </c>
      <c r="I372" s="106">
        <v>325</v>
      </c>
      <c r="J372" s="106"/>
    </row>
    <row r="373" spans="1:10">
      <c r="A373" s="106" t="s">
        <v>483</v>
      </c>
      <c r="B373" s="106" t="s">
        <v>348</v>
      </c>
      <c r="C373" s="106" t="s">
        <v>349</v>
      </c>
      <c r="D373" s="106" t="s">
        <v>350</v>
      </c>
      <c r="E373">
        <v>4099</v>
      </c>
      <c r="F373" s="106" t="s">
        <v>2319</v>
      </c>
      <c r="G373" s="106" t="s">
        <v>351</v>
      </c>
      <c r="H373" s="106" t="s">
        <v>364</v>
      </c>
      <c r="I373">
        <v>798</v>
      </c>
    </row>
    <row r="374" spans="1:10">
      <c r="A374" s="106" t="s">
        <v>483</v>
      </c>
      <c r="B374" s="106" t="s">
        <v>348</v>
      </c>
      <c r="C374" s="106" t="s">
        <v>349</v>
      </c>
      <c r="D374" s="106" t="s">
        <v>350</v>
      </c>
      <c r="E374">
        <v>9039</v>
      </c>
      <c r="F374" s="106" t="s">
        <v>484</v>
      </c>
      <c r="G374" s="106" t="s">
        <v>351</v>
      </c>
      <c r="H374" s="106" t="s">
        <v>485</v>
      </c>
      <c r="I374" s="106" t="s">
        <v>382</v>
      </c>
      <c r="J374" s="106" t="s">
        <v>2320</v>
      </c>
    </row>
    <row r="375" spans="1:10">
      <c r="A375" s="106" t="s">
        <v>486</v>
      </c>
      <c r="B375" s="106" t="s">
        <v>871</v>
      </c>
      <c r="C375" s="106" t="s">
        <v>349</v>
      </c>
      <c r="D375" s="106" t="s">
        <v>350</v>
      </c>
      <c r="E375">
        <v>6470</v>
      </c>
      <c r="F375" s="106" t="s">
        <v>872</v>
      </c>
      <c r="G375" s="106" t="s">
        <v>351</v>
      </c>
      <c r="H375" s="106" t="s">
        <v>372</v>
      </c>
      <c r="I375">
        <v>265</v>
      </c>
    </row>
    <row r="376" spans="1:10">
      <c r="A376" s="106" t="s">
        <v>486</v>
      </c>
      <c r="B376" s="106" t="s">
        <v>417</v>
      </c>
      <c r="C376" s="106" t="s">
        <v>349</v>
      </c>
      <c r="D376" s="106" t="s">
        <v>350</v>
      </c>
      <c r="E376">
        <v>2802</v>
      </c>
      <c r="F376" s="106" t="s">
        <v>873</v>
      </c>
      <c r="G376" s="106" t="s">
        <v>351</v>
      </c>
      <c r="H376" s="106" t="s">
        <v>352</v>
      </c>
      <c r="I376" s="106" t="s">
        <v>536</v>
      </c>
      <c r="J376" s="106" t="s">
        <v>2321</v>
      </c>
    </row>
    <row r="377" spans="1:10">
      <c r="A377" s="106" t="s">
        <v>486</v>
      </c>
      <c r="B377" s="106" t="s">
        <v>375</v>
      </c>
      <c r="C377" s="106" t="s">
        <v>349</v>
      </c>
      <c r="D377" s="106" t="s">
        <v>350</v>
      </c>
      <c r="E377">
        <v>2002</v>
      </c>
      <c r="F377" s="106" t="s">
        <v>2322</v>
      </c>
      <c r="G377" s="106" t="s">
        <v>351</v>
      </c>
      <c r="H377" s="106" t="s">
        <v>352</v>
      </c>
      <c r="I377" s="106" t="s">
        <v>410</v>
      </c>
      <c r="J377" s="106" t="s">
        <v>2323</v>
      </c>
    </row>
    <row r="378" spans="1:10">
      <c r="A378" s="106" t="s">
        <v>486</v>
      </c>
      <c r="B378" s="106" t="s">
        <v>348</v>
      </c>
      <c r="C378" s="106" t="s">
        <v>349</v>
      </c>
      <c r="D378" s="106" t="s">
        <v>350</v>
      </c>
      <c r="E378">
        <v>1878</v>
      </c>
      <c r="F378" s="106" t="s">
        <v>487</v>
      </c>
      <c r="G378" s="106" t="s">
        <v>351</v>
      </c>
      <c r="H378" s="106" t="s">
        <v>378</v>
      </c>
      <c r="I378" s="106" t="s">
        <v>488</v>
      </c>
      <c r="J378" s="106" t="s">
        <v>2324</v>
      </c>
    </row>
    <row r="379" spans="1:10">
      <c r="A379" s="106" t="s">
        <v>486</v>
      </c>
      <c r="B379" s="106" t="s">
        <v>348</v>
      </c>
      <c r="C379" s="106" t="s">
        <v>349</v>
      </c>
      <c r="D379" s="106" t="s">
        <v>350</v>
      </c>
      <c r="E379">
        <v>2127</v>
      </c>
      <c r="F379" s="106" t="s">
        <v>800</v>
      </c>
      <c r="G379" s="106" t="s">
        <v>351</v>
      </c>
      <c r="H379" s="106" t="s">
        <v>356</v>
      </c>
      <c r="I379" s="106" t="s">
        <v>410</v>
      </c>
      <c r="J379" s="106" t="s">
        <v>2325</v>
      </c>
    </row>
    <row r="380" spans="1:10">
      <c r="A380" s="106" t="s">
        <v>486</v>
      </c>
      <c r="B380" s="106" t="s">
        <v>348</v>
      </c>
      <c r="C380" s="106" t="s">
        <v>349</v>
      </c>
      <c r="D380" s="106" t="s">
        <v>350</v>
      </c>
      <c r="E380">
        <v>2412</v>
      </c>
      <c r="F380" s="106" t="s">
        <v>801</v>
      </c>
      <c r="G380" s="106" t="s">
        <v>351</v>
      </c>
      <c r="H380" s="106" t="s">
        <v>356</v>
      </c>
      <c r="I380" s="106" t="s">
        <v>437</v>
      </c>
      <c r="J380" s="106" t="s">
        <v>2326</v>
      </c>
    </row>
    <row r="381" spans="1:10">
      <c r="A381" s="106" t="s">
        <v>486</v>
      </c>
      <c r="B381" s="106" t="s">
        <v>348</v>
      </c>
      <c r="C381" s="106" t="s">
        <v>349</v>
      </c>
      <c r="D381" s="106" t="s">
        <v>350</v>
      </c>
      <c r="E381">
        <v>2737</v>
      </c>
      <c r="F381" s="106" t="s">
        <v>489</v>
      </c>
      <c r="G381" s="106" t="s">
        <v>351</v>
      </c>
      <c r="H381" s="106" t="s">
        <v>357</v>
      </c>
      <c r="I381" s="106">
        <v>209</v>
      </c>
      <c r="J381" s="106"/>
    </row>
    <row r="382" spans="1:10">
      <c r="A382" s="106" t="s">
        <v>486</v>
      </c>
      <c r="B382" s="106" t="s">
        <v>348</v>
      </c>
      <c r="C382" s="106" t="s">
        <v>358</v>
      </c>
      <c r="D382" s="106" t="s">
        <v>350</v>
      </c>
      <c r="E382">
        <v>3003</v>
      </c>
      <c r="F382" s="106" t="s">
        <v>875</v>
      </c>
      <c r="G382" s="106" t="s">
        <v>351</v>
      </c>
      <c r="H382" s="106" t="s">
        <v>377</v>
      </c>
      <c r="I382" s="106" t="s">
        <v>466</v>
      </c>
      <c r="J382" s="106" t="s">
        <v>2327</v>
      </c>
    </row>
    <row r="383" spans="1:10">
      <c r="A383" s="106" t="s">
        <v>486</v>
      </c>
      <c r="B383" s="106" t="s">
        <v>348</v>
      </c>
      <c r="C383" s="106" t="s">
        <v>349</v>
      </c>
      <c r="D383" s="106" t="s">
        <v>350</v>
      </c>
      <c r="E383">
        <v>3167</v>
      </c>
      <c r="F383" s="106" t="s">
        <v>876</v>
      </c>
      <c r="G383" s="106" t="s">
        <v>351</v>
      </c>
      <c r="H383" s="106" t="s">
        <v>357</v>
      </c>
      <c r="I383" s="106" t="s">
        <v>382</v>
      </c>
      <c r="J383" s="106" t="s">
        <v>2328</v>
      </c>
    </row>
    <row r="384" spans="1:10">
      <c r="A384" s="106" t="s">
        <v>486</v>
      </c>
      <c r="B384" s="106" t="s">
        <v>348</v>
      </c>
      <c r="C384" s="106" t="s">
        <v>349</v>
      </c>
      <c r="D384" s="106" t="s">
        <v>350</v>
      </c>
      <c r="E384">
        <v>3388</v>
      </c>
      <c r="F384" s="106" t="s">
        <v>877</v>
      </c>
      <c r="G384" s="106" t="s">
        <v>351</v>
      </c>
      <c r="H384" s="106" t="s">
        <v>357</v>
      </c>
      <c r="I384" s="106">
        <v>202</v>
      </c>
      <c r="J384" s="106"/>
    </row>
    <row r="385" spans="1:10">
      <c r="A385" s="106" t="s">
        <v>486</v>
      </c>
      <c r="B385" s="106" t="s">
        <v>348</v>
      </c>
      <c r="C385" s="106" t="s">
        <v>349</v>
      </c>
      <c r="D385" s="106" t="s">
        <v>350</v>
      </c>
      <c r="E385">
        <v>3640</v>
      </c>
      <c r="F385" s="106" t="s">
        <v>878</v>
      </c>
      <c r="G385" s="106" t="s">
        <v>351</v>
      </c>
      <c r="H385" s="106" t="s">
        <v>362</v>
      </c>
      <c r="I385" s="106">
        <v>130</v>
      </c>
      <c r="J385" s="106"/>
    </row>
    <row r="386" spans="1:10">
      <c r="A386" s="106" t="s">
        <v>486</v>
      </c>
      <c r="B386" s="106" t="s">
        <v>348</v>
      </c>
      <c r="C386" s="106" t="s">
        <v>349</v>
      </c>
      <c r="D386" s="106" t="s">
        <v>350</v>
      </c>
      <c r="E386">
        <v>7551</v>
      </c>
      <c r="F386" s="106" t="s">
        <v>2329</v>
      </c>
      <c r="G386" s="106" t="s">
        <v>355</v>
      </c>
      <c r="H386" s="106" t="s">
        <v>381</v>
      </c>
      <c r="I386" s="106">
        <v>95</v>
      </c>
      <c r="J386" s="106"/>
    </row>
    <row r="387" spans="1:10">
      <c r="A387" s="106" t="s">
        <v>486</v>
      </c>
      <c r="B387" s="106" t="s">
        <v>348</v>
      </c>
      <c r="C387" s="106" t="s">
        <v>349</v>
      </c>
      <c r="D387" s="106" t="s">
        <v>350</v>
      </c>
      <c r="E387">
        <v>8137</v>
      </c>
      <c r="F387" s="106" t="s">
        <v>2330</v>
      </c>
      <c r="G387" s="106" t="s">
        <v>351</v>
      </c>
      <c r="H387" s="106" t="s">
        <v>357</v>
      </c>
      <c r="I387">
        <v>189</v>
      </c>
    </row>
    <row r="388" spans="1:10">
      <c r="A388" s="106" t="s">
        <v>486</v>
      </c>
      <c r="B388" s="106" t="s">
        <v>348</v>
      </c>
      <c r="C388" s="106" t="s">
        <v>349</v>
      </c>
      <c r="D388" s="106" t="s">
        <v>350</v>
      </c>
      <c r="E388">
        <v>8771</v>
      </c>
      <c r="F388" s="106" t="s">
        <v>490</v>
      </c>
      <c r="G388" s="106" t="s">
        <v>351</v>
      </c>
      <c r="H388" s="106" t="s">
        <v>387</v>
      </c>
      <c r="I388" s="106">
        <v>564</v>
      </c>
      <c r="J388" s="106"/>
    </row>
    <row r="389" spans="1:10">
      <c r="A389" s="106" t="s">
        <v>486</v>
      </c>
      <c r="B389" s="106" t="s">
        <v>348</v>
      </c>
      <c r="C389" s="106" t="s">
        <v>349</v>
      </c>
      <c r="D389" s="106" t="s">
        <v>350</v>
      </c>
      <c r="E389">
        <v>9020</v>
      </c>
      <c r="F389" s="106" t="s">
        <v>879</v>
      </c>
      <c r="G389" s="106" t="s">
        <v>351</v>
      </c>
      <c r="H389" s="106" t="s">
        <v>485</v>
      </c>
      <c r="I389" s="106" t="s">
        <v>880</v>
      </c>
      <c r="J389" s="106" t="s">
        <v>2331</v>
      </c>
    </row>
    <row r="390" spans="1:10">
      <c r="A390" s="106" t="s">
        <v>486</v>
      </c>
      <c r="B390" s="106" t="s">
        <v>348</v>
      </c>
      <c r="C390" s="106" t="s">
        <v>349</v>
      </c>
      <c r="D390" s="106" t="s">
        <v>350</v>
      </c>
      <c r="E390">
        <v>9037</v>
      </c>
      <c r="F390" s="106" t="s">
        <v>491</v>
      </c>
      <c r="G390" s="106" t="s">
        <v>351</v>
      </c>
      <c r="H390" s="106" t="s">
        <v>485</v>
      </c>
      <c r="I390" s="106">
        <v>684</v>
      </c>
      <c r="J390" s="106"/>
    </row>
    <row r="391" spans="1:10">
      <c r="A391" s="106" t="s">
        <v>486</v>
      </c>
      <c r="B391" s="106" t="s">
        <v>348</v>
      </c>
      <c r="C391" s="106" t="s">
        <v>353</v>
      </c>
      <c r="D391" s="106" t="s">
        <v>354</v>
      </c>
      <c r="E391">
        <v>9795</v>
      </c>
      <c r="F391" s="106" t="s">
        <v>2332</v>
      </c>
      <c r="G391" s="106" t="s">
        <v>351</v>
      </c>
      <c r="H391" s="106" t="s">
        <v>356</v>
      </c>
      <c r="I391">
        <v>258</v>
      </c>
    </row>
    <row r="392" spans="1:10">
      <c r="A392" s="106" t="s">
        <v>486</v>
      </c>
      <c r="B392" s="106" t="s">
        <v>348</v>
      </c>
      <c r="C392" s="106" t="s">
        <v>349</v>
      </c>
      <c r="D392" s="106" t="s">
        <v>350</v>
      </c>
      <c r="E392">
        <v>9995</v>
      </c>
      <c r="F392" s="106" t="s">
        <v>492</v>
      </c>
      <c r="G392" s="106" t="s">
        <v>351</v>
      </c>
      <c r="H392" s="106" t="s">
        <v>357</v>
      </c>
      <c r="I392">
        <v>121</v>
      </c>
    </row>
    <row r="393" spans="1:10">
      <c r="A393" s="106" t="s">
        <v>493</v>
      </c>
      <c r="B393" s="106" t="s">
        <v>417</v>
      </c>
      <c r="C393" s="106" t="s">
        <v>349</v>
      </c>
      <c r="D393" s="106" t="s">
        <v>350</v>
      </c>
      <c r="E393">
        <v>3433</v>
      </c>
      <c r="F393" s="106" t="s">
        <v>881</v>
      </c>
      <c r="G393" s="106" t="s">
        <v>351</v>
      </c>
      <c r="H393" s="106" t="s">
        <v>366</v>
      </c>
      <c r="I393" s="106">
        <v>729</v>
      </c>
      <c r="J393" s="106"/>
    </row>
    <row r="394" spans="1:10">
      <c r="A394" s="106" t="s">
        <v>493</v>
      </c>
      <c r="B394" s="106" t="s">
        <v>348</v>
      </c>
      <c r="C394" s="106" t="s">
        <v>349</v>
      </c>
      <c r="D394" s="106" t="s">
        <v>350</v>
      </c>
      <c r="E394">
        <v>1946</v>
      </c>
      <c r="F394" s="106" t="s">
        <v>592</v>
      </c>
      <c r="G394" s="106" t="s">
        <v>351</v>
      </c>
      <c r="H394" s="106" t="s">
        <v>378</v>
      </c>
      <c r="I394" s="106">
        <v>756</v>
      </c>
      <c r="J394" s="106"/>
    </row>
    <row r="395" spans="1:10">
      <c r="A395" s="106" t="s">
        <v>493</v>
      </c>
      <c r="B395" s="106" t="s">
        <v>348</v>
      </c>
      <c r="C395" s="106" t="s">
        <v>349</v>
      </c>
      <c r="D395" s="106" t="s">
        <v>350</v>
      </c>
      <c r="E395">
        <v>2175</v>
      </c>
      <c r="F395" s="106" t="s">
        <v>802</v>
      </c>
      <c r="G395" s="106" t="s">
        <v>351</v>
      </c>
      <c r="H395" s="106" t="s">
        <v>356</v>
      </c>
      <c r="I395" s="106" t="s">
        <v>374</v>
      </c>
      <c r="J395" s="106" t="s">
        <v>2333</v>
      </c>
    </row>
    <row r="396" spans="1:10">
      <c r="A396" s="106" t="s">
        <v>493</v>
      </c>
      <c r="B396" s="106" t="s">
        <v>348</v>
      </c>
      <c r="C396" s="106" t="s">
        <v>349</v>
      </c>
      <c r="D396" s="106" t="s">
        <v>350</v>
      </c>
      <c r="E396">
        <v>2220</v>
      </c>
      <c r="F396" s="106" t="s">
        <v>803</v>
      </c>
      <c r="G396" s="106" t="s">
        <v>351</v>
      </c>
      <c r="H396" s="106" t="s">
        <v>352</v>
      </c>
      <c r="I396" s="106" t="s">
        <v>382</v>
      </c>
      <c r="J396" s="106" t="s">
        <v>2170</v>
      </c>
    </row>
    <row r="397" spans="1:10">
      <c r="A397" s="106" t="s">
        <v>493</v>
      </c>
      <c r="B397" s="106" t="s">
        <v>348</v>
      </c>
      <c r="C397" s="106" t="s">
        <v>349</v>
      </c>
      <c r="D397" s="106" t="s">
        <v>350</v>
      </c>
      <c r="E397">
        <v>2331</v>
      </c>
      <c r="F397" s="106" t="s">
        <v>804</v>
      </c>
      <c r="G397" s="106" t="s">
        <v>351</v>
      </c>
      <c r="H397" s="106" t="s">
        <v>356</v>
      </c>
      <c r="I397" s="106" t="s">
        <v>410</v>
      </c>
      <c r="J397" s="106" t="s">
        <v>2334</v>
      </c>
    </row>
    <row r="398" spans="1:10">
      <c r="A398" s="106" t="s">
        <v>493</v>
      </c>
      <c r="B398" s="106" t="s">
        <v>348</v>
      </c>
      <c r="C398" s="106" t="s">
        <v>349</v>
      </c>
      <c r="D398" s="106" t="s">
        <v>350</v>
      </c>
      <c r="E398">
        <v>2497</v>
      </c>
      <c r="F398" s="106" t="s">
        <v>882</v>
      </c>
      <c r="G398" s="106" t="s">
        <v>363</v>
      </c>
      <c r="H398" s="106" t="s">
        <v>356</v>
      </c>
      <c r="I398" s="106">
        <v>325</v>
      </c>
      <c r="J398" s="106"/>
    </row>
    <row r="399" spans="1:10">
      <c r="A399" s="106" t="s">
        <v>493</v>
      </c>
      <c r="B399" s="106" t="s">
        <v>348</v>
      </c>
      <c r="C399" s="106" t="s">
        <v>349</v>
      </c>
      <c r="D399" s="106" t="s">
        <v>350</v>
      </c>
      <c r="E399">
        <v>2715</v>
      </c>
      <c r="F399" s="106" t="s">
        <v>494</v>
      </c>
      <c r="G399" s="106" t="s">
        <v>351</v>
      </c>
      <c r="H399" s="106" t="s">
        <v>357</v>
      </c>
      <c r="I399" s="106">
        <v>498</v>
      </c>
      <c r="J399" s="106"/>
    </row>
    <row r="400" spans="1:10">
      <c r="A400" s="106" t="s">
        <v>493</v>
      </c>
      <c r="B400" s="106" t="s">
        <v>348</v>
      </c>
      <c r="C400" s="106" t="s">
        <v>349</v>
      </c>
      <c r="D400" s="106" t="s">
        <v>354</v>
      </c>
      <c r="E400">
        <v>2892</v>
      </c>
      <c r="F400" s="106" t="s">
        <v>495</v>
      </c>
      <c r="G400" s="106" t="s">
        <v>359</v>
      </c>
      <c r="H400" s="106" t="s">
        <v>352</v>
      </c>
      <c r="I400" s="106">
        <v>85</v>
      </c>
      <c r="J400" s="106"/>
    </row>
    <row r="401" spans="1:10">
      <c r="A401" s="106" t="s">
        <v>493</v>
      </c>
      <c r="B401" s="106" t="s">
        <v>348</v>
      </c>
      <c r="C401" s="106" t="s">
        <v>349</v>
      </c>
      <c r="D401" s="106" t="s">
        <v>350</v>
      </c>
      <c r="E401">
        <v>3023</v>
      </c>
      <c r="F401" s="106" t="s">
        <v>496</v>
      </c>
      <c r="G401" s="106" t="s">
        <v>351</v>
      </c>
      <c r="H401" s="106" t="s">
        <v>357</v>
      </c>
      <c r="I401" s="106">
        <v>124</v>
      </c>
      <c r="J401" s="106"/>
    </row>
    <row r="402" spans="1:10">
      <c r="A402" s="106" t="s">
        <v>493</v>
      </c>
      <c r="B402" s="106" t="s">
        <v>348</v>
      </c>
      <c r="C402" s="106" t="s">
        <v>349</v>
      </c>
      <c r="D402" s="106" t="s">
        <v>350</v>
      </c>
      <c r="E402">
        <v>3092</v>
      </c>
      <c r="F402" s="106" t="s">
        <v>883</v>
      </c>
      <c r="G402" s="106" t="s">
        <v>351</v>
      </c>
      <c r="H402" s="106" t="s">
        <v>361</v>
      </c>
      <c r="I402" s="106" t="s">
        <v>410</v>
      </c>
      <c r="J402" s="106" t="s">
        <v>924</v>
      </c>
    </row>
    <row r="403" spans="1:10">
      <c r="A403" s="106" t="s">
        <v>493</v>
      </c>
      <c r="B403" s="106" t="s">
        <v>348</v>
      </c>
      <c r="C403" s="106" t="s">
        <v>349</v>
      </c>
      <c r="D403" s="106" t="s">
        <v>350</v>
      </c>
      <c r="E403">
        <v>3098</v>
      </c>
      <c r="F403" s="106" t="s">
        <v>884</v>
      </c>
      <c r="G403" s="106" t="s">
        <v>351</v>
      </c>
      <c r="H403" s="106" t="s">
        <v>361</v>
      </c>
      <c r="I403" s="106" t="s">
        <v>382</v>
      </c>
      <c r="J403" s="106" t="s">
        <v>2335</v>
      </c>
    </row>
    <row r="404" spans="1:10">
      <c r="A404" s="106" t="s">
        <v>493</v>
      </c>
      <c r="B404" s="106" t="s">
        <v>348</v>
      </c>
      <c r="C404" s="106" t="s">
        <v>349</v>
      </c>
      <c r="D404" s="106" t="s">
        <v>354</v>
      </c>
      <c r="E404">
        <v>3137</v>
      </c>
      <c r="F404" s="106" t="s">
        <v>885</v>
      </c>
      <c r="G404" s="106" t="s">
        <v>363</v>
      </c>
      <c r="H404" s="106" t="s">
        <v>361</v>
      </c>
      <c r="I404">
        <v>75</v>
      </c>
    </row>
    <row r="405" spans="1:10">
      <c r="A405" s="106" t="s">
        <v>493</v>
      </c>
      <c r="B405" s="106" t="s">
        <v>348</v>
      </c>
      <c r="C405" s="106" t="s">
        <v>349</v>
      </c>
      <c r="D405" s="106" t="s">
        <v>350</v>
      </c>
      <c r="E405">
        <v>3513</v>
      </c>
      <c r="F405" s="106" t="s">
        <v>886</v>
      </c>
      <c r="G405" s="106" t="s">
        <v>351</v>
      </c>
      <c r="H405" s="106" t="s">
        <v>384</v>
      </c>
      <c r="I405">
        <v>76</v>
      </c>
    </row>
    <row r="406" spans="1:10">
      <c r="A406" s="106" t="s">
        <v>493</v>
      </c>
      <c r="B406" s="106" t="s">
        <v>348</v>
      </c>
      <c r="C406" s="106" t="s">
        <v>349</v>
      </c>
      <c r="D406" s="106" t="s">
        <v>350</v>
      </c>
      <c r="E406">
        <v>3591</v>
      </c>
      <c r="F406" s="106" t="s">
        <v>887</v>
      </c>
      <c r="G406" s="106" t="s">
        <v>351</v>
      </c>
      <c r="H406" s="106" t="s">
        <v>384</v>
      </c>
      <c r="I406" s="106" t="s">
        <v>374</v>
      </c>
      <c r="J406" s="106" t="s">
        <v>2336</v>
      </c>
    </row>
    <row r="407" spans="1:10">
      <c r="A407" s="106" t="s">
        <v>493</v>
      </c>
      <c r="B407" s="106" t="s">
        <v>348</v>
      </c>
      <c r="C407" s="106" t="s">
        <v>349</v>
      </c>
      <c r="D407" s="106" t="s">
        <v>350</v>
      </c>
      <c r="E407">
        <v>3666</v>
      </c>
      <c r="F407" s="106" t="s">
        <v>888</v>
      </c>
      <c r="G407" s="106" t="s">
        <v>351</v>
      </c>
      <c r="H407" s="106" t="s">
        <v>362</v>
      </c>
      <c r="I407" s="106">
        <v>101</v>
      </c>
      <c r="J407" s="106"/>
    </row>
    <row r="408" spans="1:10">
      <c r="A408" s="106" t="s">
        <v>493</v>
      </c>
      <c r="B408" s="106" t="s">
        <v>348</v>
      </c>
      <c r="C408" s="106" t="s">
        <v>349</v>
      </c>
      <c r="D408" s="106" t="s">
        <v>350</v>
      </c>
      <c r="E408">
        <v>3762</v>
      </c>
      <c r="F408" s="106" t="s">
        <v>497</v>
      </c>
      <c r="G408" s="106" t="s">
        <v>351</v>
      </c>
      <c r="H408" s="106" t="s">
        <v>362</v>
      </c>
      <c r="I408">
        <v>520</v>
      </c>
    </row>
    <row r="409" spans="1:10">
      <c r="A409" s="106" t="s">
        <v>493</v>
      </c>
      <c r="B409" s="106" t="s">
        <v>348</v>
      </c>
      <c r="C409" s="106" t="s">
        <v>349</v>
      </c>
      <c r="D409" s="106" t="s">
        <v>354</v>
      </c>
      <c r="E409">
        <v>3841</v>
      </c>
      <c r="F409" s="106" t="s">
        <v>498</v>
      </c>
      <c r="G409" s="106" t="s">
        <v>355</v>
      </c>
      <c r="H409" s="106" t="s">
        <v>362</v>
      </c>
      <c r="I409" s="106">
        <v>23</v>
      </c>
      <c r="J409" s="106"/>
    </row>
    <row r="410" spans="1:10">
      <c r="A410" s="106" t="s">
        <v>493</v>
      </c>
      <c r="B410" s="106" t="s">
        <v>348</v>
      </c>
      <c r="C410" s="106" t="s">
        <v>349</v>
      </c>
      <c r="D410" s="106" t="s">
        <v>350</v>
      </c>
      <c r="E410">
        <v>4310</v>
      </c>
      <c r="F410" s="106" t="s">
        <v>499</v>
      </c>
      <c r="G410" s="106" t="s">
        <v>351</v>
      </c>
      <c r="H410" s="106" t="s">
        <v>356</v>
      </c>
      <c r="I410" s="106">
        <v>167</v>
      </c>
      <c r="J410" s="106"/>
    </row>
    <row r="411" spans="1:10">
      <c r="A411" s="106" t="s">
        <v>493</v>
      </c>
      <c r="B411" s="106" t="s">
        <v>348</v>
      </c>
      <c r="C411" s="106" t="s">
        <v>349</v>
      </c>
      <c r="D411" s="106" t="s">
        <v>350</v>
      </c>
      <c r="E411">
        <v>4368</v>
      </c>
      <c r="F411" s="106" t="s">
        <v>500</v>
      </c>
      <c r="G411" s="106" t="s">
        <v>351</v>
      </c>
      <c r="H411" s="106" t="s">
        <v>364</v>
      </c>
      <c r="I411" s="106" t="s">
        <v>382</v>
      </c>
      <c r="J411" s="106" t="s">
        <v>2031</v>
      </c>
    </row>
    <row r="412" spans="1:10">
      <c r="A412" s="106" t="s">
        <v>493</v>
      </c>
      <c r="B412" s="106" t="s">
        <v>348</v>
      </c>
      <c r="C412" s="106" t="s">
        <v>349</v>
      </c>
      <c r="D412" s="106" t="s">
        <v>350</v>
      </c>
      <c r="E412">
        <v>4816</v>
      </c>
      <c r="F412" s="106" t="s">
        <v>890</v>
      </c>
      <c r="G412" s="106" t="s">
        <v>355</v>
      </c>
      <c r="H412" s="106" t="s">
        <v>362</v>
      </c>
      <c r="I412" s="106" t="s">
        <v>374</v>
      </c>
      <c r="J412" s="106" t="s">
        <v>2170</v>
      </c>
    </row>
    <row r="413" spans="1:10">
      <c r="A413" s="106" t="s">
        <v>493</v>
      </c>
      <c r="B413" s="106" t="s">
        <v>348</v>
      </c>
      <c r="C413" s="106" t="s">
        <v>349</v>
      </c>
      <c r="D413" s="106" t="s">
        <v>350</v>
      </c>
      <c r="E413">
        <v>5332</v>
      </c>
      <c r="F413" s="106" t="s">
        <v>891</v>
      </c>
      <c r="G413" s="106" t="s">
        <v>351</v>
      </c>
      <c r="H413" s="106" t="s">
        <v>393</v>
      </c>
      <c r="I413" s="106" t="s">
        <v>466</v>
      </c>
      <c r="J413" s="106" t="s">
        <v>2337</v>
      </c>
    </row>
    <row r="414" spans="1:10">
      <c r="A414" s="106" t="s">
        <v>493</v>
      </c>
      <c r="B414" s="106" t="s">
        <v>348</v>
      </c>
      <c r="C414" s="106" t="s">
        <v>349</v>
      </c>
      <c r="D414" s="106" t="s">
        <v>350</v>
      </c>
      <c r="E414">
        <v>5727</v>
      </c>
      <c r="F414" s="106" t="s">
        <v>501</v>
      </c>
      <c r="G414" s="106" t="s">
        <v>351</v>
      </c>
      <c r="H414" s="106" t="s">
        <v>502</v>
      </c>
      <c r="I414" s="106">
        <v>676</v>
      </c>
      <c r="J414" s="106"/>
    </row>
    <row r="415" spans="1:10">
      <c r="A415" s="106" t="s">
        <v>493</v>
      </c>
      <c r="B415" s="106" t="s">
        <v>348</v>
      </c>
      <c r="C415" s="106" t="s">
        <v>360</v>
      </c>
      <c r="D415" s="106" t="s">
        <v>350</v>
      </c>
      <c r="E415">
        <v>6028</v>
      </c>
      <c r="F415" s="106" t="s">
        <v>805</v>
      </c>
      <c r="G415" s="106" t="s">
        <v>351</v>
      </c>
      <c r="H415" s="106" t="s">
        <v>356</v>
      </c>
      <c r="I415" s="106" t="s">
        <v>374</v>
      </c>
      <c r="J415" s="106" t="s">
        <v>928</v>
      </c>
    </row>
    <row r="416" spans="1:10">
      <c r="A416" s="106" t="s">
        <v>493</v>
      </c>
      <c r="B416" s="106" t="s">
        <v>348</v>
      </c>
      <c r="C416" s="106" t="s">
        <v>349</v>
      </c>
      <c r="D416" s="106" t="s">
        <v>350</v>
      </c>
      <c r="E416">
        <v>6322</v>
      </c>
      <c r="F416" s="106" t="s">
        <v>503</v>
      </c>
      <c r="G416" s="106" t="s">
        <v>359</v>
      </c>
      <c r="H416" s="106" t="s">
        <v>372</v>
      </c>
      <c r="I416" s="106">
        <v>128</v>
      </c>
      <c r="J416" s="106"/>
    </row>
    <row r="417" spans="1:10">
      <c r="A417" s="106" t="s">
        <v>493</v>
      </c>
      <c r="B417" s="106" t="s">
        <v>348</v>
      </c>
      <c r="C417" s="106" t="s">
        <v>349</v>
      </c>
      <c r="D417" s="106" t="s">
        <v>350</v>
      </c>
      <c r="E417">
        <v>6659</v>
      </c>
      <c r="F417" s="106" t="s">
        <v>504</v>
      </c>
      <c r="G417" s="106" t="s">
        <v>355</v>
      </c>
      <c r="H417" s="106" t="s">
        <v>376</v>
      </c>
      <c r="I417" s="106">
        <v>17</v>
      </c>
      <c r="J417" s="106"/>
    </row>
    <row r="418" spans="1:10">
      <c r="A418" s="106" t="s">
        <v>493</v>
      </c>
      <c r="B418" s="106" t="s">
        <v>348</v>
      </c>
      <c r="C418" s="106" t="s">
        <v>349</v>
      </c>
      <c r="D418" s="106" t="s">
        <v>350</v>
      </c>
      <c r="E418">
        <v>6837</v>
      </c>
      <c r="F418" s="106" t="s">
        <v>2338</v>
      </c>
      <c r="G418" s="106" t="s">
        <v>355</v>
      </c>
      <c r="H418" s="106" t="s">
        <v>376</v>
      </c>
      <c r="I418" s="106">
        <v>44</v>
      </c>
      <c r="J418" s="106"/>
    </row>
    <row r="419" spans="1:10">
      <c r="A419" s="106" t="s">
        <v>493</v>
      </c>
      <c r="B419" s="106" t="s">
        <v>348</v>
      </c>
      <c r="C419" s="106" t="s">
        <v>349</v>
      </c>
      <c r="D419" s="106" t="s">
        <v>350</v>
      </c>
      <c r="E419">
        <v>6925</v>
      </c>
      <c r="F419" s="106" t="s">
        <v>505</v>
      </c>
      <c r="G419" s="106" t="s">
        <v>351</v>
      </c>
      <c r="H419" s="106" t="s">
        <v>376</v>
      </c>
      <c r="I419" s="106" t="s">
        <v>374</v>
      </c>
      <c r="J419" s="106" t="s">
        <v>2339</v>
      </c>
    </row>
    <row r="420" spans="1:10">
      <c r="A420" s="106" t="s">
        <v>493</v>
      </c>
      <c r="B420" s="106" t="s">
        <v>348</v>
      </c>
      <c r="C420" s="106" t="s">
        <v>349</v>
      </c>
      <c r="D420" s="106" t="s">
        <v>350</v>
      </c>
      <c r="E420">
        <v>7282</v>
      </c>
      <c r="F420" s="106" t="s">
        <v>506</v>
      </c>
      <c r="G420" s="106" t="s">
        <v>351</v>
      </c>
      <c r="H420" s="106" t="s">
        <v>381</v>
      </c>
      <c r="I420" s="106" t="s">
        <v>437</v>
      </c>
      <c r="J420" s="106" t="s">
        <v>2340</v>
      </c>
    </row>
    <row r="421" spans="1:10">
      <c r="A421" s="106" t="s">
        <v>493</v>
      </c>
      <c r="B421" s="106" t="s">
        <v>348</v>
      </c>
      <c r="C421" s="106" t="s">
        <v>349</v>
      </c>
      <c r="D421" s="106" t="s">
        <v>350</v>
      </c>
      <c r="E421">
        <v>7510</v>
      </c>
      <c r="F421" s="106" t="s">
        <v>507</v>
      </c>
      <c r="G421" s="106" t="s">
        <v>351</v>
      </c>
      <c r="H421" s="106" t="s">
        <v>357</v>
      </c>
      <c r="I421" s="106">
        <v>217</v>
      </c>
      <c r="J421" s="106"/>
    </row>
    <row r="422" spans="1:10">
      <c r="A422" s="106" t="s">
        <v>493</v>
      </c>
      <c r="B422" s="106" t="s">
        <v>348</v>
      </c>
      <c r="C422" s="106" t="s">
        <v>349</v>
      </c>
      <c r="D422" s="106" t="s">
        <v>350</v>
      </c>
      <c r="E422">
        <v>7600</v>
      </c>
      <c r="F422" s="106" t="s">
        <v>508</v>
      </c>
      <c r="G422" s="106" t="s">
        <v>351</v>
      </c>
      <c r="H422" s="106" t="s">
        <v>464</v>
      </c>
      <c r="I422" s="106">
        <v>584</v>
      </c>
      <c r="J422" s="106"/>
    </row>
    <row r="423" spans="1:10">
      <c r="A423" s="106" t="s">
        <v>493</v>
      </c>
      <c r="B423" s="106" t="s">
        <v>348</v>
      </c>
      <c r="C423" s="106" t="s">
        <v>349</v>
      </c>
      <c r="D423" s="106" t="s">
        <v>350</v>
      </c>
      <c r="E423">
        <v>7838</v>
      </c>
      <c r="F423" s="106" t="s">
        <v>509</v>
      </c>
      <c r="G423" s="106" t="s">
        <v>351</v>
      </c>
      <c r="H423" s="106" t="s">
        <v>373</v>
      </c>
      <c r="I423" s="106">
        <v>83</v>
      </c>
      <c r="J423" s="106"/>
    </row>
    <row r="424" spans="1:10">
      <c r="A424" s="106" t="s">
        <v>493</v>
      </c>
      <c r="B424" s="106" t="s">
        <v>348</v>
      </c>
      <c r="C424" s="106" t="s">
        <v>349</v>
      </c>
      <c r="D424" s="106" t="s">
        <v>350</v>
      </c>
      <c r="E424">
        <v>7840</v>
      </c>
      <c r="F424" s="106" t="s">
        <v>2341</v>
      </c>
      <c r="G424" s="106" t="s">
        <v>351</v>
      </c>
      <c r="H424" s="106" t="s">
        <v>373</v>
      </c>
      <c r="I424" s="106">
        <v>404</v>
      </c>
      <c r="J424" s="106"/>
    </row>
    <row r="425" spans="1:10">
      <c r="A425" s="106" t="s">
        <v>493</v>
      </c>
      <c r="B425" s="106" t="s">
        <v>348</v>
      </c>
      <c r="C425" s="106" t="s">
        <v>349</v>
      </c>
      <c r="D425" s="106" t="s">
        <v>350</v>
      </c>
      <c r="E425">
        <v>7925</v>
      </c>
      <c r="F425" s="106" t="s">
        <v>510</v>
      </c>
      <c r="G425" s="106" t="s">
        <v>351</v>
      </c>
      <c r="H425" s="106" t="s">
        <v>364</v>
      </c>
      <c r="I425" s="106">
        <v>189</v>
      </c>
      <c r="J425" s="106"/>
    </row>
    <row r="426" spans="1:10">
      <c r="A426" s="106" t="s">
        <v>493</v>
      </c>
      <c r="B426" s="106" t="s">
        <v>348</v>
      </c>
      <c r="C426" s="106" t="s">
        <v>349</v>
      </c>
      <c r="D426" s="106" t="s">
        <v>350</v>
      </c>
      <c r="E426">
        <v>8806</v>
      </c>
      <c r="F426" s="106" t="s">
        <v>511</v>
      </c>
      <c r="G426" s="106" t="s">
        <v>351</v>
      </c>
      <c r="H426" s="106" t="s">
        <v>377</v>
      </c>
      <c r="I426" s="106" t="s">
        <v>382</v>
      </c>
      <c r="J426" s="106" t="s">
        <v>2342</v>
      </c>
    </row>
    <row r="427" spans="1:10">
      <c r="A427" s="106" t="s">
        <v>493</v>
      </c>
      <c r="B427" s="106" t="s">
        <v>348</v>
      </c>
      <c r="C427" s="106" t="s">
        <v>349</v>
      </c>
      <c r="D427" s="106" t="s">
        <v>350</v>
      </c>
      <c r="E427">
        <v>9502</v>
      </c>
      <c r="F427" s="106" t="s">
        <v>618</v>
      </c>
      <c r="G427" s="106" t="s">
        <v>351</v>
      </c>
      <c r="H427" s="106" t="s">
        <v>619</v>
      </c>
      <c r="I427" s="106" t="s">
        <v>696</v>
      </c>
      <c r="J427" s="106" t="s">
        <v>2343</v>
      </c>
    </row>
    <row r="428" spans="1:10">
      <c r="A428" s="106" t="s">
        <v>493</v>
      </c>
      <c r="B428" s="106" t="s">
        <v>348</v>
      </c>
      <c r="C428" s="106" t="s">
        <v>349</v>
      </c>
      <c r="D428" s="106" t="s">
        <v>350</v>
      </c>
      <c r="E428">
        <v>9511</v>
      </c>
      <c r="F428" s="106" t="s">
        <v>2344</v>
      </c>
      <c r="G428" s="106" t="s">
        <v>351</v>
      </c>
      <c r="H428" s="106" t="s">
        <v>619</v>
      </c>
      <c r="I428" s="106" t="s">
        <v>382</v>
      </c>
      <c r="J428" s="106" t="s">
        <v>2345</v>
      </c>
    </row>
    <row r="429" spans="1:10">
      <c r="A429" s="106" t="s">
        <v>493</v>
      </c>
      <c r="B429" s="106" t="s">
        <v>348</v>
      </c>
      <c r="C429" s="106" t="s">
        <v>349</v>
      </c>
      <c r="D429" s="106" t="s">
        <v>350</v>
      </c>
      <c r="E429">
        <v>9759</v>
      </c>
      <c r="F429" s="106" t="s">
        <v>2346</v>
      </c>
      <c r="G429" s="106" t="s">
        <v>351</v>
      </c>
      <c r="H429" s="106" t="s">
        <v>362</v>
      </c>
      <c r="I429" s="106" t="s">
        <v>382</v>
      </c>
      <c r="J429" s="106" t="s">
        <v>2347</v>
      </c>
    </row>
    <row r="430" spans="1:10">
      <c r="A430" s="106" t="s">
        <v>512</v>
      </c>
      <c r="B430" s="106" t="s">
        <v>348</v>
      </c>
      <c r="C430" s="106" t="s">
        <v>349</v>
      </c>
      <c r="D430" s="106" t="s">
        <v>354</v>
      </c>
      <c r="E430">
        <v>1379</v>
      </c>
      <c r="F430" s="106" t="s">
        <v>513</v>
      </c>
      <c r="G430" s="106" t="s">
        <v>351</v>
      </c>
      <c r="H430" s="106" t="s">
        <v>399</v>
      </c>
      <c r="I430">
        <v>669</v>
      </c>
    </row>
    <row r="431" spans="1:10">
      <c r="A431" s="106" t="s">
        <v>512</v>
      </c>
      <c r="B431" s="106" t="s">
        <v>348</v>
      </c>
      <c r="C431" s="106" t="s">
        <v>349</v>
      </c>
      <c r="D431" s="106" t="s">
        <v>350</v>
      </c>
      <c r="E431">
        <v>1515</v>
      </c>
      <c r="F431" s="106" t="s">
        <v>2348</v>
      </c>
      <c r="G431" s="106" t="s">
        <v>351</v>
      </c>
      <c r="H431" s="106" t="s">
        <v>716</v>
      </c>
      <c r="I431">
        <v>429</v>
      </c>
    </row>
    <row r="432" spans="1:10">
      <c r="A432" s="106" t="s">
        <v>512</v>
      </c>
      <c r="B432" s="106" t="s">
        <v>348</v>
      </c>
      <c r="C432" s="106" t="s">
        <v>360</v>
      </c>
      <c r="D432" s="106" t="s">
        <v>354</v>
      </c>
      <c r="E432">
        <v>2428</v>
      </c>
      <c r="F432" s="106" t="s">
        <v>899</v>
      </c>
      <c r="G432" s="106" t="s">
        <v>351</v>
      </c>
      <c r="H432" s="106" t="s">
        <v>356</v>
      </c>
      <c r="I432">
        <v>147</v>
      </c>
    </row>
    <row r="433" spans="1:10">
      <c r="A433" s="106" t="s">
        <v>512</v>
      </c>
      <c r="B433" s="106" t="s">
        <v>348</v>
      </c>
      <c r="C433" s="106" t="s">
        <v>349</v>
      </c>
      <c r="D433" s="106" t="s">
        <v>350</v>
      </c>
      <c r="E433">
        <v>2676</v>
      </c>
      <c r="F433" s="106" t="s">
        <v>892</v>
      </c>
      <c r="G433" s="106" t="s">
        <v>351</v>
      </c>
      <c r="H433" s="106" t="s">
        <v>357</v>
      </c>
      <c r="I433" s="106">
        <v>114</v>
      </c>
      <c r="J433" s="106"/>
    </row>
    <row r="434" spans="1:10">
      <c r="A434" s="106" t="s">
        <v>512</v>
      </c>
      <c r="B434" s="106" t="s">
        <v>348</v>
      </c>
      <c r="C434" s="106" t="s">
        <v>360</v>
      </c>
      <c r="D434" s="106" t="s">
        <v>350</v>
      </c>
      <c r="E434">
        <v>2689</v>
      </c>
      <c r="F434" s="106" t="s">
        <v>2349</v>
      </c>
      <c r="G434" s="106" t="s">
        <v>359</v>
      </c>
      <c r="H434" s="106" t="s">
        <v>357</v>
      </c>
      <c r="I434" s="106">
        <v>88</v>
      </c>
      <c r="J434" s="106"/>
    </row>
    <row r="435" spans="1:10">
      <c r="A435" s="106" t="s">
        <v>512</v>
      </c>
      <c r="B435" s="106" t="s">
        <v>348</v>
      </c>
      <c r="C435" s="106" t="s">
        <v>349</v>
      </c>
      <c r="D435" s="106" t="s">
        <v>350</v>
      </c>
      <c r="E435">
        <v>2907</v>
      </c>
      <c r="F435" s="106" t="s">
        <v>514</v>
      </c>
      <c r="G435" s="106" t="s">
        <v>359</v>
      </c>
      <c r="H435" s="106" t="s">
        <v>352</v>
      </c>
      <c r="I435" s="106">
        <v>66</v>
      </c>
      <c r="J435" s="106"/>
    </row>
    <row r="436" spans="1:10">
      <c r="A436" s="106" t="s">
        <v>512</v>
      </c>
      <c r="B436" s="106" t="s">
        <v>348</v>
      </c>
      <c r="C436" s="106" t="s">
        <v>349</v>
      </c>
      <c r="D436" s="106" t="s">
        <v>350</v>
      </c>
      <c r="E436">
        <v>3024</v>
      </c>
      <c r="F436" s="106" t="s">
        <v>893</v>
      </c>
      <c r="G436" s="106" t="s">
        <v>355</v>
      </c>
      <c r="H436" s="106" t="s">
        <v>357</v>
      </c>
      <c r="I436">
        <v>29</v>
      </c>
    </row>
    <row r="437" spans="1:10">
      <c r="A437" s="106" t="s">
        <v>512</v>
      </c>
      <c r="B437" s="106" t="s">
        <v>348</v>
      </c>
      <c r="C437" s="106" t="s">
        <v>349</v>
      </c>
      <c r="D437" s="106" t="s">
        <v>354</v>
      </c>
      <c r="E437">
        <v>3484</v>
      </c>
      <c r="F437" s="106" t="s">
        <v>894</v>
      </c>
      <c r="G437" s="106" t="s">
        <v>351</v>
      </c>
      <c r="H437" s="106" t="s">
        <v>377</v>
      </c>
      <c r="I437">
        <v>186</v>
      </c>
    </row>
    <row r="438" spans="1:10">
      <c r="A438" s="106" t="s">
        <v>512</v>
      </c>
      <c r="B438" s="106" t="s">
        <v>348</v>
      </c>
      <c r="C438" s="106" t="s">
        <v>349</v>
      </c>
      <c r="D438" s="106" t="s">
        <v>350</v>
      </c>
      <c r="E438">
        <v>3612</v>
      </c>
      <c r="F438" s="106" t="s">
        <v>515</v>
      </c>
      <c r="G438" s="106" t="s">
        <v>351</v>
      </c>
      <c r="H438" s="106" t="s">
        <v>384</v>
      </c>
      <c r="I438" s="106">
        <v>967</v>
      </c>
      <c r="J438" s="106"/>
    </row>
    <row r="439" spans="1:10">
      <c r="A439" s="106" t="s">
        <v>512</v>
      </c>
      <c r="B439" s="106" t="s">
        <v>348</v>
      </c>
      <c r="C439" s="106" t="s">
        <v>349</v>
      </c>
      <c r="D439" s="106" t="s">
        <v>350</v>
      </c>
      <c r="E439">
        <v>4044</v>
      </c>
      <c r="F439" s="106" t="s">
        <v>2350</v>
      </c>
      <c r="G439" s="106" t="s">
        <v>351</v>
      </c>
      <c r="H439" s="106" t="s">
        <v>364</v>
      </c>
      <c r="I439" s="106" t="s">
        <v>382</v>
      </c>
      <c r="J439" s="106" t="s">
        <v>2351</v>
      </c>
    </row>
    <row r="440" spans="1:10">
      <c r="A440" s="106" t="s">
        <v>512</v>
      </c>
      <c r="B440" s="106" t="s">
        <v>348</v>
      </c>
      <c r="C440" s="106" t="s">
        <v>349</v>
      </c>
      <c r="D440" s="106" t="s">
        <v>350</v>
      </c>
      <c r="E440">
        <v>4521</v>
      </c>
      <c r="F440" s="106" t="s">
        <v>895</v>
      </c>
      <c r="G440" s="106" t="s">
        <v>351</v>
      </c>
      <c r="H440" s="106" t="s">
        <v>396</v>
      </c>
      <c r="I440" s="106" t="s">
        <v>374</v>
      </c>
      <c r="J440" s="106" t="s">
        <v>941</v>
      </c>
    </row>
    <row r="441" spans="1:10">
      <c r="A441" s="106" t="s">
        <v>512</v>
      </c>
      <c r="B441" s="106" t="s">
        <v>348</v>
      </c>
      <c r="C441" s="106" t="s">
        <v>349</v>
      </c>
      <c r="D441" s="106" t="s">
        <v>350</v>
      </c>
      <c r="E441">
        <v>6005</v>
      </c>
      <c r="F441" s="106" t="s">
        <v>2352</v>
      </c>
      <c r="G441" s="106" t="s">
        <v>351</v>
      </c>
      <c r="H441" s="106" t="s">
        <v>372</v>
      </c>
      <c r="I441" s="106" t="s">
        <v>401</v>
      </c>
      <c r="J441" s="106" t="s">
        <v>2353</v>
      </c>
    </row>
    <row r="442" spans="1:10">
      <c r="A442" s="106" t="s">
        <v>512</v>
      </c>
      <c r="B442" s="106" t="s">
        <v>348</v>
      </c>
      <c r="C442" s="106" t="s">
        <v>360</v>
      </c>
      <c r="D442" s="106" t="s">
        <v>350</v>
      </c>
      <c r="E442">
        <v>6920</v>
      </c>
      <c r="F442" s="106" t="s">
        <v>806</v>
      </c>
      <c r="G442" s="106" t="s">
        <v>351</v>
      </c>
      <c r="H442" s="106" t="s">
        <v>376</v>
      </c>
      <c r="I442" s="106" t="s">
        <v>401</v>
      </c>
      <c r="J442" s="106" t="s">
        <v>2354</v>
      </c>
    </row>
    <row r="443" spans="1:10">
      <c r="A443" s="106" t="s">
        <v>512</v>
      </c>
      <c r="B443" s="106" t="s">
        <v>348</v>
      </c>
      <c r="C443" s="106" t="s">
        <v>349</v>
      </c>
      <c r="D443" s="106" t="s">
        <v>354</v>
      </c>
      <c r="E443">
        <v>7506</v>
      </c>
      <c r="F443" s="106" t="s">
        <v>516</v>
      </c>
      <c r="G443" s="106" t="s">
        <v>351</v>
      </c>
      <c r="H443" s="106" t="s">
        <v>361</v>
      </c>
      <c r="I443">
        <v>78</v>
      </c>
    </row>
    <row r="444" spans="1:10">
      <c r="A444" s="106" t="s">
        <v>512</v>
      </c>
      <c r="B444" s="106" t="s">
        <v>348</v>
      </c>
      <c r="C444" s="106" t="s">
        <v>349</v>
      </c>
      <c r="D444" s="106" t="s">
        <v>350</v>
      </c>
      <c r="E444">
        <v>7859</v>
      </c>
      <c r="F444" s="106" t="s">
        <v>517</v>
      </c>
      <c r="G444" s="106" t="s">
        <v>359</v>
      </c>
      <c r="H444" s="106" t="s">
        <v>373</v>
      </c>
      <c r="I444" s="106">
        <v>28</v>
      </c>
      <c r="J444" s="106"/>
    </row>
    <row r="445" spans="1:10">
      <c r="A445" s="106" t="s">
        <v>512</v>
      </c>
      <c r="B445" s="106" t="s">
        <v>348</v>
      </c>
      <c r="C445" s="106" t="s">
        <v>349</v>
      </c>
      <c r="D445" s="106" t="s">
        <v>350</v>
      </c>
      <c r="E445">
        <v>9008</v>
      </c>
      <c r="F445" s="106" t="s">
        <v>897</v>
      </c>
      <c r="G445" s="106" t="s">
        <v>351</v>
      </c>
      <c r="H445" s="106" t="s">
        <v>485</v>
      </c>
      <c r="I445" s="106" t="s">
        <v>466</v>
      </c>
      <c r="J445" s="106" t="s">
        <v>2355</v>
      </c>
    </row>
    <row r="446" spans="1:10">
      <c r="A446" s="106" t="s">
        <v>518</v>
      </c>
      <c r="B446" s="106" t="s">
        <v>417</v>
      </c>
      <c r="C446" s="106" t="s">
        <v>349</v>
      </c>
      <c r="D446" s="106" t="s">
        <v>350</v>
      </c>
      <c r="E446">
        <v>2607</v>
      </c>
      <c r="F446" s="106" t="s">
        <v>898</v>
      </c>
      <c r="G446" s="106" t="s">
        <v>351</v>
      </c>
      <c r="H446" s="106" t="s">
        <v>352</v>
      </c>
      <c r="I446" s="106" t="s">
        <v>374</v>
      </c>
      <c r="J446" s="106" t="s">
        <v>2356</v>
      </c>
    </row>
    <row r="447" spans="1:10">
      <c r="A447" s="106" t="s">
        <v>518</v>
      </c>
      <c r="B447" s="106" t="s">
        <v>417</v>
      </c>
      <c r="C447" s="106" t="s">
        <v>349</v>
      </c>
      <c r="D447" s="106" t="s">
        <v>350</v>
      </c>
      <c r="E447">
        <v>4502</v>
      </c>
      <c r="F447" s="106" t="s">
        <v>519</v>
      </c>
      <c r="G447" s="106" t="s">
        <v>351</v>
      </c>
      <c r="H447" s="106" t="s">
        <v>396</v>
      </c>
      <c r="I447" s="106" t="s">
        <v>2357</v>
      </c>
      <c r="J447" s="106" t="s">
        <v>2358</v>
      </c>
    </row>
    <row r="448" spans="1:10">
      <c r="A448" s="106" t="s">
        <v>518</v>
      </c>
      <c r="B448" s="106" t="s">
        <v>348</v>
      </c>
      <c r="C448" s="106" t="s">
        <v>349</v>
      </c>
      <c r="D448" s="106" t="s">
        <v>350</v>
      </c>
      <c r="E448">
        <v>2117</v>
      </c>
      <c r="F448" s="106" t="s">
        <v>807</v>
      </c>
      <c r="G448" s="106" t="s">
        <v>351</v>
      </c>
      <c r="H448" s="106" t="s">
        <v>352</v>
      </c>
      <c r="I448">
        <v>463</v>
      </c>
    </row>
    <row r="449" spans="1:10">
      <c r="A449" s="106" t="s">
        <v>518</v>
      </c>
      <c r="B449" s="106" t="s">
        <v>348</v>
      </c>
      <c r="C449" s="106" t="s">
        <v>358</v>
      </c>
      <c r="D449" s="106" t="s">
        <v>354</v>
      </c>
      <c r="E449">
        <v>2268</v>
      </c>
      <c r="F449" s="106" t="s">
        <v>520</v>
      </c>
      <c r="G449" s="106" t="s">
        <v>355</v>
      </c>
      <c r="H449" s="106" t="s">
        <v>352</v>
      </c>
      <c r="I449">
        <v>388</v>
      </c>
    </row>
    <row r="450" spans="1:10">
      <c r="A450" s="106" t="s">
        <v>518</v>
      </c>
      <c r="B450" s="106" t="s">
        <v>348</v>
      </c>
      <c r="C450" s="106" t="s">
        <v>349</v>
      </c>
      <c r="D450" s="106" t="s">
        <v>350</v>
      </c>
      <c r="E450">
        <v>2801</v>
      </c>
      <c r="F450" s="106" t="s">
        <v>2359</v>
      </c>
      <c r="G450" s="106" t="s">
        <v>351</v>
      </c>
      <c r="H450" s="106" t="s">
        <v>352</v>
      </c>
      <c r="I450" s="106" t="s">
        <v>488</v>
      </c>
      <c r="J450" s="106" t="s">
        <v>2360</v>
      </c>
    </row>
    <row r="451" spans="1:10">
      <c r="A451" s="106" t="s">
        <v>518</v>
      </c>
      <c r="B451" s="106" t="s">
        <v>348</v>
      </c>
      <c r="C451" s="106" t="s">
        <v>349</v>
      </c>
      <c r="D451" s="106" t="s">
        <v>350</v>
      </c>
      <c r="E451">
        <v>2871</v>
      </c>
      <c r="F451" s="106" t="s">
        <v>900</v>
      </c>
      <c r="G451" s="106" t="s">
        <v>351</v>
      </c>
      <c r="H451" s="106" t="s">
        <v>352</v>
      </c>
      <c r="I451" s="106" t="s">
        <v>437</v>
      </c>
      <c r="J451" s="106" t="s">
        <v>2361</v>
      </c>
    </row>
    <row r="452" spans="1:10">
      <c r="A452" s="106" t="s">
        <v>518</v>
      </c>
      <c r="B452" s="106" t="s">
        <v>348</v>
      </c>
      <c r="C452" s="106" t="s">
        <v>349</v>
      </c>
      <c r="D452" s="106" t="s">
        <v>350</v>
      </c>
      <c r="E452">
        <v>6151</v>
      </c>
      <c r="F452" s="106" t="s">
        <v>521</v>
      </c>
      <c r="G452" s="106" t="s">
        <v>351</v>
      </c>
      <c r="H452" s="106" t="s">
        <v>372</v>
      </c>
      <c r="I452" s="106">
        <v>545</v>
      </c>
      <c r="J452" s="106"/>
    </row>
    <row r="453" spans="1:10">
      <c r="A453" s="106" t="s">
        <v>518</v>
      </c>
      <c r="B453" s="106" t="s">
        <v>348</v>
      </c>
      <c r="C453" s="106" t="s">
        <v>349</v>
      </c>
      <c r="D453" s="106" t="s">
        <v>350</v>
      </c>
      <c r="E453">
        <v>7419</v>
      </c>
      <c r="F453" s="106" t="s">
        <v>522</v>
      </c>
      <c r="G453" s="106" t="s">
        <v>351</v>
      </c>
      <c r="H453" s="106" t="s">
        <v>361</v>
      </c>
      <c r="I453" s="106" t="s">
        <v>382</v>
      </c>
      <c r="J453" s="106" t="s">
        <v>2362</v>
      </c>
    </row>
    <row r="454" spans="1:10">
      <c r="A454" s="106" t="s">
        <v>518</v>
      </c>
      <c r="B454" s="106" t="s">
        <v>348</v>
      </c>
      <c r="C454" s="106" t="s">
        <v>360</v>
      </c>
      <c r="D454" s="106" t="s">
        <v>350</v>
      </c>
      <c r="E454">
        <v>8945</v>
      </c>
      <c r="F454" s="106" t="s">
        <v>808</v>
      </c>
      <c r="G454" s="106" t="s">
        <v>351</v>
      </c>
      <c r="H454" s="106" t="s">
        <v>377</v>
      </c>
      <c r="I454">
        <v>126</v>
      </c>
    </row>
    <row r="455" spans="1:10">
      <c r="A455" s="106" t="s">
        <v>523</v>
      </c>
      <c r="B455" s="106" t="s">
        <v>348</v>
      </c>
      <c r="C455" s="106" t="s">
        <v>349</v>
      </c>
      <c r="D455" s="106" t="s">
        <v>350</v>
      </c>
      <c r="E455">
        <v>2130</v>
      </c>
      <c r="F455" s="106" t="s">
        <v>524</v>
      </c>
      <c r="G455" s="106" t="s">
        <v>351</v>
      </c>
      <c r="H455" s="106" t="s">
        <v>356</v>
      </c>
      <c r="I455">
        <v>296</v>
      </c>
    </row>
    <row r="456" spans="1:10">
      <c r="A456" s="106" t="s">
        <v>523</v>
      </c>
      <c r="B456" s="106" t="s">
        <v>348</v>
      </c>
      <c r="C456" s="106" t="s">
        <v>349</v>
      </c>
      <c r="D456" s="106" t="s">
        <v>354</v>
      </c>
      <c r="E456">
        <v>3464</v>
      </c>
      <c r="F456" s="106" t="s">
        <v>678</v>
      </c>
      <c r="G456" s="106" t="s">
        <v>351</v>
      </c>
      <c r="H456" s="106" t="s">
        <v>377</v>
      </c>
      <c r="I456">
        <v>82</v>
      </c>
    </row>
    <row r="457" spans="1:10">
      <c r="A457" s="106" t="s">
        <v>523</v>
      </c>
      <c r="B457" s="106" t="s">
        <v>348</v>
      </c>
      <c r="C457" s="106" t="s">
        <v>349</v>
      </c>
      <c r="D457" s="106" t="s">
        <v>350</v>
      </c>
      <c r="E457">
        <v>4091</v>
      </c>
      <c r="F457" s="106" t="s">
        <v>2363</v>
      </c>
      <c r="G457" s="106" t="s">
        <v>351</v>
      </c>
      <c r="H457" s="106" t="s">
        <v>364</v>
      </c>
      <c r="I457" s="106" t="s">
        <v>488</v>
      </c>
      <c r="J457" s="106" t="s">
        <v>2364</v>
      </c>
    </row>
    <row r="458" spans="1:10">
      <c r="A458" s="106" t="s">
        <v>523</v>
      </c>
      <c r="B458" s="106" t="s">
        <v>348</v>
      </c>
      <c r="C458" s="106" t="s">
        <v>349</v>
      </c>
      <c r="D458" s="106" t="s">
        <v>350</v>
      </c>
      <c r="E458">
        <v>4183</v>
      </c>
      <c r="F458" s="106" t="s">
        <v>2365</v>
      </c>
      <c r="G458" s="106" t="s">
        <v>351</v>
      </c>
      <c r="H458" s="106" t="s">
        <v>364</v>
      </c>
      <c r="I458" s="106" t="s">
        <v>368</v>
      </c>
      <c r="J458" s="106" t="s">
        <v>2366</v>
      </c>
    </row>
    <row r="459" spans="1:10">
      <c r="A459" s="106" t="s">
        <v>523</v>
      </c>
      <c r="B459" s="106" t="s">
        <v>348</v>
      </c>
      <c r="C459" s="106" t="s">
        <v>349</v>
      </c>
      <c r="D459" s="106" t="s">
        <v>350</v>
      </c>
      <c r="E459">
        <v>4403</v>
      </c>
      <c r="F459" s="106" t="s">
        <v>2367</v>
      </c>
      <c r="G459" s="106" t="s">
        <v>351</v>
      </c>
      <c r="H459" s="106" t="s">
        <v>364</v>
      </c>
      <c r="I459" s="106" t="s">
        <v>437</v>
      </c>
      <c r="J459" s="106" t="s">
        <v>2368</v>
      </c>
    </row>
    <row r="460" spans="1:10">
      <c r="A460" s="106" t="s">
        <v>523</v>
      </c>
      <c r="B460" s="106" t="s">
        <v>348</v>
      </c>
      <c r="C460" s="106" t="s">
        <v>349</v>
      </c>
      <c r="D460" s="106" t="s">
        <v>350</v>
      </c>
      <c r="E460">
        <v>4516</v>
      </c>
      <c r="F460" s="106" t="s">
        <v>2369</v>
      </c>
      <c r="G460" s="106" t="s">
        <v>351</v>
      </c>
      <c r="H460" s="106" t="s">
        <v>396</v>
      </c>
      <c r="I460" s="106" t="s">
        <v>410</v>
      </c>
      <c r="J460" s="106" t="s">
        <v>896</v>
      </c>
    </row>
    <row r="461" spans="1:10">
      <c r="A461" s="106" t="s">
        <v>523</v>
      </c>
      <c r="B461" s="106" t="s">
        <v>348</v>
      </c>
      <c r="C461" s="106" t="s">
        <v>349</v>
      </c>
      <c r="D461" s="106" t="s">
        <v>354</v>
      </c>
      <c r="E461">
        <v>6678</v>
      </c>
      <c r="F461" s="106" t="s">
        <v>525</v>
      </c>
      <c r="G461" s="106" t="s">
        <v>351</v>
      </c>
      <c r="H461" s="106" t="s">
        <v>376</v>
      </c>
      <c r="I461" s="106">
        <v>185</v>
      </c>
      <c r="J461" s="106"/>
    </row>
    <row r="462" spans="1:10">
      <c r="A462" s="106" t="s">
        <v>523</v>
      </c>
      <c r="B462" s="106" t="s">
        <v>348</v>
      </c>
      <c r="C462" s="106" t="s">
        <v>349</v>
      </c>
      <c r="D462" s="106" t="s">
        <v>350</v>
      </c>
      <c r="E462">
        <v>6875</v>
      </c>
      <c r="F462" s="106" t="s">
        <v>526</v>
      </c>
      <c r="G462" s="106" t="s">
        <v>351</v>
      </c>
      <c r="H462" s="106" t="s">
        <v>376</v>
      </c>
      <c r="I462">
        <v>444</v>
      </c>
    </row>
    <row r="463" spans="1:10">
      <c r="A463" s="106" t="s">
        <v>523</v>
      </c>
      <c r="B463" s="106" t="s">
        <v>348</v>
      </c>
      <c r="C463" s="106" t="s">
        <v>360</v>
      </c>
      <c r="D463" s="106" t="s">
        <v>350</v>
      </c>
      <c r="E463">
        <v>7532</v>
      </c>
      <c r="F463" s="106" t="s">
        <v>809</v>
      </c>
      <c r="G463" s="106" t="s">
        <v>351</v>
      </c>
      <c r="H463" s="106" t="s">
        <v>361</v>
      </c>
      <c r="I463" s="106" t="s">
        <v>620</v>
      </c>
      <c r="J463" s="106" t="s">
        <v>2370</v>
      </c>
    </row>
    <row r="464" spans="1:10">
      <c r="A464" s="106" t="s">
        <v>527</v>
      </c>
      <c r="B464" s="106" t="s">
        <v>417</v>
      </c>
      <c r="C464" s="106" t="s">
        <v>358</v>
      </c>
      <c r="D464" s="106" t="s">
        <v>350</v>
      </c>
      <c r="E464">
        <v>2914</v>
      </c>
      <c r="F464" s="106" t="s">
        <v>810</v>
      </c>
      <c r="G464" s="106" t="s">
        <v>351</v>
      </c>
      <c r="H464" s="106" t="s">
        <v>352</v>
      </c>
      <c r="I464" s="106" t="s">
        <v>901</v>
      </c>
      <c r="J464" s="106" t="s">
        <v>2371</v>
      </c>
    </row>
    <row r="465" spans="1:10">
      <c r="A465" s="106" t="s">
        <v>527</v>
      </c>
      <c r="B465" s="106" t="s">
        <v>417</v>
      </c>
      <c r="C465" s="106" t="s">
        <v>360</v>
      </c>
      <c r="D465" s="106" t="s">
        <v>350</v>
      </c>
      <c r="E465">
        <v>4385</v>
      </c>
      <c r="F465" s="106" t="s">
        <v>902</v>
      </c>
      <c r="G465" s="106" t="s">
        <v>363</v>
      </c>
      <c r="H465" s="106" t="s">
        <v>362</v>
      </c>
      <c r="I465" s="106" t="s">
        <v>437</v>
      </c>
      <c r="J465" s="106" t="s">
        <v>2372</v>
      </c>
    </row>
    <row r="466" spans="1:10">
      <c r="A466" s="106" t="s">
        <v>527</v>
      </c>
      <c r="B466" s="106" t="s">
        <v>348</v>
      </c>
      <c r="C466" s="106" t="s">
        <v>349</v>
      </c>
      <c r="D466" s="106" t="s">
        <v>350</v>
      </c>
      <c r="E466">
        <v>2372</v>
      </c>
      <c r="F466" s="106" t="s">
        <v>528</v>
      </c>
      <c r="G466" s="106" t="s">
        <v>351</v>
      </c>
      <c r="H466" s="106" t="s">
        <v>356</v>
      </c>
      <c r="I466">
        <v>180</v>
      </c>
    </row>
    <row r="467" spans="1:10">
      <c r="A467" s="106" t="s">
        <v>527</v>
      </c>
      <c r="B467" s="106" t="s">
        <v>348</v>
      </c>
      <c r="C467" s="106" t="s">
        <v>349</v>
      </c>
      <c r="D467" s="106" t="s">
        <v>350</v>
      </c>
      <c r="E467">
        <v>2487</v>
      </c>
      <c r="F467" s="106" t="s">
        <v>903</v>
      </c>
      <c r="G467" s="106" t="s">
        <v>351</v>
      </c>
      <c r="H467" s="106" t="s">
        <v>356</v>
      </c>
      <c r="I467">
        <v>88</v>
      </c>
    </row>
    <row r="468" spans="1:10">
      <c r="A468" s="106" t="s">
        <v>527</v>
      </c>
      <c r="B468" s="106" t="s">
        <v>348</v>
      </c>
      <c r="C468" s="106" t="s">
        <v>360</v>
      </c>
      <c r="D468" s="106" t="s">
        <v>350</v>
      </c>
      <c r="E468">
        <v>3242</v>
      </c>
      <c r="F468" s="106" t="s">
        <v>529</v>
      </c>
      <c r="G468" s="106" t="s">
        <v>355</v>
      </c>
      <c r="H468" s="106" t="s">
        <v>377</v>
      </c>
      <c r="I468" s="106">
        <v>108</v>
      </c>
      <c r="J468" s="106"/>
    </row>
    <row r="469" spans="1:10">
      <c r="A469" s="106" t="s">
        <v>527</v>
      </c>
      <c r="B469" s="106" t="s">
        <v>348</v>
      </c>
      <c r="C469" s="106" t="s">
        <v>349</v>
      </c>
      <c r="D469" s="106" t="s">
        <v>354</v>
      </c>
      <c r="E469">
        <v>3634</v>
      </c>
      <c r="F469" s="106" t="s">
        <v>904</v>
      </c>
      <c r="G469" s="106" t="s">
        <v>363</v>
      </c>
      <c r="H469" s="106" t="s">
        <v>362</v>
      </c>
      <c r="I469" s="106">
        <v>33</v>
      </c>
      <c r="J469" s="106"/>
    </row>
    <row r="470" spans="1:10">
      <c r="A470" s="106" t="s">
        <v>527</v>
      </c>
      <c r="B470" s="106" t="s">
        <v>348</v>
      </c>
      <c r="C470" s="106" t="s">
        <v>349</v>
      </c>
      <c r="D470" s="106" t="s">
        <v>354</v>
      </c>
      <c r="E470">
        <v>3837</v>
      </c>
      <c r="F470" s="106" t="s">
        <v>905</v>
      </c>
      <c r="G470" s="106" t="s">
        <v>351</v>
      </c>
      <c r="H470" s="106" t="s">
        <v>362</v>
      </c>
      <c r="I470" s="106">
        <v>209</v>
      </c>
      <c r="J470" s="106"/>
    </row>
    <row r="471" spans="1:10">
      <c r="A471" s="106" t="s">
        <v>527</v>
      </c>
      <c r="B471" s="106" t="s">
        <v>348</v>
      </c>
      <c r="C471" s="106" t="s">
        <v>349</v>
      </c>
      <c r="D471" s="106" t="s">
        <v>350</v>
      </c>
      <c r="E471">
        <v>4626</v>
      </c>
      <c r="F471" s="106" t="s">
        <v>530</v>
      </c>
      <c r="G471" s="106" t="s">
        <v>351</v>
      </c>
      <c r="H471" s="106" t="s">
        <v>364</v>
      </c>
      <c r="I471" s="106" t="s">
        <v>382</v>
      </c>
      <c r="J471" s="106" t="s">
        <v>2373</v>
      </c>
    </row>
    <row r="472" spans="1:10">
      <c r="A472" s="106" t="s">
        <v>527</v>
      </c>
      <c r="B472" s="106" t="s">
        <v>348</v>
      </c>
      <c r="C472" s="106" t="s">
        <v>349</v>
      </c>
      <c r="D472" s="106" t="s">
        <v>350</v>
      </c>
      <c r="E472">
        <v>6569</v>
      </c>
      <c r="F472" s="106" t="s">
        <v>531</v>
      </c>
      <c r="G472" s="106" t="s">
        <v>351</v>
      </c>
      <c r="H472" s="106" t="s">
        <v>356</v>
      </c>
      <c r="I472" s="106">
        <v>359</v>
      </c>
      <c r="J472" s="106"/>
    </row>
    <row r="473" spans="1:10">
      <c r="A473" s="106" t="s">
        <v>527</v>
      </c>
      <c r="B473" s="106" t="s">
        <v>348</v>
      </c>
      <c r="C473" s="106" t="s">
        <v>349</v>
      </c>
      <c r="D473" s="106" t="s">
        <v>350</v>
      </c>
      <c r="E473">
        <v>6715</v>
      </c>
      <c r="F473" s="106" t="s">
        <v>2374</v>
      </c>
      <c r="G473" s="106" t="s">
        <v>351</v>
      </c>
      <c r="H473" s="106" t="s">
        <v>376</v>
      </c>
      <c r="I473">
        <v>81</v>
      </c>
    </row>
    <row r="474" spans="1:10">
      <c r="A474" s="106" t="s">
        <v>527</v>
      </c>
      <c r="B474" s="106" t="s">
        <v>348</v>
      </c>
      <c r="C474" s="106" t="s">
        <v>349</v>
      </c>
      <c r="D474" s="106" t="s">
        <v>350</v>
      </c>
      <c r="E474">
        <v>7703</v>
      </c>
      <c r="F474" s="106" t="s">
        <v>532</v>
      </c>
      <c r="G474" s="106" t="s">
        <v>359</v>
      </c>
      <c r="H474" s="106" t="s">
        <v>464</v>
      </c>
      <c r="I474">
        <v>207</v>
      </c>
    </row>
    <row r="475" spans="1:10">
      <c r="A475" s="106" t="s">
        <v>527</v>
      </c>
      <c r="B475" s="106" t="s">
        <v>348</v>
      </c>
      <c r="C475" s="106" t="s">
        <v>349</v>
      </c>
      <c r="D475" s="106" t="s">
        <v>350</v>
      </c>
      <c r="E475">
        <v>7952</v>
      </c>
      <c r="F475" s="106" t="s">
        <v>533</v>
      </c>
      <c r="G475" s="106" t="s">
        <v>351</v>
      </c>
      <c r="H475" s="106" t="s">
        <v>373</v>
      </c>
      <c r="I475">
        <v>354</v>
      </c>
    </row>
    <row r="476" spans="1:10">
      <c r="A476" s="106" t="s">
        <v>527</v>
      </c>
      <c r="B476" s="106" t="s">
        <v>348</v>
      </c>
      <c r="C476" s="106" t="s">
        <v>349</v>
      </c>
      <c r="D476" s="106" t="s">
        <v>350</v>
      </c>
      <c r="E476">
        <v>9024</v>
      </c>
      <c r="F476" s="106" t="s">
        <v>2375</v>
      </c>
      <c r="G476" s="106" t="s">
        <v>351</v>
      </c>
      <c r="H476" s="106" t="s">
        <v>485</v>
      </c>
      <c r="I476" s="106" t="s">
        <v>410</v>
      </c>
      <c r="J476" s="106" t="s">
        <v>889</v>
      </c>
    </row>
    <row r="477" spans="1:10">
      <c r="A477" s="106" t="s">
        <v>534</v>
      </c>
      <c r="B477" s="106" t="s">
        <v>417</v>
      </c>
      <c r="C477" s="106" t="s">
        <v>349</v>
      </c>
      <c r="D477" s="106" t="s">
        <v>350</v>
      </c>
      <c r="E477">
        <v>8093</v>
      </c>
      <c r="F477" s="106" t="s">
        <v>906</v>
      </c>
      <c r="G477" s="106" t="s">
        <v>351</v>
      </c>
      <c r="H477" s="106" t="s">
        <v>357</v>
      </c>
      <c r="I477">
        <v>146</v>
      </c>
    </row>
    <row r="478" spans="1:10">
      <c r="A478" s="106" t="s">
        <v>534</v>
      </c>
      <c r="B478" s="106" t="s">
        <v>348</v>
      </c>
      <c r="C478" s="106" t="s">
        <v>349</v>
      </c>
      <c r="D478" s="106" t="s">
        <v>350</v>
      </c>
      <c r="E478">
        <v>1721</v>
      </c>
      <c r="F478" s="106" t="s">
        <v>2376</v>
      </c>
      <c r="G478" s="106" t="s">
        <v>351</v>
      </c>
      <c r="H478" s="106" t="s">
        <v>378</v>
      </c>
      <c r="I478" s="106" t="s">
        <v>401</v>
      </c>
      <c r="J478" s="106" t="s">
        <v>2377</v>
      </c>
    </row>
    <row r="479" spans="1:10">
      <c r="A479" s="106" t="s">
        <v>534</v>
      </c>
      <c r="B479" s="106" t="s">
        <v>348</v>
      </c>
      <c r="C479" s="106" t="s">
        <v>349</v>
      </c>
      <c r="D479" s="106" t="s">
        <v>350</v>
      </c>
      <c r="E479">
        <v>1801</v>
      </c>
      <c r="F479" s="106" t="s">
        <v>535</v>
      </c>
      <c r="G479" s="106" t="s">
        <v>351</v>
      </c>
      <c r="H479" s="106" t="s">
        <v>378</v>
      </c>
      <c r="I479" s="106" t="s">
        <v>488</v>
      </c>
      <c r="J479" s="106" t="s">
        <v>2378</v>
      </c>
    </row>
    <row r="480" spans="1:10">
      <c r="A480" s="106" t="s">
        <v>534</v>
      </c>
      <c r="B480" s="106" t="s">
        <v>348</v>
      </c>
      <c r="C480" s="106" t="s">
        <v>349</v>
      </c>
      <c r="D480" s="106" t="s">
        <v>350</v>
      </c>
      <c r="E480">
        <v>1813</v>
      </c>
      <c r="F480" s="106" t="s">
        <v>537</v>
      </c>
      <c r="G480" s="106" t="s">
        <v>351</v>
      </c>
      <c r="H480" s="106" t="s">
        <v>378</v>
      </c>
      <c r="I480">
        <v>273</v>
      </c>
    </row>
    <row r="481" spans="1:10">
      <c r="A481" s="106" t="s">
        <v>534</v>
      </c>
      <c r="B481" s="106" t="s">
        <v>348</v>
      </c>
      <c r="C481" s="106" t="s">
        <v>349</v>
      </c>
      <c r="D481" s="106" t="s">
        <v>350</v>
      </c>
      <c r="E481">
        <v>1835</v>
      </c>
      <c r="F481" s="106" t="s">
        <v>538</v>
      </c>
      <c r="G481" s="106" t="s">
        <v>351</v>
      </c>
      <c r="H481" s="106" t="s">
        <v>378</v>
      </c>
      <c r="I481" s="106" t="s">
        <v>382</v>
      </c>
      <c r="J481" s="106" t="s">
        <v>2379</v>
      </c>
    </row>
    <row r="482" spans="1:10">
      <c r="A482" s="106" t="s">
        <v>534</v>
      </c>
      <c r="B482" s="106" t="s">
        <v>348</v>
      </c>
      <c r="C482" s="106" t="s">
        <v>349</v>
      </c>
      <c r="D482" s="106" t="s">
        <v>354</v>
      </c>
      <c r="E482">
        <v>1853</v>
      </c>
      <c r="F482" s="106" t="s">
        <v>539</v>
      </c>
      <c r="G482" s="106" t="s">
        <v>359</v>
      </c>
      <c r="H482" s="106" t="s">
        <v>378</v>
      </c>
      <c r="I482" s="106">
        <v>104</v>
      </c>
      <c r="J482" s="106"/>
    </row>
    <row r="483" spans="1:10">
      <c r="A483" s="106" t="s">
        <v>534</v>
      </c>
      <c r="B483" s="106" t="s">
        <v>348</v>
      </c>
      <c r="C483" s="106" t="s">
        <v>349</v>
      </c>
      <c r="D483" s="106" t="s">
        <v>350</v>
      </c>
      <c r="E483">
        <v>1909</v>
      </c>
      <c r="F483" s="106" t="s">
        <v>540</v>
      </c>
      <c r="G483" s="106" t="s">
        <v>351</v>
      </c>
      <c r="H483" s="106" t="s">
        <v>372</v>
      </c>
      <c r="I483">
        <v>114</v>
      </c>
    </row>
    <row r="484" spans="1:10">
      <c r="A484" s="106" t="s">
        <v>534</v>
      </c>
      <c r="B484" s="106" t="s">
        <v>348</v>
      </c>
      <c r="C484" s="106" t="s">
        <v>349</v>
      </c>
      <c r="D484" s="106" t="s">
        <v>350</v>
      </c>
      <c r="E484">
        <v>1961</v>
      </c>
      <c r="F484" s="106" t="s">
        <v>541</v>
      </c>
      <c r="G484" s="106" t="s">
        <v>351</v>
      </c>
      <c r="H484" s="106" t="s">
        <v>378</v>
      </c>
      <c r="I484">
        <v>927</v>
      </c>
    </row>
    <row r="485" spans="1:10">
      <c r="A485" s="106" t="s">
        <v>534</v>
      </c>
      <c r="B485" s="106" t="s">
        <v>348</v>
      </c>
      <c r="C485" s="106" t="s">
        <v>349</v>
      </c>
      <c r="D485" s="106" t="s">
        <v>350</v>
      </c>
      <c r="E485">
        <v>1969</v>
      </c>
      <c r="F485" s="106" t="s">
        <v>542</v>
      </c>
      <c r="G485" s="106" t="s">
        <v>351</v>
      </c>
      <c r="H485" s="106" t="s">
        <v>378</v>
      </c>
      <c r="I485" s="106" t="s">
        <v>382</v>
      </c>
      <c r="J485" s="106" t="s">
        <v>2154</v>
      </c>
    </row>
    <row r="486" spans="1:10">
      <c r="A486" s="106" t="s">
        <v>534</v>
      </c>
      <c r="B486" s="106" t="s">
        <v>348</v>
      </c>
      <c r="C486" s="106" t="s">
        <v>349</v>
      </c>
      <c r="D486" s="106" t="s">
        <v>350</v>
      </c>
      <c r="E486">
        <v>2307</v>
      </c>
      <c r="F486" s="106" t="s">
        <v>907</v>
      </c>
      <c r="G486" s="106" t="s">
        <v>351</v>
      </c>
      <c r="H486" s="106" t="s">
        <v>362</v>
      </c>
      <c r="I486" s="106">
        <v>108</v>
      </c>
      <c r="J486" s="106"/>
    </row>
    <row r="487" spans="1:10">
      <c r="A487" s="106" t="s">
        <v>534</v>
      </c>
      <c r="B487" s="106" t="s">
        <v>348</v>
      </c>
      <c r="C487" s="106" t="s">
        <v>349</v>
      </c>
      <c r="D487" s="106" t="s">
        <v>350</v>
      </c>
      <c r="E487">
        <v>2342</v>
      </c>
      <c r="F487" s="106" t="s">
        <v>2380</v>
      </c>
      <c r="G487" s="106" t="s">
        <v>363</v>
      </c>
      <c r="H487" s="106" t="s">
        <v>356</v>
      </c>
      <c r="I487" s="106">
        <v>70</v>
      </c>
      <c r="J487" s="106"/>
    </row>
    <row r="488" spans="1:10">
      <c r="A488" s="106" t="s">
        <v>534</v>
      </c>
      <c r="B488" s="106" t="s">
        <v>348</v>
      </c>
      <c r="C488" s="106" t="s">
        <v>349</v>
      </c>
      <c r="D488" s="106" t="s">
        <v>350</v>
      </c>
      <c r="E488">
        <v>2475</v>
      </c>
      <c r="F488" s="106" t="s">
        <v>908</v>
      </c>
      <c r="G488" s="106" t="s">
        <v>351</v>
      </c>
      <c r="H488" s="106" t="s">
        <v>356</v>
      </c>
      <c r="I488" s="106">
        <v>514</v>
      </c>
      <c r="J488" s="106"/>
    </row>
    <row r="489" spans="1:10">
      <c r="A489" s="106" t="s">
        <v>534</v>
      </c>
      <c r="B489" s="106" t="s">
        <v>348</v>
      </c>
      <c r="C489" s="106" t="s">
        <v>349</v>
      </c>
      <c r="D489" s="106" t="s">
        <v>350</v>
      </c>
      <c r="E489">
        <v>2480</v>
      </c>
      <c r="F489" s="106" t="s">
        <v>909</v>
      </c>
      <c r="G489" s="106" t="s">
        <v>355</v>
      </c>
      <c r="H489" s="106" t="s">
        <v>356</v>
      </c>
      <c r="I489">
        <v>62</v>
      </c>
    </row>
    <row r="490" spans="1:10">
      <c r="A490" s="106" t="s">
        <v>534</v>
      </c>
      <c r="B490" s="106" t="s">
        <v>348</v>
      </c>
      <c r="C490" s="106" t="s">
        <v>349</v>
      </c>
      <c r="D490" s="106" t="s">
        <v>350</v>
      </c>
      <c r="E490">
        <v>2815</v>
      </c>
      <c r="F490" s="106" t="s">
        <v>543</v>
      </c>
      <c r="G490" s="106" t="s">
        <v>351</v>
      </c>
      <c r="H490" s="106" t="s">
        <v>352</v>
      </c>
      <c r="I490" s="106" t="s">
        <v>374</v>
      </c>
      <c r="J490" s="106" t="s">
        <v>2381</v>
      </c>
    </row>
    <row r="491" spans="1:10">
      <c r="A491" s="106" t="s">
        <v>534</v>
      </c>
      <c r="B491" s="106" t="s">
        <v>348</v>
      </c>
      <c r="C491" s="106" t="s">
        <v>349</v>
      </c>
      <c r="D491" s="106" t="s">
        <v>350</v>
      </c>
      <c r="E491">
        <v>2911</v>
      </c>
      <c r="F491" s="106" t="s">
        <v>910</v>
      </c>
      <c r="G491" s="106" t="s">
        <v>359</v>
      </c>
      <c r="H491" s="106" t="s">
        <v>352</v>
      </c>
      <c r="I491">
        <v>40</v>
      </c>
    </row>
    <row r="492" spans="1:10">
      <c r="A492" s="106" t="s">
        <v>534</v>
      </c>
      <c r="B492" s="106" t="s">
        <v>348</v>
      </c>
      <c r="C492" s="106" t="s">
        <v>349</v>
      </c>
      <c r="D492" s="106" t="s">
        <v>350</v>
      </c>
      <c r="E492">
        <v>3109</v>
      </c>
      <c r="F492" s="106" t="s">
        <v>544</v>
      </c>
      <c r="G492" s="106" t="s">
        <v>351</v>
      </c>
      <c r="H492" s="106" t="s">
        <v>384</v>
      </c>
      <c r="I492" s="106">
        <v>119</v>
      </c>
      <c r="J492" s="106"/>
    </row>
    <row r="493" spans="1:10">
      <c r="A493" s="106" t="s">
        <v>534</v>
      </c>
      <c r="B493" s="106" t="s">
        <v>348</v>
      </c>
      <c r="C493" s="106" t="s">
        <v>358</v>
      </c>
      <c r="D493" s="106" t="s">
        <v>350</v>
      </c>
      <c r="E493">
        <v>3482</v>
      </c>
      <c r="F493" s="106" t="s">
        <v>911</v>
      </c>
      <c r="G493" s="106" t="s">
        <v>363</v>
      </c>
      <c r="H493" s="106" t="s">
        <v>377</v>
      </c>
      <c r="I493" s="106">
        <v>238</v>
      </c>
      <c r="J493" s="106"/>
    </row>
    <row r="494" spans="1:10">
      <c r="A494" s="106" t="s">
        <v>534</v>
      </c>
      <c r="B494" s="106" t="s">
        <v>348</v>
      </c>
      <c r="C494" s="106" t="s">
        <v>358</v>
      </c>
      <c r="D494" s="106" t="s">
        <v>354</v>
      </c>
      <c r="E494">
        <v>3671</v>
      </c>
      <c r="F494" s="106" t="s">
        <v>2382</v>
      </c>
      <c r="G494" s="106" t="s">
        <v>363</v>
      </c>
      <c r="H494" s="106" t="s">
        <v>362</v>
      </c>
      <c r="I494" s="106">
        <v>60</v>
      </c>
      <c r="J494" s="106"/>
    </row>
    <row r="495" spans="1:10">
      <c r="A495" s="106" t="s">
        <v>534</v>
      </c>
      <c r="B495" s="106" t="s">
        <v>348</v>
      </c>
      <c r="C495" s="106" t="s">
        <v>353</v>
      </c>
      <c r="D495" s="106" t="s">
        <v>350</v>
      </c>
      <c r="E495">
        <v>3690</v>
      </c>
      <c r="F495" s="106" t="s">
        <v>912</v>
      </c>
      <c r="G495" s="106" t="s">
        <v>363</v>
      </c>
      <c r="H495" s="106" t="s">
        <v>362</v>
      </c>
      <c r="I495">
        <v>77</v>
      </c>
    </row>
    <row r="496" spans="1:10">
      <c r="A496" s="106" t="s">
        <v>534</v>
      </c>
      <c r="B496" s="106" t="s">
        <v>348</v>
      </c>
      <c r="C496" s="106" t="s">
        <v>349</v>
      </c>
      <c r="D496" s="106" t="s">
        <v>350</v>
      </c>
      <c r="E496">
        <v>3766</v>
      </c>
      <c r="F496" s="106" t="s">
        <v>545</v>
      </c>
      <c r="G496" s="106" t="s">
        <v>355</v>
      </c>
      <c r="H496" s="106" t="s">
        <v>362</v>
      </c>
      <c r="I496" s="106">
        <v>25</v>
      </c>
      <c r="J496" s="106"/>
    </row>
    <row r="497" spans="1:10">
      <c r="A497" s="106" t="s">
        <v>534</v>
      </c>
      <c r="B497" s="106" t="s">
        <v>348</v>
      </c>
      <c r="C497" s="106" t="s">
        <v>349</v>
      </c>
      <c r="D497" s="106" t="s">
        <v>350</v>
      </c>
      <c r="E497">
        <v>3798</v>
      </c>
      <c r="F497" s="106" t="s">
        <v>2383</v>
      </c>
      <c r="G497" s="106" t="s">
        <v>355</v>
      </c>
      <c r="H497" s="106" t="s">
        <v>362</v>
      </c>
      <c r="I497">
        <v>171</v>
      </c>
    </row>
    <row r="498" spans="1:10">
      <c r="A498" s="106" t="s">
        <v>534</v>
      </c>
      <c r="B498" s="106" t="s">
        <v>348</v>
      </c>
      <c r="C498" s="106" t="s">
        <v>349</v>
      </c>
      <c r="D498" s="106" t="s">
        <v>350</v>
      </c>
      <c r="E498">
        <v>4540</v>
      </c>
      <c r="F498" s="106" t="s">
        <v>546</v>
      </c>
      <c r="G498" s="106" t="s">
        <v>351</v>
      </c>
      <c r="H498" s="106" t="s">
        <v>396</v>
      </c>
      <c r="I498" s="106" t="s">
        <v>374</v>
      </c>
      <c r="J498" s="106" t="s">
        <v>2384</v>
      </c>
    </row>
    <row r="499" spans="1:10">
      <c r="A499" s="106" t="s">
        <v>534</v>
      </c>
      <c r="B499" s="106" t="s">
        <v>348</v>
      </c>
      <c r="C499" s="106" t="s">
        <v>358</v>
      </c>
      <c r="D499" s="106" t="s">
        <v>354</v>
      </c>
      <c r="E499">
        <v>4588</v>
      </c>
      <c r="F499" s="106" t="s">
        <v>547</v>
      </c>
      <c r="G499" s="106" t="s">
        <v>363</v>
      </c>
      <c r="H499" s="106" t="s">
        <v>396</v>
      </c>
      <c r="I499" s="106">
        <v>275</v>
      </c>
      <c r="J499" s="106"/>
    </row>
    <row r="500" spans="1:10">
      <c r="A500" s="106" t="s">
        <v>534</v>
      </c>
      <c r="B500" s="106" t="s">
        <v>348</v>
      </c>
      <c r="C500" s="106" t="s">
        <v>349</v>
      </c>
      <c r="D500" s="106" t="s">
        <v>350</v>
      </c>
      <c r="E500">
        <v>4777</v>
      </c>
      <c r="F500" s="106" t="s">
        <v>548</v>
      </c>
      <c r="G500" s="106" t="s">
        <v>355</v>
      </c>
      <c r="H500" s="106" t="s">
        <v>362</v>
      </c>
      <c r="I500">
        <v>53</v>
      </c>
    </row>
    <row r="501" spans="1:10">
      <c r="A501" s="106" t="s">
        <v>534</v>
      </c>
      <c r="B501" s="106" t="s">
        <v>348</v>
      </c>
      <c r="C501" s="106" t="s">
        <v>349</v>
      </c>
      <c r="D501" s="106" t="s">
        <v>354</v>
      </c>
      <c r="E501">
        <v>4970</v>
      </c>
      <c r="F501" s="106" t="s">
        <v>913</v>
      </c>
      <c r="G501" s="106" t="s">
        <v>355</v>
      </c>
      <c r="H501" s="106" t="s">
        <v>364</v>
      </c>
      <c r="I501">
        <v>338</v>
      </c>
    </row>
    <row r="502" spans="1:10">
      <c r="A502" s="106" t="s">
        <v>534</v>
      </c>
      <c r="B502" s="106" t="s">
        <v>348</v>
      </c>
      <c r="C502" s="106" t="s">
        <v>349</v>
      </c>
      <c r="D502" s="106" t="s">
        <v>350</v>
      </c>
      <c r="E502">
        <v>5602</v>
      </c>
      <c r="F502" s="106" t="s">
        <v>914</v>
      </c>
      <c r="G502" s="106" t="s">
        <v>351</v>
      </c>
      <c r="H502" s="106" t="s">
        <v>915</v>
      </c>
      <c r="I502">
        <v>281</v>
      </c>
    </row>
    <row r="503" spans="1:10">
      <c r="A503" s="106" t="s">
        <v>534</v>
      </c>
      <c r="B503" s="106" t="s">
        <v>348</v>
      </c>
      <c r="C503" s="106" t="s">
        <v>349</v>
      </c>
      <c r="D503" s="106" t="s">
        <v>350</v>
      </c>
      <c r="E503">
        <v>5713</v>
      </c>
      <c r="F503" s="106" t="s">
        <v>549</v>
      </c>
      <c r="G503" s="106" t="s">
        <v>351</v>
      </c>
      <c r="H503" s="106" t="s">
        <v>502</v>
      </c>
      <c r="I503" s="106" t="s">
        <v>488</v>
      </c>
      <c r="J503" s="106" t="s">
        <v>957</v>
      </c>
    </row>
    <row r="504" spans="1:10">
      <c r="A504" s="106" t="s">
        <v>534</v>
      </c>
      <c r="B504" s="106" t="s">
        <v>348</v>
      </c>
      <c r="C504" s="106" t="s">
        <v>358</v>
      </c>
      <c r="D504" s="106" t="s">
        <v>350</v>
      </c>
      <c r="E504">
        <v>6268</v>
      </c>
      <c r="F504" s="106" t="s">
        <v>2385</v>
      </c>
      <c r="G504" s="106" t="s">
        <v>351</v>
      </c>
      <c r="H504" s="106" t="s">
        <v>372</v>
      </c>
      <c r="I504" s="106" t="s">
        <v>401</v>
      </c>
      <c r="J504" s="106" t="s">
        <v>2386</v>
      </c>
    </row>
    <row r="505" spans="1:10">
      <c r="A505" s="106" t="s">
        <v>534</v>
      </c>
      <c r="B505" s="106" t="s">
        <v>348</v>
      </c>
      <c r="C505" s="106" t="s">
        <v>349</v>
      </c>
      <c r="D505" s="106" t="s">
        <v>350</v>
      </c>
      <c r="E505">
        <v>6485</v>
      </c>
      <c r="F505" s="106" t="s">
        <v>550</v>
      </c>
      <c r="G505" s="106" t="s">
        <v>351</v>
      </c>
      <c r="H505" s="106" t="s">
        <v>372</v>
      </c>
      <c r="I505">
        <v>265</v>
      </c>
    </row>
    <row r="506" spans="1:10">
      <c r="A506" s="106" t="s">
        <v>534</v>
      </c>
      <c r="B506" s="106" t="s">
        <v>348</v>
      </c>
      <c r="C506" s="106" t="s">
        <v>358</v>
      </c>
      <c r="D506" s="106" t="s">
        <v>350</v>
      </c>
      <c r="E506">
        <v>6929</v>
      </c>
      <c r="F506" s="106" t="s">
        <v>551</v>
      </c>
      <c r="G506" s="106" t="s">
        <v>351</v>
      </c>
      <c r="H506" s="106" t="s">
        <v>376</v>
      </c>
      <c r="I506">
        <v>774</v>
      </c>
    </row>
    <row r="507" spans="1:10">
      <c r="A507" s="106" t="s">
        <v>534</v>
      </c>
      <c r="B507" s="106" t="s">
        <v>348</v>
      </c>
      <c r="C507" s="106" t="s">
        <v>349</v>
      </c>
      <c r="D507" s="106" t="s">
        <v>350</v>
      </c>
      <c r="E507">
        <v>6986</v>
      </c>
      <c r="F507" s="106" t="s">
        <v>2387</v>
      </c>
      <c r="G507" s="106" t="s">
        <v>351</v>
      </c>
      <c r="H507" s="106" t="s">
        <v>376</v>
      </c>
      <c r="I507">
        <v>595</v>
      </c>
    </row>
    <row r="508" spans="1:10">
      <c r="A508" s="106" t="s">
        <v>534</v>
      </c>
      <c r="B508" s="106" t="s">
        <v>348</v>
      </c>
      <c r="C508" s="106" t="s">
        <v>349</v>
      </c>
      <c r="D508" s="106" t="s">
        <v>350</v>
      </c>
      <c r="E508">
        <v>7480</v>
      </c>
      <c r="F508" s="106" t="s">
        <v>552</v>
      </c>
      <c r="G508" s="106" t="s">
        <v>351</v>
      </c>
      <c r="H508" s="106" t="s">
        <v>357</v>
      </c>
      <c r="I508" s="106">
        <v>222</v>
      </c>
      <c r="J508" s="106"/>
    </row>
    <row r="509" spans="1:10">
      <c r="A509" s="106" t="s">
        <v>534</v>
      </c>
      <c r="B509" s="106" t="s">
        <v>348</v>
      </c>
      <c r="C509" s="106" t="s">
        <v>360</v>
      </c>
      <c r="D509" s="106" t="s">
        <v>350</v>
      </c>
      <c r="E509">
        <v>9028</v>
      </c>
      <c r="F509" s="106" t="s">
        <v>2388</v>
      </c>
      <c r="G509" s="106" t="s">
        <v>359</v>
      </c>
      <c r="H509" s="106" t="s">
        <v>485</v>
      </c>
      <c r="I509" s="106">
        <v>203</v>
      </c>
      <c r="J509" s="106"/>
    </row>
    <row r="510" spans="1:10">
      <c r="A510" s="106" t="s">
        <v>534</v>
      </c>
      <c r="B510" s="106" t="s">
        <v>348</v>
      </c>
      <c r="C510" s="106" t="s">
        <v>349</v>
      </c>
      <c r="D510" s="106" t="s">
        <v>350</v>
      </c>
      <c r="E510">
        <v>9880</v>
      </c>
      <c r="F510" s="106" t="s">
        <v>553</v>
      </c>
      <c r="G510" s="106" t="s">
        <v>351</v>
      </c>
      <c r="H510" s="106" t="s">
        <v>357</v>
      </c>
      <c r="I510" s="106">
        <v>172</v>
      </c>
      <c r="J510" s="106"/>
    </row>
    <row r="511" spans="1:10">
      <c r="A511" s="106" t="s">
        <v>534</v>
      </c>
      <c r="B511" s="106" t="s">
        <v>348</v>
      </c>
      <c r="C511" s="106" t="s">
        <v>349</v>
      </c>
      <c r="D511" s="106" t="s">
        <v>350</v>
      </c>
      <c r="E511">
        <v>9994</v>
      </c>
      <c r="F511" s="106" t="s">
        <v>554</v>
      </c>
      <c r="G511" s="106" t="s">
        <v>351</v>
      </c>
      <c r="H511" s="106" t="s">
        <v>361</v>
      </c>
      <c r="I511" s="106">
        <v>244</v>
      </c>
      <c r="J511" s="106"/>
    </row>
    <row r="512" spans="1:10">
      <c r="A512" s="106" t="s">
        <v>2389</v>
      </c>
      <c r="B512" s="106" t="s">
        <v>348</v>
      </c>
      <c r="C512" s="106" t="s">
        <v>360</v>
      </c>
      <c r="D512" s="106" t="s">
        <v>350</v>
      </c>
      <c r="E512">
        <v>6327</v>
      </c>
      <c r="F512" s="106" t="s">
        <v>2390</v>
      </c>
      <c r="G512" s="106" t="s">
        <v>355</v>
      </c>
      <c r="H512" s="106" t="s">
        <v>372</v>
      </c>
      <c r="I512">
        <v>36</v>
      </c>
    </row>
    <row r="513" spans="1:10">
      <c r="A513" s="106" t="s">
        <v>555</v>
      </c>
      <c r="B513" s="106" t="s">
        <v>2391</v>
      </c>
      <c r="C513" s="106" t="s">
        <v>358</v>
      </c>
      <c r="D513" s="106" t="s">
        <v>350</v>
      </c>
      <c r="E513">
        <v>9830</v>
      </c>
      <c r="F513" s="106" t="s">
        <v>2392</v>
      </c>
      <c r="G513" s="106" t="s">
        <v>351</v>
      </c>
      <c r="H513" s="106" t="s">
        <v>357</v>
      </c>
      <c r="I513" s="106" t="s">
        <v>382</v>
      </c>
      <c r="J513" s="106" t="s">
        <v>2393</v>
      </c>
    </row>
    <row r="514" spans="1:10">
      <c r="A514" s="106" t="s">
        <v>555</v>
      </c>
      <c r="B514" s="106" t="s">
        <v>348</v>
      </c>
      <c r="C514" s="106" t="s">
        <v>349</v>
      </c>
      <c r="D514" s="106" t="s">
        <v>350</v>
      </c>
      <c r="E514">
        <v>1979</v>
      </c>
      <c r="F514" s="106" t="s">
        <v>556</v>
      </c>
      <c r="G514" s="106" t="s">
        <v>351</v>
      </c>
      <c r="H514" s="106" t="s">
        <v>378</v>
      </c>
      <c r="I514" s="106" t="s">
        <v>382</v>
      </c>
      <c r="J514" s="106" t="s">
        <v>2394</v>
      </c>
    </row>
    <row r="515" spans="1:10">
      <c r="A515" s="106" t="s">
        <v>555</v>
      </c>
      <c r="B515" s="106" t="s">
        <v>348</v>
      </c>
      <c r="C515" s="106" t="s">
        <v>349</v>
      </c>
      <c r="D515" s="106" t="s">
        <v>350</v>
      </c>
      <c r="E515">
        <v>2201</v>
      </c>
      <c r="F515" s="106" t="s">
        <v>811</v>
      </c>
      <c r="G515" s="106" t="s">
        <v>351</v>
      </c>
      <c r="H515" s="106" t="s">
        <v>352</v>
      </c>
      <c r="I515" s="106" t="s">
        <v>374</v>
      </c>
      <c r="J515" s="106" t="s">
        <v>2395</v>
      </c>
    </row>
    <row r="516" spans="1:10">
      <c r="A516" s="106" t="s">
        <v>555</v>
      </c>
      <c r="B516" s="106" t="s">
        <v>348</v>
      </c>
      <c r="C516" s="106" t="s">
        <v>358</v>
      </c>
      <c r="D516" s="106" t="s">
        <v>350</v>
      </c>
      <c r="E516">
        <v>2384</v>
      </c>
      <c r="F516" s="106" t="s">
        <v>812</v>
      </c>
      <c r="G516" s="106" t="s">
        <v>351</v>
      </c>
      <c r="H516" s="106" t="s">
        <v>485</v>
      </c>
      <c r="I516">
        <v>779</v>
      </c>
    </row>
    <row r="517" spans="1:10">
      <c r="A517" s="106" t="s">
        <v>555</v>
      </c>
      <c r="B517" s="106" t="s">
        <v>348</v>
      </c>
      <c r="C517" s="106" t="s">
        <v>349</v>
      </c>
      <c r="D517" s="106" t="s">
        <v>350</v>
      </c>
      <c r="E517">
        <v>2398</v>
      </c>
      <c r="F517" s="106" t="s">
        <v>813</v>
      </c>
      <c r="G517" s="106" t="s">
        <v>351</v>
      </c>
      <c r="H517" s="106" t="s">
        <v>356</v>
      </c>
      <c r="I517">
        <v>409</v>
      </c>
    </row>
    <row r="518" spans="1:10">
      <c r="A518" s="106" t="s">
        <v>555</v>
      </c>
      <c r="B518" s="106" t="s">
        <v>348</v>
      </c>
      <c r="C518" s="106" t="s">
        <v>349</v>
      </c>
      <c r="D518" s="106" t="s">
        <v>350</v>
      </c>
      <c r="E518">
        <v>3183</v>
      </c>
      <c r="F518" s="106" t="s">
        <v>2396</v>
      </c>
      <c r="G518" s="106" t="s">
        <v>351</v>
      </c>
      <c r="H518" s="106" t="s">
        <v>357</v>
      </c>
      <c r="I518">
        <v>462</v>
      </c>
    </row>
    <row r="519" spans="1:10">
      <c r="A519" s="106" t="s">
        <v>555</v>
      </c>
      <c r="B519" s="106" t="s">
        <v>348</v>
      </c>
      <c r="C519" s="106" t="s">
        <v>349</v>
      </c>
      <c r="D519" s="106" t="s">
        <v>350</v>
      </c>
      <c r="E519">
        <v>6155</v>
      </c>
      <c r="F519" s="106" t="s">
        <v>2397</v>
      </c>
      <c r="G519" s="106" t="s">
        <v>359</v>
      </c>
      <c r="H519" s="106" t="s">
        <v>372</v>
      </c>
      <c r="I519" s="106">
        <v>98</v>
      </c>
      <c r="J519" s="106"/>
    </row>
    <row r="520" spans="1:10">
      <c r="A520" s="106" t="s">
        <v>555</v>
      </c>
      <c r="B520" s="106" t="s">
        <v>348</v>
      </c>
      <c r="C520" s="106" t="s">
        <v>349</v>
      </c>
      <c r="D520" s="106" t="s">
        <v>350</v>
      </c>
      <c r="E520">
        <v>6324</v>
      </c>
      <c r="F520" s="106" t="s">
        <v>916</v>
      </c>
      <c r="G520" s="106" t="s">
        <v>355</v>
      </c>
      <c r="H520" s="106" t="s">
        <v>372</v>
      </c>
      <c r="I520" s="106" t="s">
        <v>401</v>
      </c>
      <c r="J520" s="106" t="s">
        <v>2398</v>
      </c>
    </row>
    <row r="521" spans="1:10">
      <c r="A521" s="106" t="s">
        <v>555</v>
      </c>
      <c r="B521" s="106" t="s">
        <v>348</v>
      </c>
      <c r="C521" s="106" t="s">
        <v>349</v>
      </c>
      <c r="D521" s="106" t="s">
        <v>350</v>
      </c>
      <c r="E521">
        <v>7215</v>
      </c>
      <c r="F521" s="106" t="s">
        <v>2399</v>
      </c>
      <c r="G521" s="106" t="s">
        <v>351</v>
      </c>
      <c r="H521" s="106" t="s">
        <v>381</v>
      </c>
      <c r="I521" s="106">
        <v>120</v>
      </c>
      <c r="J521" s="106"/>
    </row>
    <row r="522" spans="1:10">
      <c r="A522" s="106" t="s">
        <v>555</v>
      </c>
      <c r="B522" s="106" t="s">
        <v>348</v>
      </c>
      <c r="C522" s="106" t="s">
        <v>360</v>
      </c>
      <c r="D522" s="106" t="s">
        <v>350</v>
      </c>
      <c r="E522">
        <v>7320</v>
      </c>
      <c r="F522" s="106" t="s">
        <v>814</v>
      </c>
      <c r="G522" s="106" t="s">
        <v>363</v>
      </c>
      <c r="H522" s="106" t="s">
        <v>387</v>
      </c>
      <c r="I522" s="106">
        <v>67</v>
      </c>
      <c r="J522" s="106"/>
    </row>
    <row r="523" spans="1:10">
      <c r="A523" s="106" t="s">
        <v>555</v>
      </c>
      <c r="B523" s="106" t="s">
        <v>348</v>
      </c>
      <c r="C523" s="106" t="s">
        <v>349</v>
      </c>
      <c r="D523" s="106" t="s">
        <v>350</v>
      </c>
      <c r="E523">
        <v>8108</v>
      </c>
      <c r="F523" s="106" t="s">
        <v>557</v>
      </c>
      <c r="G523" s="106" t="s">
        <v>558</v>
      </c>
      <c r="H523" s="106" t="s">
        <v>357</v>
      </c>
      <c r="I523" s="106">
        <v>267</v>
      </c>
      <c r="J523" s="106"/>
    </row>
    <row r="524" spans="1:10">
      <c r="A524" s="106" t="s">
        <v>555</v>
      </c>
      <c r="B524" s="106" t="s">
        <v>348</v>
      </c>
      <c r="C524" s="106" t="s">
        <v>349</v>
      </c>
      <c r="D524" s="106" t="s">
        <v>350</v>
      </c>
      <c r="E524">
        <v>9479</v>
      </c>
      <c r="F524" s="106" t="s">
        <v>2400</v>
      </c>
      <c r="G524" s="106" t="s">
        <v>351</v>
      </c>
      <c r="H524" s="106" t="s">
        <v>362</v>
      </c>
      <c r="I524" s="106">
        <v>70</v>
      </c>
      <c r="J524" s="106"/>
    </row>
    <row r="525" spans="1:10">
      <c r="A525" s="106" t="s">
        <v>559</v>
      </c>
      <c r="B525" s="106" t="s">
        <v>417</v>
      </c>
      <c r="C525" s="106" t="s">
        <v>353</v>
      </c>
      <c r="D525" s="106" t="s">
        <v>350</v>
      </c>
      <c r="E525">
        <v>7069</v>
      </c>
      <c r="F525" s="106" t="s">
        <v>2401</v>
      </c>
      <c r="G525" s="106" t="s">
        <v>363</v>
      </c>
      <c r="H525" s="106" t="s">
        <v>356</v>
      </c>
      <c r="I525">
        <v>181</v>
      </c>
    </row>
    <row r="526" spans="1:10">
      <c r="A526" s="106" t="s">
        <v>559</v>
      </c>
      <c r="B526" s="106" t="s">
        <v>348</v>
      </c>
      <c r="C526" s="106" t="s">
        <v>349</v>
      </c>
      <c r="D526" s="106" t="s">
        <v>350</v>
      </c>
      <c r="E526">
        <v>1762</v>
      </c>
      <c r="F526" s="106" t="s">
        <v>560</v>
      </c>
      <c r="G526" s="106" t="s">
        <v>351</v>
      </c>
      <c r="H526" s="106" t="s">
        <v>378</v>
      </c>
      <c r="I526" s="106" t="s">
        <v>382</v>
      </c>
      <c r="J526" s="106" t="s">
        <v>2402</v>
      </c>
    </row>
    <row r="527" spans="1:10">
      <c r="A527" s="106" t="s">
        <v>559</v>
      </c>
      <c r="B527" s="106" t="s">
        <v>348</v>
      </c>
      <c r="C527" s="106" t="s">
        <v>349</v>
      </c>
      <c r="D527" s="106" t="s">
        <v>350</v>
      </c>
      <c r="E527">
        <v>1821</v>
      </c>
      <c r="F527" s="106" t="s">
        <v>561</v>
      </c>
      <c r="G527" s="106" t="s">
        <v>351</v>
      </c>
      <c r="H527" s="106" t="s">
        <v>378</v>
      </c>
      <c r="I527" s="106" t="s">
        <v>382</v>
      </c>
      <c r="J527" s="106" t="s">
        <v>2403</v>
      </c>
    </row>
    <row r="528" spans="1:10">
      <c r="A528" s="106" t="s">
        <v>559</v>
      </c>
      <c r="B528" s="106" t="s">
        <v>348</v>
      </c>
      <c r="C528" s="106" t="s">
        <v>353</v>
      </c>
      <c r="D528" s="106" t="s">
        <v>350</v>
      </c>
      <c r="E528">
        <v>2122</v>
      </c>
      <c r="F528" s="106" t="s">
        <v>2404</v>
      </c>
      <c r="G528" s="106" t="s">
        <v>363</v>
      </c>
      <c r="H528" s="106" t="s">
        <v>356</v>
      </c>
      <c r="I528" s="106">
        <v>78</v>
      </c>
      <c r="J528" s="106"/>
    </row>
    <row r="529" spans="1:10">
      <c r="A529" s="106" t="s">
        <v>559</v>
      </c>
      <c r="B529" s="106" t="s">
        <v>348</v>
      </c>
      <c r="C529" s="106" t="s">
        <v>349</v>
      </c>
      <c r="D529" s="106" t="s">
        <v>350</v>
      </c>
      <c r="E529">
        <v>2196</v>
      </c>
      <c r="F529" s="106" t="s">
        <v>815</v>
      </c>
      <c r="G529" s="106" t="s">
        <v>351</v>
      </c>
      <c r="H529" s="106" t="s">
        <v>356</v>
      </c>
      <c r="I529" s="106">
        <v>92</v>
      </c>
      <c r="J529" s="106"/>
    </row>
    <row r="530" spans="1:10">
      <c r="A530" s="106" t="s">
        <v>559</v>
      </c>
      <c r="B530" s="106" t="s">
        <v>348</v>
      </c>
      <c r="C530" s="106" t="s">
        <v>358</v>
      </c>
      <c r="D530" s="106" t="s">
        <v>350</v>
      </c>
      <c r="E530">
        <v>2436</v>
      </c>
      <c r="F530" s="106" t="s">
        <v>816</v>
      </c>
      <c r="G530" s="106" t="s">
        <v>355</v>
      </c>
      <c r="H530" s="106" t="s">
        <v>356</v>
      </c>
      <c r="I530" s="106">
        <v>53</v>
      </c>
      <c r="J530" s="106"/>
    </row>
    <row r="531" spans="1:10">
      <c r="A531" s="106" t="s">
        <v>559</v>
      </c>
      <c r="B531" s="106" t="s">
        <v>348</v>
      </c>
      <c r="C531" s="106" t="s">
        <v>349</v>
      </c>
      <c r="D531" s="106" t="s">
        <v>350</v>
      </c>
      <c r="E531">
        <v>2705</v>
      </c>
      <c r="F531" s="106" t="s">
        <v>562</v>
      </c>
      <c r="G531" s="106" t="s">
        <v>355</v>
      </c>
      <c r="H531" s="106" t="s">
        <v>361</v>
      </c>
      <c r="I531">
        <v>168</v>
      </c>
    </row>
    <row r="532" spans="1:10">
      <c r="A532" s="106" t="s">
        <v>559</v>
      </c>
      <c r="B532" s="106" t="s">
        <v>348</v>
      </c>
      <c r="C532" s="106" t="s">
        <v>349</v>
      </c>
      <c r="D532" s="106" t="s">
        <v>350</v>
      </c>
      <c r="E532">
        <v>3010</v>
      </c>
      <c r="F532" s="106" t="s">
        <v>2405</v>
      </c>
      <c r="G532" s="106" t="s">
        <v>359</v>
      </c>
      <c r="H532" s="106" t="s">
        <v>356</v>
      </c>
      <c r="I532">
        <v>79</v>
      </c>
    </row>
    <row r="533" spans="1:10">
      <c r="A533" s="106" t="s">
        <v>559</v>
      </c>
      <c r="B533" s="106" t="s">
        <v>348</v>
      </c>
      <c r="C533" s="106" t="s">
        <v>358</v>
      </c>
      <c r="D533" s="106" t="s">
        <v>350</v>
      </c>
      <c r="E533">
        <v>3784</v>
      </c>
      <c r="F533" s="106" t="s">
        <v>917</v>
      </c>
      <c r="G533" s="106" t="s">
        <v>351</v>
      </c>
      <c r="H533" s="106" t="s">
        <v>362</v>
      </c>
      <c r="I533">
        <v>223</v>
      </c>
    </row>
    <row r="534" spans="1:10">
      <c r="A534" s="106" t="s">
        <v>559</v>
      </c>
      <c r="B534" s="106" t="s">
        <v>348</v>
      </c>
      <c r="C534" s="106" t="s">
        <v>358</v>
      </c>
      <c r="D534" s="106" t="s">
        <v>354</v>
      </c>
      <c r="E534">
        <v>4438</v>
      </c>
      <c r="F534" s="106" t="s">
        <v>2406</v>
      </c>
      <c r="G534" s="106" t="s">
        <v>363</v>
      </c>
      <c r="H534" s="106" t="s">
        <v>362</v>
      </c>
      <c r="I534">
        <v>165</v>
      </c>
    </row>
    <row r="535" spans="1:10">
      <c r="A535" s="106" t="s">
        <v>559</v>
      </c>
      <c r="B535" s="106" t="s">
        <v>348</v>
      </c>
      <c r="C535" s="106" t="s">
        <v>358</v>
      </c>
      <c r="D535" s="106" t="s">
        <v>350</v>
      </c>
      <c r="E535">
        <v>5187</v>
      </c>
      <c r="F535" s="106" t="s">
        <v>2407</v>
      </c>
      <c r="G535" s="106" t="s">
        <v>351</v>
      </c>
      <c r="H535" s="106" t="s">
        <v>464</v>
      </c>
      <c r="I535">
        <v>107</v>
      </c>
    </row>
    <row r="536" spans="1:10">
      <c r="A536" s="106" t="s">
        <v>559</v>
      </c>
      <c r="B536" s="106" t="s">
        <v>348</v>
      </c>
      <c r="C536" s="106" t="s">
        <v>349</v>
      </c>
      <c r="D536" s="106" t="s">
        <v>350</v>
      </c>
      <c r="E536">
        <v>5714</v>
      </c>
      <c r="F536" s="106" t="s">
        <v>563</v>
      </c>
      <c r="G536" s="106" t="s">
        <v>351</v>
      </c>
      <c r="H536" s="106" t="s">
        <v>502</v>
      </c>
      <c r="I536" s="106" t="s">
        <v>374</v>
      </c>
      <c r="J536" s="106" t="s">
        <v>2326</v>
      </c>
    </row>
    <row r="537" spans="1:10">
      <c r="A537" s="106" t="s">
        <v>559</v>
      </c>
      <c r="B537" s="106" t="s">
        <v>348</v>
      </c>
      <c r="C537" s="106" t="s">
        <v>358</v>
      </c>
      <c r="D537" s="106" t="s">
        <v>350</v>
      </c>
      <c r="E537">
        <v>6627</v>
      </c>
      <c r="F537" s="106" t="s">
        <v>918</v>
      </c>
      <c r="G537" s="106" t="s">
        <v>363</v>
      </c>
      <c r="H537" s="106" t="s">
        <v>376</v>
      </c>
      <c r="I537" s="106">
        <v>79</v>
      </c>
      <c r="J537" s="106"/>
    </row>
    <row r="538" spans="1:10">
      <c r="A538" s="106" t="s">
        <v>559</v>
      </c>
      <c r="B538" s="106" t="s">
        <v>348</v>
      </c>
      <c r="C538" s="106" t="s">
        <v>349</v>
      </c>
      <c r="D538" s="106" t="s">
        <v>350</v>
      </c>
      <c r="E538">
        <v>7294</v>
      </c>
      <c r="F538" s="106" t="s">
        <v>564</v>
      </c>
      <c r="G538" s="106" t="s">
        <v>351</v>
      </c>
      <c r="H538" s="106" t="s">
        <v>381</v>
      </c>
      <c r="I538">
        <v>364</v>
      </c>
    </row>
    <row r="539" spans="1:10">
      <c r="A539" s="106" t="s">
        <v>559</v>
      </c>
      <c r="B539" s="106" t="s">
        <v>348</v>
      </c>
      <c r="C539" s="106" t="s">
        <v>349</v>
      </c>
      <c r="D539" s="106" t="s">
        <v>354</v>
      </c>
      <c r="E539">
        <v>7481</v>
      </c>
      <c r="F539" s="106" t="s">
        <v>697</v>
      </c>
      <c r="G539" s="106" t="s">
        <v>351</v>
      </c>
      <c r="H539" s="106" t="s">
        <v>357</v>
      </c>
      <c r="I539">
        <v>138</v>
      </c>
    </row>
    <row r="540" spans="1:10">
      <c r="A540" s="106" t="s">
        <v>559</v>
      </c>
      <c r="B540" s="106" t="s">
        <v>348</v>
      </c>
      <c r="C540" s="106" t="s">
        <v>349</v>
      </c>
      <c r="D540" s="106" t="s">
        <v>350</v>
      </c>
      <c r="E540">
        <v>9964</v>
      </c>
      <c r="F540" s="106" t="s">
        <v>565</v>
      </c>
      <c r="G540" s="106" t="s">
        <v>355</v>
      </c>
      <c r="H540" s="106" t="s">
        <v>357</v>
      </c>
      <c r="I540">
        <v>190</v>
      </c>
    </row>
    <row r="541" spans="1:10">
      <c r="A541" s="106" t="s">
        <v>566</v>
      </c>
      <c r="B541" s="106" t="s">
        <v>417</v>
      </c>
      <c r="C541" s="106" t="s">
        <v>349</v>
      </c>
      <c r="D541" s="106" t="s">
        <v>354</v>
      </c>
      <c r="E541">
        <v>6568</v>
      </c>
      <c r="F541" s="106" t="s">
        <v>2408</v>
      </c>
      <c r="G541" s="106" t="s">
        <v>363</v>
      </c>
      <c r="H541" s="106" t="s">
        <v>356</v>
      </c>
      <c r="I541">
        <v>117</v>
      </c>
    </row>
    <row r="542" spans="1:10">
      <c r="A542" s="106" t="s">
        <v>566</v>
      </c>
      <c r="B542" s="106" t="s">
        <v>375</v>
      </c>
      <c r="C542" s="106" t="s">
        <v>358</v>
      </c>
      <c r="D542" s="106" t="s">
        <v>350</v>
      </c>
      <c r="E542">
        <v>4576</v>
      </c>
      <c r="F542" s="106" t="s">
        <v>2409</v>
      </c>
      <c r="G542" s="106" t="s">
        <v>355</v>
      </c>
      <c r="H542" s="106" t="s">
        <v>396</v>
      </c>
      <c r="I542">
        <v>165</v>
      </c>
    </row>
    <row r="543" spans="1:10">
      <c r="A543" s="106" t="s">
        <v>566</v>
      </c>
      <c r="B543" s="106" t="s">
        <v>348</v>
      </c>
      <c r="C543" s="106" t="s">
        <v>349</v>
      </c>
      <c r="D543" s="106" t="s">
        <v>350</v>
      </c>
      <c r="E543">
        <v>1384</v>
      </c>
      <c r="F543" s="106" t="s">
        <v>567</v>
      </c>
      <c r="G543" s="106" t="s">
        <v>351</v>
      </c>
      <c r="H543" s="106" t="s">
        <v>399</v>
      </c>
      <c r="I543">
        <v>58</v>
      </c>
    </row>
    <row r="544" spans="1:10">
      <c r="A544" s="106" t="s">
        <v>566</v>
      </c>
      <c r="B544" s="106" t="s">
        <v>348</v>
      </c>
      <c r="C544" s="106" t="s">
        <v>358</v>
      </c>
      <c r="D544" s="106" t="s">
        <v>350</v>
      </c>
      <c r="E544">
        <v>2150</v>
      </c>
      <c r="F544" s="106" t="s">
        <v>568</v>
      </c>
      <c r="G544" s="106" t="s">
        <v>363</v>
      </c>
      <c r="H544" s="106" t="s">
        <v>356</v>
      </c>
      <c r="I544">
        <v>86</v>
      </c>
    </row>
    <row r="545" spans="1:10">
      <c r="A545" s="106" t="s">
        <v>566</v>
      </c>
      <c r="B545" s="106" t="s">
        <v>348</v>
      </c>
      <c r="C545" s="106" t="s">
        <v>358</v>
      </c>
      <c r="D545" s="106" t="s">
        <v>350</v>
      </c>
      <c r="E545">
        <v>2170</v>
      </c>
      <c r="F545" s="106" t="s">
        <v>569</v>
      </c>
      <c r="G545" s="106" t="s">
        <v>351</v>
      </c>
      <c r="H545" s="106" t="s">
        <v>356</v>
      </c>
      <c r="I545">
        <v>717</v>
      </c>
    </row>
    <row r="546" spans="1:10">
      <c r="A546" s="106" t="s">
        <v>566</v>
      </c>
      <c r="B546" s="106" t="s">
        <v>348</v>
      </c>
      <c r="C546" s="106" t="s">
        <v>353</v>
      </c>
      <c r="D546" s="106" t="s">
        <v>350</v>
      </c>
      <c r="E546">
        <v>2185</v>
      </c>
      <c r="F546" s="106" t="s">
        <v>817</v>
      </c>
      <c r="G546" s="106" t="s">
        <v>355</v>
      </c>
      <c r="H546" s="106" t="s">
        <v>356</v>
      </c>
      <c r="I546">
        <v>175</v>
      </c>
    </row>
    <row r="547" spans="1:10">
      <c r="A547" s="106" t="s">
        <v>566</v>
      </c>
      <c r="B547" s="106" t="s">
        <v>348</v>
      </c>
      <c r="C547" s="106" t="s">
        <v>349</v>
      </c>
      <c r="D547" s="106" t="s">
        <v>350</v>
      </c>
      <c r="E547">
        <v>2323</v>
      </c>
      <c r="F547" s="106" t="s">
        <v>818</v>
      </c>
      <c r="G547" s="106" t="s">
        <v>355</v>
      </c>
      <c r="H547" s="106" t="s">
        <v>362</v>
      </c>
      <c r="I547">
        <v>14</v>
      </c>
    </row>
    <row r="548" spans="1:10">
      <c r="A548" s="106" t="s">
        <v>566</v>
      </c>
      <c r="B548" s="106" t="s">
        <v>348</v>
      </c>
      <c r="C548" s="106" t="s">
        <v>349</v>
      </c>
      <c r="D548" s="106" t="s">
        <v>350</v>
      </c>
      <c r="E548">
        <v>2654</v>
      </c>
      <c r="F548" s="106" t="s">
        <v>570</v>
      </c>
      <c r="G548" s="106" t="s">
        <v>359</v>
      </c>
      <c r="H548" s="106" t="s">
        <v>361</v>
      </c>
      <c r="I548">
        <v>83</v>
      </c>
    </row>
    <row r="549" spans="1:10">
      <c r="A549" s="106" t="s">
        <v>566</v>
      </c>
      <c r="B549" s="106" t="s">
        <v>348</v>
      </c>
      <c r="C549" s="106" t="s">
        <v>358</v>
      </c>
      <c r="D549" s="106" t="s">
        <v>350</v>
      </c>
      <c r="E549">
        <v>2743</v>
      </c>
      <c r="F549" s="106" t="s">
        <v>2410</v>
      </c>
      <c r="G549" s="106" t="s">
        <v>355</v>
      </c>
      <c r="H549" s="106" t="s">
        <v>357</v>
      </c>
      <c r="I549">
        <v>43</v>
      </c>
    </row>
    <row r="550" spans="1:10">
      <c r="A550" s="106" t="s">
        <v>566</v>
      </c>
      <c r="B550" s="106" t="s">
        <v>348</v>
      </c>
      <c r="C550" s="106" t="s">
        <v>349</v>
      </c>
      <c r="D550" s="106" t="s">
        <v>350</v>
      </c>
      <c r="E550">
        <v>3182</v>
      </c>
      <c r="F550" s="106" t="s">
        <v>571</v>
      </c>
      <c r="G550" s="106" t="s">
        <v>363</v>
      </c>
      <c r="H550" s="106" t="s">
        <v>361</v>
      </c>
      <c r="I550">
        <v>440</v>
      </c>
    </row>
    <row r="551" spans="1:10">
      <c r="A551" s="106" t="s">
        <v>566</v>
      </c>
      <c r="B551" s="106" t="s">
        <v>348</v>
      </c>
      <c r="C551" s="106" t="s">
        <v>358</v>
      </c>
      <c r="D551" s="106" t="s">
        <v>350</v>
      </c>
      <c r="E551">
        <v>3355</v>
      </c>
      <c r="F551" s="106" t="s">
        <v>2411</v>
      </c>
      <c r="G551" s="106" t="s">
        <v>359</v>
      </c>
      <c r="H551" s="106" t="s">
        <v>357</v>
      </c>
      <c r="I551">
        <v>180</v>
      </c>
    </row>
    <row r="552" spans="1:10">
      <c r="A552" s="106" t="s">
        <v>566</v>
      </c>
      <c r="B552" s="106" t="s">
        <v>348</v>
      </c>
      <c r="C552" s="106" t="s">
        <v>360</v>
      </c>
      <c r="D552" s="106" t="s">
        <v>354</v>
      </c>
      <c r="E552">
        <v>3446</v>
      </c>
      <c r="F552" s="106" t="s">
        <v>2412</v>
      </c>
      <c r="G552" s="106" t="s">
        <v>363</v>
      </c>
      <c r="H552" s="106" t="s">
        <v>366</v>
      </c>
      <c r="I552">
        <v>196</v>
      </c>
    </row>
    <row r="553" spans="1:10">
      <c r="A553" s="106" t="s">
        <v>566</v>
      </c>
      <c r="B553" s="106" t="s">
        <v>348</v>
      </c>
      <c r="C553" s="106" t="s">
        <v>349</v>
      </c>
      <c r="D553" s="106" t="s">
        <v>354</v>
      </c>
      <c r="E553">
        <v>3477</v>
      </c>
      <c r="F553" s="106" t="s">
        <v>919</v>
      </c>
      <c r="G553" s="106" t="s">
        <v>363</v>
      </c>
      <c r="H553" s="106" t="s">
        <v>377</v>
      </c>
      <c r="I553">
        <v>21</v>
      </c>
    </row>
    <row r="554" spans="1:10">
      <c r="A554" s="106" t="s">
        <v>566</v>
      </c>
      <c r="B554" s="106" t="s">
        <v>348</v>
      </c>
      <c r="C554" s="106" t="s">
        <v>358</v>
      </c>
      <c r="D554" s="106" t="s">
        <v>350</v>
      </c>
      <c r="E554">
        <v>3649</v>
      </c>
      <c r="F554" s="106" t="s">
        <v>920</v>
      </c>
      <c r="G554" s="106" t="s">
        <v>351</v>
      </c>
      <c r="H554" s="106" t="s">
        <v>362</v>
      </c>
      <c r="I554">
        <v>363</v>
      </c>
    </row>
    <row r="555" spans="1:10">
      <c r="A555" s="106" t="s">
        <v>566</v>
      </c>
      <c r="B555" s="106" t="s">
        <v>348</v>
      </c>
      <c r="C555" s="106" t="s">
        <v>358</v>
      </c>
      <c r="D555" s="106" t="s">
        <v>350</v>
      </c>
      <c r="E555">
        <v>3664</v>
      </c>
      <c r="F555" s="106" t="s">
        <v>921</v>
      </c>
      <c r="G555" s="106" t="s">
        <v>363</v>
      </c>
      <c r="H555" s="106" t="s">
        <v>362</v>
      </c>
      <c r="I555">
        <v>67</v>
      </c>
    </row>
    <row r="556" spans="1:10">
      <c r="A556" s="106" t="s">
        <v>566</v>
      </c>
      <c r="B556" s="106" t="s">
        <v>348</v>
      </c>
      <c r="C556" s="106" t="s">
        <v>349</v>
      </c>
      <c r="D556" s="106" t="s">
        <v>350</v>
      </c>
      <c r="E556">
        <v>3934</v>
      </c>
      <c r="F556" s="106" t="s">
        <v>572</v>
      </c>
      <c r="G556" s="106" t="s">
        <v>351</v>
      </c>
      <c r="H556" s="106" t="s">
        <v>362</v>
      </c>
      <c r="I556" s="106">
        <v>98</v>
      </c>
      <c r="J556" s="106"/>
    </row>
    <row r="557" spans="1:10">
      <c r="A557" s="106" t="s">
        <v>566</v>
      </c>
      <c r="B557" s="106" t="s">
        <v>348</v>
      </c>
      <c r="C557" s="106" t="s">
        <v>360</v>
      </c>
      <c r="D557" s="106" t="s">
        <v>350</v>
      </c>
      <c r="E557">
        <v>3960</v>
      </c>
      <c r="F557" s="106" t="s">
        <v>573</v>
      </c>
      <c r="G557" s="106" t="s">
        <v>363</v>
      </c>
      <c r="H557" s="106" t="s">
        <v>362</v>
      </c>
      <c r="I557" s="106">
        <v>26</v>
      </c>
      <c r="J557" s="106"/>
    </row>
    <row r="558" spans="1:10">
      <c r="A558" s="106" t="s">
        <v>566</v>
      </c>
      <c r="B558" s="106" t="s">
        <v>348</v>
      </c>
      <c r="C558" s="106" t="s">
        <v>358</v>
      </c>
      <c r="D558" s="106" t="s">
        <v>350</v>
      </c>
      <c r="E558">
        <v>4755</v>
      </c>
      <c r="F558" s="106" t="s">
        <v>574</v>
      </c>
      <c r="G558" s="106" t="s">
        <v>351</v>
      </c>
      <c r="H558" s="106" t="s">
        <v>356</v>
      </c>
      <c r="I558" s="106" t="s">
        <v>575</v>
      </c>
      <c r="J558" s="106" t="s">
        <v>2413</v>
      </c>
    </row>
    <row r="559" spans="1:10">
      <c r="A559" s="106" t="s">
        <v>566</v>
      </c>
      <c r="B559" s="106" t="s">
        <v>348</v>
      </c>
      <c r="C559" s="106" t="s">
        <v>349</v>
      </c>
      <c r="D559" s="106" t="s">
        <v>350</v>
      </c>
      <c r="E559">
        <v>5304</v>
      </c>
      <c r="F559" s="106" t="s">
        <v>576</v>
      </c>
      <c r="G559" s="106" t="s">
        <v>359</v>
      </c>
      <c r="H559" s="106" t="s">
        <v>393</v>
      </c>
      <c r="I559">
        <v>391</v>
      </c>
    </row>
    <row r="560" spans="1:10">
      <c r="A560" s="106" t="s">
        <v>566</v>
      </c>
      <c r="B560" s="106" t="s">
        <v>348</v>
      </c>
      <c r="C560" s="106" t="s">
        <v>349</v>
      </c>
      <c r="D560" s="106" t="s">
        <v>350</v>
      </c>
      <c r="E560">
        <v>6033</v>
      </c>
      <c r="F560" s="106" t="s">
        <v>577</v>
      </c>
      <c r="G560" s="106" t="s">
        <v>363</v>
      </c>
      <c r="H560" s="106" t="s">
        <v>356</v>
      </c>
      <c r="I560">
        <v>107</v>
      </c>
    </row>
    <row r="561" spans="1:10">
      <c r="A561" s="106" t="s">
        <v>566</v>
      </c>
      <c r="B561" s="106" t="s">
        <v>348</v>
      </c>
      <c r="C561" s="106" t="s">
        <v>349</v>
      </c>
      <c r="D561" s="106" t="s">
        <v>350</v>
      </c>
      <c r="E561">
        <v>6125</v>
      </c>
      <c r="F561" s="106" t="s">
        <v>819</v>
      </c>
      <c r="G561" s="106" t="s">
        <v>359</v>
      </c>
      <c r="H561" s="106" t="s">
        <v>372</v>
      </c>
      <c r="I561">
        <v>146</v>
      </c>
    </row>
    <row r="562" spans="1:10">
      <c r="A562" s="106" t="s">
        <v>566</v>
      </c>
      <c r="B562" s="106" t="s">
        <v>348</v>
      </c>
      <c r="C562" s="106" t="s">
        <v>349</v>
      </c>
      <c r="D562" s="106" t="s">
        <v>350</v>
      </c>
      <c r="E562">
        <v>6303</v>
      </c>
      <c r="F562" s="106" t="s">
        <v>922</v>
      </c>
      <c r="G562" s="106" t="s">
        <v>359</v>
      </c>
      <c r="H562" s="106" t="s">
        <v>372</v>
      </c>
      <c r="I562">
        <v>75</v>
      </c>
    </row>
    <row r="563" spans="1:10">
      <c r="A563" s="106" t="s">
        <v>566</v>
      </c>
      <c r="B563" s="106" t="s">
        <v>348</v>
      </c>
      <c r="C563" s="106" t="s">
        <v>349</v>
      </c>
      <c r="D563" s="106" t="s">
        <v>350</v>
      </c>
      <c r="E563">
        <v>6574</v>
      </c>
      <c r="F563" s="106" t="s">
        <v>747</v>
      </c>
      <c r="G563" s="106" t="s">
        <v>363</v>
      </c>
      <c r="H563" s="106" t="s">
        <v>356</v>
      </c>
      <c r="I563">
        <v>31</v>
      </c>
    </row>
    <row r="564" spans="1:10">
      <c r="A564" s="106" t="s">
        <v>566</v>
      </c>
      <c r="B564" s="106" t="s">
        <v>348</v>
      </c>
      <c r="C564" s="106" t="s">
        <v>349</v>
      </c>
      <c r="D564" s="106" t="s">
        <v>350</v>
      </c>
      <c r="E564">
        <v>7070</v>
      </c>
      <c r="F564" s="106" t="s">
        <v>578</v>
      </c>
      <c r="G564" s="106" t="s">
        <v>355</v>
      </c>
      <c r="H564" s="106" t="s">
        <v>356</v>
      </c>
      <c r="I564">
        <v>48</v>
      </c>
    </row>
    <row r="565" spans="1:10">
      <c r="A565" s="106" t="s">
        <v>566</v>
      </c>
      <c r="B565" s="106" t="s">
        <v>348</v>
      </c>
      <c r="C565" s="106" t="s">
        <v>358</v>
      </c>
      <c r="D565" s="106" t="s">
        <v>350</v>
      </c>
      <c r="E565">
        <v>7244</v>
      </c>
      <c r="F565" s="106" t="s">
        <v>2414</v>
      </c>
      <c r="G565" s="106" t="s">
        <v>351</v>
      </c>
      <c r="H565" s="106" t="s">
        <v>376</v>
      </c>
      <c r="I565">
        <v>795</v>
      </c>
    </row>
    <row r="566" spans="1:10">
      <c r="A566" s="106" t="s">
        <v>566</v>
      </c>
      <c r="B566" s="106" t="s">
        <v>348</v>
      </c>
      <c r="C566" s="106" t="s">
        <v>358</v>
      </c>
      <c r="D566" s="106" t="s">
        <v>350</v>
      </c>
      <c r="E566">
        <v>7613</v>
      </c>
      <c r="F566" s="106" t="s">
        <v>2415</v>
      </c>
      <c r="G566" s="106" t="s">
        <v>351</v>
      </c>
      <c r="H566" s="106" t="s">
        <v>357</v>
      </c>
      <c r="I566">
        <v>827</v>
      </c>
    </row>
    <row r="567" spans="1:10">
      <c r="A567" s="106" t="s">
        <v>566</v>
      </c>
      <c r="B567" s="106" t="s">
        <v>348</v>
      </c>
      <c r="C567" s="106" t="s">
        <v>349</v>
      </c>
      <c r="D567" s="106" t="s">
        <v>350</v>
      </c>
      <c r="E567">
        <v>7677</v>
      </c>
      <c r="F567" s="106" t="s">
        <v>760</v>
      </c>
      <c r="G567" s="106" t="s">
        <v>359</v>
      </c>
      <c r="H567" s="106" t="s">
        <v>357</v>
      </c>
      <c r="I567">
        <v>54</v>
      </c>
    </row>
    <row r="568" spans="1:10">
      <c r="A568" s="106" t="s">
        <v>566</v>
      </c>
      <c r="B568" s="106" t="s">
        <v>348</v>
      </c>
      <c r="C568" s="106" t="s">
        <v>349</v>
      </c>
      <c r="D568" s="106" t="s">
        <v>350</v>
      </c>
      <c r="E568">
        <v>7726</v>
      </c>
      <c r="F568" s="106" t="s">
        <v>2416</v>
      </c>
      <c r="G568" s="106" t="s">
        <v>359</v>
      </c>
      <c r="H568" s="106" t="s">
        <v>372</v>
      </c>
      <c r="I568">
        <v>61</v>
      </c>
    </row>
    <row r="569" spans="1:10">
      <c r="A569" s="106" t="s">
        <v>566</v>
      </c>
      <c r="B569" s="106" t="s">
        <v>348</v>
      </c>
      <c r="C569" s="106" t="s">
        <v>349</v>
      </c>
      <c r="D569" s="106" t="s">
        <v>350</v>
      </c>
      <c r="E569">
        <v>7780</v>
      </c>
      <c r="F569" s="106" t="s">
        <v>579</v>
      </c>
      <c r="G569" s="106" t="s">
        <v>351</v>
      </c>
      <c r="H569" s="106" t="s">
        <v>464</v>
      </c>
      <c r="I569" s="106" t="s">
        <v>382</v>
      </c>
      <c r="J569" s="106" t="s">
        <v>2417</v>
      </c>
    </row>
    <row r="570" spans="1:10">
      <c r="A570" s="106" t="s">
        <v>566</v>
      </c>
      <c r="B570" s="106" t="s">
        <v>348</v>
      </c>
      <c r="C570" s="106" t="s">
        <v>358</v>
      </c>
      <c r="D570" s="106" t="s">
        <v>350</v>
      </c>
      <c r="E570">
        <v>8113</v>
      </c>
      <c r="F570" s="106" t="s">
        <v>2418</v>
      </c>
      <c r="G570" s="106" t="s">
        <v>351</v>
      </c>
      <c r="H570" s="106" t="s">
        <v>364</v>
      </c>
      <c r="I570" s="106" t="s">
        <v>2419</v>
      </c>
      <c r="J570" s="106" t="s">
        <v>2420</v>
      </c>
    </row>
    <row r="571" spans="1:10">
      <c r="A571" s="106" t="s">
        <v>566</v>
      </c>
      <c r="B571" s="106" t="s">
        <v>348</v>
      </c>
      <c r="C571" s="106" t="s">
        <v>349</v>
      </c>
      <c r="D571" s="106" t="s">
        <v>350</v>
      </c>
      <c r="E571">
        <v>9707</v>
      </c>
      <c r="F571" s="106" t="s">
        <v>580</v>
      </c>
      <c r="G571" s="106" t="s">
        <v>355</v>
      </c>
      <c r="H571" s="106" t="s">
        <v>356</v>
      </c>
      <c r="I571">
        <v>129</v>
      </c>
    </row>
    <row r="572" spans="1:10">
      <c r="A572" s="106" t="s">
        <v>581</v>
      </c>
      <c r="B572" s="106" t="s">
        <v>348</v>
      </c>
      <c r="C572" s="106" t="s">
        <v>349</v>
      </c>
      <c r="D572" s="106" t="s">
        <v>350</v>
      </c>
      <c r="E572">
        <v>2181</v>
      </c>
      <c r="F572" s="106" t="s">
        <v>820</v>
      </c>
      <c r="G572" s="106" t="s">
        <v>351</v>
      </c>
      <c r="H572" s="106" t="s">
        <v>356</v>
      </c>
      <c r="I572" s="106" t="s">
        <v>401</v>
      </c>
      <c r="J572" s="106" t="s">
        <v>2421</v>
      </c>
    </row>
    <row r="573" spans="1:10">
      <c r="A573" s="106" t="s">
        <v>581</v>
      </c>
      <c r="B573" s="106" t="s">
        <v>348</v>
      </c>
      <c r="C573" s="106" t="s">
        <v>349</v>
      </c>
      <c r="D573" s="106" t="s">
        <v>354</v>
      </c>
      <c r="E573">
        <v>2334</v>
      </c>
      <c r="F573" s="106" t="s">
        <v>821</v>
      </c>
      <c r="G573" s="106" t="s">
        <v>363</v>
      </c>
      <c r="H573" s="106" t="s">
        <v>356</v>
      </c>
      <c r="I573">
        <v>54</v>
      </c>
    </row>
    <row r="574" spans="1:10">
      <c r="A574" s="106" t="s">
        <v>581</v>
      </c>
      <c r="B574" s="106" t="s">
        <v>348</v>
      </c>
      <c r="C574" s="106" t="s">
        <v>358</v>
      </c>
      <c r="D574" s="106" t="s">
        <v>350</v>
      </c>
      <c r="E574">
        <v>2492</v>
      </c>
      <c r="F574" s="106" t="s">
        <v>923</v>
      </c>
      <c r="G574" s="106" t="s">
        <v>351</v>
      </c>
      <c r="H574" s="106" t="s">
        <v>356</v>
      </c>
      <c r="I574" s="106" t="s">
        <v>374</v>
      </c>
      <c r="J574" s="106" t="s">
        <v>2422</v>
      </c>
    </row>
    <row r="575" spans="1:10">
      <c r="A575" s="106" t="s">
        <v>581</v>
      </c>
      <c r="B575" s="106" t="s">
        <v>348</v>
      </c>
      <c r="C575" s="106" t="s">
        <v>353</v>
      </c>
      <c r="D575" s="106" t="s">
        <v>350</v>
      </c>
      <c r="E575">
        <v>2498</v>
      </c>
      <c r="F575" s="106" t="s">
        <v>2423</v>
      </c>
      <c r="G575" s="106" t="s">
        <v>355</v>
      </c>
      <c r="H575" s="106" t="s">
        <v>356</v>
      </c>
      <c r="I575">
        <v>173</v>
      </c>
    </row>
    <row r="576" spans="1:10">
      <c r="A576" s="106" t="s">
        <v>581</v>
      </c>
      <c r="B576" s="106" t="s">
        <v>348</v>
      </c>
      <c r="C576" s="106" t="s">
        <v>360</v>
      </c>
      <c r="D576" s="106" t="s">
        <v>350</v>
      </c>
      <c r="E576">
        <v>3135</v>
      </c>
      <c r="F576" s="106" t="s">
        <v>582</v>
      </c>
      <c r="G576" s="106" t="s">
        <v>363</v>
      </c>
      <c r="H576" s="106" t="s">
        <v>361</v>
      </c>
      <c r="I576">
        <v>153</v>
      </c>
    </row>
    <row r="577" spans="1:10">
      <c r="A577" s="106" t="s">
        <v>581</v>
      </c>
      <c r="B577" s="106" t="s">
        <v>348</v>
      </c>
      <c r="C577" s="106" t="s">
        <v>349</v>
      </c>
      <c r="D577" s="106" t="s">
        <v>350</v>
      </c>
      <c r="E577">
        <v>3184</v>
      </c>
      <c r="F577" s="106" t="s">
        <v>925</v>
      </c>
      <c r="G577" s="106" t="s">
        <v>359</v>
      </c>
      <c r="H577" s="106" t="s">
        <v>361</v>
      </c>
      <c r="I577">
        <v>36</v>
      </c>
    </row>
    <row r="578" spans="1:10">
      <c r="A578" s="106" t="s">
        <v>581</v>
      </c>
      <c r="B578" s="106" t="s">
        <v>348</v>
      </c>
      <c r="C578" s="106" t="s">
        <v>349</v>
      </c>
      <c r="D578" s="106" t="s">
        <v>354</v>
      </c>
      <c r="E578">
        <v>3489</v>
      </c>
      <c r="F578" s="106" t="s">
        <v>926</v>
      </c>
      <c r="G578" s="106" t="s">
        <v>363</v>
      </c>
      <c r="H578" s="106" t="s">
        <v>377</v>
      </c>
      <c r="I578">
        <v>63</v>
      </c>
    </row>
    <row r="579" spans="1:10">
      <c r="A579" s="106" t="s">
        <v>581</v>
      </c>
      <c r="B579" s="106" t="s">
        <v>348</v>
      </c>
      <c r="C579" s="106" t="s">
        <v>349</v>
      </c>
      <c r="D579" s="106" t="s">
        <v>350</v>
      </c>
      <c r="E579">
        <v>4234</v>
      </c>
      <c r="F579" s="106" t="s">
        <v>2424</v>
      </c>
      <c r="G579" s="106" t="s">
        <v>355</v>
      </c>
      <c r="H579" s="106" t="s">
        <v>364</v>
      </c>
      <c r="I579">
        <v>61</v>
      </c>
    </row>
    <row r="580" spans="1:10">
      <c r="A580" s="106" t="s">
        <v>581</v>
      </c>
      <c r="B580" s="106" t="s">
        <v>348</v>
      </c>
      <c r="C580" s="106" t="s">
        <v>358</v>
      </c>
      <c r="D580" s="106" t="s">
        <v>350</v>
      </c>
      <c r="E580">
        <v>4392</v>
      </c>
      <c r="F580" s="106" t="s">
        <v>2425</v>
      </c>
      <c r="G580" s="106" t="s">
        <v>351</v>
      </c>
      <c r="H580" s="106" t="s">
        <v>362</v>
      </c>
      <c r="I580">
        <v>96</v>
      </c>
    </row>
    <row r="581" spans="1:10">
      <c r="A581" s="106" t="s">
        <v>581</v>
      </c>
      <c r="B581" s="106" t="s">
        <v>348</v>
      </c>
      <c r="C581" s="106" t="s">
        <v>358</v>
      </c>
      <c r="D581" s="106" t="s">
        <v>354</v>
      </c>
      <c r="E581">
        <v>4450</v>
      </c>
      <c r="F581" s="106" t="s">
        <v>736</v>
      </c>
      <c r="G581" s="106" t="s">
        <v>363</v>
      </c>
      <c r="H581" s="106" t="s">
        <v>362</v>
      </c>
      <c r="I581">
        <v>54</v>
      </c>
    </row>
    <row r="582" spans="1:10">
      <c r="A582" s="106" t="s">
        <v>581</v>
      </c>
      <c r="B582" s="106" t="s">
        <v>348</v>
      </c>
      <c r="C582" s="106" t="s">
        <v>358</v>
      </c>
      <c r="D582" s="106" t="s">
        <v>350</v>
      </c>
      <c r="E582">
        <v>4481</v>
      </c>
      <c r="F582" s="106" t="s">
        <v>2426</v>
      </c>
      <c r="G582" s="106" t="s">
        <v>359</v>
      </c>
      <c r="H582" s="106" t="s">
        <v>362</v>
      </c>
      <c r="I582">
        <v>207</v>
      </c>
    </row>
    <row r="583" spans="1:10">
      <c r="A583" s="106" t="s">
        <v>581</v>
      </c>
      <c r="B583" s="106" t="s">
        <v>348</v>
      </c>
      <c r="C583" s="106" t="s">
        <v>349</v>
      </c>
      <c r="D583" s="106" t="s">
        <v>350</v>
      </c>
      <c r="E583">
        <v>4620</v>
      </c>
      <c r="F583" s="106" t="s">
        <v>583</v>
      </c>
      <c r="G583" s="106" t="s">
        <v>351</v>
      </c>
      <c r="H583" s="106" t="s">
        <v>364</v>
      </c>
      <c r="I583">
        <v>192</v>
      </c>
    </row>
    <row r="584" spans="1:10">
      <c r="A584" s="106" t="s">
        <v>581</v>
      </c>
      <c r="B584" s="106" t="s">
        <v>348</v>
      </c>
      <c r="C584" s="106" t="s">
        <v>358</v>
      </c>
      <c r="D584" s="106" t="s">
        <v>350</v>
      </c>
      <c r="E584">
        <v>5959</v>
      </c>
      <c r="F584" s="106" t="s">
        <v>2427</v>
      </c>
      <c r="G584" s="106" t="s">
        <v>351</v>
      </c>
      <c r="H584" s="106" t="s">
        <v>366</v>
      </c>
      <c r="I584">
        <v>516</v>
      </c>
    </row>
    <row r="585" spans="1:10">
      <c r="A585" s="106" t="s">
        <v>581</v>
      </c>
      <c r="B585" s="106" t="s">
        <v>348</v>
      </c>
      <c r="C585" s="106" t="s">
        <v>360</v>
      </c>
      <c r="D585" s="106" t="s">
        <v>350</v>
      </c>
      <c r="E585">
        <v>6038</v>
      </c>
      <c r="F585" s="106" t="s">
        <v>2428</v>
      </c>
      <c r="G585" s="106" t="s">
        <v>363</v>
      </c>
      <c r="H585" s="106" t="s">
        <v>356</v>
      </c>
      <c r="I585">
        <v>49</v>
      </c>
    </row>
    <row r="586" spans="1:10">
      <c r="A586" s="106" t="s">
        <v>581</v>
      </c>
      <c r="B586" s="106" t="s">
        <v>348</v>
      </c>
      <c r="C586" s="106" t="s">
        <v>358</v>
      </c>
      <c r="D586" s="106" t="s">
        <v>350</v>
      </c>
      <c r="E586">
        <v>6141</v>
      </c>
      <c r="F586" s="106" t="s">
        <v>584</v>
      </c>
      <c r="G586" s="106" t="s">
        <v>351</v>
      </c>
      <c r="H586" s="106" t="s">
        <v>372</v>
      </c>
      <c r="I586" s="106" t="s">
        <v>374</v>
      </c>
      <c r="J586" s="106" t="s">
        <v>2429</v>
      </c>
    </row>
    <row r="587" spans="1:10">
      <c r="A587" s="106" t="s">
        <v>581</v>
      </c>
      <c r="B587" s="106" t="s">
        <v>348</v>
      </c>
      <c r="C587" s="106" t="s">
        <v>349</v>
      </c>
      <c r="D587" s="106" t="s">
        <v>350</v>
      </c>
      <c r="E587">
        <v>6247</v>
      </c>
      <c r="F587" s="106" t="s">
        <v>585</v>
      </c>
      <c r="G587" s="106" t="s">
        <v>351</v>
      </c>
      <c r="H587" s="106" t="s">
        <v>372</v>
      </c>
      <c r="I587">
        <v>336</v>
      </c>
    </row>
    <row r="588" spans="1:10">
      <c r="A588" s="106" t="s">
        <v>581</v>
      </c>
      <c r="B588" s="106" t="s">
        <v>348</v>
      </c>
      <c r="C588" s="106" t="s">
        <v>349</v>
      </c>
      <c r="D588" s="106" t="s">
        <v>350</v>
      </c>
      <c r="E588">
        <v>7199</v>
      </c>
      <c r="F588" s="106" t="s">
        <v>586</v>
      </c>
      <c r="G588" s="106" t="s">
        <v>351</v>
      </c>
      <c r="H588" s="106" t="s">
        <v>387</v>
      </c>
      <c r="I588" s="106">
        <v>302</v>
      </c>
      <c r="J588" s="106"/>
    </row>
    <row r="589" spans="1:10">
      <c r="A589" s="106" t="s">
        <v>581</v>
      </c>
      <c r="B589" s="106" t="s">
        <v>348</v>
      </c>
      <c r="C589" s="106" t="s">
        <v>360</v>
      </c>
      <c r="D589" s="106" t="s">
        <v>350</v>
      </c>
      <c r="E589">
        <v>9450</v>
      </c>
      <c r="F589" s="106" t="s">
        <v>2430</v>
      </c>
      <c r="G589" s="106" t="s">
        <v>351</v>
      </c>
      <c r="H589" s="106" t="s">
        <v>362</v>
      </c>
      <c r="I589" s="106">
        <v>282</v>
      </c>
      <c r="J589" s="106"/>
    </row>
    <row r="590" spans="1:10">
      <c r="A590" s="106" t="s">
        <v>2431</v>
      </c>
      <c r="B590" s="106" t="s">
        <v>348</v>
      </c>
      <c r="C590" s="106" t="s">
        <v>358</v>
      </c>
      <c r="D590" s="106" t="s">
        <v>350</v>
      </c>
      <c r="E590">
        <v>3975</v>
      </c>
      <c r="F590" s="106" t="s">
        <v>2432</v>
      </c>
      <c r="G590" s="106" t="s">
        <v>351</v>
      </c>
      <c r="H590" s="106" t="s">
        <v>362</v>
      </c>
      <c r="I590" s="106">
        <v>181</v>
      </c>
      <c r="J590" s="106"/>
    </row>
    <row r="591" spans="1:10">
      <c r="A591" s="106" t="s">
        <v>587</v>
      </c>
      <c r="B591" s="106" t="s">
        <v>348</v>
      </c>
      <c r="C591" s="106" t="s">
        <v>358</v>
      </c>
      <c r="D591" s="106" t="s">
        <v>354</v>
      </c>
      <c r="E591">
        <v>8985</v>
      </c>
      <c r="F591" s="106" t="s">
        <v>588</v>
      </c>
      <c r="G591" s="106" t="s">
        <v>388</v>
      </c>
      <c r="H591" s="106" t="s">
        <v>389</v>
      </c>
      <c r="I591" s="106" t="s">
        <v>437</v>
      </c>
      <c r="J591" s="106" t="s">
        <v>939</v>
      </c>
    </row>
    <row r="592" spans="1:10">
      <c r="A592" s="106" t="s">
        <v>2433</v>
      </c>
      <c r="B592" s="106" t="s">
        <v>348</v>
      </c>
      <c r="C592" s="106" t="s">
        <v>353</v>
      </c>
      <c r="D592" s="106" t="s">
        <v>350</v>
      </c>
      <c r="E592">
        <v>4666</v>
      </c>
      <c r="F592" s="106" t="s">
        <v>409</v>
      </c>
      <c r="G592" s="106" t="s">
        <v>351</v>
      </c>
      <c r="H592" s="106" t="s">
        <v>377</v>
      </c>
      <c r="I592" s="106" t="s">
        <v>401</v>
      </c>
      <c r="J592" s="106" t="s">
        <v>2434</v>
      </c>
    </row>
    <row r="593" spans="1:10">
      <c r="A593" s="106" t="s">
        <v>927</v>
      </c>
      <c r="B593" s="106" t="s">
        <v>348</v>
      </c>
      <c r="C593" s="106" t="s">
        <v>349</v>
      </c>
      <c r="D593" s="106" t="s">
        <v>350</v>
      </c>
      <c r="E593">
        <v>2593</v>
      </c>
      <c r="F593" s="106" t="s">
        <v>367</v>
      </c>
      <c r="G593" s="106" t="s">
        <v>351</v>
      </c>
      <c r="H593" s="106" t="s">
        <v>352</v>
      </c>
      <c r="I593" s="106" t="s">
        <v>401</v>
      </c>
      <c r="J593" s="106" t="s">
        <v>2435</v>
      </c>
    </row>
    <row r="594" spans="1:10">
      <c r="A594" s="106" t="s">
        <v>927</v>
      </c>
      <c r="B594" s="106" t="s">
        <v>348</v>
      </c>
      <c r="C594" s="106" t="s">
        <v>360</v>
      </c>
      <c r="D594" s="106" t="s">
        <v>350</v>
      </c>
      <c r="E594">
        <v>6267</v>
      </c>
      <c r="F594" s="106" t="s">
        <v>371</v>
      </c>
      <c r="G594" s="106" t="s">
        <v>355</v>
      </c>
      <c r="H594" s="106" t="s">
        <v>372</v>
      </c>
      <c r="I594" s="106">
        <v>37</v>
      </c>
      <c r="J594" s="106"/>
    </row>
    <row r="595" spans="1:10">
      <c r="A595" s="106" t="s">
        <v>929</v>
      </c>
      <c r="B595" s="106" t="s">
        <v>348</v>
      </c>
      <c r="C595" s="106" t="s">
        <v>349</v>
      </c>
      <c r="D595" s="106" t="s">
        <v>350</v>
      </c>
      <c r="E595">
        <v>4750</v>
      </c>
      <c r="F595" s="106" t="s">
        <v>365</v>
      </c>
      <c r="G595" s="106" t="s">
        <v>359</v>
      </c>
      <c r="H595" s="106" t="s">
        <v>356</v>
      </c>
      <c r="I595" s="106">
        <v>52</v>
      </c>
      <c r="J595" s="106"/>
    </row>
    <row r="596" spans="1:10">
      <c r="A596" s="106" t="s">
        <v>929</v>
      </c>
      <c r="B596" s="106" t="s">
        <v>348</v>
      </c>
      <c r="C596" s="106" t="s">
        <v>358</v>
      </c>
      <c r="D596" s="106" t="s">
        <v>350</v>
      </c>
      <c r="E596">
        <v>7590</v>
      </c>
      <c r="F596" s="106" t="s">
        <v>2436</v>
      </c>
      <c r="G596" s="106" t="s">
        <v>351</v>
      </c>
      <c r="H596" s="106" t="s">
        <v>357</v>
      </c>
      <c r="I596">
        <v>74</v>
      </c>
    </row>
    <row r="597" spans="1:10">
      <c r="A597" s="106" t="s">
        <v>2437</v>
      </c>
      <c r="B597" s="106" t="s">
        <v>348</v>
      </c>
      <c r="C597" s="106" t="s">
        <v>353</v>
      </c>
      <c r="D597" s="106" t="s">
        <v>350</v>
      </c>
      <c r="E597">
        <v>1383</v>
      </c>
      <c r="F597" s="106" t="s">
        <v>398</v>
      </c>
      <c r="G597" s="106" t="s">
        <v>355</v>
      </c>
      <c r="H597" s="106" t="s">
        <v>399</v>
      </c>
      <c r="I597">
        <v>31</v>
      </c>
    </row>
    <row r="598" spans="1:10">
      <c r="A598" s="106" t="s">
        <v>2438</v>
      </c>
      <c r="B598" s="106" t="s">
        <v>348</v>
      </c>
      <c r="C598" s="106" t="s">
        <v>360</v>
      </c>
      <c r="D598" s="106" t="s">
        <v>354</v>
      </c>
      <c r="E598">
        <v>9262</v>
      </c>
      <c r="F598" s="106" t="s">
        <v>392</v>
      </c>
      <c r="G598" s="106" t="s">
        <v>363</v>
      </c>
      <c r="H598" s="106" t="s">
        <v>361</v>
      </c>
      <c r="I598">
        <v>278</v>
      </c>
    </row>
    <row r="599" spans="1:10">
      <c r="A599" s="106" t="s">
        <v>2439</v>
      </c>
      <c r="B599" s="106" t="s">
        <v>348</v>
      </c>
      <c r="C599" s="106" t="s">
        <v>358</v>
      </c>
      <c r="D599" s="106" t="s">
        <v>350</v>
      </c>
      <c r="E599">
        <v>3995</v>
      </c>
      <c r="F599" s="106" t="s">
        <v>403</v>
      </c>
      <c r="G599" s="106" t="s">
        <v>363</v>
      </c>
      <c r="H599" s="106" t="s">
        <v>362</v>
      </c>
      <c r="I599">
        <v>67</v>
      </c>
    </row>
    <row r="600" spans="1:10">
      <c r="A600" s="106" t="s">
        <v>2440</v>
      </c>
      <c r="B600" s="106" t="s">
        <v>348</v>
      </c>
      <c r="C600" s="106" t="s">
        <v>360</v>
      </c>
      <c r="D600" s="106" t="s">
        <v>354</v>
      </c>
      <c r="E600">
        <v>2424</v>
      </c>
      <c r="F600" s="106" t="s">
        <v>400</v>
      </c>
      <c r="G600" s="106" t="s">
        <v>351</v>
      </c>
      <c r="H600" s="106" t="s">
        <v>356</v>
      </c>
      <c r="I600">
        <v>48</v>
      </c>
    </row>
    <row r="601" spans="1:10">
      <c r="A601" s="106" t="s">
        <v>2440</v>
      </c>
      <c r="B601" s="106" t="s">
        <v>348</v>
      </c>
      <c r="C601" s="106" t="s">
        <v>349</v>
      </c>
      <c r="D601" s="106" t="s">
        <v>354</v>
      </c>
      <c r="E601">
        <v>4431</v>
      </c>
      <c r="F601" s="106" t="s">
        <v>404</v>
      </c>
      <c r="G601" s="106" t="s">
        <v>363</v>
      </c>
      <c r="H601" s="106" t="s">
        <v>362</v>
      </c>
      <c r="I601">
        <v>283</v>
      </c>
    </row>
    <row r="602" spans="1:10">
      <c r="A602" s="106" t="s">
        <v>2440</v>
      </c>
      <c r="B602" s="106" t="s">
        <v>348</v>
      </c>
      <c r="C602" s="106" t="s">
        <v>358</v>
      </c>
      <c r="D602" s="106" t="s">
        <v>350</v>
      </c>
      <c r="E602">
        <v>7683</v>
      </c>
      <c r="F602" s="106" t="s">
        <v>408</v>
      </c>
      <c r="G602" s="106" t="s">
        <v>363</v>
      </c>
      <c r="H602" s="106" t="s">
        <v>361</v>
      </c>
      <c r="I602">
        <v>150</v>
      </c>
    </row>
    <row r="603" spans="1:10">
      <c r="A603" s="106" t="s">
        <v>589</v>
      </c>
      <c r="B603" s="106" t="s">
        <v>348</v>
      </c>
      <c r="C603" s="106" t="s">
        <v>349</v>
      </c>
      <c r="D603" s="106" t="s">
        <v>354</v>
      </c>
      <c r="E603">
        <v>1723</v>
      </c>
      <c r="F603" s="106" t="s">
        <v>590</v>
      </c>
      <c r="G603" s="106" t="s">
        <v>355</v>
      </c>
      <c r="H603" s="106" t="s">
        <v>378</v>
      </c>
      <c r="I603">
        <v>255</v>
      </c>
    </row>
    <row r="604" spans="1:10">
      <c r="A604" s="106" t="s">
        <v>589</v>
      </c>
      <c r="B604" s="106" t="s">
        <v>348</v>
      </c>
      <c r="C604" s="106" t="s">
        <v>349</v>
      </c>
      <c r="D604" s="106" t="s">
        <v>350</v>
      </c>
      <c r="E604">
        <v>1941</v>
      </c>
      <c r="F604" s="106" t="s">
        <v>591</v>
      </c>
      <c r="G604" s="106" t="s">
        <v>351</v>
      </c>
      <c r="H604" s="106" t="s">
        <v>378</v>
      </c>
      <c r="I604" s="106" t="s">
        <v>382</v>
      </c>
      <c r="J604" s="106" t="s">
        <v>2441</v>
      </c>
    </row>
    <row r="605" spans="1:10">
      <c r="A605" s="106" t="s">
        <v>589</v>
      </c>
      <c r="B605" s="106" t="s">
        <v>348</v>
      </c>
      <c r="C605" s="106" t="s">
        <v>349</v>
      </c>
      <c r="D605" s="106" t="s">
        <v>350</v>
      </c>
      <c r="E605">
        <v>1959</v>
      </c>
      <c r="F605" s="106" t="s">
        <v>593</v>
      </c>
      <c r="G605" s="106" t="s">
        <v>351</v>
      </c>
      <c r="H605" s="106" t="s">
        <v>378</v>
      </c>
      <c r="I605" s="106" t="s">
        <v>374</v>
      </c>
      <c r="J605" s="106" t="s">
        <v>2442</v>
      </c>
    </row>
    <row r="606" spans="1:10">
      <c r="A606" s="106" t="s">
        <v>589</v>
      </c>
      <c r="B606" s="106" t="s">
        <v>348</v>
      </c>
      <c r="C606" s="106" t="s">
        <v>349</v>
      </c>
      <c r="D606" s="106" t="s">
        <v>350</v>
      </c>
      <c r="E606">
        <v>2148</v>
      </c>
      <c r="F606" s="106" t="s">
        <v>822</v>
      </c>
      <c r="G606" s="106" t="s">
        <v>351</v>
      </c>
      <c r="H606" s="106" t="s">
        <v>356</v>
      </c>
      <c r="I606">
        <v>152</v>
      </c>
    </row>
    <row r="607" spans="1:10">
      <c r="A607" s="106" t="s">
        <v>589</v>
      </c>
      <c r="B607" s="106" t="s">
        <v>348</v>
      </c>
      <c r="C607" s="106" t="s">
        <v>349</v>
      </c>
      <c r="D607" s="106" t="s">
        <v>350</v>
      </c>
      <c r="E607">
        <v>2326</v>
      </c>
      <c r="F607" s="106" t="s">
        <v>823</v>
      </c>
      <c r="G607" s="106" t="s">
        <v>351</v>
      </c>
      <c r="H607" s="106" t="s">
        <v>362</v>
      </c>
      <c r="I607">
        <v>770</v>
      </c>
    </row>
    <row r="608" spans="1:10">
      <c r="A608" s="106" t="s">
        <v>589</v>
      </c>
      <c r="B608" s="106" t="s">
        <v>348</v>
      </c>
      <c r="C608" s="106" t="s">
        <v>349</v>
      </c>
      <c r="D608" s="106" t="s">
        <v>354</v>
      </c>
      <c r="E608">
        <v>2332</v>
      </c>
      <c r="F608" s="106" t="s">
        <v>594</v>
      </c>
      <c r="G608" s="106" t="s">
        <v>355</v>
      </c>
      <c r="H608" s="106" t="s">
        <v>362</v>
      </c>
      <c r="I608">
        <v>62</v>
      </c>
    </row>
    <row r="609" spans="1:10">
      <c r="A609" s="106" t="s">
        <v>589</v>
      </c>
      <c r="B609" s="106" t="s">
        <v>348</v>
      </c>
      <c r="C609" s="106" t="s">
        <v>349</v>
      </c>
      <c r="D609" s="106" t="s">
        <v>350</v>
      </c>
      <c r="E609">
        <v>3116</v>
      </c>
      <c r="F609" s="106" t="s">
        <v>930</v>
      </c>
      <c r="G609" s="106" t="s">
        <v>351</v>
      </c>
      <c r="H609" s="106" t="s">
        <v>381</v>
      </c>
      <c r="I609" s="106" t="s">
        <v>437</v>
      </c>
      <c r="J609" s="106" t="s">
        <v>2443</v>
      </c>
    </row>
    <row r="610" spans="1:10">
      <c r="A610" s="106" t="s">
        <v>589</v>
      </c>
      <c r="B610" s="106" t="s">
        <v>348</v>
      </c>
      <c r="C610" s="106" t="s">
        <v>349</v>
      </c>
      <c r="D610" s="106" t="s">
        <v>350</v>
      </c>
      <c r="E610">
        <v>3132</v>
      </c>
      <c r="F610" s="106" t="s">
        <v>931</v>
      </c>
      <c r="G610" s="106" t="s">
        <v>351</v>
      </c>
      <c r="H610" s="106" t="s">
        <v>357</v>
      </c>
      <c r="I610" s="106" t="s">
        <v>382</v>
      </c>
      <c r="J610" s="106" t="s">
        <v>2444</v>
      </c>
    </row>
    <row r="611" spans="1:10">
      <c r="A611" s="106" t="s">
        <v>589</v>
      </c>
      <c r="B611" s="106" t="s">
        <v>348</v>
      </c>
      <c r="C611" s="106" t="s">
        <v>349</v>
      </c>
      <c r="D611" s="106" t="s">
        <v>354</v>
      </c>
      <c r="E611">
        <v>3177</v>
      </c>
      <c r="F611" s="106" t="s">
        <v>595</v>
      </c>
      <c r="G611" s="106" t="s">
        <v>355</v>
      </c>
      <c r="H611" s="106" t="s">
        <v>361</v>
      </c>
      <c r="I611">
        <v>22</v>
      </c>
    </row>
    <row r="612" spans="1:10">
      <c r="A612" s="106" t="s">
        <v>589</v>
      </c>
      <c r="B612" s="106" t="s">
        <v>348</v>
      </c>
      <c r="C612" s="106" t="s">
        <v>349</v>
      </c>
      <c r="D612" s="106" t="s">
        <v>350</v>
      </c>
      <c r="E612">
        <v>3231</v>
      </c>
      <c r="F612" s="106" t="s">
        <v>596</v>
      </c>
      <c r="G612" s="106" t="s">
        <v>351</v>
      </c>
      <c r="H612" s="106" t="s">
        <v>377</v>
      </c>
      <c r="I612" s="106" t="s">
        <v>368</v>
      </c>
      <c r="J612" s="106" t="s">
        <v>2445</v>
      </c>
    </row>
    <row r="613" spans="1:10">
      <c r="A613" s="106" t="s">
        <v>589</v>
      </c>
      <c r="B613" s="106" t="s">
        <v>348</v>
      </c>
      <c r="C613" s="106" t="s">
        <v>349</v>
      </c>
      <c r="D613" s="106" t="s">
        <v>354</v>
      </c>
      <c r="E613">
        <v>3564</v>
      </c>
      <c r="F613" s="106" t="s">
        <v>932</v>
      </c>
      <c r="G613" s="106" t="s">
        <v>351</v>
      </c>
      <c r="H613" s="106" t="s">
        <v>361</v>
      </c>
      <c r="I613">
        <v>877</v>
      </c>
    </row>
    <row r="614" spans="1:10">
      <c r="A614" s="106" t="s">
        <v>589</v>
      </c>
      <c r="B614" s="106" t="s">
        <v>348</v>
      </c>
      <c r="C614" s="106" t="s">
        <v>349</v>
      </c>
      <c r="D614" s="106" t="s">
        <v>354</v>
      </c>
      <c r="E614">
        <v>3658</v>
      </c>
      <c r="F614" s="106" t="s">
        <v>933</v>
      </c>
      <c r="G614" s="106" t="s">
        <v>351</v>
      </c>
      <c r="H614" s="106" t="s">
        <v>362</v>
      </c>
      <c r="I614">
        <v>105</v>
      </c>
    </row>
    <row r="615" spans="1:10">
      <c r="A615" s="106" t="s">
        <v>589</v>
      </c>
      <c r="B615" s="106" t="s">
        <v>348</v>
      </c>
      <c r="C615" s="106" t="s">
        <v>349</v>
      </c>
      <c r="D615" s="106" t="s">
        <v>350</v>
      </c>
      <c r="E615">
        <v>3778</v>
      </c>
      <c r="F615" s="106" t="s">
        <v>934</v>
      </c>
      <c r="G615" s="106" t="s">
        <v>351</v>
      </c>
      <c r="H615" s="106" t="s">
        <v>362</v>
      </c>
      <c r="I615">
        <v>258</v>
      </c>
    </row>
    <row r="616" spans="1:10">
      <c r="A616" s="106" t="s">
        <v>589</v>
      </c>
      <c r="B616" s="106" t="s">
        <v>348</v>
      </c>
      <c r="C616" s="106" t="s">
        <v>349</v>
      </c>
      <c r="D616" s="106" t="s">
        <v>354</v>
      </c>
      <c r="E616">
        <v>4333</v>
      </c>
      <c r="F616" s="106" t="s">
        <v>597</v>
      </c>
      <c r="G616" s="106" t="s">
        <v>351</v>
      </c>
      <c r="H616" s="106" t="s">
        <v>362</v>
      </c>
      <c r="I616">
        <v>128</v>
      </c>
    </row>
    <row r="617" spans="1:10">
      <c r="A617" s="106" t="s">
        <v>589</v>
      </c>
      <c r="B617" s="106" t="s">
        <v>348</v>
      </c>
      <c r="C617" s="106" t="s">
        <v>353</v>
      </c>
      <c r="D617" s="106" t="s">
        <v>354</v>
      </c>
      <c r="E617">
        <v>4393</v>
      </c>
      <c r="F617" s="106" t="s">
        <v>598</v>
      </c>
      <c r="G617" s="106" t="s">
        <v>363</v>
      </c>
      <c r="H617" s="106" t="s">
        <v>362</v>
      </c>
      <c r="I617">
        <v>95</v>
      </c>
    </row>
    <row r="618" spans="1:10">
      <c r="A618" s="106" t="s">
        <v>589</v>
      </c>
      <c r="B618" s="106" t="s">
        <v>348</v>
      </c>
      <c r="C618" s="106" t="s">
        <v>349</v>
      </c>
      <c r="D618" s="106" t="s">
        <v>350</v>
      </c>
      <c r="E618">
        <v>4557</v>
      </c>
      <c r="F618" s="106" t="s">
        <v>599</v>
      </c>
      <c r="G618" s="106" t="s">
        <v>355</v>
      </c>
      <c r="H618" s="106" t="s">
        <v>396</v>
      </c>
      <c r="I618">
        <v>221</v>
      </c>
    </row>
    <row r="619" spans="1:10">
      <c r="A619" s="106" t="s">
        <v>589</v>
      </c>
      <c r="B619" s="106" t="s">
        <v>348</v>
      </c>
      <c r="C619" s="106" t="s">
        <v>349</v>
      </c>
      <c r="D619" s="106" t="s">
        <v>350</v>
      </c>
      <c r="E619">
        <v>4684</v>
      </c>
      <c r="F619" s="106" t="s">
        <v>600</v>
      </c>
      <c r="G619" s="106" t="s">
        <v>351</v>
      </c>
      <c r="H619" s="106" t="s">
        <v>362</v>
      </c>
      <c r="I619" s="106" t="s">
        <v>601</v>
      </c>
      <c r="J619" s="106" t="s">
        <v>2446</v>
      </c>
    </row>
    <row r="620" spans="1:10">
      <c r="A620" s="106" t="s">
        <v>589</v>
      </c>
      <c r="B620" s="106" t="s">
        <v>348</v>
      </c>
      <c r="C620" s="106" t="s">
        <v>349</v>
      </c>
      <c r="D620" s="106" t="s">
        <v>350</v>
      </c>
      <c r="E620">
        <v>4689</v>
      </c>
      <c r="F620" s="106" t="s">
        <v>602</v>
      </c>
      <c r="G620" s="106" t="s">
        <v>351</v>
      </c>
      <c r="H620" s="106" t="s">
        <v>362</v>
      </c>
      <c r="I620" s="106" t="s">
        <v>935</v>
      </c>
      <c r="J620" s="106" t="s">
        <v>2447</v>
      </c>
    </row>
    <row r="621" spans="1:10">
      <c r="A621" s="106" t="s">
        <v>589</v>
      </c>
      <c r="B621" s="106" t="s">
        <v>348</v>
      </c>
      <c r="C621" s="106" t="s">
        <v>349</v>
      </c>
      <c r="D621" s="106" t="s">
        <v>354</v>
      </c>
      <c r="E621">
        <v>6022</v>
      </c>
      <c r="F621" s="106" t="s">
        <v>603</v>
      </c>
      <c r="G621" s="106" t="s">
        <v>359</v>
      </c>
      <c r="H621" s="106" t="s">
        <v>372</v>
      </c>
      <c r="I621">
        <v>28</v>
      </c>
    </row>
    <row r="622" spans="1:10">
      <c r="A622" s="106" t="s">
        <v>589</v>
      </c>
      <c r="B622" s="106" t="s">
        <v>348</v>
      </c>
      <c r="C622" s="106" t="s">
        <v>349</v>
      </c>
      <c r="D622" s="106" t="s">
        <v>350</v>
      </c>
      <c r="E622">
        <v>6201</v>
      </c>
      <c r="F622" s="106" t="s">
        <v>604</v>
      </c>
      <c r="G622" s="106" t="s">
        <v>351</v>
      </c>
      <c r="H622" s="106" t="s">
        <v>381</v>
      </c>
      <c r="I622" s="106" t="s">
        <v>605</v>
      </c>
      <c r="J622" s="106" t="s">
        <v>2448</v>
      </c>
    </row>
    <row r="623" spans="1:10">
      <c r="A623" s="106" t="s">
        <v>589</v>
      </c>
      <c r="B623" s="106" t="s">
        <v>348</v>
      </c>
      <c r="C623" s="106" t="s">
        <v>349</v>
      </c>
      <c r="D623" s="106" t="s">
        <v>350</v>
      </c>
      <c r="E623">
        <v>6301</v>
      </c>
      <c r="F623" s="106" t="s">
        <v>606</v>
      </c>
      <c r="G623" s="106" t="s">
        <v>351</v>
      </c>
      <c r="H623" s="106" t="s">
        <v>372</v>
      </c>
      <c r="I623" s="106" t="s">
        <v>2449</v>
      </c>
      <c r="J623" s="106" t="s">
        <v>2450</v>
      </c>
    </row>
    <row r="624" spans="1:10">
      <c r="A624" s="106" t="s">
        <v>589</v>
      </c>
      <c r="B624" s="106" t="s">
        <v>348</v>
      </c>
      <c r="C624" s="106" t="s">
        <v>349</v>
      </c>
      <c r="D624" s="106" t="s">
        <v>350</v>
      </c>
      <c r="E624">
        <v>6395</v>
      </c>
      <c r="F624" s="106" t="s">
        <v>607</v>
      </c>
      <c r="G624" s="106" t="s">
        <v>351</v>
      </c>
      <c r="H624" s="106" t="s">
        <v>372</v>
      </c>
      <c r="I624" s="106" t="s">
        <v>382</v>
      </c>
      <c r="J624" s="106" t="s">
        <v>2451</v>
      </c>
    </row>
    <row r="625" spans="1:10">
      <c r="A625" s="106" t="s">
        <v>589</v>
      </c>
      <c r="B625" s="106" t="s">
        <v>348</v>
      </c>
      <c r="C625" s="106" t="s">
        <v>349</v>
      </c>
      <c r="D625" s="106" t="s">
        <v>350</v>
      </c>
      <c r="E625">
        <v>6645</v>
      </c>
      <c r="F625" s="106" t="s">
        <v>608</v>
      </c>
      <c r="G625" s="106" t="s">
        <v>351</v>
      </c>
      <c r="H625" s="106" t="s">
        <v>376</v>
      </c>
      <c r="I625" s="106" t="s">
        <v>575</v>
      </c>
      <c r="J625" s="106" t="s">
        <v>2452</v>
      </c>
    </row>
    <row r="626" spans="1:10">
      <c r="A626" s="106" t="s">
        <v>589</v>
      </c>
      <c r="B626" s="106" t="s">
        <v>348</v>
      </c>
      <c r="C626" s="106" t="s">
        <v>349</v>
      </c>
      <c r="D626" s="106" t="s">
        <v>350</v>
      </c>
      <c r="E626">
        <v>6788</v>
      </c>
      <c r="F626" s="106" t="s">
        <v>609</v>
      </c>
      <c r="G626" s="106" t="s">
        <v>351</v>
      </c>
      <c r="H626" s="106" t="s">
        <v>376</v>
      </c>
      <c r="I626">
        <v>403</v>
      </c>
    </row>
    <row r="627" spans="1:10">
      <c r="A627" s="106" t="s">
        <v>589</v>
      </c>
      <c r="B627" s="106" t="s">
        <v>348</v>
      </c>
      <c r="C627" s="106" t="s">
        <v>349</v>
      </c>
      <c r="D627" s="106" t="s">
        <v>350</v>
      </c>
      <c r="E627">
        <v>7278</v>
      </c>
      <c r="F627" s="106" t="s">
        <v>610</v>
      </c>
      <c r="G627" s="106" t="s">
        <v>351</v>
      </c>
      <c r="H627" s="106" t="s">
        <v>381</v>
      </c>
      <c r="I627" s="106" t="s">
        <v>382</v>
      </c>
      <c r="J627" s="106" t="s">
        <v>2453</v>
      </c>
    </row>
    <row r="628" spans="1:10">
      <c r="A628" s="106" t="s">
        <v>589</v>
      </c>
      <c r="B628" s="106" t="s">
        <v>348</v>
      </c>
      <c r="C628" s="106" t="s">
        <v>349</v>
      </c>
      <c r="D628" s="106" t="s">
        <v>350</v>
      </c>
      <c r="E628">
        <v>7442</v>
      </c>
      <c r="F628" s="106" t="s">
        <v>2454</v>
      </c>
      <c r="G628" s="106" t="s">
        <v>351</v>
      </c>
      <c r="H628" s="106" t="s">
        <v>357</v>
      </c>
      <c r="I628">
        <v>109</v>
      </c>
    </row>
    <row r="629" spans="1:10">
      <c r="A629" s="106" t="s">
        <v>589</v>
      </c>
      <c r="B629" s="106" t="s">
        <v>348</v>
      </c>
      <c r="C629" s="106" t="s">
        <v>360</v>
      </c>
      <c r="D629" s="106" t="s">
        <v>354</v>
      </c>
      <c r="E629">
        <v>7500</v>
      </c>
      <c r="F629" s="106" t="s">
        <v>937</v>
      </c>
      <c r="G629" s="106" t="s">
        <v>355</v>
      </c>
      <c r="H629" s="106" t="s">
        <v>357</v>
      </c>
      <c r="I629">
        <v>156</v>
      </c>
    </row>
    <row r="630" spans="1:10">
      <c r="A630" s="106" t="s">
        <v>589</v>
      </c>
      <c r="B630" s="106" t="s">
        <v>348</v>
      </c>
      <c r="C630" s="106" t="s">
        <v>349</v>
      </c>
      <c r="D630" s="106" t="s">
        <v>350</v>
      </c>
      <c r="E630">
        <v>7995</v>
      </c>
      <c r="F630" s="106" t="s">
        <v>611</v>
      </c>
      <c r="G630" s="106" t="s">
        <v>351</v>
      </c>
      <c r="H630" s="106" t="s">
        <v>364</v>
      </c>
      <c r="I630">
        <v>492</v>
      </c>
    </row>
    <row r="631" spans="1:10">
      <c r="A631" s="106" t="s">
        <v>589</v>
      </c>
      <c r="B631" s="106" t="s">
        <v>348</v>
      </c>
      <c r="C631" s="106" t="s">
        <v>349</v>
      </c>
      <c r="D631" s="106" t="s">
        <v>350</v>
      </c>
      <c r="E631">
        <v>8242</v>
      </c>
      <c r="F631" s="106" t="s">
        <v>612</v>
      </c>
      <c r="G631" s="106" t="s">
        <v>351</v>
      </c>
      <c r="H631" s="106" t="s">
        <v>361</v>
      </c>
      <c r="I631" s="106" t="s">
        <v>382</v>
      </c>
      <c r="J631" s="106" t="s">
        <v>2455</v>
      </c>
    </row>
    <row r="632" spans="1:10">
      <c r="A632" s="106" t="s">
        <v>589</v>
      </c>
      <c r="B632" s="106" t="s">
        <v>348</v>
      </c>
      <c r="C632" s="106" t="s">
        <v>349</v>
      </c>
      <c r="D632" s="106" t="s">
        <v>350</v>
      </c>
      <c r="E632">
        <v>8304</v>
      </c>
      <c r="F632" s="106" t="s">
        <v>613</v>
      </c>
      <c r="G632" s="106" t="s">
        <v>351</v>
      </c>
      <c r="H632" s="106" t="s">
        <v>614</v>
      </c>
      <c r="I632" s="106" t="s">
        <v>437</v>
      </c>
      <c r="J632" s="106" t="s">
        <v>2456</v>
      </c>
    </row>
    <row r="633" spans="1:10">
      <c r="A633" s="106" t="s">
        <v>589</v>
      </c>
      <c r="B633" s="106" t="s">
        <v>348</v>
      </c>
      <c r="C633" s="106" t="s">
        <v>349</v>
      </c>
      <c r="D633" s="106" t="s">
        <v>350</v>
      </c>
      <c r="E633">
        <v>8309</v>
      </c>
      <c r="F633" s="106" t="s">
        <v>2457</v>
      </c>
      <c r="G633" s="106" t="s">
        <v>351</v>
      </c>
      <c r="H633" s="106" t="s">
        <v>614</v>
      </c>
      <c r="I633" s="106" t="s">
        <v>379</v>
      </c>
      <c r="J633" s="106" t="s">
        <v>2115</v>
      </c>
    </row>
    <row r="634" spans="1:10">
      <c r="A634" s="106" t="s">
        <v>589</v>
      </c>
      <c r="B634" s="106" t="s">
        <v>348</v>
      </c>
      <c r="C634" s="106" t="s">
        <v>349</v>
      </c>
      <c r="D634" s="106" t="s">
        <v>350</v>
      </c>
      <c r="E634">
        <v>9055</v>
      </c>
      <c r="F634" s="106" t="s">
        <v>2458</v>
      </c>
      <c r="G634" s="106" t="s">
        <v>359</v>
      </c>
      <c r="H634" s="106" t="s">
        <v>485</v>
      </c>
      <c r="I634">
        <v>292</v>
      </c>
    </row>
    <row r="635" spans="1:10">
      <c r="A635" s="106" t="s">
        <v>589</v>
      </c>
      <c r="B635" s="106" t="s">
        <v>348</v>
      </c>
      <c r="C635" s="106" t="s">
        <v>349</v>
      </c>
      <c r="D635" s="106" t="s">
        <v>350</v>
      </c>
      <c r="E635">
        <v>9202</v>
      </c>
      <c r="F635" s="106" t="s">
        <v>615</v>
      </c>
      <c r="G635" s="106" t="s">
        <v>351</v>
      </c>
      <c r="H635" s="106" t="s">
        <v>616</v>
      </c>
      <c r="I635" s="106" t="s">
        <v>696</v>
      </c>
      <c r="J635" s="106" t="s">
        <v>2459</v>
      </c>
    </row>
    <row r="636" spans="1:10">
      <c r="A636" s="106" t="s">
        <v>589</v>
      </c>
      <c r="B636" s="106" t="s">
        <v>348</v>
      </c>
      <c r="C636" s="106" t="s">
        <v>349</v>
      </c>
      <c r="D636" s="106" t="s">
        <v>350</v>
      </c>
      <c r="E636">
        <v>9436</v>
      </c>
      <c r="F636" s="106" t="s">
        <v>2460</v>
      </c>
      <c r="G636" s="106" t="s">
        <v>355</v>
      </c>
      <c r="H636" s="106" t="s">
        <v>362</v>
      </c>
      <c r="I636" s="106" t="s">
        <v>382</v>
      </c>
      <c r="J636" s="106" t="s">
        <v>2351</v>
      </c>
    </row>
    <row r="637" spans="1:10">
      <c r="A637" s="106" t="s">
        <v>589</v>
      </c>
      <c r="B637" s="106" t="s">
        <v>348</v>
      </c>
      <c r="C637" s="106" t="s">
        <v>349</v>
      </c>
      <c r="D637" s="106" t="s">
        <v>350</v>
      </c>
      <c r="E637">
        <v>9474</v>
      </c>
      <c r="F637" s="106" t="s">
        <v>617</v>
      </c>
      <c r="G637" s="106" t="s">
        <v>351</v>
      </c>
      <c r="H637" s="106" t="s">
        <v>362</v>
      </c>
      <c r="I637" s="106" t="s">
        <v>382</v>
      </c>
      <c r="J637" s="106" t="s">
        <v>2031</v>
      </c>
    </row>
    <row r="638" spans="1:10">
      <c r="A638" s="106" t="s">
        <v>589</v>
      </c>
      <c r="B638" s="106" t="s">
        <v>348</v>
      </c>
      <c r="C638" s="106" t="s">
        <v>349</v>
      </c>
      <c r="D638" s="106" t="s">
        <v>350</v>
      </c>
      <c r="E638">
        <v>9504</v>
      </c>
      <c r="F638" s="106" t="s">
        <v>621</v>
      </c>
      <c r="G638" s="106" t="s">
        <v>351</v>
      </c>
      <c r="H638" s="106" t="s">
        <v>619</v>
      </c>
      <c r="I638" s="106" t="s">
        <v>368</v>
      </c>
      <c r="J638" s="106" t="s">
        <v>2461</v>
      </c>
    </row>
    <row r="639" spans="1:10">
      <c r="A639" s="106" t="s">
        <v>589</v>
      </c>
      <c r="B639" s="106" t="s">
        <v>348</v>
      </c>
      <c r="C639" s="106" t="s">
        <v>349</v>
      </c>
      <c r="D639" s="106" t="s">
        <v>350</v>
      </c>
      <c r="E639">
        <v>9531</v>
      </c>
      <c r="F639" s="106" t="s">
        <v>622</v>
      </c>
      <c r="G639" s="106" t="s">
        <v>351</v>
      </c>
      <c r="H639" s="106" t="s">
        <v>619</v>
      </c>
      <c r="I639" s="106" t="s">
        <v>696</v>
      </c>
      <c r="J639" s="106" t="s">
        <v>2462</v>
      </c>
    </row>
    <row r="640" spans="1:10">
      <c r="A640" s="106" t="s">
        <v>589</v>
      </c>
      <c r="B640" s="106" t="s">
        <v>348</v>
      </c>
      <c r="C640" s="106" t="s">
        <v>349</v>
      </c>
      <c r="D640" s="106" t="s">
        <v>350</v>
      </c>
      <c r="E640">
        <v>9719</v>
      </c>
      <c r="F640" s="106" t="s">
        <v>623</v>
      </c>
      <c r="G640" s="106" t="s">
        <v>351</v>
      </c>
      <c r="H640" s="106" t="s">
        <v>362</v>
      </c>
      <c r="I640" s="106" t="s">
        <v>410</v>
      </c>
      <c r="J640" s="106" t="s">
        <v>2463</v>
      </c>
    </row>
    <row r="641" spans="1:10">
      <c r="A641" s="106" t="s">
        <v>589</v>
      </c>
      <c r="B641" s="106" t="s">
        <v>348</v>
      </c>
      <c r="C641" s="106" t="s">
        <v>349</v>
      </c>
      <c r="D641" s="106" t="s">
        <v>350</v>
      </c>
      <c r="E641">
        <v>9936</v>
      </c>
      <c r="F641" s="106" t="s">
        <v>624</v>
      </c>
      <c r="G641" s="106" t="s">
        <v>351</v>
      </c>
      <c r="H641" s="106" t="s">
        <v>361</v>
      </c>
      <c r="I641" s="106" t="s">
        <v>382</v>
      </c>
      <c r="J641" s="106" t="s">
        <v>2320</v>
      </c>
    </row>
    <row r="642" spans="1:10">
      <c r="A642" s="106" t="s">
        <v>625</v>
      </c>
      <c r="B642" s="106" t="s">
        <v>348</v>
      </c>
      <c r="C642" s="106" t="s">
        <v>349</v>
      </c>
      <c r="D642" s="106" t="s">
        <v>350</v>
      </c>
      <c r="E642">
        <v>3353</v>
      </c>
      <c r="F642" s="106" t="s">
        <v>630</v>
      </c>
      <c r="G642" s="106" t="s">
        <v>355</v>
      </c>
      <c r="H642" s="106" t="s">
        <v>361</v>
      </c>
      <c r="I642">
        <v>177</v>
      </c>
    </row>
    <row r="643" spans="1:10">
      <c r="A643" s="106" t="s">
        <v>641</v>
      </c>
      <c r="B643" s="106" t="s">
        <v>348</v>
      </c>
      <c r="C643" s="106" t="s">
        <v>358</v>
      </c>
      <c r="D643" s="106" t="s">
        <v>350</v>
      </c>
      <c r="E643">
        <v>2698</v>
      </c>
      <c r="F643" s="106" t="s">
        <v>647</v>
      </c>
      <c r="G643" s="106" t="s">
        <v>351</v>
      </c>
      <c r="H643" s="106" t="s">
        <v>361</v>
      </c>
      <c r="I643">
        <v>277</v>
      </c>
    </row>
    <row r="644" spans="1:10">
      <c r="A644" s="106" t="s">
        <v>641</v>
      </c>
      <c r="B644" s="106" t="s">
        <v>348</v>
      </c>
      <c r="C644" s="106" t="s">
        <v>349</v>
      </c>
      <c r="D644" s="106" t="s">
        <v>350</v>
      </c>
      <c r="E644">
        <v>3548</v>
      </c>
      <c r="F644" s="106" t="s">
        <v>651</v>
      </c>
      <c r="G644" s="106" t="s">
        <v>351</v>
      </c>
      <c r="H644" s="106" t="s">
        <v>361</v>
      </c>
      <c r="I644">
        <v>349</v>
      </c>
    </row>
    <row r="645" spans="1:10">
      <c r="A645" s="106" t="s">
        <v>641</v>
      </c>
      <c r="B645" s="106" t="s">
        <v>348</v>
      </c>
      <c r="C645" s="106" t="s">
        <v>353</v>
      </c>
      <c r="D645" s="106" t="s">
        <v>350</v>
      </c>
      <c r="E645">
        <v>4433</v>
      </c>
      <c r="F645" s="106" t="s">
        <v>654</v>
      </c>
      <c r="G645" s="106" t="s">
        <v>351</v>
      </c>
      <c r="H645" s="106" t="s">
        <v>362</v>
      </c>
      <c r="I645">
        <v>277</v>
      </c>
    </row>
    <row r="646" spans="1:10">
      <c r="A646" s="106" t="s">
        <v>641</v>
      </c>
      <c r="B646" s="106" t="s">
        <v>348</v>
      </c>
      <c r="C646" s="106" t="s">
        <v>349</v>
      </c>
      <c r="D646" s="106" t="s">
        <v>350</v>
      </c>
      <c r="E646">
        <v>7058</v>
      </c>
      <c r="F646" s="106" t="s">
        <v>662</v>
      </c>
      <c r="G646" s="106" t="s">
        <v>355</v>
      </c>
      <c r="H646" s="106" t="s">
        <v>356</v>
      </c>
      <c r="I646">
        <v>74</v>
      </c>
    </row>
    <row r="647" spans="1:10">
      <c r="A647" s="106" t="s">
        <v>666</v>
      </c>
      <c r="B647" s="106" t="s">
        <v>348</v>
      </c>
      <c r="C647" s="106" t="s">
        <v>349</v>
      </c>
      <c r="D647" s="106" t="s">
        <v>350</v>
      </c>
      <c r="E647">
        <v>1719</v>
      </c>
      <c r="F647" s="106" t="s">
        <v>667</v>
      </c>
      <c r="G647" s="106" t="s">
        <v>351</v>
      </c>
      <c r="H647" s="106" t="s">
        <v>378</v>
      </c>
      <c r="I647" s="106" t="s">
        <v>382</v>
      </c>
      <c r="J647" s="106" t="s">
        <v>2464</v>
      </c>
    </row>
    <row r="648" spans="1:10">
      <c r="A648" s="106" t="s">
        <v>666</v>
      </c>
      <c r="B648" s="106" t="s">
        <v>348</v>
      </c>
      <c r="C648" s="106" t="s">
        <v>349</v>
      </c>
      <c r="D648" s="106" t="s">
        <v>350</v>
      </c>
      <c r="E648">
        <v>1812</v>
      </c>
      <c r="F648" s="106" t="s">
        <v>668</v>
      </c>
      <c r="G648" s="106" t="s">
        <v>351</v>
      </c>
      <c r="H648" s="106" t="s">
        <v>378</v>
      </c>
      <c r="I648" s="106" t="s">
        <v>669</v>
      </c>
      <c r="J648" s="106" t="s">
        <v>2465</v>
      </c>
    </row>
    <row r="649" spans="1:10">
      <c r="A649" s="106" t="s">
        <v>666</v>
      </c>
      <c r="B649" s="106" t="s">
        <v>348</v>
      </c>
      <c r="C649" s="106" t="s">
        <v>349</v>
      </c>
      <c r="D649" s="106" t="s">
        <v>350</v>
      </c>
      <c r="E649">
        <v>1824</v>
      </c>
      <c r="F649" s="106" t="s">
        <v>670</v>
      </c>
      <c r="G649" s="106" t="s">
        <v>351</v>
      </c>
      <c r="H649" s="106" t="s">
        <v>378</v>
      </c>
      <c r="I649" s="106" t="s">
        <v>374</v>
      </c>
      <c r="J649" s="106" t="s">
        <v>951</v>
      </c>
    </row>
    <row r="650" spans="1:10">
      <c r="A650" s="106" t="s">
        <v>666</v>
      </c>
      <c r="B650" s="106" t="s">
        <v>348</v>
      </c>
      <c r="C650" s="106" t="s">
        <v>349</v>
      </c>
      <c r="D650" s="106" t="s">
        <v>350</v>
      </c>
      <c r="E650">
        <v>1860</v>
      </c>
      <c r="F650" s="106" t="s">
        <v>671</v>
      </c>
      <c r="G650" s="106" t="s">
        <v>351</v>
      </c>
      <c r="H650" s="106" t="s">
        <v>378</v>
      </c>
      <c r="I650" s="106" t="s">
        <v>374</v>
      </c>
      <c r="J650" s="106" t="s">
        <v>2466</v>
      </c>
    </row>
    <row r="651" spans="1:10">
      <c r="A651" s="106" t="s">
        <v>666</v>
      </c>
      <c r="B651" s="106" t="s">
        <v>348</v>
      </c>
      <c r="C651" s="106" t="s">
        <v>349</v>
      </c>
      <c r="D651" s="106" t="s">
        <v>350</v>
      </c>
      <c r="E651">
        <v>1893</v>
      </c>
      <c r="F651" s="106" t="s">
        <v>2467</v>
      </c>
      <c r="G651" s="106" t="s">
        <v>351</v>
      </c>
      <c r="H651" s="106" t="s">
        <v>378</v>
      </c>
      <c r="I651" s="106" t="s">
        <v>382</v>
      </c>
      <c r="J651" s="106" t="s">
        <v>2468</v>
      </c>
    </row>
    <row r="652" spans="1:10">
      <c r="A652" s="106" t="s">
        <v>666</v>
      </c>
      <c r="B652" s="106" t="s">
        <v>348</v>
      </c>
      <c r="C652" s="106" t="s">
        <v>349</v>
      </c>
      <c r="D652" s="106" t="s">
        <v>350</v>
      </c>
      <c r="E652">
        <v>1964</v>
      </c>
      <c r="F652" s="106" t="s">
        <v>672</v>
      </c>
      <c r="G652" s="106" t="s">
        <v>351</v>
      </c>
      <c r="H652" s="106" t="s">
        <v>378</v>
      </c>
      <c r="I652">
        <v>146</v>
      </c>
    </row>
    <row r="653" spans="1:10">
      <c r="A653" s="106" t="s">
        <v>666</v>
      </c>
      <c r="B653" s="106" t="s">
        <v>348</v>
      </c>
      <c r="C653" s="106" t="s">
        <v>349</v>
      </c>
      <c r="D653" s="106" t="s">
        <v>350</v>
      </c>
      <c r="E653">
        <v>2108</v>
      </c>
      <c r="F653" s="106" t="s">
        <v>673</v>
      </c>
      <c r="G653" s="106" t="s">
        <v>351</v>
      </c>
      <c r="H653" s="106" t="s">
        <v>352</v>
      </c>
      <c r="I653">
        <v>314</v>
      </c>
    </row>
    <row r="654" spans="1:10">
      <c r="A654" s="106" t="s">
        <v>666</v>
      </c>
      <c r="B654" s="106" t="s">
        <v>348</v>
      </c>
      <c r="C654" s="106" t="s">
        <v>349</v>
      </c>
      <c r="D654" s="106" t="s">
        <v>350</v>
      </c>
      <c r="E654">
        <v>2173</v>
      </c>
      <c r="F654" s="106" t="s">
        <v>825</v>
      </c>
      <c r="G654" s="106" t="s">
        <v>355</v>
      </c>
      <c r="H654" s="106" t="s">
        <v>356</v>
      </c>
      <c r="I654">
        <v>55</v>
      </c>
    </row>
    <row r="655" spans="1:10">
      <c r="A655" s="106" t="s">
        <v>666</v>
      </c>
      <c r="B655" s="106" t="s">
        <v>348</v>
      </c>
      <c r="C655" s="106" t="s">
        <v>360</v>
      </c>
      <c r="D655" s="106" t="s">
        <v>350</v>
      </c>
      <c r="E655">
        <v>2180</v>
      </c>
      <c r="F655" s="106" t="s">
        <v>674</v>
      </c>
      <c r="G655" s="106" t="s">
        <v>351</v>
      </c>
      <c r="H655" s="106" t="s">
        <v>356</v>
      </c>
      <c r="I655">
        <v>157</v>
      </c>
    </row>
    <row r="656" spans="1:10">
      <c r="A656" s="106" t="s">
        <v>666</v>
      </c>
      <c r="B656" s="106" t="s">
        <v>348</v>
      </c>
      <c r="C656" s="106" t="s">
        <v>349</v>
      </c>
      <c r="D656" s="106" t="s">
        <v>350</v>
      </c>
      <c r="E656">
        <v>2288</v>
      </c>
      <c r="F656" s="106" t="s">
        <v>675</v>
      </c>
      <c r="G656" s="106" t="s">
        <v>351</v>
      </c>
      <c r="H656" s="106" t="s">
        <v>352</v>
      </c>
      <c r="I656">
        <v>624</v>
      </c>
    </row>
    <row r="657" spans="1:10">
      <c r="A657" s="106" t="s">
        <v>666</v>
      </c>
      <c r="B657" s="106" t="s">
        <v>348</v>
      </c>
      <c r="C657" s="106" t="s">
        <v>349</v>
      </c>
      <c r="D657" s="106" t="s">
        <v>350</v>
      </c>
      <c r="E657">
        <v>2349</v>
      </c>
      <c r="F657" s="106" t="s">
        <v>826</v>
      </c>
      <c r="G657" s="106" t="s">
        <v>355</v>
      </c>
      <c r="H657" s="106" t="s">
        <v>362</v>
      </c>
      <c r="I657">
        <v>182</v>
      </c>
    </row>
    <row r="658" spans="1:10">
      <c r="A658" s="106" t="s">
        <v>666</v>
      </c>
      <c r="B658" s="106" t="s">
        <v>348</v>
      </c>
      <c r="C658" s="106" t="s">
        <v>349</v>
      </c>
      <c r="D658" s="106" t="s">
        <v>350</v>
      </c>
      <c r="E658">
        <v>2454</v>
      </c>
      <c r="F658" s="106" t="s">
        <v>942</v>
      </c>
      <c r="G658" s="106" t="s">
        <v>355</v>
      </c>
      <c r="H658" s="106" t="s">
        <v>356</v>
      </c>
      <c r="I658">
        <v>95</v>
      </c>
    </row>
    <row r="659" spans="1:10">
      <c r="A659" s="106" t="s">
        <v>666</v>
      </c>
      <c r="B659" s="106" t="s">
        <v>348</v>
      </c>
      <c r="C659" s="106" t="s">
        <v>358</v>
      </c>
      <c r="D659" s="106" t="s">
        <v>350</v>
      </c>
      <c r="E659">
        <v>2675</v>
      </c>
      <c r="F659" s="106" t="s">
        <v>676</v>
      </c>
      <c r="G659" s="106" t="s">
        <v>359</v>
      </c>
      <c r="H659" s="106" t="s">
        <v>361</v>
      </c>
      <c r="I659">
        <v>119</v>
      </c>
    </row>
    <row r="660" spans="1:10">
      <c r="A660" s="106" t="s">
        <v>666</v>
      </c>
      <c r="B660" s="106" t="s">
        <v>348</v>
      </c>
      <c r="C660" s="106" t="s">
        <v>349</v>
      </c>
      <c r="D660" s="106" t="s">
        <v>350</v>
      </c>
      <c r="E660">
        <v>2733</v>
      </c>
      <c r="F660" s="106" t="s">
        <v>943</v>
      </c>
      <c r="G660" s="106" t="s">
        <v>351</v>
      </c>
      <c r="H660" s="106" t="s">
        <v>357</v>
      </c>
      <c r="I660">
        <v>822</v>
      </c>
    </row>
    <row r="661" spans="1:10">
      <c r="A661" s="106" t="s">
        <v>666</v>
      </c>
      <c r="B661" s="106" t="s">
        <v>348</v>
      </c>
      <c r="C661" s="106" t="s">
        <v>349</v>
      </c>
      <c r="D661" s="106" t="s">
        <v>350</v>
      </c>
      <c r="E661">
        <v>2768</v>
      </c>
      <c r="F661" s="106" t="s">
        <v>944</v>
      </c>
      <c r="G661" s="106" t="s">
        <v>351</v>
      </c>
      <c r="H661" s="106" t="s">
        <v>357</v>
      </c>
      <c r="I661" s="106" t="s">
        <v>401</v>
      </c>
      <c r="J661" s="106" t="s">
        <v>2469</v>
      </c>
    </row>
    <row r="662" spans="1:10">
      <c r="A662" s="106" t="s">
        <v>666</v>
      </c>
      <c r="B662" s="106" t="s">
        <v>348</v>
      </c>
      <c r="C662" s="106" t="s">
        <v>349</v>
      </c>
      <c r="D662" s="106" t="s">
        <v>350</v>
      </c>
      <c r="E662">
        <v>2812</v>
      </c>
      <c r="F662" s="106" t="s">
        <v>945</v>
      </c>
      <c r="G662" s="106" t="s">
        <v>351</v>
      </c>
      <c r="H662" s="106" t="s">
        <v>352</v>
      </c>
      <c r="I662">
        <v>136</v>
      </c>
    </row>
    <row r="663" spans="1:10">
      <c r="A663" s="106" t="s">
        <v>666</v>
      </c>
      <c r="B663" s="106" t="s">
        <v>348</v>
      </c>
      <c r="C663" s="106" t="s">
        <v>349</v>
      </c>
      <c r="D663" s="106" t="s">
        <v>350</v>
      </c>
      <c r="E663">
        <v>2899</v>
      </c>
      <c r="F663" s="106" t="s">
        <v>2470</v>
      </c>
      <c r="G663" s="106" t="s">
        <v>351</v>
      </c>
      <c r="H663" s="106" t="s">
        <v>352</v>
      </c>
      <c r="I663">
        <v>411</v>
      </c>
    </row>
    <row r="664" spans="1:10">
      <c r="A664" s="106" t="s">
        <v>666</v>
      </c>
      <c r="B664" s="106" t="s">
        <v>348</v>
      </c>
      <c r="C664" s="106" t="s">
        <v>349</v>
      </c>
      <c r="D664" s="106" t="s">
        <v>350</v>
      </c>
      <c r="E664">
        <v>2903</v>
      </c>
      <c r="F664" s="106" t="s">
        <v>946</v>
      </c>
      <c r="G664" s="106" t="s">
        <v>359</v>
      </c>
      <c r="H664" s="106" t="s">
        <v>352</v>
      </c>
      <c r="I664">
        <v>94</v>
      </c>
    </row>
    <row r="665" spans="1:10">
      <c r="A665" s="106" t="s">
        <v>666</v>
      </c>
      <c r="B665" s="106" t="s">
        <v>348</v>
      </c>
      <c r="C665" s="106" t="s">
        <v>349</v>
      </c>
      <c r="D665" s="106" t="s">
        <v>350</v>
      </c>
      <c r="E665">
        <v>2915</v>
      </c>
      <c r="F665" s="106" t="s">
        <v>947</v>
      </c>
      <c r="G665" s="106" t="s">
        <v>351</v>
      </c>
      <c r="H665" s="106" t="s">
        <v>352</v>
      </c>
      <c r="I665">
        <v>421</v>
      </c>
    </row>
    <row r="666" spans="1:10">
      <c r="A666" s="106" t="s">
        <v>666</v>
      </c>
      <c r="B666" s="106" t="s">
        <v>348</v>
      </c>
      <c r="C666" s="106" t="s">
        <v>349</v>
      </c>
      <c r="D666" s="106" t="s">
        <v>350</v>
      </c>
      <c r="E666">
        <v>3284</v>
      </c>
      <c r="F666" s="106" t="s">
        <v>948</v>
      </c>
      <c r="G666" s="106" t="s">
        <v>351</v>
      </c>
      <c r="H666" s="106" t="s">
        <v>377</v>
      </c>
      <c r="I666">
        <v>420</v>
      </c>
    </row>
    <row r="667" spans="1:10">
      <c r="A667" s="106" t="s">
        <v>666</v>
      </c>
      <c r="B667" s="106" t="s">
        <v>348</v>
      </c>
      <c r="C667" s="106" t="s">
        <v>349</v>
      </c>
      <c r="D667" s="106" t="s">
        <v>350</v>
      </c>
      <c r="E667">
        <v>3289</v>
      </c>
      <c r="F667" s="106" t="s">
        <v>949</v>
      </c>
      <c r="G667" s="106" t="s">
        <v>351</v>
      </c>
      <c r="H667" s="106" t="s">
        <v>377</v>
      </c>
      <c r="I667" s="106" t="s">
        <v>368</v>
      </c>
      <c r="J667" s="106" t="s">
        <v>2361</v>
      </c>
    </row>
    <row r="668" spans="1:10">
      <c r="A668" s="106" t="s">
        <v>666</v>
      </c>
      <c r="B668" s="106" t="s">
        <v>348</v>
      </c>
      <c r="C668" s="106" t="s">
        <v>349</v>
      </c>
      <c r="D668" s="106" t="s">
        <v>350</v>
      </c>
      <c r="E668">
        <v>3401</v>
      </c>
      <c r="F668" s="106" t="s">
        <v>950</v>
      </c>
      <c r="G668" s="106" t="s">
        <v>351</v>
      </c>
      <c r="H668" s="106" t="s">
        <v>384</v>
      </c>
      <c r="I668" s="106" t="s">
        <v>401</v>
      </c>
      <c r="J668" s="106" t="s">
        <v>2471</v>
      </c>
    </row>
    <row r="669" spans="1:10">
      <c r="A669" s="106" t="s">
        <v>666</v>
      </c>
      <c r="B669" s="106" t="s">
        <v>348</v>
      </c>
      <c r="C669" s="106" t="s">
        <v>349</v>
      </c>
      <c r="D669" s="106" t="s">
        <v>350</v>
      </c>
      <c r="E669">
        <v>3447</v>
      </c>
      <c r="F669" s="106" t="s">
        <v>677</v>
      </c>
      <c r="G669" s="106" t="s">
        <v>351</v>
      </c>
      <c r="H669" s="106" t="s">
        <v>366</v>
      </c>
      <c r="I669">
        <v>152</v>
      </c>
    </row>
    <row r="670" spans="1:10">
      <c r="A670" s="106" t="s">
        <v>666</v>
      </c>
      <c r="B670" s="106" t="s">
        <v>348</v>
      </c>
      <c r="C670" s="106" t="s">
        <v>358</v>
      </c>
      <c r="D670" s="106" t="s">
        <v>350</v>
      </c>
      <c r="E670">
        <v>3449</v>
      </c>
      <c r="F670" s="106" t="s">
        <v>2472</v>
      </c>
      <c r="G670" s="106" t="s">
        <v>359</v>
      </c>
      <c r="H670" s="106" t="s">
        <v>366</v>
      </c>
      <c r="I670">
        <v>255</v>
      </c>
    </row>
    <row r="671" spans="1:10">
      <c r="A671" s="106" t="s">
        <v>666</v>
      </c>
      <c r="B671" s="106" t="s">
        <v>348</v>
      </c>
      <c r="C671" s="106" t="s">
        <v>349</v>
      </c>
      <c r="D671" s="106" t="s">
        <v>354</v>
      </c>
      <c r="E671">
        <v>3467</v>
      </c>
      <c r="F671" s="106" t="s">
        <v>679</v>
      </c>
      <c r="G671" s="106" t="s">
        <v>351</v>
      </c>
      <c r="H671" s="106" t="s">
        <v>377</v>
      </c>
      <c r="I671">
        <v>31</v>
      </c>
    </row>
    <row r="672" spans="1:10">
      <c r="A672" s="106" t="s">
        <v>666</v>
      </c>
      <c r="B672" s="106" t="s">
        <v>348</v>
      </c>
      <c r="C672" s="106" t="s">
        <v>349</v>
      </c>
      <c r="D672" s="106" t="s">
        <v>350</v>
      </c>
      <c r="E672">
        <v>3571</v>
      </c>
      <c r="F672" s="106" t="s">
        <v>952</v>
      </c>
      <c r="G672" s="106" t="s">
        <v>351</v>
      </c>
      <c r="H672" s="106" t="s">
        <v>384</v>
      </c>
      <c r="I672">
        <v>136</v>
      </c>
    </row>
    <row r="673" spans="1:10">
      <c r="A673" s="106" t="s">
        <v>666</v>
      </c>
      <c r="B673" s="106" t="s">
        <v>348</v>
      </c>
      <c r="C673" s="106" t="s">
        <v>349</v>
      </c>
      <c r="D673" s="106" t="s">
        <v>350</v>
      </c>
      <c r="E673">
        <v>3600</v>
      </c>
      <c r="F673" s="106" t="s">
        <v>953</v>
      </c>
      <c r="G673" s="106" t="s">
        <v>359</v>
      </c>
      <c r="H673" s="106" t="s">
        <v>384</v>
      </c>
      <c r="I673">
        <v>27</v>
      </c>
    </row>
    <row r="674" spans="1:10">
      <c r="A674" s="106" t="s">
        <v>666</v>
      </c>
      <c r="B674" s="106" t="s">
        <v>348</v>
      </c>
      <c r="C674" s="106" t="s">
        <v>349</v>
      </c>
      <c r="D674" s="106" t="s">
        <v>350</v>
      </c>
      <c r="E674">
        <v>3622</v>
      </c>
      <c r="F674" s="106" t="s">
        <v>954</v>
      </c>
      <c r="G674" s="106" t="s">
        <v>363</v>
      </c>
      <c r="H674" s="106" t="s">
        <v>362</v>
      </c>
      <c r="I674">
        <v>43</v>
      </c>
    </row>
    <row r="675" spans="1:10">
      <c r="A675" s="106" t="s">
        <v>666</v>
      </c>
      <c r="B675" s="106" t="s">
        <v>348</v>
      </c>
      <c r="C675" s="106" t="s">
        <v>349</v>
      </c>
      <c r="D675" s="106" t="s">
        <v>350</v>
      </c>
      <c r="E675">
        <v>3626</v>
      </c>
      <c r="F675" s="106" t="s">
        <v>955</v>
      </c>
      <c r="G675" s="106" t="s">
        <v>351</v>
      </c>
      <c r="H675" s="106" t="s">
        <v>362</v>
      </c>
      <c r="I675" s="106" t="s">
        <v>368</v>
      </c>
      <c r="J675" s="106" t="s">
        <v>2473</v>
      </c>
    </row>
    <row r="676" spans="1:10">
      <c r="A676" s="106" t="s">
        <v>666</v>
      </c>
      <c r="B676" s="106" t="s">
        <v>348</v>
      </c>
      <c r="C676" s="106" t="s">
        <v>349</v>
      </c>
      <c r="D676" s="106" t="s">
        <v>354</v>
      </c>
      <c r="E676">
        <v>3741</v>
      </c>
      <c r="F676" s="106" t="s">
        <v>956</v>
      </c>
      <c r="G676" s="106" t="s">
        <v>351</v>
      </c>
      <c r="H676" s="106" t="s">
        <v>362</v>
      </c>
      <c r="I676">
        <v>191</v>
      </c>
    </row>
    <row r="677" spans="1:10">
      <c r="A677" s="106" t="s">
        <v>666</v>
      </c>
      <c r="B677" s="106" t="s">
        <v>348</v>
      </c>
      <c r="C677" s="106" t="s">
        <v>349</v>
      </c>
      <c r="D677" s="106" t="s">
        <v>350</v>
      </c>
      <c r="E677">
        <v>3943</v>
      </c>
      <c r="F677" s="106" t="s">
        <v>680</v>
      </c>
      <c r="G677" s="106" t="s">
        <v>558</v>
      </c>
      <c r="H677" s="106" t="s">
        <v>385</v>
      </c>
      <c r="I677">
        <v>83</v>
      </c>
    </row>
    <row r="678" spans="1:10">
      <c r="A678" s="106" t="s">
        <v>666</v>
      </c>
      <c r="B678" s="106" t="s">
        <v>348</v>
      </c>
      <c r="C678" s="106" t="s">
        <v>349</v>
      </c>
      <c r="D678" s="106" t="s">
        <v>350</v>
      </c>
      <c r="E678">
        <v>4046</v>
      </c>
      <c r="F678" s="106" t="s">
        <v>681</v>
      </c>
      <c r="G678" s="106" t="s">
        <v>351</v>
      </c>
      <c r="H678" s="106" t="s">
        <v>364</v>
      </c>
      <c r="I678">
        <v>839</v>
      </c>
    </row>
    <row r="679" spans="1:10">
      <c r="A679" s="106" t="s">
        <v>666</v>
      </c>
      <c r="B679" s="106" t="s">
        <v>348</v>
      </c>
      <c r="C679" s="106" t="s">
        <v>349</v>
      </c>
      <c r="D679" s="106" t="s">
        <v>354</v>
      </c>
      <c r="E679">
        <v>4080</v>
      </c>
      <c r="F679" s="106" t="s">
        <v>682</v>
      </c>
      <c r="G679" s="106" t="s">
        <v>355</v>
      </c>
      <c r="H679" s="106" t="s">
        <v>364</v>
      </c>
      <c r="I679">
        <v>293</v>
      </c>
    </row>
    <row r="680" spans="1:10">
      <c r="A680" s="106" t="s">
        <v>666</v>
      </c>
      <c r="B680" s="106" t="s">
        <v>348</v>
      </c>
      <c r="C680" s="106" t="s">
        <v>349</v>
      </c>
      <c r="D680" s="106" t="s">
        <v>350</v>
      </c>
      <c r="E680">
        <v>4203</v>
      </c>
      <c r="F680" s="106" t="s">
        <v>2474</v>
      </c>
      <c r="G680" s="106" t="s">
        <v>351</v>
      </c>
      <c r="H680" s="106" t="s">
        <v>364</v>
      </c>
      <c r="I680" s="106" t="s">
        <v>374</v>
      </c>
      <c r="J680" s="106" t="s">
        <v>2475</v>
      </c>
    </row>
    <row r="681" spans="1:10">
      <c r="A681" s="106" t="s">
        <v>666</v>
      </c>
      <c r="B681" s="106" t="s">
        <v>348</v>
      </c>
      <c r="C681" s="106" t="s">
        <v>353</v>
      </c>
      <c r="D681" s="106" t="s">
        <v>354</v>
      </c>
      <c r="E681">
        <v>4447</v>
      </c>
      <c r="F681" s="106" t="s">
        <v>683</v>
      </c>
      <c r="G681" s="106" t="s">
        <v>558</v>
      </c>
      <c r="H681" s="106" t="s">
        <v>362</v>
      </c>
      <c r="I681">
        <v>25</v>
      </c>
    </row>
    <row r="682" spans="1:10">
      <c r="A682" s="106" t="s">
        <v>666</v>
      </c>
      <c r="B682" s="106" t="s">
        <v>348</v>
      </c>
      <c r="C682" s="106" t="s">
        <v>349</v>
      </c>
      <c r="D682" s="106" t="s">
        <v>350</v>
      </c>
      <c r="E682">
        <v>4548</v>
      </c>
      <c r="F682" s="106" t="s">
        <v>684</v>
      </c>
      <c r="G682" s="106" t="s">
        <v>351</v>
      </c>
      <c r="H682" s="106" t="s">
        <v>396</v>
      </c>
      <c r="I682">
        <v>712</v>
      </c>
    </row>
    <row r="683" spans="1:10">
      <c r="A683" s="106" t="s">
        <v>666</v>
      </c>
      <c r="B683" s="106" t="s">
        <v>348</v>
      </c>
      <c r="C683" s="106" t="s">
        <v>349</v>
      </c>
      <c r="D683" s="106" t="s">
        <v>350</v>
      </c>
      <c r="E683">
        <v>5192</v>
      </c>
      <c r="F683" s="106" t="s">
        <v>685</v>
      </c>
      <c r="G683" s="106" t="s">
        <v>351</v>
      </c>
      <c r="H683" s="106" t="s">
        <v>686</v>
      </c>
      <c r="I683">
        <v>708</v>
      </c>
    </row>
    <row r="684" spans="1:10">
      <c r="A684" s="106" t="s">
        <v>666</v>
      </c>
      <c r="B684" s="106" t="s">
        <v>348</v>
      </c>
      <c r="C684" s="106" t="s">
        <v>349</v>
      </c>
      <c r="D684" s="106" t="s">
        <v>350</v>
      </c>
      <c r="E684">
        <v>5964</v>
      </c>
      <c r="F684" s="106" t="s">
        <v>687</v>
      </c>
      <c r="G684" s="106" t="s">
        <v>359</v>
      </c>
      <c r="H684" s="106" t="s">
        <v>366</v>
      </c>
      <c r="I684">
        <v>22</v>
      </c>
    </row>
    <row r="685" spans="1:10">
      <c r="A685" s="106" t="s">
        <v>666</v>
      </c>
      <c r="B685" s="106" t="s">
        <v>348</v>
      </c>
      <c r="C685" s="106" t="s">
        <v>349</v>
      </c>
      <c r="D685" s="106" t="s">
        <v>350</v>
      </c>
      <c r="E685">
        <v>5989</v>
      </c>
      <c r="F685" s="106" t="s">
        <v>688</v>
      </c>
      <c r="G685" s="106" t="s">
        <v>351</v>
      </c>
      <c r="H685" s="106" t="s">
        <v>366</v>
      </c>
      <c r="I685">
        <v>240</v>
      </c>
    </row>
    <row r="686" spans="1:10">
      <c r="A686" s="106" t="s">
        <v>666</v>
      </c>
      <c r="B686" s="106" t="s">
        <v>348</v>
      </c>
      <c r="C686" s="106" t="s">
        <v>349</v>
      </c>
      <c r="D686" s="106" t="s">
        <v>350</v>
      </c>
      <c r="E686">
        <v>6240</v>
      </c>
      <c r="F686" s="106" t="s">
        <v>689</v>
      </c>
      <c r="G686" s="106" t="s">
        <v>351</v>
      </c>
      <c r="H686" s="106" t="s">
        <v>372</v>
      </c>
      <c r="I686">
        <v>594</v>
      </c>
    </row>
    <row r="687" spans="1:10">
      <c r="A687" s="106" t="s">
        <v>666</v>
      </c>
      <c r="B687" s="106" t="s">
        <v>348</v>
      </c>
      <c r="C687" s="106" t="s">
        <v>349</v>
      </c>
      <c r="D687" s="106" t="s">
        <v>350</v>
      </c>
      <c r="E687">
        <v>6282</v>
      </c>
      <c r="F687" s="106" t="s">
        <v>2476</v>
      </c>
      <c r="G687" s="106" t="s">
        <v>351</v>
      </c>
      <c r="H687" s="106" t="s">
        <v>372</v>
      </c>
      <c r="I687">
        <v>584</v>
      </c>
    </row>
    <row r="688" spans="1:10">
      <c r="A688" s="106" t="s">
        <v>666</v>
      </c>
      <c r="B688" s="106" t="s">
        <v>348</v>
      </c>
      <c r="C688" s="106" t="s">
        <v>358</v>
      </c>
      <c r="D688" s="106" t="s">
        <v>350</v>
      </c>
      <c r="E688">
        <v>6537</v>
      </c>
      <c r="F688" s="106" t="s">
        <v>690</v>
      </c>
      <c r="G688" s="106" t="s">
        <v>363</v>
      </c>
      <c r="H688" s="106" t="s">
        <v>356</v>
      </c>
      <c r="I688">
        <v>61</v>
      </c>
    </row>
    <row r="689" spans="1:10">
      <c r="A689" s="106" t="s">
        <v>666</v>
      </c>
      <c r="B689" s="106" t="s">
        <v>348</v>
      </c>
      <c r="C689" s="106" t="s">
        <v>360</v>
      </c>
      <c r="D689" s="106" t="s">
        <v>350</v>
      </c>
      <c r="E689">
        <v>6662</v>
      </c>
      <c r="F689" s="106" t="s">
        <v>827</v>
      </c>
      <c r="G689" s="106" t="s">
        <v>355</v>
      </c>
      <c r="H689" s="106" t="s">
        <v>376</v>
      </c>
      <c r="I689">
        <v>43</v>
      </c>
    </row>
    <row r="690" spans="1:10">
      <c r="A690" s="106" t="s">
        <v>666</v>
      </c>
      <c r="B690" s="106" t="s">
        <v>348</v>
      </c>
      <c r="C690" s="106" t="s">
        <v>349</v>
      </c>
      <c r="D690" s="106" t="s">
        <v>350</v>
      </c>
      <c r="E690">
        <v>6832</v>
      </c>
      <c r="F690" s="106" t="s">
        <v>691</v>
      </c>
      <c r="G690" s="106" t="s">
        <v>359</v>
      </c>
      <c r="H690" s="106" t="s">
        <v>376</v>
      </c>
      <c r="I690">
        <v>344</v>
      </c>
    </row>
    <row r="691" spans="1:10">
      <c r="A691" s="106" t="s">
        <v>666</v>
      </c>
      <c r="B691" s="106" t="s">
        <v>348</v>
      </c>
      <c r="C691" s="106" t="s">
        <v>349</v>
      </c>
      <c r="D691" s="106" t="s">
        <v>350</v>
      </c>
      <c r="E691">
        <v>7057</v>
      </c>
      <c r="F691" s="106" t="s">
        <v>692</v>
      </c>
      <c r="G691" s="106" t="s">
        <v>355</v>
      </c>
      <c r="H691" s="106" t="s">
        <v>356</v>
      </c>
      <c r="I691">
        <v>37</v>
      </c>
    </row>
    <row r="692" spans="1:10">
      <c r="A692" s="106" t="s">
        <v>666</v>
      </c>
      <c r="B692" s="106" t="s">
        <v>348</v>
      </c>
      <c r="C692" s="106" t="s">
        <v>349</v>
      </c>
      <c r="D692" s="106" t="s">
        <v>354</v>
      </c>
      <c r="E692">
        <v>7164</v>
      </c>
      <c r="F692" s="106" t="s">
        <v>693</v>
      </c>
      <c r="G692" s="106" t="s">
        <v>351</v>
      </c>
      <c r="H692" s="106" t="s">
        <v>387</v>
      </c>
      <c r="I692" s="106" t="s">
        <v>437</v>
      </c>
      <c r="J692" s="106" t="s">
        <v>2053</v>
      </c>
    </row>
    <row r="693" spans="1:10">
      <c r="A693" s="106" t="s">
        <v>666</v>
      </c>
      <c r="B693" s="106" t="s">
        <v>348</v>
      </c>
      <c r="C693" s="106" t="s">
        <v>349</v>
      </c>
      <c r="D693" s="106" t="s">
        <v>350</v>
      </c>
      <c r="E693">
        <v>7230</v>
      </c>
      <c r="F693" s="106" t="s">
        <v>694</v>
      </c>
      <c r="G693" s="106" t="s">
        <v>351</v>
      </c>
      <c r="H693" s="106" t="s">
        <v>381</v>
      </c>
      <c r="I693" s="106" t="s">
        <v>382</v>
      </c>
      <c r="J693" s="106" t="s">
        <v>870</v>
      </c>
    </row>
    <row r="694" spans="1:10">
      <c r="A694" s="106" t="s">
        <v>666</v>
      </c>
      <c r="B694" s="106" t="s">
        <v>348</v>
      </c>
      <c r="C694" s="106" t="s">
        <v>349</v>
      </c>
      <c r="D694" s="106" t="s">
        <v>350</v>
      </c>
      <c r="E694">
        <v>7259</v>
      </c>
      <c r="F694" s="106" t="s">
        <v>695</v>
      </c>
      <c r="G694" s="106" t="s">
        <v>351</v>
      </c>
      <c r="H694" s="106" t="s">
        <v>381</v>
      </c>
      <c r="I694" s="106" t="s">
        <v>696</v>
      </c>
      <c r="J694" s="106" t="s">
        <v>851</v>
      </c>
    </row>
    <row r="695" spans="1:10">
      <c r="A695" s="106" t="s">
        <v>666</v>
      </c>
      <c r="B695" s="106" t="s">
        <v>348</v>
      </c>
      <c r="C695" s="106" t="s">
        <v>349</v>
      </c>
      <c r="D695" s="106" t="s">
        <v>350</v>
      </c>
      <c r="E695">
        <v>7702</v>
      </c>
      <c r="F695" s="106" t="s">
        <v>698</v>
      </c>
      <c r="G695" s="106" t="s">
        <v>351</v>
      </c>
      <c r="H695" s="106" t="s">
        <v>464</v>
      </c>
      <c r="I695">
        <v>206</v>
      </c>
    </row>
    <row r="696" spans="1:10">
      <c r="A696" s="106" t="s">
        <v>666</v>
      </c>
      <c r="B696" s="106" t="s">
        <v>348</v>
      </c>
      <c r="C696" s="106" t="s">
        <v>360</v>
      </c>
      <c r="D696" s="106" t="s">
        <v>350</v>
      </c>
      <c r="E696">
        <v>7813</v>
      </c>
      <c r="F696" s="106" t="s">
        <v>699</v>
      </c>
      <c r="G696" s="106" t="s">
        <v>363</v>
      </c>
      <c r="H696" s="106" t="s">
        <v>373</v>
      </c>
      <c r="I696">
        <v>65</v>
      </c>
    </row>
    <row r="697" spans="1:10">
      <c r="A697" s="106" t="s">
        <v>666</v>
      </c>
      <c r="B697" s="106" t="s">
        <v>348</v>
      </c>
      <c r="C697" s="106" t="s">
        <v>358</v>
      </c>
      <c r="D697" s="106" t="s">
        <v>350</v>
      </c>
      <c r="E697">
        <v>7963</v>
      </c>
      <c r="F697" s="106" t="s">
        <v>700</v>
      </c>
      <c r="G697" s="106" t="s">
        <v>355</v>
      </c>
      <c r="H697" s="106" t="s">
        <v>373</v>
      </c>
      <c r="I697">
        <v>69</v>
      </c>
    </row>
    <row r="698" spans="1:10">
      <c r="A698" s="106" t="s">
        <v>666</v>
      </c>
      <c r="B698" s="106" t="s">
        <v>348</v>
      </c>
      <c r="C698" s="106" t="s">
        <v>349</v>
      </c>
      <c r="D698" s="106" t="s">
        <v>350</v>
      </c>
      <c r="E698">
        <v>7971</v>
      </c>
      <c r="F698" s="106" t="s">
        <v>2477</v>
      </c>
      <c r="G698" s="106" t="s">
        <v>351</v>
      </c>
      <c r="H698" s="106" t="s">
        <v>364</v>
      </c>
      <c r="I698">
        <v>224</v>
      </c>
    </row>
    <row r="699" spans="1:10">
      <c r="A699" s="106" t="s">
        <v>666</v>
      </c>
      <c r="B699" s="106" t="s">
        <v>348</v>
      </c>
      <c r="C699" s="106" t="s">
        <v>349</v>
      </c>
      <c r="D699" s="106" t="s">
        <v>350</v>
      </c>
      <c r="E699">
        <v>8138</v>
      </c>
      <c r="F699" s="106" t="s">
        <v>701</v>
      </c>
      <c r="G699" s="106" t="s">
        <v>359</v>
      </c>
      <c r="H699" s="106" t="s">
        <v>357</v>
      </c>
      <c r="I699">
        <v>42</v>
      </c>
    </row>
    <row r="700" spans="1:10">
      <c r="A700" s="106" t="s">
        <v>666</v>
      </c>
      <c r="B700" s="106" t="s">
        <v>348</v>
      </c>
      <c r="C700" s="106" t="s">
        <v>349</v>
      </c>
      <c r="D700" s="106" t="s">
        <v>350</v>
      </c>
      <c r="E700">
        <v>8153</v>
      </c>
      <c r="F700" s="106" t="s">
        <v>702</v>
      </c>
      <c r="G700" s="106" t="s">
        <v>351</v>
      </c>
      <c r="H700" s="106" t="s">
        <v>357</v>
      </c>
      <c r="I700">
        <v>976</v>
      </c>
    </row>
    <row r="701" spans="1:10">
      <c r="A701" s="106" t="s">
        <v>666</v>
      </c>
      <c r="B701" s="106" t="s">
        <v>348</v>
      </c>
      <c r="C701" s="106" t="s">
        <v>349</v>
      </c>
      <c r="D701" s="106" t="s">
        <v>350</v>
      </c>
      <c r="E701">
        <v>8226</v>
      </c>
      <c r="F701" s="106" t="s">
        <v>703</v>
      </c>
      <c r="G701" s="106" t="s">
        <v>359</v>
      </c>
      <c r="H701" s="106" t="s">
        <v>357</v>
      </c>
      <c r="I701">
        <v>30</v>
      </c>
    </row>
    <row r="702" spans="1:10">
      <c r="A702" s="106" t="s">
        <v>666</v>
      </c>
      <c r="B702" s="106" t="s">
        <v>348</v>
      </c>
      <c r="C702" s="106" t="s">
        <v>349</v>
      </c>
      <c r="D702" s="106" t="s">
        <v>350</v>
      </c>
      <c r="E702">
        <v>8281</v>
      </c>
      <c r="F702" s="106" t="s">
        <v>704</v>
      </c>
      <c r="G702" s="106" t="s">
        <v>351</v>
      </c>
      <c r="H702" s="106" t="s">
        <v>361</v>
      </c>
      <c r="I702">
        <v>647</v>
      </c>
    </row>
    <row r="703" spans="1:10">
      <c r="A703" s="106" t="s">
        <v>666</v>
      </c>
      <c r="B703" s="106" t="s">
        <v>348</v>
      </c>
      <c r="C703" s="106" t="s">
        <v>349</v>
      </c>
      <c r="D703" s="106" t="s">
        <v>350</v>
      </c>
      <c r="E703">
        <v>9001</v>
      </c>
      <c r="F703" s="106" t="s">
        <v>705</v>
      </c>
      <c r="G703" s="106" t="s">
        <v>351</v>
      </c>
      <c r="H703" s="106" t="s">
        <v>485</v>
      </c>
      <c r="I703" s="106" t="s">
        <v>466</v>
      </c>
      <c r="J703" s="106" t="s">
        <v>2478</v>
      </c>
    </row>
    <row r="704" spans="1:10">
      <c r="A704" s="106" t="s">
        <v>666</v>
      </c>
      <c r="B704" s="106" t="s">
        <v>348</v>
      </c>
      <c r="C704" s="106" t="s">
        <v>358</v>
      </c>
      <c r="D704" s="106" t="s">
        <v>354</v>
      </c>
      <c r="E704">
        <v>9284</v>
      </c>
      <c r="F704" s="106" t="s">
        <v>828</v>
      </c>
      <c r="G704" s="106" t="s">
        <v>388</v>
      </c>
      <c r="H704" s="106" t="s">
        <v>389</v>
      </c>
      <c r="I704">
        <v>281</v>
      </c>
    </row>
    <row r="705" spans="1:10">
      <c r="A705" s="106" t="s">
        <v>666</v>
      </c>
      <c r="B705" s="106" t="s">
        <v>348</v>
      </c>
      <c r="C705" s="106" t="s">
        <v>349</v>
      </c>
      <c r="D705" s="106" t="s">
        <v>350</v>
      </c>
      <c r="E705">
        <v>9364</v>
      </c>
      <c r="F705" s="106" t="s">
        <v>706</v>
      </c>
      <c r="G705" s="106" t="s">
        <v>351</v>
      </c>
      <c r="H705" s="106" t="s">
        <v>707</v>
      </c>
      <c r="I705" s="106" t="s">
        <v>437</v>
      </c>
      <c r="J705" s="106" t="s">
        <v>2479</v>
      </c>
    </row>
    <row r="706" spans="1:10">
      <c r="A706" s="106" t="s">
        <v>666</v>
      </c>
      <c r="B706" s="106" t="s">
        <v>348</v>
      </c>
      <c r="C706" s="106" t="s">
        <v>349</v>
      </c>
      <c r="D706" s="106" t="s">
        <v>350</v>
      </c>
      <c r="E706">
        <v>9613</v>
      </c>
      <c r="F706" s="106" t="s">
        <v>708</v>
      </c>
      <c r="G706" s="106" t="s">
        <v>351</v>
      </c>
      <c r="H706" s="106" t="s">
        <v>362</v>
      </c>
      <c r="I706" s="106" t="s">
        <v>935</v>
      </c>
      <c r="J706" s="106" t="s">
        <v>2480</v>
      </c>
    </row>
    <row r="707" spans="1:10">
      <c r="A707" s="106" t="s">
        <v>666</v>
      </c>
      <c r="B707" s="106" t="s">
        <v>348</v>
      </c>
      <c r="C707" s="106" t="s">
        <v>349</v>
      </c>
      <c r="D707" s="106" t="s">
        <v>350</v>
      </c>
      <c r="E707">
        <v>9671</v>
      </c>
      <c r="F707" s="106" t="s">
        <v>709</v>
      </c>
      <c r="G707" s="106" t="s">
        <v>351</v>
      </c>
      <c r="H707" s="106" t="s">
        <v>356</v>
      </c>
      <c r="I707">
        <v>386</v>
      </c>
    </row>
    <row r="708" spans="1:10">
      <c r="A708" s="106" t="s">
        <v>666</v>
      </c>
      <c r="B708" s="106" t="s">
        <v>348</v>
      </c>
      <c r="C708" s="106" t="s">
        <v>349</v>
      </c>
      <c r="D708" s="106" t="s">
        <v>350</v>
      </c>
      <c r="E708">
        <v>9887</v>
      </c>
      <c r="F708" s="106" t="s">
        <v>710</v>
      </c>
      <c r="G708" s="106" t="s">
        <v>351</v>
      </c>
      <c r="H708" s="106" t="s">
        <v>361</v>
      </c>
      <c r="I708">
        <v>839</v>
      </c>
    </row>
    <row r="709" spans="1:10">
      <c r="A709" s="106" t="s">
        <v>666</v>
      </c>
      <c r="B709" s="106" t="s">
        <v>348</v>
      </c>
      <c r="C709" s="106" t="s">
        <v>349</v>
      </c>
      <c r="D709" s="106" t="s">
        <v>350</v>
      </c>
      <c r="E709">
        <v>9896</v>
      </c>
      <c r="F709" s="106" t="s">
        <v>711</v>
      </c>
      <c r="G709" s="106" t="s">
        <v>351</v>
      </c>
      <c r="H709" s="106" t="s">
        <v>357</v>
      </c>
      <c r="I709">
        <v>217</v>
      </c>
    </row>
    <row r="710" spans="1:10">
      <c r="A710" s="106" t="s">
        <v>712</v>
      </c>
      <c r="B710" s="106" t="s">
        <v>348</v>
      </c>
      <c r="C710" s="106" t="s">
        <v>349</v>
      </c>
      <c r="D710" s="106" t="s">
        <v>354</v>
      </c>
      <c r="E710">
        <v>1450</v>
      </c>
      <c r="F710" s="106" t="s">
        <v>713</v>
      </c>
      <c r="G710" s="106" t="s">
        <v>355</v>
      </c>
      <c r="H710" s="106" t="s">
        <v>378</v>
      </c>
      <c r="I710">
        <v>58</v>
      </c>
    </row>
    <row r="711" spans="1:10">
      <c r="A711" s="106" t="s">
        <v>712</v>
      </c>
      <c r="B711" s="106" t="s">
        <v>348</v>
      </c>
      <c r="C711" s="106" t="s">
        <v>349</v>
      </c>
      <c r="D711" s="106" t="s">
        <v>350</v>
      </c>
      <c r="E711">
        <v>1451</v>
      </c>
      <c r="F711" s="106" t="s">
        <v>714</v>
      </c>
      <c r="G711" s="106" t="s">
        <v>359</v>
      </c>
      <c r="H711" s="106" t="s">
        <v>378</v>
      </c>
      <c r="I711">
        <v>31</v>
      </c>
    </row>
    <row r="712" spans="1:10">
      <c r="A712" s="106" t="s">
        <v>712</v>
      </c>
      <c r="B712" s="106" t="s">
        <v>348</v>
      </c>
      <c r="C712" s="106" t="s">
        <v>358</v>
      </c>
      <c r="D712" s="106" t="s">
        <v>350</v>
      </c>
      <c r="E712">
        <v>1605</v>
      </c>
      <c r="F712" s="106" t="s">
        <v>715</v>
      </c>
      <c r="G712" s="106" t="s">
        <v>351</v>
      </c>
      <c r="H712" s="106" t="s">
        <v>716</v>
      </c>
      <c r="I712" s="106" t="s">
        <v>379</v>
      </c>
      <c r="J712" s="106" t="s">
        <v>2481</v>
      </c>
    </row>
    <row r="713" spans="1:10">
      <c r="A713" s="106" t="s">
        <v>712</v>
      </c>
      <c r="B713" s="106" t="s">
        <v>348</v>
      </c>
      <c r="C713" s="106" t="s">
        <v>349</v>
      </c>
      <c r="D713" s="106" t="s">
        <v>350</v>
      </c>
      <c r="E713">
        <v>1866</v>
      </c>
      <c r="F713" s="106" t="s">
        <v>717</v>
      </c>
      <c r="G713" s="106" t="s">
        <v>351</v>
      </c>
      <c r="H713" s="106" t="s">
        <v>378</v>
      </c>
      <c r="I713">
        <v>181</v>
      </c>
    </row>
    <row r="714" spans="1:10">
      <c r="A714" s="106" t="s">
        <v>712</v>
      </c>
      <c r="B714" s="106" t="s">
        <v>348</v>
      </c>
      <c r="C714" s="106" t="s">
        <v>358</v>
      </c>
      <c r="D714" s="106" t="s">
        <v>350</v>
      </c>
      <c r="E714">
        <v>1899</v>
      </c>
      <c r="F714" s="106" t="s">
        <v>718</v>
      </c>
      <c r="G714" s="106" t="s">
        <v>351</v>
      </c>
      <c r="H714" s="106" t="s">
        <v>378</v>
      </c>
      <c r="I714">
        <v>471</v>
      </c>
    </row>
    <row r="715" spans="1:10">
      <c r="A715" s="106" t="s">
        <v>712</v>
      </c>
      <c r="B715" s="106" t="s">
        <v>348</v>
      </c>
      <c r="C715" s="106" t="s">
        <v>349</v>
      </c>
      <c r="D715" s="106" t="s">
        <v>350</v>
      </c>
      <c r="E715">
        <v>1952</v>
      </c>
      <c r="F715" s="106" t="s">
        <v>719</v>
      </c>
      <c r="G715" s="106" t="s">
        <v>351</v>
      </c>
      <c r="H715" s="106" t="s">
        <v>378</v>
      </c>
      <c r="I715">
        <v>537</v>
      </c>
    </row>
    <row r="716" spans="1:10">
      <c r="A716" s="106" t="s">
        <v>712</v>
      </c>
      <c r="B716" s="106" t="s">
        <v>348</v>
      </c>
      <c r="C716" s="106" t="s">
        <v>349</v>
      </c>
      <c r="D716" s="106" t="s">
        <v>350</v>
      </c>
      <c r="E716">
        <v>2134</v>
      </c>
      <c r="F716" s="106" t="s">
        <v>720</v>
      </c>
      <c r="G716" s="106" t="s">
        <v>355</v>
      </c>
      <c r="H716" s="106" t="s">
        <v>356</v>
      </c>
      <c r="I716">
        <v>40</v>
      </c>
    </row>
    <row r="717" spans="1:10">
      <c r="A717" s="106" t="s">
        <v>712</v>
      </c>
      <c r="B717" s="106" t="s">
        <v>348</v>
      </c>
      <c r="C717" s="106" t="s">
        <v>360</v>
      </c>
      <c r="D717" s="106" t="s">
        <v>350</v>
      </c>
      <c r="E717">
        <v>2385</v>
      </c>
      <c r="F717" s="106" t="s">
        <v>2482</v>
      </c>
      <c r="G717" s="106" t="s">
        <v>363</v>
      </c>
      <c r="H717" s="106" t="s">
        <v>356</v>
      </c>
      <c r="I717">
        <v>159</v>
      </c>
    </row>
    <row r="718" spans="1:10">
      <c r="A718" s="106" t="s">
        <v>712</v>
      </c>
      <c r="B718" s="106" t="s">
        <v>348</v>
      </c>
      <c r="C718" s="106" t="s">
        <v>349</v>
      </c>
      <c r="D718" s="106" t="s">
        <v>350</v>
      </c>
      <c r="E718">
        <v>2831</v>
      </c>
      <c r="F718" s="106" t="s">
        <v>958</v>
      </c>
      <c r="G718" s="106" t="s">
        <v>359</v>
      </c>
      <c r="H718" s="106" t="s">
        <v>352</v>
      </c>
      <c r="I718">
        <v>271</v>
      </c>
    </row>
    <row r="719" spans="1:10">
      <c r="A719" s="106" t="s">
        <v>712</v>
      </c>
      <c r="B719" s="106" t="s">
        <v>348</v>
      </c>
      <c r="C719" s="106" t="s">
        <v>353</v>
      </c>
      <c r="D719" s="106" t="s">
        <v>350</v>
      </c>
      <c r="E719">
        <v>2974</v>
      </c>
      <c r="F719" s="106" t="s">
        <v>721</v>
      </c>
      <c r="G719" s="106" t="s">
        <v>558</v>
      </c>
      <c r="H719" s="106" t="s">
        <v>377</v>
      </c>
      <c r="I719">
        <v>35</v>
      </c>
    </row>
    <row r="720" spans="1:10">
      <c r="A720" s="106" t="s">
        <v>712</v>
      </c>
      <c r="B720" s="106" t="s">
        <v>348</v>
      </c>
      <c r="C720" s="106" t="s">
        <v>349</v>
      </c>
      <c r="D720" s="106" t="s">
        <v>350</v>
      </c>
      <c r="E720">
        <v>2976</v>
      </c>
      <c r="F720" s="106" t="s">
        <v>722</v>
      </c>
      <c r="G720" s="106" t="s">
        <v>723</v>
      </c>
      <c r="H720" s="106" t="s">
        <v>377</v>
      </c>
      <c r="I720">
        <v>14</v>
      </c>
    </row>
    <row r="721" spans="1:10">
      <c r="A721" s="106" t="s">
        <v>712</v>
      </c>
      <c r="B721" s="106" t="s">
        <v>348</v>
      </c>
      <c r="C721" s="106" t="s">
        <v>349</v>
      </c>
      <c r="D721" s="106" t="s">
        <v>350</v>
      </c>
      <c r="E721">
        <v>3291</v>
      </c>
      <c r="F721" s="106" t="s">
        <v>959</v>
      </c>
      <c r="G721" s="106" t="s">
        <v>351</v>
      </c>
      <c r="H721" s="106" t="s">
        <v>377</v>
      </c>
      <c r="I721" s="106" t="s">
        <v>368</v>
      </c>
      <c r="J721" s="106" t="s">
        <v>2483</v>
      </c>
    </row>
    <row r="722" spans="1:10">
      <c r="A722" s="106" t="s">
        <v>712</v>
      </c>
      <c r="B722" s="106" t="s">
        <v>348</v>
      </c>
      <c r="C722" s="106" t="s">
        <v>349</v>
      </c>
      <c r="D722" s="106" t="s">
        <v>350</v>
      </c>
      <c r="E722">
        <v>3372</v>
      </c>
      <c r="F722" s="106" t="s">
        <v>960</v>
      </c>
      <c r="G722" s="106" t="s">
        <v>359</v>
      </c>
      <c r="H722" s="106" t="s">
        <v>361</v>
      </c>
      <c r="I722">
        <v>52</v>
      </c>
    </row>
    <row r="723" spans="1:10">
      <c r="A723" s="106" t="s">
        <v>712</v>
      </c>
      <c r="B723" s="106" t="s">
        <v>348</v>
      </c>
      <c r="C723" s="106" t="s">
        <v>358</v>
      </c>
      <c r="D723" s="106" t="s">
        <v>350</v>
      </c>
      <c r="E723">
        <v>3606</v>
      </c>
      <c r="F723" s="106" t="s">
        <v>724</v>
      </c>
      <c r="G723" s="106" t="s">
        <v>351</v>
      </c>
      <c r="H723" s="106" t="s">
        <v>384</v>
      </c>
      <c r="I723">
        <v>117</v>
      </c>
    </row>
    <row r="724" spans="1:10">
      <c r="A724" s="106" t="s">
        <v>712</v>
      </c>
      <c r="B724" s="106" t="s">
        <v>348</v>
      </c>
      <c r="C724" s="106" t="s">
        <v>349</v>
      </c>
      <c r="D724" s="106" t="s">
        <v>354</v>
      </c>
      <c r="E724">
        <v>3652</v>
      </c>
      <c r="F724" s="106" t="s">
        <v>961</v>
      </c>
      <c r="G724" s="106" t="s">
        <v>363</v>
      </c>
      <c r="H724" s="106" t="s">
        <v>362</v>
      </c>
      <c r="I724">
        <v>122</v>
      </c>
    </row>
    <row r="725" spans="1:10">
      <c r="A725" s="106" t="s">
        <v>712</v>
      </c>
      <c r="B725" s="106" t="s">
        <v>348</v>
      </c>
      <c r="C725" s="106" t="s">
        <v>358</v>
      </c>
      <c r="D725" s="106" t="s">
        <v>354</v>
      </c>
      <c r="E725">
        <v>3719</v>
      </c>
      <c r="F725" s="106" t="s">
        <v>962</v>
      </c>
      <c r="G725" s="106" t="s">
        <v>355</v>
      </c>
      <c r="H725" s="106" t="s">
        <v>362</v>
      </c>
      <c r="I725">
        <v>26</v>
      </c>
    </row>
    <row r="726" spans="1:10">
      <c r="A726" s="106" t="s">
        <v>712</v>
      </c>
      <c r="B726" s="106" t="s">
        <v>348</v>
      </c>
      <c r="C726" s="106" t="s">
        <v>360</v>
      </c>
      <c r="D726" s="106" t="s">
        <v>350</v>
      </c>
      <c r="E726">
        <v>3856</v>
      </c>
      <c r="F726" s="106" t="s">
        <v>725</v>
      </c>
      <c r="G726" s="106" t="s">
        <v>359</v>
      </c>
      <c r="H726" s="106" t="s">
        <v>376</v>
      </c>
      <c r="I726">
        <v>30</v>
      </c>
    </row>
    <row r="727" spans="1:10">
      <c r="A727" s="106" t="s">
        <v>712</v>
      </c>
      <c r="B727" s="106" t="s">
        <v>348</v>
      </c>
      <c r="C727" s="106" t="s">
        <v>349</v>
      </c>
      <c r="D727" s="106" t="s">
        <v>350</v>
      </c>
      <c r="E727">
        <v>3896</v>
      </c>
      <c r="F727" s="106" t="s">
        <v>726</v>
      </c>
      <c r="G727" s="106" t="s">
        <v>351</v>
      </c>
      <c r="H727" s="106" t="s">
        <v>385</v>
      </c>
      <c r="I727">
        <v>60</v>
      </c>
    </row>
    <row r="728" spans="1:10">
      <c r="A728" s="106" t="s">
        <v>712</v>
      </c>
      <c r="B728" s="106" t="s">
        <v>348</v>
      </c>
      <c r="C728" s="106" t="s">
        <v>358</v>
      </c>
      <c r="D728" s="106" t="s">
        <v>350</v>
      </c>
      <c r="E728">
        <v>3902</v>
      </c>
      <c r="F728" s="106" t="s">
        <v>727</v>
      </c>
      <c r="G728" s="106" t="s">
        <v>351</v>
      </c>
      <c r="H728" s="106" t="s">
        <v>362</v>
      </c>
      <c r="I728">
        <v>339</v>
      </c>
    </row>
    <row r="729" spans="1:10">
      <c r="A729" s="106" t="s">
        <v>712</v>
      </c>
      <c r="B729" s="106" t="s">
        <v>348</v>
      </c>
      <c r="C729" s="106" t="s">
        <v>349</v>
      </c>
      <c r="D729" s="106" t="s">
        <v>350</v>
      </c>
      <c r="E729">
        <v>3963</v>
      </c>
      <c r="F729" s="106" t="s">
        <v>728</v>
      </c>
      <c r="G729" s="106" t="s">
        <v>351</v>
      </c>
      <c r="H729" s="106" t="s">
        <v>362</v>
      </c>
      <c r="I729">
        <v>148</v>
      </c>
    </row>
    <row r="730" spans="1:10">
      <c r="A730" s="106" t="s">
        <v>712</v>
      </c>
      <c r="B730" s="106" t="s">
        <v>348</v>
      </c>
      <c r="C730" s="106" t="s">
        <v>358</v>
      </c>
      <c r="D730" s="106" t="s">
        <v>350</v>
      </c>
      <c r="E730">
        <v>4245</v>
      </c>
      <c r="F730" s="106" t="s">
        <v>729</v>
      </c>
      <c r="G730" s="106" t="s">
        <v>351</v>
      </c>
      <c r="H730" s="106" t="s">
        <v>364</v>
      </c>
      <c r="I730">
        <v>125</v>
      </c>
    </row>
    <row r="731" spans="1:10">
      <c r="A731" s="106" t="s">
        <v>712</v>
      </c>
      <c r="B731" s="106" t="s">
        <v>348</v>
      </c>
      <c r="C731" s="106" t="s">
        <v>358</v>
      </c>
      <c r="D731" s="106" t="s">
        <v>350</v>
      </c>
      <c r="E731">
        <v>4251</v>
      </c>
      <c r="F731" s="106" t="s">
        <v>730</v>
      </c>
      <c r="G731" s="106" t="s">
        <v>359</v>
      </c>
      <c r="H731" s="106" t="s">
        <v>364</v>
      </c>
      <c r="I731">
        <v>95</v>
      </c>
    </row>
    <row r="732" spans="1:10">
      <c r="A732" s="106" t="s">
        <v>712</v>
      </c>
      <c r="B732" s="106" t="s">
        <v>348</v>
      </c>
      <c r="C732" s="106" t="s">
        <v>349</v>
      </c>
      <c r="D732" s="106" t="s">
        <v>350</v>
      </c>
      <c r="E732">
        <v>4390</v>
      </c>
      <c r="F732" s="106" t="s">
        <v>2484</v>
      </c>
      <c r="G732" s="106" t="s">
        <v>363</v>
      </c>
      <c r="H732" s="106" t="s">
        <v>362</v>
      </c>
      <c r="I732">
        <v>145</v>
      </c>
    </row>
    <row r="733" spans="1:10">
      <c r="A733" s="106" t="s">
        <v>712</v>
      </c>
      <c r="B733" s="106" t="s">
        <v>348</v>
      </c>
      <c r="C733" s="106" t="s">
        <v>349</v>
      </c>
      <c r="D733" s="106" t="s">
        <v>350</v>
      </c>
      <c r="E733">
        <v>4425</v>
      </c>
      <c r="F733" s="106" t="s">
        <v>731</v>
      </c>
      <c r="G733" s="106" t="s">
        <v>363</v>
      </c>
      <c r="H733" s="106" t="s">
        <v>362</v>
      </c>
      <c r="I733">
        <v>597</v>
      </c>
    </row>
    <row r="734" spans="1:10">
      <c r="A734" s="106" t="s">
        <v>712</v>
      </c>
      <c r="B734" s="106" t="s">
        <v>348</v>
      </c>
      <c r="C734" s="106" t="s">
        <v>349</v>
      </c>
      <c r="D734" s="106" t="s">
        <v>354</v>
      </c>
      <c r="E734">
        <v>4435</v>
      </c>
      <c r="F734" s="106" t="s">
        <v>732</v>
      </c>
      <c r="G734" s="106" t="s">
        <v>363</v>
      </c>
      <c r="H734" s="106" t="s">
        <v>362</v>
      </c>
      <c r="I734">
        <v>437</v>
      </c>
    </row>
    <row r="735" spans="1:10">
      <c r="A735" s="106" t="s">
        <v>712</v>
      </c>
      <c r="B735" s="106" t="s">
        <v>348</v>
      </c>
      <c r="C735" s="106" t="s">
        <v>349</v>
      </c>
      <c r="D735" s="106" t="s">
        <v>350</v>
      </c>
      <c r="E735">
        <v>4442</v>
      </c>
      <c r="F735" s="106" t="s">
        <v>733</v>
      </c>
      <c r="G735" s="106" t="s">
        <v>363</v>
      </c>
      <c r="H735" s="106" t="s">
        <v>362</v>
      </c>
      <c r="I735">
        <v>120</v>
      </c>
    </row>
    <row r="736" spans="1:10">
      <c r="A736" s="106" t="s">
        <v>712</v>
      </c>
      <c r="B736" s="106" t="s">
        <v>348</v>
      </c>
      <c r="C736" s="106" t="s">
        <v>358</v>
      </c>
      <c r="D736" s="106" t="s">
        <v>354</v>
      </c>
      <c r="E736">
        <v>4448</v>
      </c>
      <c r="F736" s="106" t="s">
        <v>734</v>
      </c>
      <c r="G736" s="106" t="s">
        <v>363</v>
      </c>
      <c r="H736" s="106" t="s">
        <v>362</v>
      </c>
      <c r="I736">
        <v>376</v>
      </c>
    </row>
    <row r="737" spans="1:10">
      <c r="A737" s="106" t="s">
        <v>712</v>
      </c>
      <c r="B737" s="106" t="s">
        <v>348</v>
      </c>
      <c r="C737" s="106" t="s">
        <v>358</v>
      </c>
      <c r="D737" s="106" t="s">
        <v>350</v>
      </c>
      <c r="E737">
        <v>4449</v>
      </c>
      <c r="F737" s="106" t="s">
        <v>735</v>
      </c>
      <c r="G737" s="106" t="s">
        <v>363</v>
      </c>
      <c r="H737" s="106" t="s">
        <v>362</v>
      </c>
      <c r="I737">
        <v>401</v>
      </c>
    </row>
    <row r="738" spans="1:10">
      <c r="A738" s="106" t="s">
        <v>712</v>
      </c>
      <c r="B738" s="106" t="s">
        <v>348</v>
      </c>
      <c r="C738" s="106" t="s">
        <v>353</v>
      </c>
      <c r="D738" s="106" t="s">
        <v>350</v>
      </c>
      <c r="E738">
        <v>4475</v>
      </c>
      <c r="F738" s="106" t="s">
        <v>737</v>
      </c>
      <c r="G738" s="106" t="s">
        <v>363</v>
      </c>
      <c r="H738" s="106" t="s">
        <v>362</v>
      </c>
      <c r="I738">
        <v>266</v>
      </c>
    </row>
    <row r="739" spans="1:10">
      <c r="A739" s="106" t="s">
        <v>712</v>
      </c>
      <c r="B739" s="106" t="s">
        <v>348</v>
      </c>
      <c r="C739" s="106" t="s">
        <v>358</v>
      </c>
      <c r="D739" s="106" t="s">
        <v>354</v>
      </c>
      <c r="E739">
        <v>4476</v>
      </c>
      <c r="F739" s="106" t="s">
        <v>738</v>
      </c>
      <c r="G739" s="106" t="s">
        <v>363</v>
      </c>
      <c r="H739" s="106" t="s">
        <v>362</v>
      </c>
      <c r="I739">
        <v>91</v>
      </c>
    </row>
    <row r="740" spans="1:10">
      <c r="A740" s="106" t="s">
        <v>712</v>
      </c>
      <c r="B740" s="106" t="s">
        <v>348</v>
      </c>
      <c r="C740" s="106" t="s">
        <v>358</v>
      </c>
      <c r="D740" s="106" t="s">
        <v>350</v>
      </c>
      <c r="E740">
        <v>4477</v>
      </c>
      <c r="F740" s="106" t="s">
        <v>739</v>
      </c>
      <c r="G740" s="106" t="s">
        <v>363</v>
      </c>
      <c r="H740" s="106" t="s">
        <v>362</v>
      </c>
      <c r="I740">
        <v>354</v>
      </c>
    </row>
    <row r="741" spans="1:10">
      <c r="A741" s="106" t="s">
        <v>712</v>
      </c>
      <c r="B741" s="106" t="s">
        <v>348</v>
      </c>
      <c r="C741" s="106" t="s">
        <v>358</v>
      </c>
      <c r="D741" s="106" t="s">
        <v>354</v>
      </c>
      <c r="E741">
        <v>4482</v>
      </c>
      <c r="F741" s="106" t="s">
        <v>2485</v>
      </c>
      <c r="G741" s="106" t="s">
        <v>363</v>
      </c>
      <c r="H741" s="106" t="s">
        <v>362</v>
      </c>
      <c r="I741">
        <v>186</v>
      </c>
    </row>
    <row r="742" spans="1:10">
      <c r="A742" s="106" t="s">
        <v>712</v>
      </c>
      <c r="B742" s="106" t="s">
        <v>348</v>
      </c>
      <c r="C742" s="106" t="s">
        <v>349</v>
      </c>
      <c r="D742" s="106" t="s">
        <v>350</v>
      </c>
      <c r="E742">
        <v>4484</v>
      </c>
      <c r="F742" s="106" t="s">
        <v>2486</v>
      </c>
      <c r="G742" s="106" t="s">
        <v>363</v>
      </c>
      <c r="H742" s="106" t="s">
        <v>362</v>
      </c>
      <c r="I742">
        <v>129</v>
      </c>
    </row>
    <row r="743" spans="1:10">
      <c r="A743" s="106" t="s">
        <v>712</v>
      </c>
      <c r="B743" s="106" t="s">
        <v>348</v>
      </c>
      <c r="C743" s="106" t="s">
        <v>358</v>
      </c>
      <c r="D743" s="106" t="s">
        <v>350</v>
      </c>
      <c r="E743">
        <v>4631</v>
      </c>
      <c r="F743" s="106" t="s">
        <v>740</v>
      </c>
      <c r="G743" s="106" t="s">
        <v>351</v>
      </c>
      <c r="H743" s="106" t="s">
        <v>364</v>
      </c>
      <c r="I743" s="106" t="s">
        <v>374</v>
      </c>
      <c r="J743" s="106" t="s">
        <v>2487</v>
      </c>
    </row>
    <row r="744" spans="1:10">
      <c r="A744" s="106" t="s">
        <v>712</v>
      </c>
      <c r="B744" s="106" t="s">
        <v>348</v>
      </c>
      <c r="C744" s="106" t="s">
        <v>349</v>
      </c>
      <c r="D744" s="106" t="s">
        <v>350</v>
      </c>
      <c r="E744">
        <v>4691</v>
      </c>
      <c r="F744" s="106" t="s">
        <v>741</v>
      </c>
      <c r="G744" s="106" t="s">
        <v>359</v>
      </c>
      <c r="H744" s="106" t="s">
        <v>356</v>
      </c>
      <c r="I744">
        <v>162</v>
      </c>
    </row>
    <row r="745" spans="1:10">
      <c r="A745" s="106" t="s">
        <v>712</v>
      </c>
      <c r="B745" s="106" t="s">
        <v>348</v>
      </c>
      <c r="C745" s="106" t="s">
        <v>360</v>
      </c>
      <c r="D745" s="106" t="s">
        <v>350</v>
      </c>
      <c r="E745">
        <v>4845</v>
      </c>
      <c r="F745" s="106" t="s">
        <v>742</v>
      </c>
      <c r="G745" s="106" t="s">
        <v>351</v>
      </c>
      <c r="H745" s="106" t="s">
        <v>362</v>
      </c>
      <c r="I745">
        <v>134</v>
      </c>
    </row>
    <row r="746" spans="1:10">
      <c r="A746" s="106" t="s">
        <v>712</v>
      </c>
      <c r="B746" s="106" t="s">
        <v>348</v>
      </c>
      <c r="C746" s="106" t="s">
        <v>349</v>
      </c>
      <c r="D746" s="106" t="s">
        <v>350</v>
      </c>
      <c r="E746">
        <v>6059</v>
      </c>
      <c r="F746" s="106" t="s">
        <v>2488</v>
      </c>
      <c r="G746" s="106" t="s">
        <v>351</v>
      </c>
      <c r="H746" s="106" t="s">
        <v>356</v>
      </c>
      <c r="I746">
        <v>118</v>
      </c>
    </row>
    <row r="747" spans="1:10">
      <c r="A747" s="106" t="s">
        <v>712</v>
      </c>
      <c r="B747" s="106" t="s">
        <v>348</v>
      </c>
      <c r="C747" s="106" t="s">
        <v>349</v>
      </c>
      <c r="D747" s="106" t="s">
        <v>350</v>
      </c>
      <c r="E747">
        <v>6082</v>
      </c>
      <c r="F747" s="106" t="s">
        <v>743</v>
      </c>
      <c r="G747" s="106" t="s">
        <v>351</v>
      </c>
      <c r="H747" s="106" t="s">
        <v>356</v>
      </c>
      <c r="I747">
        <v>214</v>
      </c>
    </row>
    <row r="748" spans="1:10">
      <c r="A748" s="106" t="s">
        <v>712</v>
      </c>
      <c r="B748" s="106" t="s">
        <v>348</v>
      </c>
      <c r="C748" s="106" t="s">
        <v>349</v>
      </c>
      <c r="D748" s="106" t="s">
        <v>350</v>
      </c>
      <c r="E748">
        <v>6408</v>
      </c>
      <c r="F748" s="106" t="s">
        <v>744</v>
      </c>
      <c r="G748" s="106" t="s">
        <v>355</v>
      </c>
      <c r="H748" s="106" t="s">
        <v>372</v>
      </c>
      <c r="I748">
        <v>50</v>
      </c>
    </row>
    <row r="749" spans="1:10">
      <c r="A749" s="106" t="s">
        <v>712</v>
      </c>
      <c r="B749" s="106" t="s">
        <v>348</v>
      </c>
      <c r="C749" s="106" t="s">
        <v>349</v>
      </c>
      <c r="D749" s="106" t="s">
        <v>350</v>
      </c>
      <c r="E749">
        <v>6424</v>
      </c>
      <c r="F749" s="106" t="s">
        <v>745</v>
      </c>
      <c r="G749" s="106" t="s">
        <v>355</v>
      </c>
      <c r="H749" s="106" t="s">
        <v>372</v>
      </c>
      <c r="I749">
        <v>62</v>
      </c>
    </row>
    <row r="750" spans="1:10">
      <c r="A750" s="106" t="s">
        <v>712</v>
      </c>
      <c r="B750" s="106" t="s">
        <v>348</v>
      </c>
      <c r="C750" s="106" t="s">
        <v>349</v>
      </c>
      <c r="D750" s="106" t="s">
        <v>350</v>
      </c>
      <c r="E750">
        <v>6517</v>
      </c>
      <c r="F750" s="106" t="s">
        <v>746</v>
      </c>
      <c r="G750" s="106" t="s">
        <v>351</v>
      </c>
      <c r="H750" s="106" t="s">
        <v>376</v>
      </c>
      <c r="I750">
        <v>476</v>
      </c>
    </row>
    <row r="751" spans="1:10">
      <c r="A751" s="106" t="s">
        <v>712</v>
      </c>
      <c r="B751" s="106" t="s">
        <v>348</v>
      </c>
      <c r="C751" s="106" t="s">
        <v>360</v>
      </c>
      <c r="D751" s="106" t="s">
        <v>354</v>
      </c>
      <c r="E751">
        <v>6597</v>
      </c>
      <c r="F751" s="106" t="s">
        <v>748</v>
      </c>
      <c r="G751" s="106" t="s">
        <v>363</v>
      </c>
      <c r="H751" s="106" t="s">
        <v>376</v>
      </c>
      <c r="I751">
        <v>79</v>
      </c>
    </row>
    <row r="752" spans="1:10">
      <c r="A752" s="106" t="s">
        <v>712</v>
      </c>
      <c r="B752" s="106" t="s">
        <v>348</v>
      </c>
      <c r="C752" s="106" t="s">
        <v>349</v>
      </c>
      <c r="D752" s="106" t="s">
        <v>350</v>
      </c>
      <c r="E752">
        <v>6706</v>
      </c>
      <c r="F752" s="106" t="s">
        <v>749</v>
      </c>
      <c r="G752" s="106" t="s">
        <v>351</v>
      </c>
      <c r="H752" s="106" t="s">
        <v>376</v>
      </c>
      <c r="I752">
        <v>458</v>
      </c>
    </row>
    <row r="753" spans="1:9">
      <c r="A753" s="106" t="s">
        <v>712</v>
      </c>
      <c r="B753" s="106" t="s">
        <v>348</v>
      </c>
      <c r="C753" s="106" t="s">
        <v>349</v>
      </c>
      <c r="D753" s="106" t="s">
        <v>350</v>
      </c>
      <c r="E753">
        <v>6819</v>
      </c>
      <c r="F753" s="106" t="s">
        <v>750</v>
      </c>
      <c r="G753" s="106" t="s">
        <v>355</v>
      </c>
      <c r="H753" s="106" t="s">
        <v>356</v>
      </c>
      <c r="I753">
        <v>35</v>
      </c>
    </row>
    <row r="754" spans="1:9">
      <c r="A754" s="106" t="s">
        <v>712</v>
      </c>
      <c r="B754" s="106" t="s">
        <v>348</v>
      </c>
      <c r="C754" s="106" t="s">
        <v>358</v>
      </c>
      <c r="D754" s="106" t="s">
        <v>350</v>
      </c>
      <c r="E754">
        <v>6870</v>
      </c>
      <c r="F754" s="106" t="s">
        <v>751</v>
      </c>
      <c r="G754" s="106" t="s">
        <v>359</v>
      </c>
      <c r="H754" s="106" t="s">
        <v>376</v>
      </c>
      <c r="I754">
        <v>90</v>
      </c>
    </row>
    <row r="755" spans="1:9">
      <c r="A755" s="106" t="s">
        <v>712</v>
      </c>
      <c r="B755" s="106" t="s">
        <v>348</v>
      </c>
      <c r="C755" s="106" t="s">
        <v>349</v>
      </c>
      <c r="D755" s="106" t="s">
        <v>350</v>
      </c>
      <c r="E755">
        <v>7059</v>
      </c>
      <c r="F755" s="106" t="s">
        <v>964</v>
      </c>
      <c r="G755" s="106" t="s">
        <v>363</v>
      </c>
      <c r="H755" s="106" t="s">
        <v>356</v>
      </c>
      <c r="I755">
        <v>145</v>
      </c>
    </row>
    <row r="756" spans="1:9">
      <c r="A756" s="106" t="s">
        <v>712</v>
      </c>
      <c r="B756" s="106" t="s">
        <v>348</v>
      </c>
      <c r="C756" s="106" t="s">
        <v>349</v>
      </c>
      <c r="D756" s="106" t="s">
        <v>350</v>
      </c>
      <c r="E756">
        <v>7060</v>
      </c>
      <c r="F756" s="106" t="s">
        <v>752</v>
      </c>
      <c r="G756" s="106" t="s">
        <v>363</v>
      </c>
      <c r="H756" s="106" t="s">
        <v>356</v>
      </c>
      <c r="I756">
        <v>168</v>
      </c>
    </row>
    <row r="757" spans="1:9">
      <c r="A757" s="106" t="s">
        <v>712</v>
      </c>
      <c r="B757" s="106" t="s">
        <v>348</v>
      </c>
      <c r="C757" s="106" t="s">
        <v>360</v>
      </c>
      <c r="D757" s="106" t="s">
        <v>350</v>
      </c>
      <c r="E757">
        <v>7063</v>
      </c>
      <c r="F757" s="106" t="s">
        <v>753</v>
      </c>
      <c r="G757" s="106" t="s">
        <v>363</v>
      </c>
      <c r="H757" s="106" t="s">
        <v>356</v>
      </c>
      <c r="I757">
        <v>76</v>
      </c>
    </row>
    <row r="758" spans="1:9">
      <c r="A758" s="106" t="s">
        <v>712</v>
      </c>
      <c r="B758" s="106" t="s">
        <v>348</v>
      </c>
      <c r="C758" s="106" t="s">
        <v>349</v>
      </c>
      <c r="D758" s="106" t="s">
        <v>350</v>
      </c>
      <c r="E758">
        <v>7067</v>
      </c>
      <c r="F758" s="106" t="s">
        <v>754</v>
      </c>
      <c r="G758" s="106" t="s">
        <v>363</v>
      </c>
      <c r="H758" s="106" t="s">
        <v>356</v>
      </c>
      <c r="I758">
        <v>32</v>
      </c>
    </row>
    <row r="759" spans="1:9">
      <c r="A759" s="106" t="s">
        <v>712</v>
      </c>
      <c r="B759" s="106" t="s">
        <v>348</v>
      </c>
      <c r="C759" s="106" t="s">
        <v>353</v>
      </c>
      <c r="D759" s="106" t="s">
        <v>350</v>
      </c>
      <c r="E759">
        <v>7071</v>
      </c>
      <c r="F759" s="106" t="s">
        <v>2489</v>
      </c>
      <c r="G759" s="106" t="s">
        <v>355</v>
      </c>
      <c r="H759" s="106" t="s">
        <v>356</v>
      </c>
      <c r="I759">
        <v>711</v>
      </c>
    </row>
    <row r="760" spans="1:9">
      <c r="A760" s="106" t="s">
        <v>712</v>
      </c>
      <c r="B760" s="106" t="s">
        <v>348</v>
      </c>
      <c r="C760" s="106" t="s">
        <v>353</v>
      </c>
      <c r="D760" s="106" t="s">
        <v>354</v>
      </c>
      <c r="E760">
        <v>7072</v>
      </c>
      <c r="F760" s="106" t="s">
        <v>755</v>
      </c>
      <c r="G760" s="106" t="s">
        <v>363</v>
      </c>
      <c r="H760" s="106" t="s">
        <v>356</v>
      </c>
      <c r="I760">
        <v>76</v>
      </c>
    </row>
    <row r="761" spans="1:9">
      <c r="A761" s="106" t="s">
        <v>712</v>
      </c>
      <c r="B761" s="106" t="s">
        <v>348</v>
      </c>
      <c r="C761" s="106" t="s">
        <v>349</v>
      </c>
      <c r="D761" s="106" t="s">
        <v>350</v>
      </c>
      <c r="E761">
        <v>7239</v>
      </c>
      <c r="F761" s="106" t="s">
        <v>756</v>
      </c>
      <c r="G761" s="106" t="s">
        <v>351</v>
      </c>
      <c r="H761" s="106" t="s">
        <v>381</v>
      </c>
      <c r="I761">
        <v>524</v>
      </c>
    </row>
    <row r="762" spans="1:9">
      <c r="A762" s="106" t="s">
        <v>712</v>
      </c>
      <c r="B762" s="106" t="s">
        <v>348</v>
      </c>
      <c r="C762" s="106" t="s">
        <v>349</v>
      </c>
      <c r="D762" s="106" t="s">
        <v>350</v>
      </c>
      <c r="E762">
        <v>7242</v>
      </c>
      <c r="F762" s="106" t="s">
        <v>757</v>
      </c>
      <c r="G762" s="106" t="s">
        <v>351</v>
      </c>
      <c r="H762" s="106" t="s">
        <v>381</v>
      </c>
      <c r="I762">
        <v>851</v>
      </c>
    </row>
    <row r="763" spans="1:9">
      <c r="A763" s="106" t="s">
        <v>712</v>
      </c>
      <c r="B763" s="106" t="s">
        <v>348</v>
      </c>
      <c r="C763" s="106" t="s">
        <v>360</v>
      </c>
      <c r="D763" s="106" t="s">
        <v>350</v>
      </c>
      <c r="E763">
        <v>7325</v>
      </c>
      <c r="F763" s="106" t="s">
        <v>830</v>
      </c>
      <c r="G763" s="106" t="s">
        <v>363</v>
      </c>
      <c r="H763" s="106" t="s">
        <v>831</v>
      </c>
      <c r="I763">
        <v>111</v>
      </c>
    </row>
    <row r="764" spans="1:9">
      <c r="A764" s="106" t="s">
        <v>712</v>
      </c>
      <c r="B764" s="106" t="s">
        <v>348</v>
      </c>
      <c r="C764" s="106" t="s">
        <v>349</v>
      </c>
      <c r="D764" s="106" t="s">
        <v>350</v>
      </c>
      <c r="E764">
        <v>7593</v>
      </c>
      <c r="F764" s="106" t="s">
        <v>965</v>
      </c>
      <c r="G764" s="106" t="s">
        <v>351</v>
      </c>
      <c r="H764" s="106" t="s">
        <v>361</v>
      </c>
      <c r="I764">
        <v>579</v>
      </c>
    </row>
    <row r="765" spans="1:9">
      <c r="A765" s="106" t="s">
        <v>712</v>
      </c>
      <c r="B765" s="106" t="s">
        <v>348</v>
      </c>
      <c r="C765" s="106" t="s">
        <v>360</v>
      </c>
      <c r="D765" s="106" t="s">
        <v>354</v>
      </c>
      <c r="E765">
        <v>7674</v>
      </c>
      <c r="F765" s="106" t="s">
        <v>758</v>
      </c>
      <c r="G765" s="106" t="s">
        <v>363</v>
      </c>
      <c r="H765" s="106" t="s">
        <v>361</v>
      </c>
      <c r="I765">
        <v>78</v>
      </c>
    </row>
    <row r="766" spans="1:9">
      <c r="A766" s="106" t="s">
        <v>712</v>
      </c>
      <c r="B766" s="106" t="s">
        <v>348</v>
      </c>
      <c r="C766" s="106" t="s">
        <v>353</v>
      </c>
      <c r="D766" s="106" t="s">
        <v>354</v>
      </c>
      <c r="E766">
        <v>7676</v>
      </c>
      <c r="F766" s="106" t="s">
        <v>759</v>
      </c>
      <c r="G766" s="106" t="s">
        <v>363</v>
      </c>
      <c r="H766" s="106" t="s">
        <v>361</v>
      </c>
      <c r="I766">
        <v>44</v>
      </c>
    </row>
    <row r="767" spans="1:9">
      <c r="A767" s="106" t="s">
        <v>712</v>
      </c>
      <c r="B767" s="106" t="s">
        <v>348</v>
      </c>
      <c r="C767" s="106" t="s">
        <v>353</v>
      </c>
      <c r="D767" s="106" t="s">
        <v>350</v>
      </c>
      <c r="E767">
        <v>7681</v>
      </c>
      <c r="F767" s="106" t="s">
        <v>761</v>
      </c>
      <c r="G767" s="106" t="s">
        <v>359</v>
      </c>
      <c r="H767" s="106" t="s">
        <v>357</v>
      </c>
      <c r="I767">
        <v>59</v>
      </c>
    </row>
    <row r="768" spans="1:9">
      <c r="A768" s="106" t="s">
        <v>712</v>
      </c>
      <c r="B768" s="106" t="s">
        <v>348</v>
      </c>
      <c r="C768" s="106" t="s">
        <v>349</v>
      </c>
      <c r="D768" s="106" t="s">
        <v>350</v>
      </c>
      <c r="E768">
        <v>7749</v>
      </c>
      <c r="F768" s="106" t="s">
        <v>762</v>
      </c>
      <c r="G768" s="106" t="s">
        <v>355</v>
      </c>
      <c r="H768" s="106" t="s">
        <v>464</v>
      </c>
      <c r="I768">
        <v>655</v>
      </c>
    </row>
    <row r="769" spans="1:10">
      <c r="A769" s="106" t="s">
        <v>712</v>
      </c>
      <c r="B769" s="106" t="s">
        <v>348</v>
      </c>
      <c r="C769" s="106" t="s">
        <v>353</v>
      </c>
      <c r="D769" s="106" t="s">
        <v>354</v>
      </c>
      <c r="E769">
        <v>7800</v>
      </c>
      <c r="F769" s="106" t="s">
        <v>763</v>
      </c>
      <c r="G769" s="106" t="s">
        <v>355</v>
      </c>
      <c r="H769" s="106" t="s">
        <v>373</v>
      </c>
      <c r="I769">
        <v>30</v>
      </c>
    </row>
    <row r="770" spans="1:10">
      <c r="A770" s="106" t="s">
        <v>712</v>
      </c>
      <c r="B770" s="106" t="s">
        <v>348</v>
      </c>
      <c r="C770" s="106" t="s">
        <v>349</v>
      </c>
      <c r="D770" s="106" t="s">
        <v>350</v>
      </c>
      <c r="E770">
        <v>8152</v>
      </c>
      <c r="F770" s="106" t="s">
        <v>764</v>
      </c>
      <c r="G770" s="106" t="s">
        <v>359</v>
      </c>
      <c r="H770" s="106" t="s">
        <v>357</v>
      </c>
      <c r="I770">
        <v>38</v>
      </c>
    </row>
    <row r="771" spans="1:10">
      <c r="A771" s="106" t="s">
        <v>712</v>
      </c>
      <c r="B771" s="106" t="s">
        <v>348</v>
      </c>
      <c r="C771" s="106" t="s">
        <v>360</v>
      </c>
      <c r="D771" s="106" t="s">
        <v>350</v>
      </c>
      <c r="E771">
        <v>8928</v>
      </c>
      <c r="F771" s="106" t="s">
        <v>832</v>
      </c>
      <c r="G771" s="106" t="s">
        <v>351</v>
      </c>
      <c r="H771" s="106" t="s">
        <v>377</v>
      </c>
      <c r="I771">
        <v>204</v>
      </c>
    </row>
    <row r="772" spans="1:10">
      <c r="A772" s="106" t="s">
        <v>712</v>
      </c>
      <c r="B772" s="106" t="s">
        <v>348</v>
      </c>
      <c r="C772" s="106" t="s">
        <v>358</v>
      </c>
      <c r="D772" s="106" t="s">
        <v>350</v>
      </c>
      <c r="E772">
        <v>9672</v>
      </c>
      <c r="F772" s="106" t="s">
        <v>765</v>
      </c>
      <c r="G772" s="106" t="s">
        <v>351</v>
      </c>
      <c r="H772" s="106" t="s">
        <v>356</v>
      </c>
      <c r="I772">
        <v>998</v>
      </c>
    </row>
    <row r="773" spans="1:10">
      <c r="A773" s="106" t="s">
        <v>712</v>
      </c>
      <c r="B773" s="106" t="s">
        <v>348</v>
      </c>
      <c r="C773" s="106" t="s">
        <v>358</v>
      </c>
      <c r="D773" s="106" t="s">
        <v>350</v>
      </c>
      <c r="E773">
        <v>9755</v>
      </c>
      <c r="F773" s="106" t="s">
        <v>2490</v>
      </c>
      <c r="G773" s="106" t="s">
        <v>351</v>
      </c>
      <c r="H773" s="106" t="s">
        <v>356</v>
      </c>
      <c r="I773">
        <v>416</v>
      </c>
    </row>
    <row r="774" spans="1:10">
      <c r="A774" s="106" t="s">
        <v>966</v>
      </c>
      <c r="B774" s="106" t="s">
        <v>348</v>
      </c>
      <c r="C774" s="106" t="s">
        <v>349</v>
      </c>
      <c r="D774" s="106" t="s">
        <v>350</v>
      </c>
      <c r="E774">
        <v>2910</v>
      </c>
      <c r="F774" s="106" t="s">
        <v>369</v>
      </c>
      <c r="G774" s="106" t="s">
        <v>351</v>
      </c>
      <c r="H774" s="106" t="s">
        <v>352</v>
      </c>
      <c r="I774">
        <v>414</v>
      </c>
    </row>
    <row r="775" spans="1:10">
      <c r="A775" s="106" t="s">
        <v>966</v>
      </c>
      <c r="B775" s="106" t="s">
        <v>348</v>
      </c>
      <c r="C775" s="106" t="s">
        <v>349</v>
      </c>
      <c r="D775" s="106" t="s">
        <v>350</v>
      </c>
      <c r="E775">
        <v>3770</v>
      </c>
      <c r="F775" s="106" t="s">
        <v>370</v>
      </c>
      <c r="G775" s="106" t="s">
        <v>351</v>
      </c>
      <c r="H775" s="106" t="s">
        <v>362</v>
      </c>
      <c r="I775">
        <v>57</v>
      </c>
    </row>
    <row r="776" spans="1:10">
      <c r="A776" s="106" t="s">
        <v>966</v>
      </c>
      <c r="B776" s="106" t="s">
        <v>348</v>
      </c>
      <c r="C776" s="106" t="s">
        <v>353</v>
      </c>
      <c r="D776" s="106" t="s">
        <v>350</v>
      </c>
      <c r="E776">
        <v>4996</v>
      </c>
      <c r="F776" s="106" t="s">
        <v>405</v>
      </c>
      <c r="G776" s="106" t="s">
        <v>351</v>
      </c>
      <c r="H776" s="106" t="s">
        <v>364</v>
      </c>
      <c r="I776" s="106" t="s">
        <v>382</v>
      </c>
      <c r="J776" s="106" t="s">
        <v>2491</v>
      </c>
    </row>
    <row r="777" spans="1:10">
      <c r="A777" s="106" t="s">
        <v>966</v>
      </c>
      <c r="B777" s="106" t="s">
        <v>348</v>
      </c>
      <c r="C777" s="106" t="s">
        <v>360</v>
      </c>
      <c r="D777" s="106" t="s">
        <v>350</v>
      </c>
      <c r="E777">
        <v>6040</v>
      </c>
      <c r="F777" s="106" t="s">
        <v>380</v>
      </c>
      <c r="G777" s="106" t="s">
        <v>363</v>
      </c>
      <c r="H777" s="106" t="s">
        <v>356</v>
      </c>
      <c r="I777">
        <v>135</v>
      </c>
    </row>
    <row r="778" spans="1:10">
      <c r="A778" s="106" t="s">
        <v>966</v>
      </c>
      <c r="B778" s="106" t="s">
        <v>348</v>
      </c>
      <c r="C778" s="106" t="s">
        <v>358</v>
      </c>
      <c r="D778" s="106" t="s">
        <v>350</v>
      </c>
      <c r="E778">
        <v>6696</v>
      </c>
      <c r="F778" s="106" t="s">
        <v>391</v>
      </c>
      <c r="G778" s="106" t="s">
        <v>363</v>
      </c>
      <c r="H778" s="106" t="s">
        <v>376</v>
      </c>
      <c r="I778">
        <v>46</v>
      </c>
    </row>
    <row r="779" spans="1:10">
      <c r="A779" s="106" t="s">
        <v>966</v>
      </c>
      <c r="B779" s="106" t="s">
        <v>348</v>
      </c>
      <c r="C779" s="106" t="s">
        <v>358</v>
      </c>
      <c r="D779" s="106" t="s">
        <v>350</v>
      </c>
      <c r="E779">
        <v>6757</v>
      </c>
      <c r="F779" s="106" t="s">
        <v>779</v>
      </c>
      <c r="G779" s="106" t="s">
        <v>355</v>
      </c>
      <c r="H779" s="106" t="s">
        <v>376</v>
      </c>
      <c r="I779">
        <v>96</v>
      </c>
    </row>
    <row r="780" spans="1:10">
      <c r="A780" s="106" t="s">
        <v>966</v>
      </c>
      <c r="B780" s="106" t="s">
        <v>348</v>
      </c>
      <c r="C780" s="106" t="s">
        <v>360</v>
      </c>
      <c r="D780" s="106" t="s">
        <v>354</v>
      </c>
      <c r="E780">
        <v>7682</v>
      </c>
      <c r="F780" s="106" t="s">
        <v>407</v>
      </c>
      <c r="G780" s="106" t="s">
        <v>355</v>
      </c>
      <c r="H780" s="106" t="s">
        <v>361</v>
      </c>
      <c r="I780">
        <v>26</v>
      </c>
    </row>
    <row r="781" spans="1:10">
      <c r="A781" s="106" t="s">
        <v>766</v>
      </c>
      <c r="B781" s="106" t="s">
        <v>348</v>
      </c>
      <c r="C781" s="106" t="s">
        <v>358</v>
      </c>
      <c r="D781" s="106" t="s">
        <v>354</v>
      </c>
      <c r="E781">
        <v>2163</v>
      </c>
      <c r="F781" s="106" t="s">
        <v>383</v>
      </c>
      <c r="G781" s="106" t="s">
        <v>351</v>
      </c>
      <c r="H781" s="106" t="s">
        <v>356</v>
      </c>
      <c r="I781">
        <v>84</v>
      </c>
    </row>
    <row r="782" spans="1:10">
      <c r="A782" s="106" t="s">
        <v>766</v>
      </c>
      <c r="B782" s="106" t="s">
        <v>348</v>
      </c>
      <c r="C782" s="106" t="s">
        <v>358</v>
      </c>
      <c r="D782" s="106" t="s">
        <v>354</v>
      </c>
      <c r="E782">
        <v>3282</v>
      </c>
      <c r="F782" s="106" t="s">
        <v>767</v>
      </c>
      <c r="G782" s="106" t="s">
        <v>388</v>
      </c>
      <c r="H782" s="106" t="s">
        <v>389</v>
      </c>
      <c r="I782" s="106" t="s">
        <v>374</v>
      </c>
      <c r="J782" s="106" t="s">
        <v>2492</v>
      </c>
    </row>
    <row r="783" spans="1:10">
      <c r="A783" s="106" t="s">
        <v>766</v>
      </c>
      <c r="B783" s="106" t="s">
        <v>348</v>
      </c>
      <c r="C783" s="106" t="s">
        <v>358</v>
      </c>
      <c r="D783" s="106" t="s">
        <v>354</v>
      </c>
      <c r="E783">
        <v>3463</v>
      </c>
      <c r="F783" s="106" t="s">
        <v>768</v>
      </c>
      <c r="G783" s="106" t="s">
        <v>388</v>
      </c>
      <c r="H783" s="106" t="s">
        <v>389</v>
      </c>
      <c r="I783">
        <v>335</v>
      </c>
    </row>
    <row r="784" spans="1:10">
      <c r="A784" s="106" t="s">
        <v>766</v>
      </c>
      <c r="B784" s="106" t="s">
        <v>348</v>
      </c>
      <c r="C784" s="106" t="s">
        <v>360</v>
      </c>
      <c r="D784" s="106" t="s">
        <v>354</v>
      </c>
      <c r="E784">
        <v>3497</v>
      </c>
      <c r="F784" s="106" t="s">
        <v>402</v>
      </c>
      <c r="G784" s="106" t="s">
        <v>363</v>
      </c>
      <c r="H784" s="106" t="s">
        <v>377</v>
      </c>
      <c r="I784">
        <v>36</v>
      </c>
    </row>
    <row r="785" spans="1:10">
      <c r="A785" s="106" t="s">
        <v>766</v>
      </c>
      <c r="B785" s="106" t="s">
        <v>348</v>
      </c>
      <c r="C785" s="106" t="s">
        <v>358</v>
      </c>
      <c r="D785" s="106" t="s">
        <v>354</v>
      </c>
      <c r="E785">
        <v>4380</v>
      </c>
      <c r="F785" s="106" t="s">
        <v>397</v>
      </c>
      <c r="G785" s="106" t="s">
        <v>363</v>
      </c>
      <c r="H785" s="106" t="s">
        <v>362</v>
      </c>
      <c r="I785">
        <v>40</v>
      </c>
    </row>
    <row r="786" spans="1:10">
      <c r="A786" s="106" t="s">
        <v>766</v>
      </c>
      <c r="B786" s="106" t="s">
        <v>348</v>
      </c>
      <c r="C786" s="106" t="s">
        <v>360</v>
      </c>
      <c r="D786" s="106" t="s">
        <v>350</v>
      </c>
      <c r="E786">
        <v>4422</v>
      </c>
      <c r="F786" s="106" t="s">
        <v>395</v>
      </c>
      <c r="G786" s="106" t="s">
        <v>363</v>
      </c>
      <c r="H786" s="106" t="s">
        <v>362</v>
      </c>
      <c r="I786">
        <v>52</v>
      </c>
    </row>
    <row r="787" spans="1:10">
      <c r="A787" s="106" t="s">
        <v>766</v>
      </c>
      <c r="B787" s="106" t="s">
        <v>348</v>
      </c>
      <c r="C787" s="106" t="s">
        <v>353</v>
      </c>
      <c r="D787" s="106" t="s">
        <v>354</v>
      </c>
      <c r="E787">
        <v>4441</v>
      </c>
      <c r="F787" s="106" t="s">
        <v>390</v>
      </c>
      <c r="G787" s="106" t="s">
        <v>363</v>
      </c>
      <c r="H787" s="106" t="s">
        <v>362</v>
      </c>
      <c r="I787">
        <v>243</v>
      </c>
    </row>
    <row r="788" spans="1:10">
      <c r="A788" s="106" t="s">
        <v>766</v>
      </c>
      <c r="B788" s="106" t="s">
        <v>348</v>
      </c>
      <c r="C788" s="106" t="s">
        <v>349</v>
      </c>
      <c r="D788" s="106" t="s">
        <v>350</v>
      </c>
      <c r="E788">
        <v>6065</v>
      </c>
      <c r="F788" s="106" t="s">
        <v>386</v>
      </c>
      <c r="G788" s="106" t="s">
        <v>351</v>
      </c>
      <c r="H788" s="106" t="s">
        <v>356</v>
      </c>
      <c r="I788">
        <v>86</v>
      </c>
    </row>
    <row r="789" spans="1:10">
      <c r="A789" s="106" t="s">
        <v>766</v>
      </c>
      <c r="B789" s="106" t="s">
        <v>348</v>
      </c>
      <c r="C789" s="106" t="s">
        <v>349</v>
      </c>
      <c r="D789" s="106" t="s">
        <v>350</v>
      </c>
      <c r="E789">
        <v>6905</v>
      </c>
      <c r="F789" s="106" t="s">
        <v>780</v>
      </c>
      <c r="G789" s="106" t="s">
        <v>351</v>
      </c>
      <c r="H789" s="106" t="s">
        <v>376</v>
      </c>
      <c r="I789">
        <v>449</v>
      </c>
    </row>
    <row r="790" spans="1:10">
      <c r="A790" s="106" t="s">
        <v>766</v>
      </c>
      <c r="B790" s="106" t="s">
        <v>348</v>
      </c>
      <c r="C790" s="106" t="s">
        <v>358</v>
      </c>
      <c r="D790" s="106" t="s">
        <v>354</v>
      </c>
      <c r="E790">
        <v>7064</v>
      </c>
      <c r="F790" s="106" t="s">
        <v>394</v>
      </c>
      <c r="G790" s="106" t="s">
        <v>363</v>
      </c>
      <c r="H790" s="106" t="s">
        <v>356</v>
      </c>
      <c r="I790">
        <v>29</v>
      </c>
    </row>
    <row r="791" spans="1:10">
      <c r="A791" s="106" t="s">
        <v>766</v>
      </c>
      <c r="B791" s="106" t="s">
        <v>348</v>
      </c>
      <c r="C791" s="106" t="s">
        <v>358</v>
      </c>
      <c r="D791" s="106" t="s">
        <v>350</v>
      </c>
      <c r="E791">
        <v>7073</v>
      </c>
      <c r="F791" s="106" t="s">
        <v>406</v>
      </c>
      <c r="G791" s="106" t="s">
        <v>363</v>
      </c>
      <c r="H791" s="106" t="s">
        <v>356</v>
      </c>
      <c r="I791">
        <v>70</v>
      </c>
    </row>
    <row r="792" spans="1:10">
      <c r="A792" s="106" t="s">
        <v>769</v>
      </c>
      <c r="B792" s="106" t="s">
        <v>348</v>
      </c>
      <c r="C792" s="106" t="s">
        <v>358</v>
      </c>
      <c r="D792" s="106" t="s">
        <v>354</v>
      </c>
      <c r="E792">
        <v>3281</v>
      </c>
      <c r="F792" s="106" t="s">
        <v>770</v>
      </c>
      <c r="G792" s="106" t="s">
        <v>388</v>
      </c>
      <c r="H792" s="106" t="s">
        <v>389</v>
      </c>
      <c r="I792" s="106" t="s">
        <v>368</v>
      </c>
      <c r="J792" s="106" t="s">
        <v>2045</v>
      </c>
    </row>
    <row r="793" spans="1:10">
      <c r="A793" s="106" t="s">
        <v>769</v>
      </c>
      <c r="B793" s="106" t="s">
        <v>348</v>
      </c>
      <c r="C793" s="106" t="s">
        <v>358</v>
      </c>
      <c r="D793" s="106" t="s">
        <v>354</v>
      </c>
      <c r="E793">
        <v>3466</v>
      </c>
      <c r="F793" s="106" t="s">
        <v>771</v>
      </c>
      <c r="G793" s="106" t="s">
        <v>388</v>
      </c>
      <c r="H793" s="106" t="s">
        <v>389</v>
      </c>
      <c r="I793" s="106" t="s">
        <v>374</v>
      </c>
      <c r="J793" s="106" t="s">
        <v>2493</v>
      </c>
    </row>
    <row r="794" spans="1:10">
      <c r="A794" s="106" t="s">
        <v>769</v>
      </c>
      <c r="B794" s="106" t="s">
        <v>348</v>
      </c>
      <c r="C794" s="106" t="s">
        <v>358</v>
      </c>
      <c r="D794" s="106" t="s">
        <v>354</v>
      </c>
      <c r="E794">
        <v>7077</v>
      </c>
      <c r="F794" s="106" t="s">
        <v>2494</v>
      </c>
      <c r="G794" s="106" t="s">
        <v>363</v>
      </c>
      <c r="H794" s="106" t="s">
        <v>356</v>
      </c>
      <c r="I794">
        <v>82</v>
      </c>
    </row>
    <row r="795" spans="1:10">
      <c r="A795" s="106" t="s">
        <v>772</v>
      </c>
      <c r="B795" s="106" t="s">
        <v>348</v>
      </c>
      <c r="C795" s="106" t="s">
        <v>360</v>
      </c>
      <c r="D795" s="106" t="s">
        <v>354</v>
      </c>
      <c r="E795">
        <v>8155</v>
      </c>
      <c r="F795" s="106" t="s">
        <v>776</v>
      </c>
      <c r="G795" s="106" t="s">
        <v>351</v>
      </c>
      <c r="H795" s="106" t="s">
        <v>366</v>
      </c>
      <c r="I795">
        <v>766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G1091"/>
  <sheetViews>
    <sheetView tabSelected="1" workbookViewId="0">
      <selection activeCell="M33" sqref="M33"/>
    </sheetView>
  </sheetViews>
  <sheetFormatPr defaultRowHeight="14.25"/>
  <sheetData>
    <row r="1" spans="1:7">
      <c r="A1" s="106" t="s">
        <v>1069</v>
      </c>
      <c r="B1" s="106" t="s">
        <v>1070</v>
      </c>
      <c r="C1" s="190">
        <v>43817</v>
      </c>
      <c r="D1" s="190">
        <v>43816</v>
      </c>
      <c r="E1" s="190">
        <v>43815</v>
      </c>
      <c r="F1" s="190">
        <v>43812</v>
      </c>
      <c r="G1" s="190">
        <v>43811</v>
      </c>
    </row>
    <row r="2" spans="1:7">
      <c r="A2" s="106">
        <v>1301</v>
      </c>
      <c r="B2" s="106" t="s">
        <v>1071</v>
      </c>
      <c r="C2" s="190">
        <v>0</v>
      </c>
      <c r="D2" s="190">
        <v>0</v>
      </c>
      <c r="E2" s="190">
        <v>0</v>
      </c>
      <c r="F2" s="190">
        <v>0</v>
      </c>
      <c r="G2" s="190">
        <v>0</v>
      </c>
    </row>
    <row r="3" spans="1:7">
      <c r="A3">
        <v>1379</v>
      </c>
      <c r="B3" s="106" t="s">
        <v>1072</v>
      </c>
      <c r="C3">
        <v>0.15</v>
      </c>
      <c r="D3">
        <v>0.05</v>
      </c>
      <c r="E3">
        <v>0.05</v>
      </c>
      <c r="F3">
        <v>0.05</v>
      </c>
      <c r="G3">
        <v>0.05</v>
      </c>
    </row>
    <row r="4" spans="1:7">
      <c r="A4">
        <v>1419</v>
      </c>
      <c r="B4" s="106" t="s">
        <v>1073</v>
      </c>
      <c r="C4">
        <v>0.15</v>
      </c>
      <c r="D4">
        <v>0.05</v>
      </c>
      <c r="E4">
        <v>0.05</v>
      </c>
      <c r="F4">
        <v>0.05</v>
      </c>
      <c r="G4">
        <v>0.05</v>
      </c>
    </row>
    <row r="5" spans="1:7">
      <c r="A5">
        <v>1420</v>
      </c>
      <c r="B5" s="106" t="s">
        <v>1074</v>
      </c>
      <c r="C5">
        <v>0.15</v>
      </c>
      <c r="D5">
        <v>0</v>
      </c>
      <c r="E5">
        <v>0.05</v>
      </c>
      <c r="F5">
        <v>0</v>
      </c>
      <c r="G5">
        <v>0.05</v>
      </c>
    </row>
    <row r="6" spans="1:7">
      <c r="A6">
        <v>1430</v>
      </c>
      <c r="B6" s="106" t="s">
        <v>1075</v>
      </c>
      <c r="C6">
        <v>0</v>
      </c>
      <c r="D6">
        <v>0.05</v>
      </c>
      <c r="E6">
        <v>0</v>
      </c>
      <c r="F6">
        <v>0.05</v>
      </c>
      <c r="G6">
        <v>0.05</v>
      </c>
    </row>
    <row r="7" spans="1:7">
      <c r="A7">
        <v>1433</v>
      </c>
      <c r="B7" s="106" t="s">
        <v>1076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>
        <v>1514</v>
      </c>
      <c r="B8" s="106" t="s">
        <v>2495</v>
      </c>
      <c r="C8">
        <v>0</v>
      </c>
      <c r="D8" s="106" t="s">
        <v>233</v>
      </c>
      <c r="E8">
        <v>0</v>
      </c>
      <c r="F8">
        <v>0</v>
      </c>
      <c r="G8" s="106" t="s">
        <v>233</v>
      </c>
    </row>
    <row r="9" spans="1:7">
      <c r="A9">
        <v>1605</v>
      </c>
      <c r="B9" s="106" t="s">
        <v>1077</v>
      </c>
      <c r="C9">
        <v>0.15</v>
      </c>
      <c r="D9">
        <v>0.05</v>
      </c>
      <c r="E9">
        <v>0.05</v>
      </c>
      <c r="F9">
        <v>0</v>
      </c>
      <c r="G9">
        <v>0</v>
      </c>
    </row>
    <row r="10" spans="1:7">
      <c r="A10">
        <v>1662</v>
      </c>
      <c r="B10" s="106" t="s">
        <v>1078</v>
      </c>
      <c r="C10">
        <v>0.3</v>
      </c>
      <c r="D10">
        <v>0.1</v>
      </c>
      <c r="E10">
        <v>0.05</v>
      </c>
      <c r="F10">
        <v>0.05</v>
      </c>
      <c r="G10">
        <v>0.05</v>
      </c>
    </row>
    <row r="11" spans="1:7">
      <c r="A11">
        <v>1663</v>
      </c>
      <c r="B11" s="106" t="s">
        <v>1079</v>
      </c>
      <c r="C11">
        <v>0.15</v>
      </c>
      <c r="D11">
        <v>0.05</v>
      </c>
      <c r="E11">
        <v>0.05</v>
      </c>
      <c r="F11">
        <v>0.05</v>
      </c>
      <c r="G11">
        <v>0.05</v>
      </c>
    </row>
    <row r="12" spans="1:7">
      <c r="A12">
        <v>1719</v>
      </c>
      <c r="B12" s="106" t="s">
        <v>1038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>
        <v>1722</v>
      </c>
      <c r="B13" s="106" t="s">
        <v>1080</v>
      </c>
      <c r="C13">
        <v>0.15</v>
      </c>
      <c r="D13">
        <v>0.05</v>
      </c>
      <c r="E13">
        <v>0.05</v>
      </c>
      <c r="F13">
        <v>0.05</v>
      </c>
      <c r="G13">
        <v>0.05</v>
      </c>
    </row>
    <row r="14" spans="1:7">
      <c r="A14">
        <v>1762</v>
      </c>
      <c r="B14" s="106" t="s">
        <v>2496</v>
      </c>
      <c r="C14">
        <v>0</v>
      </c>
      <c r="D14">
        <v>0.05</v>
      </c>
      <c r="E14" s="106" t="s">
        <v>233</v>
      </c>
      <c r="F14">
        <v>0.05</v>
      </c>
      <c r="G14" s="106" t="s">
        <v>233</v>
      </c>
    </row>
    <row r="15" spans="1:7">
      <c r="A15">
        <v>1766</v>
      </c>
      <c r="B15" s="106" t="s">
        <v>1081</v>
      </c>
      <c r="C15">
        <v>0.45</v>
      </c>
      <c r="D15">
        <v>0.15</v>
      </c>
      <c r="E15">
        <v>0.15</v>
      </c>
      <c r="F15">
        <v>0.15</v>
      </c>
      <c r="G15">
        <v>0.15</v>
      </c>
    </row>
    <row r="16" spans="1:7">
      <c r="A16">
        <v>1768</v>
      </c>
      <c r="B16" s="106" t="s">
        <v>1082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>
      <c r="A17">
        <v>1780</v>
      </c>
      <c r="B17" s="106" t="s">
        <v>1083</v>
      </c>
      <c r="C17">
        <v>0.15</v>
      </c>
      <c r="D17" s="106">
        <v>0.05</v>
      </c>
      <c r="E17" s="106">
        <v>0.05</v>
      </c>
      <c r="F17" s="106">
        <v>0.05</v>
      </c>
      <c r="G17" s="106">
        <v>0.05</v>
      </c>
    </row>
    <row r="18" spans="1:7">
      <c r="A18">
        <v>1801</v>
      </c>
      <c r="B18" s="106" t="s">
        <v>1084</v>
      </c>
      <c r="C18">
        <v>0</v>
      </c>
      <c r="D18">
        <v>0</v>
      </c>
      <c r="E18" s="106" t="s">
        <v>233</v>
      </c>
      <c r="F18" s="106" t="s">
        <v>233</v>
      </c>
      <c r="G18">
        <v>0</v>
      </c>
    </row>
    <row r="19" spans="1:7">
      <c r="A19">
        <v>1803</v>
      </c>
      <c r="B19" s="106" t="s">
        <v>1039</v>
      </c>
      <c r="C19">
        <v>0</v>
      </c>
      <c r="D19" s="106" t="s">
        <v>233</v>
      </c>
      <c r="E19" s="106" t="s">
        <v>233</v>
      </c>
      <c r="F19">
        <v>0</v>
      </c>
      <c r="G19">
        <v>0</v>
      </c>
    </row>
    <row r="20" spans="1:7">
      <c r="A20">
        <v>1808</v>
      </c>
      <c r="B20" s="106" t="s">
        <v>1085</v>
      </c>
      <c r="C20">
        <v>0.15</v>
      </c>
      <c r="D20">
        <v>0.05</v>
      </c>
      <c r="E20">
        <v>0.05</v>
      </c>
      <c r="F20">
        <v>0.05</v>
      </c>
      <c r="G20">
        <v>0.05</v>
      </c>
    </row>
    <row r="21" spans="1:7">
      <c r="A21">
        <v>1810</v>
      </c>
      <c r="B21" s="106" t="s">
        <v>1086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>
      <c r="A22">
        <v>1813</v>
      </c>
      <c r="B22" s="106" t="s">
        <v>2497</v>
      </c>
      <c r="C22">
        <v>0</v>
      </c>
      <c r="D22" s="106" t="s">
        <v>233</v>
      </c>
      <c r="E22" s="106" t="s">
        <v>233</v>
      </c>
      <c r="F22" s="106" t="s">
        <v>233</v>
      </c>
      <c r="G22" s="106" t="s">
        <v>233</v>
      </c>
    </row>
    <row r="23" spans="1:7">
      <c r="A23">
        <v>1826</v>
      </c>
      <c r="B23" s="106" t="s">
        <v>1087</v>
      </c>
      <c r="C23">
        <v>0</v>
      </c>
      <c r="D23">
        <v>0</v>
      </c>
      <c r="E23">
        <v>0</v>
      </c>
      <c r="F23" s="106">
        <v>0</v>
      </c>
      <c r="G23" s="106">
        <v>0</v>
      </c>
    </row>
    <row r="24" spans="1:7">
      <c r="A24">
        <v>1848</v>
      </c>
      <c r="B24" s="106" t="s">
        <v>1088</v>
      </c>
      <c r="C24">
        <v>0</v>
      </c>
      <c r="D24">
        <v>0</v>
      </c>
      <c r="E24">
        <v>0</v>
      </c>
      <c r="F24" s="106">
        <v>0</v>
      </c>
      <c r="G24" s="106">
        <v>0</v>
      </c>
    </row>
    <row r="25" spans="1:7">
      <c r="A25">
        <v>1860</v>
      </c>
      <c r="B25" s="106" t="s">
        <v>111</v>
      </c>
      <c r="C25">
        <v>0</v>
      </c>
      <c r="D25">
        <v>0.05</v>
      </c>
      <c r="E25" s="106">
        <v>0</v>
      </c>
      <c r="F25" s="106">
        <v>0</v>
      </c>
      <c r="G25" s="106">
        <v>0</v>
      </c>
    </row>
    <row r="26" spans="1:7">
      <c r="A26">
        <v>1870</v>
      </c>
      <c r="B26" s="106" t="s">
        <v>1089</v>
      </c>
      <c r="C26">
        <v>0</v>
      </c>
      <c r="D26" s="106" t="s">
        <v>233</v>
      </c>
      <c r="E26" s="106" t="s">
        <v>233</v>
      </c>
      <c r="F26" s="106">
        <v>0</v>
      </c>
      <c r="G26" s="106">
        <v>0</v>
      </c>
    </row>
    <row r="27" spans="1:7">
      <c r="A27">
        <v>1878</v>
      </c>
      <c r="B27" s="106" t="s">
        <v>1090</v>
      </c>
      <c r="C27">
        <v>0.75</v>
      </c>
      <c r="D27" s="106">
        <v>0.25</v>
      </c>
      <c r="E27">
        <v>0.25</v>
      </c>
      <c r="F27" s="106">
        <v>0.25</v>
      </c>
      <c r="G27">
        <v>0.25</v>
      </c>
    </row>
    <row r="28" spans="1:7">
      <c r="A28">
        <v>1881</v>
      </c>
      <c r="B28" s="106" t="s">
        <v>1091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>
      <c r="A29">
        <v>1883</v>
      </c>
      <c r="B29" s="106" t="s">
        <v>1092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>
      <c r="A30">
        <v>1884</v>
      </c>
      <c r="B30" s="106" t="s">
        <v>1093</v>
      </c>
      <c r="C30">
        <v>0.45</v>
      </c>
      <c r="D30">
        <v>0.15</v>
      </c>
      <c r="E30">
        <v>0.15</v>
      </c>
      <c r="F30">
        <v>0.15</v>
      </c>
      <c r="G30">
        <v>0.15</v>
      </c>
    </row>
    <row r="31" spans="1:7">
      <c r="A31">
        <v>1911</v>
      </c>
      <c r="B31" s="106" t="s">
        <v>103</v>
      </c>
      <c r="C31">
        <v>0</v>
      </c>
      <c r="D31">
        <v>0</v>
      </c>
      <c r="E31" s="106" t="s">
        <v>233</v>
      </c>
      <c r="F31">
        <v>0</v>
      </c>
      <c r="G31" s="106" t="s">
        <v>233</v>
      </c>
    </row>
    <row r="32" spans="1:7">
      <c r="A32">
        <v>1914</v>
      </c>
      <c r="B32" s="106" t="s">
        <v>2498</v>
      </c>
      <c r="C32">
        <v>0</v>
      </c>
      <c r="D32">
        <v>0</v>
      </c>
      <c r="E32">
        <v>0</v>
      </c>
      <c r="F32">
        <v>0</v>
      </c>
      <c r="G32" s="106" t="s">
        <v>233</v>
      </c>
    </row>
    <row r="33" spans="1:7">
      <c r="A33">
        <v>1921</v>
      </c>
      <c r="B33" s="106" t="s">
        <v>1094</v>
      </c>
      <c r="C33">
        <v>0</v>
      </c>
      <c r="D33" s="106">
        <v>0</v>
      </c>
      <c r="E33" s="106" t="s">
        <v>233</v>
      </c>
      <c r="F33" s="106" t="s">
        <v>233</v>
      </c>
      <c r="G33">
        <v>0</v>
      </c>
    </row>
    <row r="34" spans="1:7">
      <c r="A34">
        <v>1928</v>
      </c>
      <c r="B34" s="106" t="s">
        <v>300</v>
      </c>
      <c r="C34">
        <v>0.15</v>
      </c>
      <c r="D34" s="106">
        <v>0.05</v>
      </c>
      <c r="E34">
        <v>0.05</v>
      </c>
      <c r="F34" s="106">
        <v>0.05</v>
      </c>
      <c r="G34">
        <v>0.05</v>
      </c>
    </row>
    <row r="35" spans="1:7">
      <c r="A35">
        <v>1930</v>
      </c>
      <c r="B35" s="106" t="s">
        <v>1095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>
      <c r="A36">
        <v>1934</v>
      </c>
      <c r="B36" s="106" t="s">
        <v>2499</v>
      </c>
      <c r="C36">
        <v>0</v>
      </c>
      <c r="D36" s="106" t="s">
        <v>233</v>
      </c>
      <c r="E36">
        <v>0</v>
      </c>
      <c r="F36" s="106">
        <v>0</v>
      </c>
      <c r="G36" s="106" t="s">
        <v>233</v>
      </c>
    </row>
    <row r="37" spans="1:7">
      <c r="A37">
        <v>1939</v>
      </c>
      <c r="B37" s="106" t="s">
        <v>1096</v>
      </c>
      <c r="C37">
        <v>0</v>
      </c>
      <c r="D37" s="106">
        <v>0</v>
      </c>
      <c r="E37" s="106">
        <v>0</v>
      </c>
      <c r="F37" s="106" t="s">
        <v>233</v>
      </c>
      <c r="G37">
        <v>0.05</v>
      </c>
    </row>
    <row r="38" spans="1:7">
      <c r="A38">
        <v>1949</v>
      </c>
      <c r="B38" s="106" t="s">
        <v>1097</v>
      </c>
      <c r="C38">
        <v>0</v>
      </c>
      <c r="D38" s="106">
        <v>0</v>
      </c>
      <c r="E38" s="106">
        <v>0</v>
      </c>
      <c r="F38">
        <v>0</v>
      </c>
      <c r="G38">
        <v>0</v>
      </c>
    </row>
    <row r="39" spans="1:7">
      <c r="A39">
        <v>1952</v>
      </c>
      <c r="B39" s="106" t="s">
        <v>1098</v>
      </c>
      <c r="C39">
        <v>0.15</v>
      </c>
      <c r="D39">
        <v>0.05</v>
      </c>
      <c r="E39" s="106">
        <v>0.05</v>
      </c>
      <c r="F39">
        <v>0.05</v>
      </c>
      <c r="G39">
        <v>0.05</v>
      </c>
    </row>
    <row r="40" spans="1:7">
      <c r="A40">
        <v>1954</v>
      </c>
      <c r="B40" s="106" t="s">
        <v>1099</v>
      </c>
      <c r="C40">
        <v>0.3</v>
      </c>
      <c r="D40">
        <v>0.1</v>
      </c>
      <c r="E40">
        <v>0.1</v>
      </c>
      <c r="F40">
        <v>0.1</v>
      </c>
      <c r="G40">
        <v>0.1</v>
      </c>
    </row>
    <row r="41" spans="1:7">
      <c r="A41">
        <v>1961</v>
      </c>
      <c r="B41" s="106" t="s">
        <v>1100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>
      <c r="A42">
        <v>1963</v>
      </c>
      <c r="B42" s="106" t="s">
        <v>1101</v>
      </c>
      <c r="C42">
        <v>0.15</v>
      </c>
      <c r="D42">
        <v>0</v>
      </c>
      <c r="E42" s="106" t="s">
        <v>233</v>
      </c>
      <c r="F42">
        <v>0.05</v>
      </c>
      <c r="G42">
        <v>0</v>
      </c>
    </row>
    <row r="43" spans="1:7">
      <c r="A43">
        <v>1964</v>
      </c>
      <c r="B43" s="106" t="s">
        <v>1102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>
      <c r="A44">
        <v>1969</v>
      </c>
      <c r="B44" s="106" t="s">
        <v>1103</v>
      </c>
      <c r="C44">
        <v>0</v>
      </c>
      <c r="D44">
        <v>0.05</v>
      </c>
      <c r="E44">
        <v>0</v>
      </c>
      <c r="F44">
        <v>0.05</v>
      </c>
      <c r="G44">
        <v>0.05</v>
      </c>
    </row>
    <row r="45" spans="1:7">
      <c r="A45">
        <v>1976</v>
      </c>
      <c r="B45" s="106" t="s">
        <v>1104</v>
      </c>
      <c r="C45">
        <v>0.15</v>
      </c>
      <c r="D45">
        <v>0.05</v>
      </c>
      <c r="E45">
        <v>0.05</v>
      </c>
      <c r="F45">
        <v>0.05</v>
      </c>
      <c r="G45">
        <v>0.05</v>
      </c>
    </row>
    <row r="46" spans="1:7">
      <c r="A46">
        <v>1979</v>
      </c>
      <c r="B46" s="106" t="s">
        <v>1105</v>
      </c>
      <c r="C46">
        <v>0.3</v>
      </c>
      <c r="D46">
        <v>0</v>
      </c>
      <c r="E46" s="106" t="s">
        <v>233</v>
      </c>
      <c r="F46" s="106" t="s">
        <v>233</v>
      </c>
      <c r="G46">
        <v>0</v>
      </c>
    </row>
    <row r="47" spans="1:7">
      <c r="A47">
        <v>1980</v>
      </c>
      <c r="B47" s="106" t="s">
        <v>1106</v>
      </c>
      <c r="C47">
        <v>0.15</v>
      </c>
      <c r="D47">
        <v>0.05</v>
      </c>
      <c r="E47" s="106">
        <v>0.05</v>
      </c>
      <c r="F47">
        <v>0.05</v>
      </c>
      <c r="G47">
        <v>0.05</v>
      </c>
    </row>
    <row r="48" spans="1:7">
      <c r="A48">
        <v>1983</v>
      </c>
      <c r="B48" s="106" t="s">
        <v>1107</v>
      </c>
      <c r="C48">
        <v>0.15</v>
      </c>
      <c r="D48" s="106" t="s">
        <v>233</v>
      </c>
      <c r="E48" s="106">
        <v>0.05</v>
      </c>
      <c r="F48" s="106" t="s">
        <v>233</v>
      </c>
      <c r="G48">
        <v>0.05</v>
      </c>
    </row>
    <row r="49" spans="1:7">
      <c r="A49">
        <v>2004</v>
      </c>
      <c r="B49" s="106" t="s">
        <v>1108</v>
      </c>
      <c r="C49">
        <v>0.15</v>
      </c>
      <c r="D49">
        <v>0.05</v>
      </c>
      <c r="E49">
        <v>0.05</v>
      </c>
      <c r="F49">
        <v>0.05</v>
      </c>
      <c r="G49">
        <v>0.05</v>
      </c>
    </row>
    <row r="50" spans="1:7">
      <c r="A50">
        <v>2130</v>
      </c>
      <c r="B50" s="106" t="s">
        <v>1109</v>
      </c>
      <c r="C50">
        <v>0</v>
      </c>
      <c r="D50" s="106">
        <v>0</v>
      </c>
      <c r="E50" s="106">
        <v>0</v>
      </c>
      <c r="F50" s="106">
        <v>0</v>
      </c>
      <c r="G50" s="106">
        <v>0.05</v>
      </c>
    </row>
    <row r="51" spans="1:7">
      <c r="A51">
        <v>2139</v>
      </c>
      <c r="B51" s="106" t="s">
        <v>1110</v>
      </c>
      <c r="C51">
        <v>0</v>
      </c>
      <c r="D51" s="106">
        <v>0</v>
      </c>
      <c r="E51" s="106">
        <v>0</v>
      </c>
      <c r="F51" s="106">
        <v>0</v>
      </c>
      <c r="G51" s="106">
        <v>0</v>
      </c>
    </row>
    <row r="52" spans="1:7">
      <c r="A52">
        <v>2146</v>
      </c>
      <c r="B52" s="106" t="s">
        <v>1111</v>
      </c>
      <c r="C52">
        <v>0</v>
      </c>
      <c r="D52" s="106">
        <v>0</v>
      </c>
      <c r="E52">
        <v>0.05</v>
      </c>
      <c r="F52" s="106">
        <v>0.05</v>
      </c>
      <c r="G52" s="106">
        <v>0.05</v>
      </c>
    </row>
    <row r="53" spans="1:7">
      <c r="A53">
        <v>2169</v>
      </c>
      <c r="B53" s="106" t="s">
        <v>2500</v>
      </c>
      <c r="C53">
        <v>0</v>
      </c>
      <c r="D53" s="106" t="s">
        <v>233</v>
      </c>
      <c r="E53" s="106" t="s">
        <v>233</v>
      </c>
      <c r="F53" s="106" t="s">
        <v>233</v>
      </c>
      <c r="G53" s="106" t="s">
        <v>233</v>
      </c>
    </row>
    <row r="54" spans="1:7">
      <c r="A54">
        <v>2170</v>
      </c>
      <c r="B54" s="106" t="s">
        <v>1112</v>
      </c>
      <c r="C54">
        <v>0</v>
      </c>
      <c r="D54">
        <v>0.05</v>
      </c>
      <c r="E54">
        <v>0.05</v>
      </c>
      <c r="F54">
        <v>0.05</v>
      </c>
      <c r="G54">
        <v>0.05</v>
      </c>
    </row>
    <row r="55" spans="1:7">
      <c r="A55">
        <v>2175</v>
      </c>
      <c r="B55" s="106" t="s">
        <v>324</v>
      </c>
      <c r="C55">
        <v>0.15</v>
      </c>
      <c r="D55">
        <v>0.1</v>
      </c>
      <c r="E55">
        <v>0.1</v>
      </c>
      <c r="F55">
        <v>0.05</v>
      </c>
      <c r="G55">
        <v>0.05</v>
      </c>
    </row>
    <row r="56" spans="1:7">
      <c r="A56">
        <v>2181</v>
      </c>
      <c r="B56" s="106" t="s">
        <v>1113</v>
      </c>
      <c r="C56">
        <v>0</v>
      </c>
      <c r="D56" s="106" t="s">
        <v>233</v>
      </c>
      <c r="E56" s="106" t="s">
        <v>233</v>
      </c>
      <c r="F56" s="106" t="s">
        <v>233</v>
      </c>
      <c r="G56">
        <v>0</v>
      </c>
    </row>
    <row r="57" spans="1:7">
      <c r="A57">
        <v>2193</v>
      </c>
      <c r="B57" s="106" t="s">
        <v>1114</v>
      </c>
      <c r="C57">
        <v>0</v>
      </c>
      <c r="D57">
        <v>0.05</v>
      </c>
      <c r="E57">
        <v>0</v>
      </c>
      <c r="F57" s="106">
        <v>0</v>
      </c>
      <c r="G57">
        <v>0.05</v>
      </c>
    </row>
    <row r="58" spans="1:7">
      <c r="A58">
        <v>2198</v>
      </c>
      <c r="B58" s="106" t="s">
        <v>1115</v>
      </c>
      <c r="C58">
        <v>0</v>
      </c>
      <c r="D58">
        <v>0</v>
      </c>
      <c r="E58">
        <v>0</v>
      </c>
      <c r="F58" s="106">
        <v>0.05</v>
      </c>
      <c r="G58">
        <v>0.05</v>
      </c>
    </row>
    <row r="59" spans="1:7">
      <c r="A59">
        <v>2201</v>
      </c>
      <c r="B59" s="106" t="s">
        <v>1116</v>
      </c>
      <c r="C59">
        <v>0.3</v>
      </c>
      <c r="D59">
        <v>0.1</v>
      </c>
      <c r="E59">
        <v>0.1</v>
      </c>
      <c r="F59">
        <v>0.1</v>
      </c>
      <c r="G59">
        <v>0.1</v>
      </c>
    </row>
    <row r="60" spans="1:7">
      <c r="A60">
        <v>2204</v>
      </c>
      <c r="B60" s="106" t="s">
        <v>1117</v>
      </c>
      <c r="C60">
        <v>0.3</v>
      </c>
      <c r="D60">
        <v>0.1</v>
      </c>
      <c r="E60">
        <v>0.1</v>
      </c>
      <c r="F60" s="106">
        <v>0.1</v>
      </c>
      <c r="G60" s="106">
        <v>0.1</v>
      </c>
    </row>
    <row r="61" spans="1:7">
      <c r="A61">
        <v>2206</v>
      </c>
      <c r="B61" s="106" t="s">
        <v>1118</v>
      </c>
      <c r="C61">
        <v>0</v>
      </c>
      <c r="D61">
        <v>0</v>
      </c>
      <c r="E61">
        <v>0</v>
      </c>
      <c r="F61" s="106">
        <v>0</v>
      </c>
      <c r="G61" s="106">
        <v>0</v>
      </c>
    </row>
    <row r="62" spans="1:7">
      <c r="A62">
        <v>2211</v>
      </c>
      <c r="B62" s="106" t="s">
        <v>1119</v>
      </c>
      <c r="C62">
        <v>0.15</v>
      </c>
      <c r="D62" s="106" t="s">
        <v>233</v>
      </c>
      <c r="E62">
        <v>0.05</v>
      </c>
      <c r="F62" s="106" t="s">
        <v>233</v>
      </c>
      <c r="G62">
        <v>0.05</v>
      </c>
    </row>
    <row r="63" spans="1:7">
      <c r="A63">
        <v>2212</v>
      </c>
      <c r="B63" s="106" t="s">
        <v>1120</v>
      </c>
      <c r="C63">
        <v>0.15</v>
      </c>
      <c r="D63">
        <v>0.05</v>
      </c>
      <c r="E63">
        <v>0.05</v>
      </c>
      <c r="F63">
        <v>0.05</v>
      </c>
      <c r="G63">
        <v>0.05</v>
      </c>
    </row>
    <row r="64" spans="1:7">
      <c r="A64">
        <v>2215</v>
      </c>
      <c r="B64" s="106" t="s">
        <v>1121</v>
      </c>
      <c r="C64">
        <v>0.15</v>
      </c>
      <c r="D64">
        <v>0.05</v>
      </c>
      <c r="E64">
        <v>0.05</v>
      </c>
      <c r="F64">
        <v>0.05</v>
      </c>
      <c r="G64">
        <v>0.05</v>
      </c>
    </row>
    <row r="65" spans="1:7">
      <c r="A65">
        <v>2217</v>
      </c>
      <c r="B65" s="106" t="s">
        <v>1122</v>
      </c>
      <c r="C65">
        <v>0.3</v>
      </c>
      <c r="D65">
        <v>0.1</v>
      </c>
      <c r="E65">
        <v>0.1</v>
      </c>
      <c r="F65">
        <v>0.1</v>
      </c>
      <c r="G65">
        <v>0.1</v>
      </c>
    </row>
    <row r="66" spans="1:7">
      <c r="A66">
        <v>2220</v>
      </c>
      <c r="B66" s="106" t="s">
        <v>1123</v>
      </c>
      <c r="C66">
        <v>0</v>
      </c>
      <c r="D66" s="106">
        <v>0</v>
      </c>
      <c r="E66">
        <v>0</v>
      </c>
      <c r="F66" s="106">
        <v>0</v>
      </c>
      <c r="G66">
        <v>0</v>
      </c>
    </row>
    <row r="67" spans="1:7">
      <c r="A67">
        <v>2222</v>
      </c>
      <c r="B67" s="106" t="s">
        <v>1124</v>
      </c>
      <c r="C67">
        <v>0.45</v>
      </c>
      <c r="D67" s="106">
        <v>0.15</v>
      </c>
      <c r="E67">
        <v>0.15</v>
      </c>
      <c r="F67" s="106">
        <v>0.15</v>
      </c>
      <c r="G67">
        <v>0.15</v>
      </c>
    </row>
    <row r="68" spans="1:7">
      <c r="A68">
        <v>2229</v>
      </c>
      <c r="B68" s="106" t="s">
        <v>1125</v>
      </c>
      <c r="C68">
        <v>0.3</v>
      </c>
      <c r="D68">
        <v>0.1</v>
      </c>
      <c r="E68">
        <v>0.1</v>
      </c>
      <c r="F68">
        <v>0.1</v>
      </c>
      <c r="G68">
        <v>0.1</v>
      </c>
    </row>
    <row r="69" spans="1:7">
      <c r="A69">
        <v>2266</v>
      </c>
      <c r="B69" s="106" t="s">
        <v>1126</v>
      </c>
      <c r="C69">
        <v>0.15</v>
      </c>
      <c r="D69">
        <v>0.05</v>
      </c>
      <c r="E69">
        <v>0.05</v>
      </c>
      <c r="F69">
        <v>0.05</v>
      </c>
      <c r="G69">
        <v>0.05</v>
      </c>
    </row>
    <row r="70" spans="1:7">
      <c r="A70">
        <v>2282</v>
      </c>
      <c r="B70" s="106" t="s">
        <v>1127</v>
      </c>
      <c r="C70">
        <v>0.3</v>
      </c>
      <c r="D70">
        <v>0.1</v>
      </c>
      <c r="E70">
        <v>0.1</v>
      </c>
      <c r="F70" s="106">
        <v>0.1</v>
      </c>
      <c r="G70" s="106">
        <v>0.1</v>
      </c>
    </row>
    <row r="71" spans="1:7">
      <c r="A71">
        <v>2288</v>
      </c>
      <c r="B71" s="106" t="s">
        <v>1128</v>
      </c>
      <c r="C71">
        <v>0.15</v>
      </c>
      <c r="D71" s="106" t="s">
        <v>233</v>
      </c>
      <c r="E71">
        <v>0.05</v>
      </c>
      <c r="F71" s="106" t="s">
        <v>233</v>
      </c>
      <c r="G71" s="106">
        <v>0.05</v>
      </c>
    </row>
    <row r="72" spans="1:7">
      <c r="A72">
        <v>2294</v>
      </c>
      <c r="B72" s="106" t="s">
        <v>1129</v>
      </c>
      <c r="C72">
        <v>0.15</v>
      </c>
      <c r="D72">
        <v>0.05</v>
      </c>
      <c r="E72">
        <v>0.05</v>
      </c>
      <c r="F72" s="106" t="s">
        <v>233</v>
      </c>
      <c r="G72">
        <v>0.05</v>
      </c>
    </row>
    <row r="73" spans="1:7">
      <c r="A73">
        <v>2296</v>
      </c>
      <c r="B73" s="106" t="s">
        <v>1130</v>
      </c>
      <c r="C73">
        <v>0</v>
      </c>
      <c r="D73">
        <v>0</v>
      </c>
      <c r="E73" s="106" t="s">
        <v>233</v>
      </c>
      <c r="F73" s="106" t="s">
        <v>233</v>
      </c>
      <c r="G73">
        <v>0</v>
      </c>
    </row>
    <row r="74" spans="1:7">
      <c r="A74">
        <v>2301</v>
      </c>
      <c r="B74" s="106" t="s">
        <v>1131</v>
      </c>
      <c r="C74">
        <v>0.15</v>
      </c>
      <c r="D74" s="106">
        <v>0.05</v>
      </c>
      <c r="E74" s="106">
        <v>0.05</v>
      </c>
      <c r="F74" s="106">
        <v>0.05</v>
      </c>
      <c r="G74">
        <v>0.05</v>
      </c>
    </row>
    <row r="75" spans="1:7">
      <c r="A75">
        <v>2305</v>
      </c>
      <c r="B75" s="106" t="s">
        <v>1132</v>
      </c>
      <c r="C75">
        <v>0.15</v>
      </c>
      <c r="D75" s="106">
        <v>0.05</v>
      </c>
      <c r="E75" s="106">
        <v>0.05</v>
      </c>
      <c r="F75" s="106">
        <v>0.05</v>
      </c>
      <c r="G75">
        <v>0.05</v>
      </c>
    </row>
    <row r="76" spans="1:7">
      <c r="A76">
        <v>2317</v>
      </c>
      <c r="B76" s="106" t="s">
        <v>2501</v>
      </c>
      <c r="C76">
        <v>0</v>
      </c>
      <c r="D76" s="106" t="s">
        <v>233</v>
      </c>
      <c r="E76" s="106" t="s">
        <v>233</v>
      </c>
      <c r="F76" s="106" t="s">
        <v>233</v>
      </c>
      <c r="G76" s="106" t="s">
        <v>233</v>
      </c>
    </row>
    <row r="77" spans="1:7">
      <c r="A77">
        <v>2327</v>
      </c>
      <c r="B77" s="106" t="s">
        <v>1133</v>
      </c>
      <c r="C77">
        <v>0</v>
      </c>
      <c r="D77" s="106" t="s">
        <v>233</v>
      </c>
      <c r="E77">
        <v>0</v>
      </c>
      <c r="F77" s="106" t="s">
        <v>233</v>
      </c>
      <c r="G77">
        <v>0</v>
      </c>
    </row>
    <row r="78" spans="1:7">
      <c r="A78">
        <v>2337</v>
      </c>
      <c r="B78" s="106" t="s">
        <v>1134</v>
      </c>
      <c r="C78">
        <v>0.15</v>
      </c>
      <c r="D78" s="106">
        <v>0.05</v>
      </c>
      <c r="E78">
        <v>0.05</v>
      </c>
      <c r="F78" s="106">
        <v>0.05</v>
      </c>
      <c r="G78">
        <v>0.05</v>
      </c>
    </row>
    <row r="79" spans="1:7">
      <c r="A79">
        <v>2371</v>
      </c>
      <c r="B79" s="106" t="s">
        <v>1135</v>
      </c>
      <c r="C79">
        <v>0.15</v>
      </c>
      <c r="D79">
        <v>0.05</v>
      </c>
      <c r="E79">
        <v>0</v>
      </c>
      <c r="F79">
        <v>0</v>
      </c>
      <c r="G79">
        <v>0.05</v>
      </c>
    </row>
    <row r="80" spans="1:7">
      <c r="A80">
        <v>2379</v>
      </c>
      <c r="B80" s="106" t="s">
        <v>848</v>
      </c>
      <c r="C80">
        <v>0.3</v>
      </c>
      <c r="D80">
        <v>0.1</v>
      </c>
      <c r="E80">
        <v>0.1</v>
      </c>
      <c r="F80">
        <v>0.1</v>
      </c>
      <c r="G80">
        <v>0.1</v>
      </c>
    </row>
    <row r="81" spans="1:7">
      <c r="A81">
        <v>2384</v>
      </c>
      <c r="B81" s="106" t="s">
        <v>1136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>
      <c r="A82">
        <v>2389</v>
      </c>
      <c r="B82" s="106" t="s">
        <v>2502</v>
      </c>
      <c r="C82">
        <v>0</v>
      </c>
      <c r="D82" s="106">
        <v>0</v>
      </c>
      <c r="E82" s="106">
        <v>0</v>
      </c>
      <c r="F82" s="106">
        <v>0</v>
      </c>
      <c r="G82" s="106" t="s">
        <v>233</v>
      </c>
    </row>
    <row r="83" spans="1:7">
      <c r="A83">
        <v>2398</v>
      </c>
      <c r="B83" s="106" t="s">
        <v>2503</v>
      </c>
      <c r="C83">
        <v>0</v>
      </c>
      <c r="D83" s="106">
        <v>0</v>
      </c>
      <c r="E83" s="106">
        <v>0</v>
      </c>
      <c r="F83" s="106">
        <v>0</v>
      </c>
      <c r="G83" s="106" t="s">
        <v>233</v>
      </c>
    </row>
    <row r="84" spans="1:7">
      <c r="A84">
        <v>2410</v>
      </c>
      <c r="B84" s="106" t="s">
        <v>1137</v>
      </c>
      <c r="C84">
        <v>0</v>
      </c>
      <c r="D84" s="106" t="s">
        <v>233</v>
      </c>
      <c r="E84">
        <v>0</v>
      </c>
      <c r="F84" s="106" t="s">
        <v>233</v>
      </c>
      <c r="G84">
        <v>0</v>
      </c>
    </row>
    <row r="85" spans="1:7">
      <c r="A85">
        <v>2413</v>
      </c>
      <c r="B85" s="106" t="s">
        <v>1002</v>
      </c>
      <c r="C85">
        <v>0.3</v>
      </c>
      <c r="D85">
        <v>0.1</v>
      </c>
      <c r="E85">
        <v>0.05</v>
      </c>
      <c r="F85">
        <v>0.05</v>
      </c>
      <c r="G85">
        <v>0.05</v>
      </c>
    </row>
    <row r="86" spans="1:7">
      <c r="A86">
        <v>2427</v>
      </c>
      <c r="B86" s="106" t="s">
        <v>2504</v>
      </c>
      <c r="C86">
        <v>0</v>
      </c>
      <c r="D86">
        <v>0</v>
      </c>
      <c r="E86">
        <v>0</v>
      </c>
      <c r="F86">
        <v>0</v>
      </c>
      <c r="G86" s="106" t="s">
        <v>233</v>
      </c>
    </row>
    <row r="87" spans="1:7">
      <c r="A87">
        <v>2428</v>
      </c>
      <c r="B87" s="106" t="s">
        <v>1138</v>
      </c>
      <c r="C87">
        <v>0</v>
      </c>
      <c r="D87" s="106">
        <v>0.05</v>
      </c>
      <c r="E87">
        <v>0.05</v>
      </c>
      <c r="F87" s="106">
        <v>0.05</v>
      </c>
      <c r="G87">
        <v>0.05</v>
      </c>
    </row>
    <row r="88" spans="1:7">
      <c r="A88">
        <v>2433</v>
      </c>
      <c r="B88" s="106" t="s">
        <v>1139</v>
      </c>
      <c r="C88">
        <v>0.15</v>
      </c>
      <c r="D88" s="106">
        <v>0.05</v>
      </c>
      <c r="E88">
        <v>0.05</v>
      </c>
      <c r="F88" s="106">
        <v>0.05</v>
      </c>
      <c r="G88">
        <v>0.05</v>
      </c>
    </row>
    <row r="89" spans="1:7">
      <c r="A89">
        <v>2440</v>
      </c>
      <c r="B89" s="106" t="s">
        <v>1140</v>
      </c>
      <c r="C89">
        <v>0.15</v>
      </c>
      <c r="D89" s="106">
        <v>0.05</v>
      </c>
      <c r="E89">
        <v>0.05</v>
      </c>
      <c r="F89" s="106">
        <v>0.05</v>
      </c>
      <c r="G89">
        <v>0.05</v>
      </c>
    </row>
    <row r="90" spans="1:7">
      <c r="A90">
        <v>2462</v>
      </c>
      <c r="B90" s="106" t="s">
        <v>1141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>
      <c r="A91">
        <v>2471</v>
      </c>
      <c r="B91" s="106" t="s">
        <v>1142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>
      <c r="A92">
        <v>2487</v>
      </c>
      <c r="B92" s="106" t="s">
        <v>1143</v>
      </c>
      <c r="C92">
        <v>0.15</v>
      </c>
      <c r="D92">
        <v>0.05</v>
      </c>
      <c r="E92">
        <v>0.05</v>
      </c>
      <c r="F92">
        <v>0.05</v>
      </c>
      <c r="G92">
        <v>0.05</v>
      </c>
    </row>
    <row r="93" spans="1:7">
      <c r="A93">
        <v>2492</v>
      </c>
      <c r="B93" s="106" t="s">
        <v>1144</v>
      </c>
      <c r="C93">
        <v>0.15</v>
      </c>
      <c r="D93">
        <v>0.05</v>
      </c>
      <c r="E93">
        <v>0.05</v>
      </c>
      <c r="F93">
        <v>0.05</v>
      </c>
      <c r="G93">
        <v>0.05</v>
      </c>
    </row>
    <row r="94" spans="1:7">
      <c r="A94">
        <v>2501</v>
      </c>
      <c r="B94" s="106" t="s">
        <v>1145</v>
      </c>
      <c r="C94">
        <v>0.15</v>
      </c>
      <c r="D94">
        <v>0.05</v>
      </c>
      <c r="E94">
        <v>0.05</v>
      </c>
      <c r="F94">
        <v>0.05</v>
      </c>
      <c r="G94">
        <v>0.05</v>
      </c>
    </row>
    <row r="95" spans="1:7">
      <c r="A95">
        <v>2502</v>
      </c>
      <c r="B95" s="106" t="s">
        <v>1146</v>
      </c>
      <c r="C95">
        <v>0</v>
      </c>
      <c r="D95" s="106" t="s">
        <v>233</v>
      </c>
      <c r="E95" s="106" t="s">
        <v>233</v>
      </c>
      <c r="F95">
        <v>0</v>
      </c>
      <c r="G95">
        <v>0</v>
      </c>
    </row>
    <row r="96" spans="1:7">
      <c r="A96">
        <v>2590</v>
      </c>
      <c r="B96" s="106" t="s">
        <v>1147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>
      <c r="A97">
        <v>2593</v>
      </c>
      <c r="B97" s="106" t="s">
        <v>1148</v>
      </c>
      <c r="C97">
        <v>0.3</v>
      </c>
      <c r="D97">
        <v>0.1</v>
      </c>
      <c r="E97">
        <v>0.1</v>
      </c>
      <c r="F97">
        <v>0.1</v>
      </c>
      <c r="G97">
        <v>0.1</v>
      </c>
    </row>
    <row r="98" spans="1:7">
      <c r="A98">
        <v>2594</v>
      </c>
      <c r="B98" s="106" t="s">
        <v>1149</v>
      </c>
      <c r="C98">
        <v>0.15</v>
      </c>
      <c r="D98">
        <v>0.05</v>
      </c>
      <c r="E98">
        <v>0.05</v>
      </c>
      <c r="F98">
        <v>0.05</v>
      </c>
      <c r="G98">
        <v>0.05</v>
      </c>
    </row>
    <row r="99" spans="1:7">
      <c r="A99">
        <v>2599</v>
      </c>
      <c r="B99" s="106" t="s">
        <v>1150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>
      <c r="A100">
        <v>2602</v>
      </c>
      <c r="B100" s="106" t="s">
        <v>1051</v>
      </c>
      <c r="C100">
        <v>0.3</v>
      </c>
      <c r="D100">
        <v>0.1</v>
      </c>
      <c r="E100">
        <v>0.1</v>
      </c>
      <c r="F100">
        <v>0.1</v>
      </c>
      <c r="G100">
        <v>0.1</v>
      </c>
    </row>
    <row r="101" spans="1:7">
      <c r="A101">
        <v>2651</v>
      </c>
      <c r="B101" s="106" t="s">
        <v>1151</v>
      </c>
      <c r="C101">
        <v>0.45</v>
      </c>
      <c r="D101">
        <v>0.15</v>
      </c>
      <c r="E101">
        <v>0.1</v>
      </c>
      <c r="F101">
        <v>0.1</v>
      </c>
      <c r="G101">
        <v>0.1</v>
      </c>
    </row>
    <row r="102" spans="1:7">
      <c r="A102">
        <v>2659</v>
      </c>
      <c r="B102" s="106" t="s">
        <v>1152</v>
      </c>
      <c r="C102">
        <v>0.3</v>
      </c>
      <c r="D102">
        <v>0.1</v>
      </c>
      <c r="E102">
        <v>0.1</v>
      </c>
      <c r="F102">
        <v>0.1</v>
      </c>
      <c r="G102">
        <v>0.1</v>
      </c>
    </row>
    <row r="103" spans="1:7">
      <c r="A103">
        <v>2664</v>
      </c>
      <c r="B103" s="106" t="s">
        <v>1153</v>
      </c>
      <c r="C103">
        <v>0</v>
      </c>
      <c r="D103">
        <v>0.05</v>
      </c>
      <c r="E103">
        <v>0</v>
      </c>
      <c r="F103">
        <v>0</v>
      </c>
      <c r="G103">
        <v>0</v>
      </c>
    </row>
    <row r="104" spans="1:7">
      <c r="A104">
        <v>2670</v>
      </c>
      <c r="B104" s="106" t="s">
        <v>1154</v>
      </c>
      <c r="C104">
        <v>0.45</v>
      </c>
      <c r="D104">
        <v>0.15</v>
      </c>
      <c r="E104">
        <v>0.15</v>
      </c>
      <c r="F104">
        <v>0.15</v>
      </c>
      <c r="G104">
        <v>0.15</v>
      </c>
    </row>
    <row r="105" spans="1:7">
      <c r="A105">
        <v>2676</v>
      </c>
      <c r="B105" s="106" t="s">
        <v>2505</v>
      </c>
      <c r="C105">
        <v>0</v>
      </c>
      <c r="D105">
        <v>0</v>
      </c>
      <c r="E105" s="106" t="s">
        <v>233</v>
      </c>
      <c r="F105" s="106" t="s">
        <v>233</v>
      </c>
      <c r="G105" s="106" t="s">
        <v>233</v>
      </c>
    </row>
    <row r="106" spans="1:7">
      <c r="A106">
        <v>2678</v>
      </c>
      <c r="B106" s="106" t="s">
        <v>1155</v>
      </c>
      <c r="C106">
        <v>0.15</v>
      </c>
      <c r="D106">
        <v>0.05</v>
      </c>
      <c r="E106">
        <v>0.05</v>
      </c>
      <c r="F106">
        <v>0.05</v>
      </c>
      <c r="G106">
        <v>0.05</v>
      </c>
    </row>
    <row r="107" spans="1:7">
      <c r="A107">
        <v>2685</v>
      </c>
      <c r="B107" s="106" t="s">
        <v>1156</v>
      </c>
      <c r="C107">
        <v>0</v>
      </c>
      <c r="D107">
        <v>0.05</v>
      </c>
      <c r="E107">
        <v>0</v>
      </c>
      <c r="F107">
        <v>0.05</v>
      </c>
      <c r="G107">
        <v>0</v>
      </c>
    </row>
    <row r="108" spans="1:7">
      <c r="A108">
        <v>2687</v>
      </c>
      <c r="B108" s="106" t="s">
        <v>1157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>
      <c r="A109">
        <v>2692</v>
      </c>
      <c r="B109" s="106" t="s">
        <v>1158</v>
      </c>
      <c r="C109">
        <v>0.3</v>
      </c>
      <c r="D109">
        <v>0.1</v>
      </c>
      <c r="E109">
        <v>0.1</v>
      </c>
      <c r="F109">
        <v>0.1</v>
      </c>
      <c r="G109">
        <v>0.1</v>
      </c>
    </row>
    <row r="110" spans="1:7">
      <c r="A110">
        <v>2695</v>
      </c>
      <c r="B110" s="106" t="s">
        <v>1159</v>
      </c>
      <c r="C110">
        <v>0</v>
      </c>
      <c r="D110" s="106">
        <v>0</v>
      </c>
      <c r="E110" s="106">
        <v>0</v>
      </c>
      <c r="F110">
        <v>0</v>
      </c>
      <c r="G110">
        <v>0.1</v>
      </c>
    </row>
    <row r="111" spans="1:7">
      <c r="A111">
        <v>2698</v>
      </c>
      <c r="B111" s="106" t="s">
        <v>1160</v>
      </c>
      <c r="C111">
        <v>0.15</v>
      </c>
      <c r="D111" s="106">
        <v>0.05</v>
      </c>
      <c r="E111" s="106">
        <v>0.05</v>
      </c>
      <c r="F111">
        <v>0.05</v>
      </c>
      <c r="G111">
        <v>0.05</v>
      </c>
    </row>
    <row r="112" spans="1:7">
      <c r="A112">
        <v>2729</v>
      </c>
      <c r="B112" s="106" t="s">
        <v>1161</v>
      </c>
      <c r="C112">
        <v>0.15</v>
      </c>
      <c r="D112">
        <v>0.05</v>
      </c>
      <c r="E112">
        <v>0.05</v>
      </c>
      <c r="F112">
        <v>0.05</v>
      </c>
      <c r="G112">
        <v>0.05</v>
      </c>
    </row>
    <row r="113" spans="1:7">
      <c r="A113">
        <v>2730</v>
      </c>
      <c r="B113" s="106" t="s">
        <v>1162</v>
      </c>
      <c r="C113">
        <v>0.15</v>
      </c>
      <c r="D113">
        <v>0.05</v>
      </c>
      <c r="E113">
        <v>0.05</v>
      </c>
      <c r="F113">
        <v>0.05</v>
      </c>
      <c r="G113">
        <v>0.05</v>
      </c>
    </row>
    <row r="114" spans="1:7">
      <c r="A114">
        <v>2733</v>
      </c>
      <c r="B114" s="106" t="s">
        <v>2506</v>
      </c>
      <c r="C114">
        <v>0.3</v>
      </c>
      <c r="D114">
        <v>0</v>
      </c>
      <c r="E114">
        <v>0</v>
      </c>
      <c r="F114">
        <v>0</v>
      </c>
      <c r="G114" s="106" t="s">
        <v>233</v>
      </c>
    </row>
    <row r="115" spans="1:7">
      <c r="A115">
        <v>2749</v>
      </c>
      <c r="B115" s="106" t="s">
        <v>2507</v>
      </c>
      <c r="C115">
        <v>0</v>
      </c>
      <c r="D115">
        <v>0</v>
      </c>
      <c r="E115">
        <v>0</v>
      </c>
      <c r="F115" s="106" t="s">
        <v>233</v>
      </c>
      <c r="G115" s="106" t="s">
        <v>233</v>
      </c>
    </row>
    <row r="116" spans="1:7">
      <c r="A116">
        <v>2784</v>
      </c>
      <c r="B116" s="106" t="s">
        <v>2508</v>
      </c>
      <c r="C116">
        <v>0</v>
      </c>
      <c r="D116">
        <v>0</v>
      </c>
      <c r="E116" s="106" t="s">
        <v>233</v>
      </c>
      <c r="F116" s="106" t="s">
        <v>233</v>
      </c>
      <c r="G116" s="106" t="s">
        <v>233</v>
      </c>
    </row>
    <row r="117" spans="1:7">
      <c r="A117">
        <v>2792</v>
      </c>
      <c r="B117" s="106" t="s">
        <v>1163</v>
      </c>
      <c r="C117">
        <v>0.15</v>
      </c>
      <c r="D117">
        <v>0.05</v>
      </c>
      <c r="E117">
        <v>0.05</v>
      </c>
      <c r="F117">
        <v>0.05</v>
      </c>
      <c r="G117">
        <v>0.05</v>
      </c>
    </row>
    <row r="118" spans="1:7">
      <c r="A118">
        <v>2801</v>
      </c>
      <c r="B118" s="106" t="s">
        <v>1164</v>
      </c>
      <c r="C118">
        <v>0.3</v>
      </c>
      <c r="D118">
        <v>0.1</v>
      </c>
      <c r="E118">
        <v>0.1</v>
      </c>
      <c r="F118">
        <v>0.1</v>
      </c>
      <c r="G118">
        <v>0.1</v>
      </c>
    </row>
    <row r="119" spans="1:7">
      <c r="A119">
        <v>2815</v>
      </c>
      <c r="B119" s="106" t="s">
        <v>1165</v>
      </c>
      <c r="C119">
        <v>0</v>
      </c>
      <c r="D119">
        <v>0</v>
      </c>
      <c r="E119" s="106" t="s">
        <v>233</v>
      </c>
      <c r="F119">
        <v>0</v>
      </c>
      <c r="G119">
        <v>0</v>
      </c>
    </row>
    <row r="120" spans="1:7">
      <c r="A120">
        <v>2819</v>
      </c>
      <c r="B120" s="106" t="s">
        <v>1166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>
      <c r="A121">
        <v>2874</v>
      </c>
      <c r="B121" s="106" t="s">
        <v>2509</v>
      </c>
      <c r="C121">
        <v>0</v>
      </c>
      <c r="D121">
        <v>0</v>
      </c>
      <c r="E121">
        <v>0.05</v>
      </c>
      <c r="F121">
        <v>0</v>
      </c>
      <c r="G121" s="106" t="s">
        <v>233</v>
      </c>
    </row>
    <row r="122" spans="1:7">
      <c r="A122">
        <v>2875</v>
      </c>
      <c r="B122" s="106" t="s">
        <v>1167</v>
      </c>
      <c r="C122">
        <v>0.3</v>
      </c>
      <c r="D122">
        <v>0.1</v>
      </c>
      <c r="E122">
        <v>0.1</v>
      </c>
      <c r="F122">
        <v>0.1</v>
      </c>
      <c r="G122">
        <v>0.1</v>
      </c>
    </row>
    <row r="123" spans="1:7">
      <c r="A123">
        <v>2882</v>
      </c>
      <c r="B123" s="106" t="s">
        <v>1168</v>
      </c>
      <c r="C123">
        <v>0.15</v>
      </c>
      <c r="D123">
        <v>0.05</v>
      </c>
      <c r="E123">
        <v>0.05</v>
      </c>
      <c r="F123">
        <v>0.05</v>
      </c>
      <c r="G123">
        <v>0.05</v>
      </c>
    </row>
    <row r="124" spans="1:7">
      <c r="A124">
        <v>2884</v>
      </c>
      <c r="B124" s="106" t="s">
        <v>1169</v>
      </c>
      <c r="C124">
        <v>0</v>
      </c>
      <c r="D124">
        <v>0</v>
      </c>
      <c r="E124">
        <v>0</v>
      </c>
      <c r="F124">
        <v>0.05</v>
      </c>
      <c r="G124">
        <v>0.05</v>
      </c>
    </row>
    <row r="125" spans="1:7">
      <c r="A125">
        <v>2897</v>
      </c>
      <c r="B125" s="106" t="s">
        <v>1170</v>
      </c>
      <c r="C125">
        <v>0.45</v>
      </c>
      <c r="D125">
        <v>0.15</v>
      </c>
      <c r="E125">
        <v>0.15</v>
      </c>
      <c r="F125">
        <v>0.15</v>
      </c>
      <c r="G125">
        <v>0.15</v>
      </c>
    </row>
    <row r="126" spans="1:7">
      <c r="A126">
        <v>2904</v>
      </c>
      <c r="B126" s="106" t="s">
        <v>1171</v>
      </c>
      <c r="C126">
        <v>0.15</v>
      </c>
      <c r="D126">
        <v>0.05</v>
      </c>
      <c r="E126">
        <v>0.05</v>
      </c>
      <c r="F126">
        <v>0.05</v>
      </c>
      <c r="G126">
        <v>0.05</v>
      </c>
    </row>
    <row r="127" spans="1:7">
      <c r="A127">
        <v>2908</v>
      </c>
      <c r="B127" s="106" t="s">
        <v>1172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>
      <c r="A128">
        <v>2910</v>
      </c>
      <c r="B128" s="106" t="s">
        <v>1173</v>
      </c>
      <c r="C128">
        <v>0.15</v>
      </c>
      <c r="D128">
        <v>0.05</v>
      </c>
      <c r="E128">
        <v>0.05</v>
      </c>
      <c r="F128">
        <v>0.05</v>
      </c>
      <c r="G128">
        <v>0.05</v>
      </c>
    </row>
    <row r="129" spans="1:7">
      <c r="A129">
        <v>2914</v>
      </c>
      <c r="B129" s="106" t="s">
        <v>96</v>
      </c>
      <c r="C129">
        <v>0</v>
      </c>
      <c r="D129" s="106" t="s">
        <v>233</v>
      </c>
      <c r="E129">
        <v>0</v>
      </c>
      <c r="F129" s="106" t="s">
        <v>233</v>
      </c>
      <c r="G129">
        <v>0</v>
      </c>
    </row>
    <row r="130" spans="1:7">
      <c r="A130">
        <v>2915</v>
      </c>
      <c r="B130" s="106" t="s">
        <v>1174</v>
      </c>
      <c r="C130">
        <v>0.15</v>
      </c>
      <c r="D130">
        <v>0.05</v>
      </c>
      <c r="E130">
        <v>0.05</v>
      </c>
      <c r="F130">
        <v>0.05</v>
      </c>
      <c r="G130">
        <v>0.05</v>
      </c>
    </row>
    <row r="131" spans="1:7">
      <c r="A131">
        <v>2922</v>
      </c>
      <c r="B131" s="106" t="s">
        <v>1175</v>
      </c>
      <c r="C131">
        <v>0.15</v>
      </c>
      <c r="D131" s="106">
        <v>0.05</v>
      </c>
      <c r="E131">
        <v>0.05</v>
      </c>
      <c r="F131" s="106">
        <v>0.05</v>
      </c>
      <c r="G131" s="106">
        <v>0.05</v>
      </c>
    </row>
    <row r="132" spans="1:7">
      <c r="A132">
        <v>2924</v>
      </c>
      <c r="B132" s="106" t="s">
        <v>1176</v>
      </c>
      <c r="C132">
        <v>0</v>
      </c>
      <c r="D132" s="106" t="s">
        <v>233</v>
      </c>
      <c r="E132">
        <v>0.05</v>
      </c>
      <c r="F132" s="106" t="s">
        <v>233</v>
      </c>
      <c r="G132" s="106">
        <v>0.05</v>
      </c>
    </row>
    <row r="133" spans="1:7">
      <c r="A133">
        <v>2930</v>
      </c>
      <c r="B133" s="106" t="s">
        <v>1177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>
      <c r="A134">
        <v>2931</v>
      </c>
      <c r="B134" s="106" t="s">
        <v>1178</v>
      </c>
      <c r="C134">
        <v>0.15</v>
      </c>
      <c r="D134">
        <v>0.05</v>
      </c>
      <c r="E134">
        <v>0.05</v>
      </c>
      <c r="F134">
        <v>0.05</v>
      </c>
      <c r="G134">
        <v>0.05</v>
      </c>
    </row>
    <row r="135" spans="1:7">
      <c r="A135">
        <v>2975</v>
      </c>
      <c r="B135" s="106" t="s">
        <v>1179</v>
      </c>
      <c r="C135">
        <v>0.15</v>
      </c>
      <c r="D135" s="106">
        <v>0.05</v>
      </c>
      <c r="E135">
        <v>0.05</v>
      </c>
      <c r="F135">
        <v>0.05</v>
      </c>
      <c r="G135" s="106">
        <v>0.05</v>
      </c>
    </row>
    <row r="136" spans="1:7">
      <c r="A136">
        <v>3001</v>
      </c>
      <c r="B136" s="106" t="s">
        <v>2510</v>
      </c>
      <c r="C136">
        <v>0</v>
      </c>
      <c r="D136" s="106">
        <v>0</v>
      </c>
      <c r="E136">
        <v>0</v>
      </c>
      <c r="F136" s="106" t="s">
        <v>233</v>
      </c>
      <c r="G136" s="106" t="s">
        <v>233</v>
      </c>
    </row>
    <row r="137" spans="1:7">
      <c r="A137">
        <v>3002</v>
      </c>
      <c r="B137" s="106" t="s">
        <v>1180</v>
      </c>
      <c r="C137">
        <v>0</v>
      </c>
      <c r="D137" s="106" t="s">
        <v>233</v>
      </c>
      <c r="E137">
        <v>0.1</v>
      </c>
      <c r="F137">
        <v>0</v>
      </c>
      <c r="G137">
        <v>0</v>
      </c>
    </row>
    <row r="138" spans="1:7">
      <c r="A138">
        <v>3003</v>
      </c>
      <c r="B138" s="106" t="s">
        <v>1049</v>
      </c>
      <c r="C138">
        <v>0.15</v>
      </c>
      <c r="D138">
        <v>0.05</v>
      </c>
      <c r="E138">
        <v>0.05</v>
      </c>
      <c r="F138">
        <v>0.05</v>
      </c>
      <c r="G138">
        <v>0.05</v>
      </c>
    </row>
    <row r="139" spans="1:7">
      <c r="A139">
        <v>3004</v>
      </c>
      <c r="B139" s="106" t="s">
        <v>1181</v>
      </c>
      <c r="C139">
        <v>0</v>
      </c>
      <c r="D139" s="106">
        <v>0</v>
      </c>
      <c r="E139">
        <v>0</v>
      </c>
      <c r="F139">
        <v>0</v>
      </c>
      <c r="G139" s="106">
        <v>0</v>
      </c>
    </row>
    <row r="140" spans="1:7">
      <c r="A140">
        <v>3046</v>
      </c>
      <c r="B140" s="106" t="s">
        <v>1182</v>
      </c>
      <c r="C140">
        <v>0.45</v>
      </c>
      <c r="D140" s="106">
        <v>0.15</v>
      </c>
      <c r="E140">
        <v>0.15</v>
      </c>
      <c r="F140">
        <v>0.15</v>
      </c>
      <c r="G140" s="106">
        <v>0.15</v>
      </c>
    </row>
    <row r="141" spans="1:7">
      <c r="A141">
        <v>3048</v>
      </c>
      <c r="B141" s="106" t="s">
        <v>1183</v>
      </c>
      <c r="C141">
        <v>0</v>
      </c>
      <c r="D141">
        <v>0</v>
      </c>
      <c r="E141">
        <v>0</v>
      </c>
      <c r="F141" s="106" t="s">
        <v>233</v>
      </c>
      <c r="G141">
        <v>0</v>
      </c>
    </row>
    <row r="142" spans="1:7">
      <c r="A142">
        <v>3067</v>
      </c>
      <c r="B142" s="106" t="s">
        <v>1184</v>
      </c>
      <c r="C142">
        <v>0.15</v>
      </c>
      <c r="D142">
        <v>0.05</v>
      </c>
      <c r="E142">
        <v>0.05</v>
      </c>
      <c r="F142">
        <v>0.05</v>
      </c>
      <c r="G142">
        <v>0.05</v>
      </c>
    </row>
    <row r="143" spans="1:7">
      <c r="A143">
        <v>3082</v>
      </c>
      <c r="B143" s="106" t="s">
        <v>1185</v>
      </c>
      <c r="C143">
        <v>0.15</v>
      </c>
      <c r="D143">
        <v>0</v>
      </c>
      <c r="E143" s="106">
        <v>0</v>
      </c>
      <c r="F143" s="106">
        <v>0</v>
      </c>
      <c r="G143" s="106">
        <v>0</v>
      </c>
    </row>
    <row r="144" spans="1:7">
      <c r="A144">
        <v>3086</v>
      </c>
      <c r="B144" s="106" t="s">
        <v>1186</v>
      </c>
      <c r="C144">
        <v>0.15</v>
      </c>
      <c r="D144">
        <v>0.05</v>
      </c>
      <c r="E144" s="106">
        <v>0.05</v>
      </c>
      <c r="F144" s="106">
        <v>0.05</v>
      </c>
      <c r="G144" s="106">
        <v>0.05</v>
      </c>
    </row>
    <row r="145" spans="1:7">
      <c r="A145">
        <v>3088</v>
      </c>
      <c r="B145" s="106" t="s">
        <v>1187</v>
      </c>
      <c r="C145">
        <v>0.3</v>
      </c>
      <c r="D145">
        <v>0.1</v>
      </c>
      <c r="E145">
        <v>0.1</v>
      </c>
      <c r="F145">
        <v>0.1</v>
      </c>
      <c r="G145">
        <v>0.1</v>
      </c>
    </row>
    <row r="146" spans="1:7">
      <c r="A146">
        <v>3092</v>
      </c>
      <c r="B146" s="106" t="s">
        <v>1188</v>
      </c>
      <c r="C146">
        <v>0.15</v>
      </c>
      <c r="D146">
        <v>0.05</v>
      </c>
      <c r="E146">
        <v>0.05</v>
      </c>
      <c r="F146">
        <v>0.05</v>
      </c>
      <c r="G146">
        <v>0.05</v>
      </c>
    </row>
    <row r="147" spans="1:7">
      <c r="A147">
        <v>3098</v>
      </c>
      <c r="B147" s="106" t="s">
        <v>2511</v>
      </c>
      <c r="C147">
        <v>0.45</v>
      </c>
      <c r="D147" s="106" t="s">
        <v>233</v>
      </c>
      <c r="E147" s="106" t="s">
        <v>233</v>
      </c>
      <c r="F147" s="106" t="s">
        <v>233</v>
      </c>
      <c r="G147" s="106" t="s">
        <v>233</v>
      </c>
    </row>
    <row r="148" spans="1:7">
      <c r="A148">
        <v>3099</v>
      </c>
      <c r="B148" s="106" t="s">
        <v>64</v>
      </c>
      <c r="C148">
        <v>0</v>
      </c>
      <c r="D148">
        <v>0.05</v>
      </c>
      <c r="E148">
        <v>0.05</v>
      </c>
      <c r="F148">
        <v>0.05</v>
      </c>
      <c r="G148">
        <v>0</v>
      </c>
    </row>
    <row r="149" spans="1:7">
      <c r="A149">
        <v>3101</v>
      </c>
      <c r="B149" s="106" t="s">
        <v>1046</v>
      </c>
      <c r="C149">
        <v>0</v>
      </c>
      <c r="D149">
        <v>0.05</v>
      </c>
      <c r="E149">
        <v>0.05</v>
      </c>
      <c r="F149">
        <v>0.05</v>
      </c>
      <c r="G149">
        <v>0.05</v>
      </c>
    </row>
    <row r="150" spans="1:7">
      <c r="A150">
        <v>3103</v>
      </c>
      <c r="B150" s="106" t="s">
        <v>1189</v>
      </c>
      <c r="C150">
        <v>0</v>
      </c>
      <c r="D150">
        <v>0</v>
      </c>
      <c r="E150">
        <v>0.05</v>
      </c>
      <c r="F150">
        <v>0</v>
      </c>
      <c r="G150">
        <v>0</v>
      </c>
    </row>
    <row r="151" spans="1:7">
      <c r="A151">
        <v>3104</v>
      </c>
      <c r="B151" s="106" t="s">
        <v>1190</v>
      </c>
      <c r="C151">
        <v>0.3</v>
      </c>
      <c r="D151">
        <v>0.1</v>
      </c>
      <c r="E151">
        <v>0.1</v>
      </c>
      <c r="F151">
        <v>0.1</v>
      </c>
      <c r="G151">
        <v>0.1</v>
      </c>
    </row>
    <row r="152" spans="1:7">
      <c r="A152">
        <v>3105</v>
      </c>
      <c r="B152" s="106" t="s">
        <v>90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>
      <c r="A153">
        <v>3106</v>
      </c>
      <c r="B153" s="106" t="s">
        <v>1191</v>
      </c>
      <c r="C153">
        <v>0.15</v>
      </c>
      <c r="D153">
        <v>0.05</v>
      </c>
      <c r="E153">
        <v>0.05</v>
      </c>
      <c r="F153">
        <v>0.05</v>
      </c>
      <c r="G153">
        <v>0.05</v>
      </c>
    </row>
    <row r="154" spans="1:7">
      <c r="A154">
        <v>3109</v>
      </c>
      <c r="B154" s="106" t="s">
        <v>2512</v>
      </c>
      <c r="C154">
        <v>0</v>
      </c>
      <c r="D154" s="106" t="s">
        <v>233</v>
      </c>
      <c r="E154">
        <v>0</v>
      </c>
      <c r="F154" s="106" t="s">
        <v>233</v>
      </c>
      <c r="G154" s="106" t="s">
        <v>233</v>
      </c>
    </row>
    <row r="155" spans="1:7">
      <c r="A155">
        <v>3110</v>
      </c>
      <c r="B155" s="106" t="s">
        <v>1030</v>
      </c>
      <c r="C155">
        <v>0.3</v>
      </c>
      <c r="D155">
        <v>0.1</v>
      </c>
      <c r="E155" s="106">
        <v>0.1</v>
      </c>
      <c r="F155" s="106">
        <v>0.1</v>
      </c>
      <c r="G155">
        <v>0.1</v>
      </c>
    </row>
    <row r="156" spans="1:7">
      <c r="A156">
        <v>3116</v>
      </c>
      <c r="B156" s="106" t="s">
        <v>124</v>
      </c>
      <c r="C156">
        <v>0.15</v>
      </c>
      <c r="D156">
        <v>0.05</v>
      </c>
      <c r="E156" s="106">
        <v>0.05</v>
      </c>
      <c r="F156" s="106">
        <v>0.05</v>
      </c>
      <c r="G156">
        <v>0.05</v>
      </c>
    </row>
    <row r="157" spans="1:7">
      <c r="A157">
        <v>3132</v>
      </c>
      <c r="B157" s="106" t="s">
        <v>1192</v>
      </c>
      <c r="C157">
        <v>0.15</v>
      </c>
      <c r="D157">
        <v>0.05</v>
      </c>
      <c r="E157">
        <v>0.05</v>
      </c>
      <c r="F157">
        <v>0.05</v>
      </c>
      <c r="G157">
        <v>0.05</v>
      </c>
    </row>
    <row r="158" spans="1:7">
      <c r="A158">
        <v>3134</v>
      </c>
      <c r="B158" s="106" t="s">
        <v>2513</v>
      </c>
      <c r="C158">
        <v>0</v>
      </c>
      <c r="D158" s="106" t="s">
        <v>233</v>
      </c>
      <c r="E158" s="106" t="s">
        <v>233</v>
      </c>
      <c r="F158" s="106" t="s">
        <v>233</v>
      </c>
      <c r="G158" s="106" t="s">
        <v>233</v>
      </c>
    </row>
    <row r="159" spans="1:7">
      <c r="A159">
        <v>3141</v>
      </c>
      <c r="B159" s="106" t="s">
        <v>1193</v>
      </c>
      <c r="C159">
        <v>0.45</v>
      </c>
      <c r="D159">
        <v>0.15</v>
      </c>
      <c r="E159">
        <v>0.15</v>
      </c>
      <c r="F159">
        <v>0.15</v>
      </c>
      <c r="G159">
        <v>0.15</v>
      </c>
    </row>
    <row r="160" spans="1:7">
      <c r="A160">
        <v>3148</v>
      </c>
      <c r="B160" s="106" t="s">
        <v>1194</v>
      </c>
      <c r="C160">
        <v>0.15</v>
      </c>
      <c r="D160">
        <v>0.05</v>
      </c>
      <c r="E160">
        <v>0.05</v>
      </c>
      <c r="F160">
        <v>0.05</v>
      </c>
      <c r="G160">
        <v>0.05</v>
      </c>
    </row>
    <row r="161" spans="1:7">
      <c r="A161">
        <v>3151</v>
      </c>
      <c r="B161" s="106" t="s">
        <v>1195</v>
      </c>
      <c r="C161">
        <v>0.15</v>
      </c>
      <c r="D161">
        <v>0</v>
      </c>
      <c r="E161">
        <v>0.05</v>
      </c>
      <c r="F161">
        <v>0</v>
      </c>
      <c r="G161">
        <v>0.05</v>
      </c>
    </row>
    <row r="162" spans="1:7">
      <c r="A162">
        <v>3154</v>
      </c>
      <c r="B162" s="106" t="s">
        <v>1196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>
      <c r="A163">
        <v>3159</v>
      </c>
      <c r="B163" s="106" t="s">
        <v>1197</v>
      </c>
      <c r="C163">
        <v>0</v>
      </c>
      <c r="D163">
        <v>0</v>
      </c>
      <c r="E163">
        <v>0</v>
      </c>
      <c r="F163">
        <v>0.05</v>
      </c>
      <c r="G163">
        <v>0.05</v>
      </c>
    </row>
    <row r="164" spans="1:7">
      <c r="A164">
        <v>3160</v>
      </c>
      <c r="B164" s="106" t="s">
        <v>1198</v>
      </c>
      <c r="C164">
        <v>0</v>
      </c>
      <c r="D164" s="106" t="s">
        <v>233</v>
      </c>
      <c r="E164">
        <v>0</v>
      </c>
      <c r="F164">
        <v>0</v>
      </c>
      <c r="G164">
        <v>0</v>
      </c>
    </row>
    <row r="165" spans="1:7">
      <c r="A165">
        <v>3166</v>
      </c>
      <c r="B165" s="106" t="s">
        <v>1199</v>
      </c>
      <c r="C165">
        <v>0.15</v>
      </c>
      <c r="D165">
        <v>0.05</v>
      </c>
      <c r="E165">
        <v>0.05</v>
      </c>
      <c r="F165">
        <v>0.05</v>
      </c>
      <c r="G165">
        <v>0.05</v>
      </c>
    </row>
    <row r="166" spans="1:7">
      <c r="A166">
        <v>3167</v>
      </c>
      <c r="B166" s="106" t="s">
        <v>1200</v>
      </c>
      <c r="C166">
        <v>0</v>
      </c>
      <c r="D166">
        <v>0</v>
      </c>
      <c r="E166">
        <v>0.05</v>
      </c>
      <c r="F166">
        <v>0.05</v>
      </c>
      <c r="G166">
        <v>0.05</v>
      </c>
    </row>
    <row r="167" spans="1:7">
      <c r="A167">
        <v>3168</v>
      </c>
      <c r="B167" s="106" t="s">
        <v>1201</v>
      </c>
      <c r="C167">
        <v>0.15</v>
      </c>
      <c r="D167">
        <v>0.05</v>
      </c>
      <c r="E167">
        <v>0.05</v>
      </c>
      <c r="F167">
        <v>0.05</v>
      </c>
      <c r="G167">
        <v>0.05</v>
      </c>
    </row>
    <row r="168" spans="1:7">
      <c r="A168">
        <v>3178</v>
      </c>
      <c r="B168" s="106" t="s">
        <v>1202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>
      <c r="A169">
        <v>3179</v>
      </c>
      <c r="B169" s="106" t="s">
        <v>1203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>
      <c r="A170">
        <v>3180</v>
      </c>
      <c r="B170" s="106" t="s">
        <v>1204</v>
      </c>
      <c r="C170">
        <v>0</v>
      </c>
      <c r="D170" s="106">
        <v>0.05</v>
      </c>
      <c r="E170">
        <v>0</v>
      </c>
      <c r="F170" s="106">
        <v>0.05</v>
      </c>
      <c r="G170" s="106">
        <v>0</v>
      </c>
    </row>
    <row r="171" spans="1:7">
      <c r="A171">
        <v>3183</v>
      </c>
      <c r="B171" s="106" t="s">
        <v>1205</v>
      </c>
      <c r="C171">
        <v>0.15</v>
      </c>
      <c r="D171">
        <v>0.05</v>
      </c>
      <c r="E171">
        <v>0.05</v>
      </c>
      <c r="F171">
        <v>0.05</v>
      </c>
      <c r="G171" s="106">
        <v>0.05</v>
      </c>
    </row>
    <row r="172" spans="1:7">
      <c r="A172">
        <v>3186</v>
      </c>
      <c r="B172" s="106" t="s">
        <v>1206</v>
      </c>
      <c r="C172">
        <v>0.15</v>
      </c>
      <c r="D172">
        <v>0.05</v>
      </c>
      <c r="E172">
        <v>0.05</v>
      </c>
      <c r="F172">
        <v>0.05</v>
      </c>
      <c r="G172" s="106">
        <v>0.05</v>
      </c>
    </row>
    <row r="173" spans="1:7">
      <c r="A173">
        <v>3191</v>
      </c>
      <c r="B173" s="106" t="s">
        <v>1207</v>
      </c>
      <c r="C173">
        <v>0.15</v>
      </c>
      <c r="D173">
        <v>0</v>
      </c>
      <c r="E173">
        <v>0</v>
      </c>
      <c r="F173">
        <v>0</v>
      </c>
      <c r="G173" s="106">
        <v>0</v>
      </c>
    </row>
    <row r="174" spans="1:7">
      <c r="A174">
        <v>3193</v>
      </c>
      <c r="B174" s="106" t="s">
        <v>1208</v>
      </c>
      <c r="C174">
        <v>0.15</v>
      </c>
      <c r="D174">
        <v>0.5</v>
      </c>
      <c r="E174">
        <v>0.5</v>
      </c>
      <c r="F174">
        <v>0.5</v>
      </c>
      <c r="G174">
        <v>0.5</v>
      </c>
    </row>
    <row r="175" spans="1:7">
      <c r="A175">
        <v>3196</v>
      </c>
      <c r="B175" s="106" t="s">
        <v>2514</v>
      </c>
      <c r="C175">
        <v>0.15</v>
      </c>
      <c r="D175" s="106" t="s">
        <v>233</v>
      </c>
      <c r="E175" s="106" t="s">
        <v>233</v>
      </c>
      <c r="F175" s="106" t="s">
        <v>233</v>
      </c>
      <c r="G175" s="106" t="s">
        <v>233</v>
      </c>
    </row>
    <row r="176" spans="1:7">
      <c r="A176">
        <v>3197</v>
      </c>
      <c r="B176" s="106" t="s">
        <v>1209</v>
      </c>
      <c r="C176">
        <v>0.15</v>
      </c>
      <c r="D176">
        <v>0.05</v>
      </c>
      <c r="E176">
        <v>0.05</v>
      </c>
      <c r="F176">
        <v>0.05</v>
      </c>
      <c r="G176">
        <v>0.05</v>
      </c>
    </row>
    <row r="177" spans="1:7">
      <c r="A177">
        <v>3201</v>
      </c>
      <c r="B177" s="106" t="s">
        <v>1210</v>
      </c>
      <c r="C177">
        <v>0.15</v>
      </c>
      <c r="D177">
        <v>0.05</v>
      </c>
      <c r="E177">
        <v>0.05</v>
      </c>
      <c r="F177">
        <v>0.05</v>
      </c>
      <c r="G177">
        <v>0.05</v>
      </c>
    </row>
    <row r="178" spans="1:7">
      <c r="A178">
        <v>3204</v>
      </c>
      <c r="B178" s="106" t="s">
        <v>1211</v>
      </c>
      <c r="C178">
        <v>0</v>
      </c>
      <c r="D178">
        <v>0</v>
      </c>
      <c r="E178" s="106" t="s">
        <v>233</v>
      </c>
      <c r="F178">
        <v>0</v>
      </c>
      <c r="G178">
        <v>0</v>
      </c>
    </row>
    <row r="179" spans="1:7">
      <c r="A179">
        <v>3205</v>
      </c>
      <c r="B179" s="106" t="s">
        <v>1212</v>
      </c>
      <c r="C179">
        <v>0.15</v>
      </c>
      <c r="D179">
        <v>0.05</v>
      </c>
      <c r="E179">
        <v>0.05</v>
      </c>
      <c r="F179">
        <v>0.05</v>
      </c>
      <c r="G179">
        <v>0.05</v>
      </c>
    </row>
    <row r="180" spans="1:7">
      <c r="A180">
        <v>3222</v>
      </c>
      <c r="B180" s="106" t="s">
        <v>1213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>
      <c r="A181">
        <v>3231</v>
      </c>
      <c r="B181" s="106" t="s">
        <v>796</v>
      </c>
      <c r="C181">
        <v>0.15</v>
      </c>
      <c r="D181">
        <v>0.05</v>
      </c>
      <c r="E181">
        <v>0.05</v>
      </c>
      <c r="F181">
        <v>0.05</v>
      </c>
      <c r="G181">
        <v>0.05</v>
      </c>
    </row>
    <row r="182" spans="1:7">
      <c r="A182">
        <v>3232</v>
      </c>
      <c r="B182" s="106" t="s">
        <v>1214</v>
      </c>
      <c r="C182">
        <v>0.15</v>
      </c>
      <c r="D182">
        <v>0.05</v>
      </c>
      <c r="E182">
        <v>0.05</v>
      </c>
      <c r="F182">
        <v>0.05</v>
      </c>
      <c r="G182">
        <v>0.05</v>
      </c>
    </row>
    <row r="183" spans="1:7">
      <c r="A183">
        <v>3244</v>
      </c>
      <c r="B183" s="106" t="s">
        <v>1215</v>
      </c>
      <c r="C183">
        <v>0</v>
      </c>
      <c r="D183">
        <v>0</v>
      </c>
      <c r="E183" s="106" t="s">
        <v>233</v>
      </c>
      <c r="F183">
        <v>0</v>
      </c>
      <c r="G183">
        <v>0</v>
      </c>
    </row>
    <row r="184" spans="1:7">
      <c r="A184">
        <v>3271</v>
      </c>
      <c r="B184" s="106" t="s">
        <v>1216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>
      <c r="A185">
        <v>3276</v>
      </c>
      <c r="B185" s="106" t="s">
        <v>1217</v>
      </c>
      <c r="C185">
        <v>0.15</v>
      </c>
      <c r="D185" s="106">
        <v>0.05</v>
      </c>
      <c r="E185">
        <v>0.05</v>
      </c>
      <c r="F185">
        <v>0.05</v>
      </c>
      <c r="G185">
        <v>0.05</v>
      </c>
    </row>
    <row r="186" spans="1:7">
      <c r="A186">
        <v>3284</v>
      </c>
      <c r="B186" s="106" t="s">
        <v>1218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>
      <c r="A187">
        <v>3288</v>
      </c>
      <c r="B187" s="106" t="s">
        <v>2515</v>
      </c>
      <c r="C187">
        <v>0.15</v>
      </c>
      <c r="D187">
        <v>0</v>
      </c>
      <c r="E187">
        <v>0</v>
      </c>
      <c r="F187">
        <v>0</v>
      </c>
      <c r="G187" s="106" t="s">
        <v>233</v>
      </c>
    </row>
    <row r="188" spans="1:7">
      <c r="A188">
        <v>3289</v>
      </c>
      <c r="B188" s="106" t="s">
        <v>1219</v>
      </c>
      <c r="C188">
        <v>0.15</v>
      </c>
      <c r="D188">
        <v>0.05</v>
      </c>
      <c r="E188">
        <v>0.05</v>
      </c>
      <c r="F188">
        <v>0.05</v>
      </c>
      <c r="G188">
        <v>0.05</v>
      </c>
    </row>
    <row r="189" spans="1:7">
      <c r="A189">
        <v>3291</v>
      </c>
      <c r="B189" s="106" t="s">
        <v>113</v>
      </c>
      <c r="C189">
        <v>0.15</v>
      </c>
      <c r="D189">
        <v>0.05</v>
      </c>
      <c r="E189">
        <v>0.05</v>
      </c>
      <c r="F189">
        <v>0.05</v>
      </c>
      <c r="G189">
        <v>0.05</v>
      </c>
    </row>
    <row r="190" spans="1:7">
      <c r="A190">
        <v>3299</v>
      </c>
      <c r="B190" s="106" t="s">
        <v>1220</v>
      </c>
      <c r="C190">
        <v>0.15</v>
      </c>
      <c r="D190">
        <v>0.05</v>
      </c>
      <c r="E190">
        <v>0.05</v>
      </c>
      <c r="F190">
        <v>0.05</v>
      </c>
      <c r="G190">
        <v>0.05</v>
      </c>
    </row>
    <row r="191" spans="1:7">
      <c r="A191">
        <v>3302</v>
      </c>
      <c r="B191" s="106" t="s">
        <v>2516</v>
      </c>
      <c r="C191">
        <v>0</v>
      </c>
      <c r="D191" s="106" t="s">
        <v>233</v>
      </c>
      <c r="E191" s="106" t="s">
        <v>233</v>
      </c>
      <c r="F191" s="106" t="s">
        <v>233</v>
      </c>
      <c r="G191" s="106" t="s">
        <v>233</v>
      </c>
    </row>
    <row r="192" spans="1:7">
      <c r="A192">
        <v>3349</v>
      </c>
      <c r="B192" s="106" t="s">
        <v>1221</v>
      </c>
      <c r="C192">
        <v>1.5</v>
      </c>
      <c r="D192" s="106">
        <v>0.4</v>
      </c>
      <c r="E192">
        <v>0.4</v>
      </c>
      <c r="F192" s="106">
        <v>0.4</v>
      </c>
      <c r="G192">
        <v>0.45</v>
      </c>
    </row>
    <row r="193" spans="1:7">
      <c r="A193">
        <v>3360</v>
      </c>
      <c r="B193" s="106" t="s">
        <v>2517</v>
      </c>
      <c r="C193">
        <v>0.3</v>
      </c>
      <c r="D193" s="106" t="s">
        <v>233</v>
      </c>
      <c r="E193" s="106" t="s">
        <v>233</v>
      </c>
      <c r="F193" s="106" t="s">
        <v>233</v>
      </c>
      <c r="G193" s="106" t="s">
        <v>233</v>
      </c>
    </row>
    <row r="194" spans="1:7">
      <c r="A194">
        <v>3382</v>
      </c>
      <c r="B194" s="106" t="s">
        <v>1222</v>
      </c>
      <c r="C194">
        <v>0</v>
      </c>
      <c r="D194" s="106" t="s">
        <v>233</v>
      </c>
      <c r="E194" s="106">
        <v>0</v>
      </c>
      <c r="F194">
        <v>0</v>
      </c>
      <c r="G194" s="106">
        <v>0</v>
      </c>
    </row>
    <row r="195" spans="1:7">
      <c r="A195">
        <v>3387</v>
      </c>
      <c r="B195" s="106" t="s">
        <v>1223</v>
      </c>
      <c r="C195">
        <v>0.15</v>
      </c>
      <c r="D195">
        <v>0.05</v>
      </c>
      <c r="E195" s="106">
        <v>0.05</v>
      </c>
      <c r="F195">
        <v>0.05</v>
      </c>
      <c r="G195" s="106">
        <v>0.05</v>
      </c>
    </row>
    <row r="196" spans="1:7">
      <c r="A196">
        <v>3388</v>
      </c>
      <c r="B196" s="106" t="s">
        <v>2518</v>
      </c>
      <c r="C196">
        <v>0</v>
      </c>
      <c r="D196">
        <v>0</v>
      </c>
      <c r="E196" s="106" t="s">
        <v>233</v>
      </c>
      <c r="F196" s="106" t="s">
        <v>233</v>
      </c>
      <c r="G196" s="106" t="s">
        <v>233</v>
      </c>
    </row>
    <row r="197" spans="1:7">
      <c r="A197">
        <v>3391</v>
      </c>
      <c r="B197" s="106" t="s">
        <v>1224</v>
      </c>
      <c r="C197">
        <v>0.75</v>
      </c>
      <c r="D197">
        <v>0.25</v>
      </c>
      <c r="E197">
        <v>0.25</v>
      </c>
      <c r="F197">
        <v>0.05</v>
      </c>
      <c r="G197">
        <v>0.25</v>
      </c>
    </row>
    <row r="198" spans="1:7">
      <c r="A198">
        <v>3393</v>
      </c>
      <c r="B198" s="106" t="s">
        <v>1225</v>
      </c>
      <c r="C198">
        <v>0</v>
      </c>
      <c r="D198" s="106">
        <v>0</v>
      </c>
      <c r="E198" s="106">
        <v>0</v>
      </c>
      <c r="F198" s="106" t="s">
        <v>233</v>
      </c>
      <c r="G198" s="106">
        <v>0</v>
      </c>
    </row>
    <row r="199" spans="1:7">
      <c r="A199">
        <v>3397</v>
      </c>
      <c r="B199" s="106" t="s">
        <v>1226</v>
      </c>
      <c r="C199">
        <v>0</v>
      </c>
      <c r="D199" s="106">
        <v>0.05</v>
      </c>
      <c r="E199" s="106">
        <v>0.05</v>
      </c>
      <c r="F199" s="106">
        <v>0</v>
      </c>
      <c r="G199" s="106">
        <v>0.05</v>
      </c>
    </row>
    <row r="200" spans="1:7">
      <c r="A200">
        <v>3401</v>
      </c>
      <c r="B200" s="106" t="s">
        <v>1227</v>
      </c>
      <c r="C200">
        <v>0</v>
      </c>
      <c r="D200">
        <v>0</v>
      </c>
      <c r="E200">
        <v>0.05</v>
      </c>
      <c r="F200">
        <v>0.05</v>
      </c>
      <c r="G200">
        <v>0.05</v>
      </c>
    </row>
    <row r="201" spans="1:7">
      <c r="A201">
        <v>3405</v>
      </c>
      <c r="B201" s="106" t="s">
        <v>2519</v>
      </c>
      <c r="C201">
        <v>0</v>
      </c>
      <c r="D201">
        <v>0</v>
      </c>
      <c r="E201">
        <v>0</v>
      </c>
      <c r="F201">
        <v>0</v>
      </c>
      <c r="G201" s="106" t="s">
        <v>233</v>
      </c>
    </row>
    <row r="202" spans="1:7">
      <c r="A202">
        <v>3407</v>
      </c>
      <c r="B202" s="106" t="s">
        <v>1061</v>
      </c>
      <c r="C202">
        <v>0</v>
      </c>
      <c r="D202">
        <v>0.05</v>
      </c>
      <c r="E202">
        <v>0</v>
      </c>
      <c r="F202">
        <v>0.05</v>
      </c>
      <c r="G202" s="106">
        <v>0</v>
      </c>
    </row>
    <row r="203" spans="1:7">
      <c r="A203">
        <v>3433</v>
      </c>
      <c r="B203" s="106" t="s">
        <v>1228</v>
      </c>
      <c r="C203">
        <v>0.15</v>
      </c>
      <c r="D203">
        <v>0</v>
      </c>
      <c r="E203">
        <v>0</v>
      </c>
      <c r="F203">
        <v>0</v>
      </c>
      <c r="G203">
        <v>0</v>
      </c>
    </row>
    <row r="204" spans="1:7">
      <c r="A204">
        <v>3454</v>
      </c>
      <c r="B204" s="106" t="s">
        <v>1229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>
      <c r="A205">
        <v>3457</v>
      </c>
      <c r="B205" s="106" t="s">
        <v>1230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>
      <c r="A206">
        <v>3465</v>
      </c>
      <c r="B206" s="106" t="s">
        <v>2520</v>
      </c>
      <c r="C206">
        <v>0</v>
      </c>
      <c r="D206" s="106">
        <v>0</v>
      </c>
      <c r="E206" s="106" t="s">
        <v>233</v>
      </c>
      <c r="F206" s="106" t="s">
        <v>233</v>
      </c>
      <c r="G206" s="106" t="s">
        <v>233</v>
      </c>
    </row>
    <row r="207" spans="1:7">
      <c r="A207">
        <v>3475</v>
      </c>
      <c r="B207" s="106" t="s">
        <v>2521</v>
      </c>
      <c r="C207">
        <v>0</v>
      </c>
      <c r="D207" s="106">
        <v>0</v>
      </c>
      <c r="E207">
        <v>0</v>
      </c>
      <c r="F207" s="106" t="s">
        <v>233</v>
      </c>
      <c r="G207" s="106" t="s">
        <v>233</v>
      </c>
    </row>
    <row r="208" spans="1:7">
      <c r="A208">
        <v>3484</v>
      </c>
      <c r="B208" s="106" t="s">
        <v>1231</v>
      </c>
      <c r="C208">
        <v>0.15</v>
      </c>
      <c r="D208">
        <v>0.05</v>
      </c>
      <c r="E208">
        <v>0.05</v>
      </c>
      <c r="F208">
        <v>0.05</v>
      </c>
      <c r="G208">
        <v>0.05</v>
      </c>
    </row>
    <row r="209" spans="1:7">
      <c r="A209">
        <v>3501</v>
      </c>
      <c r="B209" s="106" t="s">
        <v>1232</v>
      </c>
      <c r="C209">
        <v>0.15</v>
      </c>
      <c r="D209">
        <v>0.05</v>
      </c>
      <c r="E209">
        <v>0.05</v>
      </c>
      <c r="F209">
        <v>0.05</v>
      </c>
      <c r="G209">
        <v>0.05</v>
      </c>
    </row>
    <row r="210" spans="1:7">
      <c r="A210">
        <v>3526</v>
      </c>
      <c r="B210" s="106" t="s">
        <v>2522</v>
      </c>
      <c r="C210">
        <v>0</v>
      </c>
      <c r="D210">
        <v>0</v>
      </c>
      <c r="E210">
        <v>0</v>
      </c>
      <c r="F210" s="106" t="s">
        <v>233</v>
      </c>
      <c r="G210" s="106" t="s">
        <v>233</v>
      </c>
    </row>
    <row r="211" spans="1:7">
      <c r="A211">
        <v>3529</v>
      </c>
      <c r="B211" s="106" t="s">
        <v>1233</v>
      </c>
      <c r="C211">
        <v>0</v>
      </c>
      <c r="D211">
        <v>0</v>
      </c>
      <c r="E211" s="106" t="s">
        <v>233</v>
      </c>
      <c r="F211">
        <v>0.05</v>
      </c>
      <c r="G211">
        <v>0</v>
      </c>
    </row>
    <row r="212" spans="1:7">
      <c r="A212">
        <v>3538</v>
      </c>
      <c r="B212" s="106" t="s">
        <v>1234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>
      <c r="A213">
        <v>3539</v>
      </c>
      <c r="B213" s="106" t="s">
        <v>1235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>
      <c r="A214">
        <v>3544</v>
      </c>
      <c r="B214" s="106" t="s">
        <v>1236</v>
      </c>
      <c r="C214">
        <v>0.15</v>
      </c>
      <c r="D214">
        <v>0.05</v>
      </c>
      <c r="E214">
        <v>0.05</v>
      </c>
      <c r="F214">
        <v>0.05</v>
      </c>
      <c r="G214">
        <v>0.05</v>
      </c>
    </row>
    <row r="215" spans="1:7">
      <c r="A215">
        <v>3547</v>
      </c>
      <c r="B215" s="106" t="s">
        <v>1237</v>
      </c>
      <c r="C215">
        <v>0.15</v>
      </c>
      <c r="D215">
        <v>0.05</v>
      </c>
      <c r="E215">
        <v>0.05</v>
      </c>
      <c r="F215">
        <v>0.05</v>
      </c>
      <c r="G215">
        <v>0.05</v>
      </c>
    </row>
    <row r="216" spans="1:7">
      <c r="A216">
        <v>3569</v>
      </c>
      <c r="B216" s="106" t="s">
        <v>1238</v>
      </c>
      <c r="C216">
        <v>0</v>
      </c>
      <c r="D216">
        <v>0</v>
      </c>
      <c r="E216">
        <v>0</v>
      </c>
      <c r="F216">
        <v>0.05</v>
      </c>
      <c r="G216">
        <v>0</v>
      </c>
    </row>
    <row r="217" spans="1:7">
      <c r="A217">
        <v>3571</v>
      </c>
      <c r="B217" s="106" t="s">
        <v>1239</v>
      </c>
      <c r="C217">
        <v>0.15</v>
      </c>
      <c r="D217">
        <v>0.05</v>
      </c>
      <c r="E217">
        <v>0.05</v>
      </c>
      <c r="F217">
        <v>0.05</v>
      </c>
      <c r="G217">
        <v>0.05</v>
      </c>
    </row>
    <row r="218" spans="1:7">
      <c r="A218">
        <v>3580</v>
      </c>
      <c r="B218" s="106" t="s">
        <v>1240</v>
      </c>
      <c r="C218">
        <v>0.15</v>
      </c>
      <c r="D218">
        <v>0.05</v>
      </c>
      <c r="E218">
        <v>0.05</v>
      </c>
      <c r="F218">
        <v>0.05</v>
      </c>
      <c r="G218">
        <v>0.05</v>
      </c>
    </row>
    <row r="219" spans="1:7">
      <c r="A219">
        <v>3591</v>
      </c>
      <c r="B219" s="106" t="s">
        <v>1241</v>
      </c>
      <c r="C219">
        <v>0.15</v>
      </c>
      <c r="D219">
        <v>0.05</v>
      </c>
      <c r="E219">
        <v>0.05</v>
      </c>
      <c r="F219">
        <v>0.05</v>
      </c>
      <c r="G219">
        <v>0.05</v>
      </c>
    </row>
    <row r="220" spans="1:7">
      <c r="A220">
        <v>3593</v>
      </c>
      <c r="B220" s="106" t="s">
        <v>1242</v>
      </c>
      <c r="C220">
        <v>0.3</v>
      </c>
      <c r="D220">
        <v>0.1</v>
      </c>
      <c r="E220">
        <v>0.1</v>
      </c>
      <c r="F220">
        <v>0.1</v>
      </c>
      <c r="G220" s="106">
        <v>0.1</v>
      </c>
    </row>
    <row r="221" spans="1:7">
      <c r="A221">
        <v>3606</v>
      </c>
      <c r="B221" s="106" t="s">
        <v>1243</v>
      </c>
      <c r="C221">
        <v>0</v>
      </c>
      <c r="D221">
        <v>0</v>
      </c>
      <c r="E221">
        <v>0</v>
      </c>
      <c r="F221">
        <v>0</v>
      </c>
      <c r="G221" s="106">
        <v>0</v>
      </c>
    </row>
    <row r="222" spans="1:7">
      <c r="A222">
        <v>3611</v>
      </c>
      <c r="B222" s="106" t="s">
        <v>2523</v>
      </c>
      <c r="C222">
        <v>0</v>
      </c>
      <c r="D222">
        <v>0</v>
      </c>
      <c r="E222">
        <v>0</v>
      </c>
      <c r="F222">
        <v>0</v>
      </c>
      <c r="G222" s="106" t="s">
        <v>233</v>
      </c>
    </row>
    <row r="223" spans="1:7">
      <c r="A223">
        <v>3612</v>
      </c>
      <c r="B223" s="106" t="s">
        <v>1244</v>
      </c>
      <c r="C223">
        <v>0</v>
      </c>
      <c r="D223">
        <v>0.05</v>
      </c>
      <c r="E223">
        <v>0</v>
      </c>
      <c r="F223">
        <v>0.05</v>
      </c>
      <c r="G223">
        <v>0</v>
      </c>
    </row>
    <row r="224" spans="1:7">
      <c r="A224">
        <v>3627</v>
      </c>
      <c r="B224" s="106" t="s">
        <v>1245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>
      <c r="A225">
        <v>3632</v>
      </c>
      <c r="B225" s="106" t="s">
        <v>1246</v>
      </c>
      <c r="C225">
        <v>0</v>
      </c>
      <c r="D225" s="106">
        <v>0</v>
      </c>
      <c r="E225">
        <v>0</v>
      </c>
      <c r="F225">
        <v>0</v>
      </c>
      <c r="G225" s="106">
        <v>0</v>
      </c>
    </row>
    <row r="226" spans="1:7">
      <c r="A226">
        <v>3635</v>
      </c>
      <c r="B226" s="106" t="s">
        <v>85</v>
      </c>
      <c r="C226">
        <v>0.15</v>
      </c>
      <c r="D226" s="106">
        <v>0.05</v>
      </c>
      <c r="E226">
        <v>0.05</v>
      </c>
      <c r="F226">
        <v>0.05</v>
      </c>
      <c r="G226">
        <v>0.05</v>
      </c>
    </row>
    <row r="227" spans="1:7">
      <c r="A227">
        <v>3639</v>
      </c>
      <c r="B227" s="106" t="s">
        <v>1247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>
      <c r="A228">
        <v>3640</v>
      </c>
      <c r="B228" s="106" t="s">
        <v>1248</v>
      </c>
      <c r="C228">
        <v>0.15</v>
      </c>
      <c r="D228">
        <v>0.05</v>
      </c>
      <c r="E228">
        <v>0.05</v>
      </c>
      <c r="F228">
        <v>0.05</v>
      </c>
      <c r="G228">
        <v>0.05</v>
      </c>
    </row>
    <row r="229" spans="1:7">
      <c r="A229">
        <v>3648</v>
      </c>
      <c r="B229" s="106" t="s">
        <v>1249</v>
      </c>
      <c r="C229">
        <v>0</v>
      </c>
      <c r="D229">
        <v>0.05</v>
      </c>
      <c r="E229">
        <v>0</v>
      </c>
      <c r="F229">
        <v>0.05</v>
      </c>
      <c r="G229">
        <v>0</v>
      </c>
    </row>
    <row r="230" spans="1:7">
      <c r="A230">
        <v>3655</v>
      </c>
      <c r="B230" s="106" t="s">
        <v>1250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>
      <c r="A231">
        <v>3656</v>
      </c>
      <c r="B231" s="106" t="s">
        <v>1251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>
      <c r="A232">
        <v>3659</v>
      </c>
      <c r="B232" s="106" t="s">
        <v>1252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>
      <c r="A233">
        <v>3660</v>
      </c>
      <c r="B233" s="106" t="s">
        <v>1253</v>
      </c>
      <c r="C233">
        <v>0.15</v>
      </c>
      <c r="D233" s="106">
        <v>0.05</v>
      </c>
      <c r="E233">
        <v>0.05</v>
      </c>
      <c r="F233">
        <v>0.05</v>
      </c>
      <c r="G233">
        <v>0.05</v>
      </c>
    </row>
    <row r="234" spans="1:7">
      <c r="A234">
        <v>3661</v>
      </c>
      <c r="B234" s="106" t="s">
        <v>1254</v>
      </c>
      <c r="C234">
        <v>0.15</v>
      </c>
      <c r="D234" s="106">
        <v>0.05</v>
      </c>
      <c r="E234">
        <v>0.05</v>
      </c>
      <c r="F234">
        <v>0.05</v>
      </c>
      <c r="G234">
        <v>0.05</v>
      </c>
    </row>
    <row r="235" spans="1:7">
      <c r="A235">
        <v>3662</v>
      </c>
      <c r="B235" s="106" t="s">
        <v>1255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>
      <c r="A236">
        <v>3667</v>
      </c>
      <c r="B236" s="106" t="s">
        <v>2524</v>
      </c>
      <c r="C236">
        <v>0</v>
      </c>
      <c r="D236" s="106" t="s">
        <v>233</v>
      </c>
      <c r="E236" s="106" t="s">
        <v>233</v>
      </c>
      <c r="F236" s="106" t="s">
        <v>233</v>
      </c>
      <c r="G236" s="106" t="s">
        <v>233</v>
      </c>
    </row>
    <row r="237" spans="1:7">
      <c r="A237">
        <v>3668</v>
      </c>
      <c r="B237" s="106" t="s">
        <v>1256</v>
      </c>
      <c r="C237">
        <v>0.15</v>
      </c>
      <c r="D237" s="106">
        <v>0.05</v>
      </c>
      <c r="E237">
        <v>0.05</v>
      </c>
      <c r="F237" s="106">
        <v>0.05</v>
      </c>
      <c r="G237" s="106">
        <v>0.05</v>
      </c>
    </row>
    <row r="238" spans="1:7">
      <c r="A238">
        <v>3678</v>
      </c>
      <c r="B238" s="106" t="s">
        <v>1257</v>
      </c>
      <c r="C238">
        <v>0.3</v>
      </c>
      <c r="D238" s="106">
        <v>0.1</v>
      </c>
      <c r="E238">
        <v>0.1</v>
      </c>
      <c r="F238" s="106">
        <v>0.1</v>
      </c>
      <c r="G238" s="106">
        <v>0.1</v>
      </c>
    </row>
    <row r="239" spans="1:7">
      <c r="A239">
        <v>3681</v>
      </c>
      <c r="B239" s="106" t="s">
        <v>1258</v>
      </c>
      <c r="C239">
        <v>0.15</v>
      </c>
      <c r="D239">
        <v>0.05</v>
      </c>
      <c r="E239">
        <v>0.05</v>
      </c>
      <c r="F239">
        <v>0.05</v>
      </c>
      <c r="G239">
        <v>0.05</v>
      </c>
    </row>
    <row r="240" spans="1:7">
      <c r="A240">
        <v>3683</v>
      </c>
      <c r="B240" s="106" t="s">
        <v>1259</v>
      </c>
      <c r="C240">
        <v>0</v>
      </c>
      <c r="D240" s="106" t="s">
        <v>233</v>
      </c>
      <c r="E240">
        <v>0</v>
      </c>
      <c r="F240" s="106" t="s">
        <v>233</v>
      </c>
      <c r="G240">
        <v>0</v>
      </c>
    </row>
    <row r="241" spans="1:7">
      <c r="A241">
        <v>3694</v>
      </c>
      <c r="B241" s="106" t="s">
        <v>1260</v>
      </c>
      <c r="C241">
        <v>0.15</v>
      </c>
      <c r="D241">
        <v>0.05</v>
      </c>
      <c r="E241">
        <v>0.05</v>
      </c>
      <c r="F241">
        <v>0.05</v>
      </c>
      <c r="G241">
        <v>0.05</v>
      </c>
    </row>
    <row r="242" spans="1:7">
      <c r="A242">
        <v>3697</v>
      </c>
      <c r="B242" s="106" t="s">
        <v>1261</v>
      </c>
      <c r="C242">
        <v>0.45</v>
      </c>
      <c r="D242">
        <v>0.15</v>
      </c>
      <c r="E242">
        <v>0.15</v>
      </c>
      <c r="F242">
        <v>0.15</v>
      </c>
      <c r="G242">
        <v>0.15</v>
      </c>
    </row>
    <row r="243" spans="1:7">
      <c r="A243">
        <v>3708</v>
      </c>
      <c r="B243" s="106" t="s">
        <v>1262</v>
      </c>
      <c r="C243">
        <v>0.3</v>
      </c>
      <c r="D243">
        <v>0.1</v>
      </c>
      <c r="E243">
        <v>0.1</v>
      </c>
      <c r="F243">
        <v>0.1</v>
      </c>
      <c r="G243">
        <v>0.1</v>
      </c>
    </row>
    <row r="244" spans="1:7">
      <c r="A244">
        <v>3738</v>
      </c>
      <c r="B244" s="106" t="s">
        <v>1263</v>
      </c>
      <c r="C244">
        <v>0.15</v>
      </c>
      <c r="D244">
        <v>0.05</v>
      </c>
      <c r="E244">
        <v>0.05</v>
      </c>
      <c r="F244">
        <v>0.05</v>
      </c>
      <c r="G244">
        <v>0.05</v>
      </c>
    </row>
    <row r="245" spans="1:7">
      <c r="A245">
        <v>3774</v>
      </c>
      <c r="B245" s="106" t="s">
        <v>1264</v>
      </c>
      <c r="C245">
        <v>0.15</v>
      </c>
      <c r="D245" s="106">
        <v>0.05</v>
      </c>
      <c r="E245" s="106">
        <v>0.05</v>
      </c>
      <c r="F245" s="106">
        <v>0.05</v>
      </c>
      <c r="G245" s="106">
        <v>0.05</v>
      </c>
    </row>
    <row r="246" spans="1:7">
      <c r="A246">
        <v>3778</v>
      </c>
      <c r="B246" s="106" t="s">
        <v>1265</v>
      </c>
      <c r="C246">
        <v>0</v>
      </c>
      <c r="D246" s="106">
        <v>0</v>
      </c>
      <c r="E246" s="106">
        <v>0</v>
      </c>
      <c r="F246" s="106">
        <v>0</v>
      </c>
      <c r="G246" s="106">
        <v>0</v>
      </c>
    </row>
    <row r="247" spans="1:7">
      <c r="A247">
        <v>3822</v>
      </c>
      <c r="B247" s="106" t="s">
        <v>1266</v>
      </c>
      <c r="C247">
        <v>0.15</v>
      </c>
      <c r="D247">
        <v>0.1</v>
      </c>
      <c r="E247">
        <v>0.05</v>
      </c>
      <c r="F247">
        <v>0.05</v>
      </c>
      <c r="G247" s="106">
        <v>0.05</v>
      </c>
    </row>
    <row r="248" spans="1:7">
      <c r="A248">
        <v>3843</v>
      </c>
      <c r="B248" s="106" t="s">
        <v>2525</v>
      </c>
      <c r="C248">
        <v>0</v>
      </c>
      <c r="D248">
        <v>0</v>
      </c>
      <c r="E248">
        <v>0</v>
      </c>
      <c r="F248">
        <v>0</v>
      </c>
      <c r="G248" s="106" t="s">
        <v>233</v>
      </c>
    </row>
    <row r="249" spans="1:7">
      <c r="A249">
        <v>3844</v>
      </c>
      <c r="B249" s="106" t="s">
        <v>1267</v>
      </c>
      <c r="C249">
        <v>0</v>
      </c>
      <c r="D249">
        <v>0</v>
      </c>
      <c r="E249" s="106" t="s">
        <v>233</v>
      </c>
      <c r="F249">
        <v>0</v>
      </c>
      <c r="G249" s="106">
        <v>0</v>
      </c>
    </row>
    <row r="250" spans="1:7">
      <c r="A250">
        <v>3861</v>
      </c>
      <c r="B250" s="106" t="s">
        <v>65</v>
      </c>
      <c r="C250">
        <v>0</v>
      </c>
      <c r="D250" s="106">
        <v>0</v>
      </c>
      <c r="E250" s="106">
        <v>0</v>
      </c>
      <c r="F250" s="106">
        <v>0</v>
      </c>
      <c r="G250" s="106">
        <v>0</v>
      </c>
    </row>
    <row r="251" spans="1:7">
      <c r="A251">
        <v>3865</v>
      </c>
      <c r="B251" s="106" t="s">
        <v>1268</v>
      </c>
      <c r="C251">
        <v>0.15</v>
      </c>
      <c r="D251" s="106">
        <v>0.05</v>
      </c>
      <c r="E251" s="106">
        <v>0</v>
      </c>
      <c r="F251" s="106">
        <v>0</v>
      </c>
      <c r="G251" s="106">
        <v>0</v>
      </c>
    </row>
    <row r="252" spans="1:7">
      <c r="A252">
        <v>3877</v>
      </c>
      <c r="B252" s="106" t="s">
        <v>1269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>
      <c r="A253">
        <v>3878</v>
      </c>
      <c r="B253" s="106" t="s">
        <v>1270</v>
      </c>
      <c r="C253">
        <v>0</v>
      </c>
      <c r="D253">
        <v>0</v>
      </c>
      <c r="E253">
        <v>0</v>
      </c>
      <c r="F253">
        <v>0.05</v>
      </c>
      <c r="G253">
        <v>0</v>
      </c>
    </row>
    <row r="254" spans="1:7">
      <c r="A254">
        <v>3928</v>
      </c>
      <c r="B254" s="106" t="s">
        <v>2526</v>
      </c>
      <c r="C254">
        <v>0</v>
      </c>
      <c r="D254">
        <v>0</v>
      </c>
      <c r="E254" s="106" t="s">
        <v>233</v>
      </c>
      <c r="F254" s="106" t="s">
        <v>233</v>
      </c>
      <c r="G254" s="106" t="s">
        <v>233</v>
      </c>
    </row>
    <row r="255" spans="1:7">
      <c r="A255">
        <v>3946</v>
      </c>
      <c r="B255" s="106" t="s">
        <v>1271</v>
      </c>
      <c r="C255">
        <v>0</v>
      </c>
      <c r="D255" s="106" t="s">
        <v>233</v>
      </c>
      <c r="E255">
        <v>0</v>
      </c>
      <c r="F255" s="106" t="s">
        <v>233</v>
      </c>
      <c r="G255">
        <v>0</v>
      </c>
    </row>
    <row r="256" spans="1:7">
      <c r="A256">
        <v>3950</v>
      </c>
      <c r="B256" s="106" t="s">
        <v>2527</v>
      </c>
      <c r="C256">
        <v>0</v>
      </c>
      <c r="D256">
        <v>0</v>
      </c>
      <c r="E256">
        <v>0</v>
      </c>
      <c r="F256" s="106" t="s">
        <v>233</v>
      </c>
      <c r="G256" s="106" t="s">
        <v>233</v>
      </c>
    </row>
    <row r="257" spans="1:7">
      <c r="A257">
        <v>3963</v>
      </c>
      <c r="B257" s="106" t="s">
        <v>2528</v>
      </c>
      <c r="C257">
        <v>0</v>
      </c>
      <c r="D257" s="106" t="s">
        <v>233</v>
      </c>
      <c r="E257" s="106" t="s">
        <v>233</v>
      </c>
      <c r="F257" s="106" t="s">
        <v>233</v>
      </c>
      <c r="G257" s="106" t="s">
        <v>233</v>
      </c>
    </row>
    <row r="258" spans="1:7">
      <c r="A258">
        <v>3964</v>
      </c>
      <c r="B258" s="106" t="s">
        <v>1272</v>
      </c>
      <c r="C258">
        <v>0.15</v>
      </c>
      <c r="D258">
        <v>0.05</v>
      </c>
      <c r="E258">
        <v>0.05</v>
      </c>
      <c r="F258">
        <v>0.05</v>
      </c>
      <c r="G258">
        <v>0.05</v>
      </c>
    </row>
    <row r="259" spans="1:7">
      <c r="A259">
        <v>3968</v>
      </c>
      <c r="B259" s="106" t="s">
        <v>1273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>
      <c r="A260">
        <v>3975</v>
      </c>
      <c r="B260" s="106" t="s">
        <v>1274</v>
      </c>
      <c r="C260">
        <v>0</v>
      </c>
      <c r="D260">
        <v>0</v>
      </c>
      <c r="E260" s="106">
        <v>0</v>
      </c>
      <c r="F260" s="106">
        <v>0</v>
      </c>
      <c r="G260" s="106">
        <v>0</v>
      </c>
    </row>
    <row r="261" spans="1:7">
      <c r="A261">
        <v>3983</v>
      </c>
      <c r="B261" s="106" t="s">
        <v>1275</v>
      </c>
      <c r="C261">
        <v>0.3</v>
      </c>
      <c r="D261">
        <v>0.1</v>
      </c>
      <c r="E261">
        <v>0.1</v>
      </c>
      <c r="F261">
        <v>0.1</v>
      </c>
      <c r="G261">
        <v>0.1</v>
      </c>
    </row>
    <row r="262" spans="1:7">
      <c r="A262">
        <v>3996</v>
      </c>
      <c r="B262" s="106" t="s">
        <v>1276</v>
      </c>
      <c r="C262">
        <v>0.15</v>
      </c>
      <c r="D262">
        <v>9.1999999999999993</v>
      </c>
      <c r="E262">
        <v>9.5</v>
      </c>
      <c r="F262">
        <v>9.6</v>
      </c>
      <c r="G262">
        <v>9.8000000000000007</v>
      </c>
    </row>
    <row r="263" spans="1:7">
      <c r="A263">
        <v>4004</v>
      </c>
      <c r="B263" s="106" t="s">
        <v>2529</v>
      </c>
      <c r="C263">
        <v>0</v>
      </c>
      <c r="D263" s="106" t="s">
        <v>233</v>
      </c>
      <c r="E263" s="106" t="s">
        <v>233</v>
      </c>
      <c r="F263" s="106" t="s">
        <v>233</v>
      </c>
      <c r="G263" s="106" t="s">
        <v>233</v>
      </c>
    </row>
    <row r="264" spans="1:7">
      <c r="A264">
        <v>4008</v>
      </c>
      <c r="B264" s="106" t="s">
        <v>2530</v>
      </c>
      <c r="C264">
        <v>0</v>
      </c>
      <c r="D264">
        <v>0</v>
      </c>
      <c r="E264" s="106" t="s">
        <v>233</v>
      </c>
      <c r="F264" s="106" t="s">
        <v>233</v>
      </c>
      <c r="G264" s="106" t="s">
        <v>233</v>
      </c>
    </row>
    <row r="265" spans="1:7">
      <c r="A265">
        <v>4021</v>
      </c>
      <c r="B265" s="106" t="s">
        <v>2531</v>
      </c>
      <c r="C265">
        <v>0</v>
      </c>
      <c r="D265" s="106">
        <v>0</v>
      </c>
      <c r="E265" s="106">
        <v>0</v>
      </c>
      <c r="F265" s="106">
        <v>0</v>
      </c>
      <c r="G265" s="106" t="s">
        <v>233</v>
      </c>
    </row>
    <row r="266" spans="1:7">
      <c r="A266">
        <v>4022</v>
      </c>
      <c r="B266" s="106" t="s">
        <v>1277</v>
      </c>
      <c r="C266">
        <v>0</v>
      </c>
      <c r="D266" s="106">
        <v>0</v>
      </c>
      <c r="E266" s="106" t="s">
        <v>233</v>
      </c>
      <c r="F266" s="106">
        <v>0</v>
      </c>
      <c r="G266" s="106">
        <v>0</v>
      </c>
    </row>
    <row r="267" spans="1:7">
      <c r="A267">
        <v>4025</v>
      </c>
      <c r="B267" s="106" t="s">
        <v>1278</v>
      </c>
      <c r="C267">
        <v>0.3</v>
      </c>
      <c r="D267">
        <v>0.1</v>
      </c>
      <c r="E267">
        <v>0.1</v>
      </c>
      <c r="F267">
        <v>0.1</v>
      </c>
      <c r="G267">
        <v>0.05</v>
      </c>
    </row>
    <row r="268" spans="1:7">
      <c r="A268">
        <v>4031</v>
      </c>
      <c r="B268" s="106" t="s">
        <v>1279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>
      <c r="A269">
        <v>4041</v>
      </c>
      <c r="B269" s="106" t="s">
        <v>1280</v>
      </c>
      <c r="C269">
        <v>0.15</v>
      </c>
      <c r="D269">
        <v>0.05</v>
      </c>
      <c r="E269" s="106">
        <v>0.05</v>
      </c>
      <c r="F269">
        <v>0.05</v>
      </c>
      <c r="G269">
        <v>0.05</v>
      </c>
    </row>
    <row r="270" spans="1:7">
      <c r="A270">
        <v>4042</v>
      </c>
      <c r="B270" s="106" t="s">
        <v>1035</v>
      </c>
      <c r="C270">
        <v>0</v>
      </c>
      <c r="D270" s="106">
        <v>0.05</v>
      </c>
      <c r="E270" s="106">
        <v>0</v>
      </c>
      <c r="F270" s="106">
        <v>0.05</v>
      </c>
      <c r="G270" s="106">
        <v>0</v>
      </c>
    </row>
    <row r="271" spans="1:7">
      <c r="A271">
        <v>4043</v>
      </c>
      <c r="B271" s="106" t="s">
        <v>1281</v>
      </c>
      <c r="C271">
        <v>0.15</v>
      </c>
      <c r="D271" s="106">
        <v>0.05</v>
      </c>
      <c r="E271" s="106">
        <v>0.05</v>
      </c>
      <c r="F271" s="106">
        <v>0.05</v>
      </c>
      <c r="G271" s="106">
        <v>0.05</v>
      </c>
    </row>
    <row r="272" spans="1:7">
      <c r="A272">
        <v>4044</v>
      </c>
      <c r="B272" s="106" t="s">
        <v>1282</v>
      </c>
      <c r="C272">
        <v>0.15</v>
      </c>
      <c r="D272">
        <v>0.05</v>
      </c>
      <c r="E272">
        <v>0.05</v>
      </c>
      <c r="F272">
        <v>0.05</v>
      </c>
      <c r="G272">
        <v>0.05</v>
      </c>
    </row>
    <row r="273" spans="1:7">
      <c r="A273">
        <v>4045</v>
      </c>
      <c r="B273" s="106" t="s">
        <v>1283</v>
      </c>
      <c r="C273">
        <v>0.15</v>
      </c>
      <c r="D273">
        <v>0.05</v>
      </c>
      <c r="E273">
        <v>0.05</v>
      </c>
      <c r="F273">
        <v>0.05</v>
      </c>
      <c r="G273" s="106">
        <v>0</v>
      </c>
    </row>
    <row r="274" spans="1:7">
      <c r="A274">
        <v>4046</v>
      </c>
      <c r="B274" s="106" t="s">
        <v>1284</v>
      </c>
      <c r="C274">
        <v>0.15</v>
      </c>
      <c r="D274" s="106" t="s">
        <v>233</v>
      </c>
      <c r="E274">
        <v>0.05</v>
      </c>
      <c r="F274" s="106" t="s">
        <v>233</v>
      </c>
      <c r="G274" s="106">
        <v>0.05</v>
      </c>
    </row>
    <row r="275" spans="1:7">
      <c r="A275">
        <v>4047</v>
      </c>
      <c r="B275" s="106" t="s">
        <v>1285</v>
      </c>
      <c r="C275">
        <v>0.15</v>
      </c>
      <c r="D275">
        <v>0.05</v>
      </c>
      <c r="E275">
        <v>0.05</v>
      </c>
      <c r="F275">
        <v>0.05</v>
      </c>
      <c r="G275">
        <v>0.05</v>
      </c>
    </row>
    <row r="276" spans="1:7">
      <c r="A276">
        <v>4062</v>
      </c>
      <c r="B276" s="106" t="s">
        <v>323</v>
      </c>
      <c r="C276">
        <v>0.15</v>
      </c>
      <c r="D276">
        <v>0.05</v>
      </c>
      <c r="E276">
        <v>0.05</v>
      </c>
      <c r="F276">
        <v>0.05</v>
      </c>
      <c r="G276">
        <v>0.05</v>
      </c>
    </row>
    <row r="277" spans="1:7">
      <c r="A277">
        <v>4064</v>
      </c>
      <c r="B277" s="106" t="s">
        <v>2532</v>
      </c>
      <c r="C277">
        <v>0</v>
      </c>
      <c r="D277" s="106" t="s">
        <v>233</v>
      </c>
      <c r="E277" s="106" t="s">
        <v>233</v>
      </c>
      <c r="F277" s="106" t="s">
        <v>233</v>
      </c>
      <c r="G277" s="106" t="s">
        <v>233</v>
      </c>
    </row>
    <row r="278" spans="1:7">
      <c r="A278">
        <v>4091</v>
      </c>
      <c r="B278" s="106" t="s">
        <v>1286</v>
      </c>
      <c r="C278">
        <v>0</v>
      </c>
      <c r="D278">
        <v>0</v>
      </c>
      <c r="E278">
        <v>0</v>
      </c>
      <c r="F278">
        <v>0</v>
      </c>
      <c r="G278">
        <v>0.05</v>
      </c>
    </row>
    <row r="279" spans="1:7">
      <c r="A279">
        <v>4092</v>
      </c>
      <c r="B279" s="106" t="s">
        <v>1287</v>
      </c>
      <c r="C279">
        <v>0.3</v>
      </c>
      <c r="D279">
        <v>0.1</v>
      </c>
      <c r="E279">
        <v>0.1</v>
      </c>
      <c r="F279">
        <v>0.1</v>
      </c>
      <c r="G279" s="106">
        <v>0</v>
      </c>
    </row>
    <row r="280" spans="1:7">
      <c r="A280">
        <v>4097</v>
      </c>
      <c r="B280" s="106" t="s">
        <v>1288</v>
      </c>
      <c r="C280">
        <v>0.15</v>
      </c>
      <c r="D280">
        <v>0.05</v>
      </c>
      <c r="E280">
        <v>0.05</v>
      </c>
      <c r="F280">
        <v>0.05</v>
      </c>
      <c r="G280" s="106">
        <v>0.05</v>
      </c>
    </row>
    <row r="281" spans="1:7">
      <c r="A281">
        <v>4099</v>
      </c>
      <c r="B281" s="106" t="s">
        <v>2533</v>
      </c>
      <c r="C281">
        <v>0.15</v>
      </c>
      <c r="D281" s="106" t="s">
        <v>233</v>
      </c>
      <c r="E281">
        <v>0.05</v>
      </c>
      <c r="F281">
        <v>0.05</v>
      </c>
      <c r="G281" s="106" t="s">
        <v>233</v>
      </c>
    </row>
    <row r="282" spans="1:7">
      <c r="A282">
        <v>4100</v>
      </c>
      <c r="B282" s="106" t="s">
        <v>1289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>
      <c r="A283">
        <v>4112</v>
      </c>
      <c r="B283" s="106" t="s">
        <v>1290</v>
      </c>
      <c r="C283">
        <v>0.3</v>
      </c>
      <c r="D283">
        <v>0.1</v>
      </c>
      <c r="E283">
        <v>0.1</v>
      </c>
      <c r="F283">
        <v>0.1</v>
      </c>
      <c r="G283">
        <v>0.1</v>
      </c>
    </row>
    <row r="284" spans="1:7">
      <c r="A284">
        <v>4114</v>
      </c>
      <c r="B284" s="106" t="s">
        <v>1291</v>
      </c>
      <c r="C284">
        <v>0.45</v>
      </c>
      <c r="D284">
        <v>0.15</v>
      </c>
      <c r="E284">
        <v>0.15</v>
      </c>
      <c r="F284">
        <v>0.15</v>
      </c>
      <c r="G284">
        <v>0.1</v>
      </c>
    </row>
    <row r="285" spans="1:7">
      <c r="A285">
        <v>4116</v>
      </c>
      <c r="B285" s="106" t="s">
        <v>1292</v>
      </c>
      <c r="C285">
        <v>0</v>
      </c>
      <c r="D285">
        <v>0</v>
      </c>
      <c r="E285">
        <v>0.05</v>
      </c>
      <c r="F285">
        <v>0.05</v>
      </c>
      <c r="G285">
        <v>0</v>
      </c>
    </row>
    <row r="286" spans="1:7">
      <c r="A286">
        <v>4151</v>
      </c>
      <c r="B286" s="106" t="s">
        <v>1293</v>
      </c>
      <c r="C286">
        <v>0.15</v>
      </c>
      <c r="D286">
        <v>0.05</v>
      </c>
      <c r="E286">
        <v>0.05</v>
      </c>
      <c r="F286">
        <v>0.05</v>
      </c>
      <c r="G286">
        <v>0.05</v>
      </c>
    </row>
    <row r="287" spans="1:7">
      <c r="A287">
        <v>4182</v>
      </c>
      <c r="B287" s="106" t="s">
        <v>88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>
      <c r="A288">
        <v>4183</v>
      </c>
      <c r="B288" s="106" t="s">
        <v>299</v>
      </c>
      <c r="C288">
        <v>0</v>
      </c>
      <c r="D288">
        <v>0.05</v>
      </c>
      <c r="E288">
        <v>0.05</v>
      </c>
      <c r="F288">
        <v>0.05</v>
      </c>
      <c r="G288">
        <v>0</v>
      </c>
    </row>
    <row r="289" spans="1:7">
      <c r="A289">
        <v>4185</v>
      </c>
      <c r="B289" s="106" t="s">
        <v>2534</v>
      </c>
      <c r="C289">
        <v>0</v>
      </c>
      <c r="D289">
        <v>0</v>
      </c>
      <c r="E289" s="106" t="s">
        <v>233</v>
      </c>
      <c r="F289" s="106" t="s">
        <v>233</v>
      </c>
      <c r="G289" s="106" t="s">
        <v>233</v>
      </c>
    </row>
    <row r="290" spans="1:7">
      <c r="A290">
        <v>4186</v>
      </c>
      <c r="B290" s="106" t="s">
        <v>1294</v>
      </c>
      <c r="C290">
        <v>0</v>
      </c>
      <c r="D290">
        <v>0.1</v>
      </c>
      <c r="E290">
        <v>0.1</v>
      </c>
      <c r="F290">
        <v>0</v>
      </c>
      <c r="G290">
        <v>0</v>
      </c>
    </row>
    <row r="291" spans="1:7">
      <c r="A291">
        <v>4187</v>
      </c>
      <c r="B291" s="106" t="s">
        <v>2535</v>
      </c>
      <c r="C291">
        <v>0</v>
      </c>
      <c r="D291" s="106" t="s">
        <v>233</v>
      </c>
      <c r="E291" s="106" t="s">
        <v>233</v>
      </c>
      <c r="F291" s="106" t="s">
        <v>233</v>
      </c>
      <c r="G291" s="106" t="s">
        <v>233</v>
      </c>
    </row>
    <row r="292" spans="1:7">
      <c r="A292">
        <v>4202</v>
      </c>
      <c r="B292" s="106" t="s">
        <v>89</v>
      </c>
      <c r="C292">
        <v>0</v>
      </c>
      <c r="D292">
        <v>0.05</v>
      </c>
      <c r="E292">
        <v>0</v>
      </c>
      <c r="F292">
        <v>0</v>
      </c>
      <c r="G292">
        <v>0.05</v>
      </c>
    </row>
    <row r="293" spans="1:7">
      <c r="A293">
        <v>4203</v>
      </c>
      <c r="B293" s="106" t="s">
        <v>1295</v>
      </c>
      <c r="C293">
        <v>0</v>
      </c>
      <c r="D293">
        <v>0</v>
      </c>
      <c r="E293">
        <v>0</v>
      </c>
      <c r="F293">
        <v>0.1</v>
      </c>
      <c r="G293">
        <v>0.1</v>
      </c>
    </row>
    <row r="294" spans="1:7">
      <c r="A294">
        <v>4204</v>
      </c>
      <c r="B294" s="106" t="s">
        <v>321</v>
      </c>
      <c r="C294">
        <v>0.15</v>
      </c>
      <c r="D294">
        <v>0</v>
      </c>
      <c r="E294">
        <v>0</v>
      </c>
      <c r="F294">
        <v>0</v>
      </c>
      <c r="G294">
        <v>0.05</v>
      </c>
    </row>
    <row r="295" spans="1:7">
      <c r="A295">
        <v>4205</v>
      </c>
      <c r="B295" s="106" t="s">
        <v>1296</v>
      </c>
      <c r="C295">
        <v>0.15</v>
      </c>
      <c r="D295">
        <v>0.05</v>
      </c>
      <c r="E295">
        <v>0.05</v>
      </c>
      <c r="F295">
        <v>0.05</v>
      </c>
      <c r="G295">
        <v>0.05</v>
      </c>
    </row>
    <row r="296" spans="1:7">
      <c r="A296">
        <v>4208</v>
      </c>
      <c r="B296" s="106" t="s">
        <v>98</v>
      </c>
      <c r="C296">
        <v>0.15</v>
      </c>
      <c r="D296">
        <v>0.05</v>
      </c>
      <c r="E296">
        <v>0.05</v>
      </c>
      <c r="F296">
        <v>0.05</v>
      </c>
      <c r="G296">
        <v>0.05</v>
      </c>
    </row>
    <row r="297" spans="1:7">
      <c r="A297">
        <v>4212</v>
      </c>
      <c r="B297" s="106" t="s">
        <v>1297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>
      <c r="A298">
        <v>4215</v>
      </c>
      <c r="B298" s="106" t="s">
        <v>2536</v>
      </c>
      <c r="C298">
        <v>0</v>
      </c>
      <c r="D298">
        <v>0</v>
      </c>
      <c r="E298">
        <v>0</v>
      </c>
      <c r="F298" s="106" t="s">
        <v>233</v>
      </c>
      <c r="G298" s="106" t="s">
        <v>233</v>
      </c>
    </row>
    <row r="299" spans="1:7">
      <c r="A299">
        <v>4216</v>
      </c>
      <c r="B299" s="106" t="s">
        <v>1298</v>
      </c>
      <c r="C299">
        <v>0.15</v>
      </c>
      <c r="D299">
        <v>0.05</v>
      </c>
      <c r="E299">
        <v>0.05</v>
      </c>
      <c r="F299">
        <v>0.05</v>
      </c>
      <c r="G299" s="106">
        <v>0.05</v>
      </c>
    </row>
    <row r="300" spans="1:7">
      <c r="A300">
        <v>4218</v>
      </c>
      <c r="B300" s="106" t="s">
        <v>1299</v>
      </c>
      <c r="C300">
        <v>0</v>
      </c>
      <c r="D300">
        <v>0.05</v>
      </c>
      <c r="E300">
        <v>0</v>
      </c>
      <c r="F300">
        <v>0.05</v>
      </c>
      <c r="G300" s="106">
        <v>0</v>
      </c>
    </row>
    <row r="301" spans="1:7">
      <c r="A301">
        <v>4221</v>
      </c>
      <c r="B301" s="106" t="s">
        <v>2537</v>
      </c>
      <c r="C301">
        <v>0</v>
      </c>
      <c r="D301">
        <v>0.05</v>
      </c>
      <c r="E301" s="106" t="s">
        <v>233</v>
      </c>
      <c r="F301">
        <v>0.05</v>
      </c>
      <c r="G301" s="106" t="s">
        <v>233</v>
      </c>
    </row>
    <row r="302" spans="1:7">
      <c r="A302">
        <v>4245</v>
      </c>
      <c r="B302" s="106" t="s">
        <v>2538</v>
      </c>
      <c r="C302">
        <v>0</v>
      </c>
      <c r="D302">
        <v>0</v>
      </c>
      <c r="E302" s="106" t="s">
        <v>233</v>
      </c>
      <c r="F302">
        <v>0</v>
      </c>
      <c r="G302" s="106" t="s">
        <v>233</v>
      </c>
    </row>
    <row r="303" spans="1:7">
      <c r="A303">
        <v>4246</v>
      </c>
      <c r="B303" s="106" t="s">
        <v>2539</v>
      </c>
      <c r="C303">
        <v>0</v>
      </c>
      <c r="D303" s="106" t="s">
        <v>233</v>
      </c>
      <c r="E303" s="106">
        <v>0</v>
      </c>
      <c r="F303" s="106" t="s">
        <v>233</v>
      </c>
      <c r="G303" s="106" t="s">
        <v>233</v>
      </c>
    </row>
    <row r="304" spans="1:7">
      <c r="A304">
        <v>4272</v>
      </c>
      <c r="B304" s="106" t="s">
        <v>1300</v>
      </c>
      <c r="C304">
        <v>0</v>
      </c>
      <c r="D304">
        <v>0</v>
      </c>
      <c r="E304">
        <v>0</v>
      </c>
      <c r="F304">
        <v>0.05</v>
      </c>
      <c r="G304">
        <v>0</v>
      </c>
    </row>
    <row r="305" spans="1:7">
      <c r="A305">
        <v>4286</v>
      </c>
      <c r="B305" s="106" t="s">
        <v>1301</v>
      </c>
      <c r="C305">
        <v>0.15</v>
      </c>
      <c r="D305" s="106">
        <v>0</v>
      </c>
      <c r="E305">
        <v>0</v>
      </c>
      <c r="F305">
        <v>0</v>
      </c>
      <c r="G305">
        <v>0</v>
      </c>
    </row>
    <row r="306" spans="1:7">
      <c r="A306">
        <v>4290</v>
      </c>
      <c r="B306" s="106" t="s">
        <v>1302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>
      <c r="A307">
        <v>4299</v>
      </c>
      <c r="B307" s="106" t="s">
        <v>1303</v>
      </c>
      <c r="C307">
        <v>0.15</v>
      </c>
      <c r="D307">
        <v>0.05</v>
      </c>
      <c r="E307">
        <v>0.05</v>
      </c>
      <c r="F307">
        <v>0.05</v>
      </c>
      <c r="G307">
        <v>0.05</v>
      </c>
    </row>
    <row r="308" spans="1:7">
      <c r="A308">
        <v>4307</v>
      </c>
      <c r="B308" s="106" t="s">
        <v>1304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>
      <c r="A309">
        <v>4310</v>
      </c>
      <c r="B309" s="106" t="s">
        <v>1305</v>
      </c>
      <c r="C309">
        <v>0</v>
      </c>
      <c r="D309">
        <v>0</v>
      </c>
      <c r="E309">
        <v>0</v>
      </c>
      <c r="F309">
        <v>0</v>
      </c>
      <c r="G309">
        <v>0.05</v>
      </c>
    </row>
    <row r="310" spans="1:7">
      <c r="A310">
        <v>4321</v>
      </c>
      <c r="B310" s="106" t="s">
        <v>1306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>
      <c r="A311">
        <v>4337</v>
      </c>
      <c r="B311" s="106" t="s">
        <v>1307</v>
      </c>
      <c r="C311">
        <v>0.3</v>
      </c>
      <c r="D311">
        <v>0.1</v>
      </c>
      <c r="E311">
        <v>0.1</v>
      </c>
      <c r="F311">
        <v>0.1</v>
      </c>
      <c r="G311">
        <v>0.1</v>
      </c>
    </row>
    <row r="312" spans="1:7">
      <c r="A312">
        <v>4344</v>
      </c>
      <c r="B312" s="106" t="s">
        <v>1308</v>
      </c>
      <c r="C312">
        <v>0</v>
      </c>
      <c r="D312">
        <v>0</v>
      </c>
      <c r="E312">
        <v>0.05</v>
      </c>
      <c r="F312">
        <v>0.05</v>
      </c>
      <c r="G312">
        <v>0.05</v>
      </c>
    </row>
    <row r="313" spans="1:7">
      <c r="A313">
        <v>4345</v>
      </c>
      <c r="B313" s="106" t="s">
        <v>1309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>
      <c r="A314">
        <v>4362</v>
      </c>
      <c r="B314" s="106" t="s">
        <v>2540</v>
      </c>
      <c r="C314">
        <v>0</v>
      </c>
      <c r="D314">
        <v>0.05</v>
      </c>
      <c r="E314" s="106" t="s">
        <v>233</v>
      </c>
      <c r="F314">
        <v>0</v>
      </c>
      <c r="G314" s="106" t="s">
        <v>233</v>
      </c>
    </row>
    <row r="315" spans="1:7">
      <c r="A315">
        <v>4368</v>
      </c>
      <c r="B315" s="106" t="s">
        <v>1310</v>
      </c>
      <c r="C315">
        <v>0</v>
      </c>
      <c r="D315">
        <v>0</v>
      </c>
      <c r="E315">
        <v>0</v>
      </c>
      <c r="F315">
        <v>0.05</v>
      </c>
      <c r="G315">
        <v>0.05</v>
      </c>
    </row>
    <row r="316" spans="1:7">
      <c r="A316">
        <v>4401</v>
      </c>
      <c r="B316" s="106" t="s">
        <v>314</v>
      </c>
      <c r="C316">
        <v>0.15</v>
      </c>
      <c r="D316">
        <v>0.05</v>
      </c>
      <c r="E316">
        <v>0.05</v>
      </c>
      <c r="F316">
        <v>0.05</v>
      </c>
      <c r="G316">
        <v>0.05</v>
      </c>
    </row>
    <row r="317" spans="1:7">
      <c r="A317">
        <v>4403</v>
      </c>
      <c r="B317" s="106" t="s">
        <v>1311</v>
      </c>
      <c r="C317">
        <v>0</v>
      </c>
      <c r="D317">
        <v>0</v>
      </c>
      <c r="E317" s="106" t="s">
        <v>233</v>
      </c>
      <c r="F317" s="106" t="s">
        <v>233</v>
      </c>
      <c r="G317">
        <v>0.05</v>
      </c>
    </row>
    <row r="318" spans="1:7">
      <c r="A318">
        <v>4404</v>
      </c>
      <c r="B318" s="106" t="s">
        <v>1312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>
      <c r="A319">
        <v>4410</v>
      </c>
      <c r="B319" s="106" t="s">
        <v>1313</v>
      </c>
      <c r="C319">
        <v>0.15</v>
      </c>
      <c r="D319">
        <v>0.05</v>
      </c>
      <c r="E319">
        <v>0</v>
      </c>
      <c r="F319" s="106">
        <v>0</v>
      </c>
      <c r="G319">
        <v>0</v>
      </c>
    </row>
    <row r="320" spans="1:7">
      <c r="A320">
        <v>4452</v>
      </c>
      <c r="B320" s="106" t="s">
        <v>1314</v>
      </c>
      <c r="C320">
        <v>0.45</v>
      </c>
      <c r="D320">
        <v>0.15</v>
      </c>
      <c r="E320">
        <v>0.15</v>
      </c>
      <c r="F320" s="106">
        <v>0.15</v>
      </c>
      <c r="G320">
        <v>0</v>
      </c>
    </row>
    <row r="321" spans="1:7">
      <c r="A321">
        <v>4461</v>
      </c>
      <c r="B321" s="106" t="s">
        <v>1315</v>
      </c>
      <c r="C321">
        <v>0.3</v>
      </c>
      <c r="D321">
        <v>0.1</v>
      </c>
      <c r="E321">
        <v>0.1</v>
      </c>
      <c r="F321" s="106">
        <v>0.1</v>
      </c>
      <c r="G321">
        <v>0.1</v>
      </c>
    </row>
    <row r="322" spans="1:7">
      <c r="A322">
        <v>4503</v>
      </c>
      <c r="B322" s="106" t="s">
        <v>1316</v>
      </c>
      <c r="C322">
        <v>0</v>
      </c>
      <c r="D322">
        <v>0.05</v>
      </c>
      <c r="E322">
        <v>0</v>
      </c>
      <c r="F322">
        <v>0</v>
      </c>
      <c r="G322">
        <v>0.05</v>
      </c>
    </row>
    <row r="323" spans="1:7">
      <c r="A323">
        <v>4512</v>
      </c>
      <c r="B323" s="106" t="s">
        <v>1317</v>
      </c>
      <c r="C323">
        <v>0</v>
      </c>
      <c r="D323">
        <v>0</v>
      </c>
      <c r="E323">
        <v>0</v>
      </c>
      <c r="F323">
        <v>0.05</v>
      </c>
      <c r="G323">
        <v>0</v>
      </c>
    </row>
    <row r="324" spans="1:7">
      <c r="A324">
        <v>4519</v>
      </c>
      <c r="B324" s="106" t="s">
        <v>787</v>
      </c>
      <c r="C324">
        <v>0.6</v>
      </c>
      <c r="D324">
        <v>0.2</v>
      </c>
      <c r="E324">
        <v>0.2</v>
      </c>
      <c r="F324">
        <v>0.2</v>
      </c>
      <c r="G324">
        <v>0.2</v>
      </c>
    </row>
    <row r="325" spans="1:7">
      <c r="A325">
        <v>4521</v>
      </c>
      <c r="B325" s="106" t="s">
        <v>1318</v>
      </c>
      <c r="C325">
        <v>0.3</v>
      </c>
      <c r="D325">
        <v>0.1</v>
      </c>
      <c r="E325">
        <v>0.1</v>
      </c>
      <c r="F325">
        <v>0.1</v>
      </c>
      <c r="G325">
        <v>0.1</v>
      </c>
    </row>
    <row r="326" spans="1:7">
      <c r="A326">
        <v>4526</v>
      </c>
      <c r="B326" s="106" t="s">
        <v>1319</v>
      </c>
      <c r="C326">
        <v>0</v>
      </c>
      <c r="D326">
        <v>0.1</v>
      </c>
      <c r="E326">
        <v>0.1</v>
      </c>
      <c r="F326" s="106">
        <v>0.1</v>
      </c>
      <c r="G326">
        <v>0.1</v>
      </c>
    </row>
    <row r="327" spans="1:7">
      <c r="A327">
        <v>4527</v>
      </c>
      <c r="B327" s="106" t="s">
        <v>1320</v>
      </c>
      <c r="C327">
        <v>0.15</v>
      </c>
      <c r="D327">
        <v>0</v>
      </c>
      <c r="E327">
        <v>0.05</v>
      </c>
      <c r="F327" s="106">
        <v>0</v>
      </c>
      <c r="G327">
        <v>0</v>
      </c>
    </row>
    <row r="328" spans="1:7">
      <c r="A328">
        <v>4528</v>
      </c>
      <c r="B328" s="106" t="s">
        <v>1321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>
      <c r="A329">
        <v>4530</v>
      </c>
      <c r="B329" s="106" t="s">
        <v>2541</v>
      </c>
      <c r="C329">
        <v>0</v>
      </c>
      <c r="D329">
        <v>0</v>
      </c>
      <c r="E329">
        <v>0</v>
      </c>
      <c r="F329">
        <v>0</v>
      </c>
      <c r="G329" s="106" t="s">
        <v>233</v>
      </c>
    </row>
    <row r="330" spans="1:7">
      <c r="A330">
        <v>4531</v>
      </c>
      <c r="B330" s="106" t="s">
        <v>1322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>
      <c r="A331">
        <v>4534</v>
      </c>
      <c r="B331" s="106" t="s">
        <v>1323</v>
      </c>
      <c r="C331">
        <v>0.3</v>
      </c>
      <c r="D331">
        <v>0.1</v>
      </c>
      <c r="E331">
        <v>0.1</v>
      </c>
      <c r="F331">
        <v>0.1</v>
      </c>
      <c r="G331">
        <v>0.1</v>
      </c>
    </row>
    <row r="332" spans="1:7">
      <c r="A332">
        <v>4536</v>
      </c>
      <c r="B332" s="106" t="s">
        <v>1324</v>
      </c>
      <c r="C332">
        <v>0.15</v>
      </c>
      <c r="D332">
        <v>0.05</v>
      </c>
      <c r="E332">
        <v>0.05</v>
      </c>
      <c r="F332">
        <v>0.05</v>
      </c>
      <c r="G332">
        <v>0.05</v>
      </c>
    </row>
    <row r="333" spans="1:7">
      <c r="A333">
        <v>4538</v>
      </c>
      <c r="B333" s="106" t="s">
        <v>1325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>
      <c r="A334">
        <v>4540</v>
      </c>
      <c r="B334" s="106" t="s">
        <v>1326</v>
      </c>
      <c r="C334">
        <v>0</v>
      </c>
      <c r="D334">
        <v>0.05</v>
      </c>
      <c r="E334">
        <v>0</v>
      </c>
      <c r="F334">
        <v>0</v>
      </c>
      <c r="G334">
        <v>0.05</v>
      </c>
    </row>
    <row r="335" spans="1:7">
      <c r="A335">
        <v>4541</v>
      </c>
      <c r="B335" s="106" t="s">
        <v>2542</v>
      </c>
      <c r="C335">
        <v>0</v>
      </c>
      <c r="D335">
        <v>0</v>
      </c>
      <c r="E335">
        <v>0</v>
      </c>
      <c r="F335">
        <v>0</v>
      </c>
      <c r="G335" s="106" t="s">
        <v>233</v>
      </c>
    </row>
    <row r="336" spans="1:7">
      <c r="A336">
        <v>4543</v>
      </c>
      <c r="B336" s="106" t="s">
        <v>1327</v>
      </c>
      <c r="C336">
        <v>0.3</v>
      </c>
      <c r="D336">
        <v>0.1</v>
      </c>
      <c r="E336">
        <v>0</v>
      </c>
      <c r="F336">
        <v>0.1</v>
      </c>
      <c r="G336">
        <v>0</v>
      </c>
    </row>
    <row r="337" spans="1:7">
      <c r="A337">
        <v>4547</v>
      </c>
      <c r="B337" s="106" t="s">
        <v>1328</v>
      </c>
      <c r="C337">
        <v>0.15</v>
      </c>
      <c r="D337">
        <v>0.05</v>
      </c>
      <c r="E337">
        <v>0.05</v>
      </c>
      <c r="F337">
        <v>0.05</v>
      </c>
      <c r="G337">
        <v>0.1</v>
      </c>
    </row>
    <row r="338" spans="1:7">
      <c r="A338">
        <v>4550</v>
      </c>
      <c r="B338" s="106" t="s">
        <v>2543</v>
      </c>
      <c r="C338">
        <v>0</v>
      </c>
      <c r="D338">
        <v>0</v>
      </c>
      <c r="E338">
        <v>0</v>
      </c>
      <c r="F338" s="106" t="s">
        <v>233</v>
      </c>
      <c r="G338" s="106" t="s">
        <v>233</v>
      </c>
    </row>
    <row r="339" spans="1:7">
      <c r="A339">
        <v>4553</v>
      </c>
      <c r="B339" s="106" t="s">
        <v>1329</v>
      </c>
      <c r="C339">
        <v>0.15</v>
      </c>
      <c r="D339">
        <v>0.05</v>
      </c>
      <c r="E339">
        <v>0.05</v>
      </c>
      <c r="F339">
        <v>0.05</v>
      </c>
      <c r="G339">
        <v>0.05</v>
      </c>
    </row>
    <row r="340" spans="1:7">
      <c r="A340">
        <v>4554</v>
      </c>
      <c r="B340" s="106" t="s">
        <v>1330</v>
      </c>
      <c r="C340">
        <v>0.15</v>
      </c>
      <c r="D340">
        <v>0.05</v>
      </c>
      <c r="E340">
        <v>0.05</v>
      </c>
      <c r="F340">
        <v>0.05</v>
      </c>
      <c r="G340">
        <v>0.05</v>
      </c>
    </row>
    <row r="341" spans="1:7">
      <c r="A341">
        <v>4555</v>
      </c>
      <c r="B341" s="106" t="s">
        <v>1331</v>
      </c>
      <c r="C341">
        <v>0.45</v>
      </c>
      <c r="D341">
        <v>0.15</v>
      </c>
      <c r="E341">
        <v>0.15</v>
      </c>
      <c r="F341">
        <v>0.15</v>
      </c>
      <c r="G341">
        <v>0.15</v>
      </c>
    </row>
    <row r="342" spans="1:7">
      <c r="A342">
        <v>4559</v>
      </c>
      <c r="B342" s="106" t="s">
        <v>1332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>
      <c r="A343">
        <v>4574</v>
      </c>
      <c r="B343" s="106" t="s">
        <v>1333</v>
      </c>
      <c r="C343">
        <v>0.3</v>
      </c>
      <c r="D343" s="106">
        <v>0.1</v>
      </c>
      <c r="E343">
        <v>0.05</v>
      </c>
      <c r="F343" s="106">
        <v>0.05</v>
      </c>
      <c r="G343">
        <v>0.05</v>
      </c>
    </row>
    <row r="344" spans="1:7">
      <c r="A344">
        <v>4612</v>
      </c>
      <c r="B344" s="106" t="s">
        <v>1334</v>
      </c>
      <c r="C344">
        <v>0.3</v>
      </c>
      <c r="D344">
        <v>0.1</v>
      </c>
      <c r="E344">
        <v>0.1</v>
      </c>
      <c r="F344">
        <v>0.1</v>
      </c>
      <c r="G344">
        <v>0.1</v>
      </c>
    </row>
    <row r="345" spans="1:7">
      <c r="A345">
        <v>4613</v>
      </c>
      <c r="B345" s="106" t="s">
        <v>317</v>
      </c>
      <c r="C345">
        <v>0.15</v>
      </c>
      <c r="D345">
        <v>0.05</v>
      </c>
      <c r="E345">
        <v>0.05</v>
      </c>
      <c r="F345">
        <v>0.05</v>
      </c>
      <c r="G345">
        <v>0.05</v>
      </c>
    </row>
    <row r="346" spans="1:7">
      <c r="A346">
        <v>4617</v>
      </c>
      <c r="B346" s="106" t="s">
        <v>1335</v>
      </c>
      <c r="C346">
        <v>0.15</v>
      </c>
      <c r="D346">
        <v>0</v>
      </c>
      <c r="E346">
        <v>0</v>
      </c>
      <c r="F346">
        <v>0</v>
      </c>
      <c r="G346" s="106">
        <v>0</v>
      </c>
    </row>
    <row r="347" spans="1:7">
      <c r="A347">
        <v>4633</v>
      </c>
      <c r="B347" s="106" t="s">
        <v>1336</v>
      </c>
      <c r="C347">
        <v>0.15</v>
      </c>
      <c r="D347">
        <v>0.05</v>
      </c>
      <c r="E347">
        <v>0.05</v>
      </c>
      <c r="F347">
        <v>0.05</v>
      </c>
      <c r="G347" s="106">
        <v>0.05</v>
      </c>
    </row>
    <row r="348" spans="1:7">
      <c r="A348">
        <v>4634</v>
      </c>
      <c r="B348" s="106" t="s">
        <v>139</v>
      </c>
      <c r="C348">
        <v>0.15</v>
      </c>
      <c r="D348">
        <v>0.05</v>
      </c>
      <c r="E348">
        <v>0.05</v>
      </c>
      <c r="F348">
        <v>0.05</v>
      </c>
      <c r="G348">
        <v>0.05</v>
      </c>
    </row>
    <row r="349" spans="1:7">
      <c r="A349">
        <v>4658</v>
      </c>
      <c r="B349" s="106" t="s">
        <v>1337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>
      <c r="A350">
        <v>4665</v>
      </c>
      <c r="B350" s="106" t="s">
        <v>1338</v>
      </c>
      <c r="C350">
        <v>0.15</v>
      </c>
      <c r="D350">
        <v>0.05</v>
      </c>
      <c r="E350">
        <v>0.05</v>
      </c>
      <c r="F350">
        <v>0.05</v>
      </c>
      <c r="G350">
        <v>0.05</v>
      </c>
    </row>
    <row r="351" spans="1:7">
      <c r="A351">
        <v>4666</v>
      </c>
      <c r="B351" s="106" t="s">
        <v>1339</v>
      </c>
      <c r="C351">
        <v>0</v>
      </c>
      <c r="D351">
        <v>0.05</v>
      </c>
      <c r="E351">
        <v>0</v>
      </c>
      <c r="F351" s="106" t="s">
        <v>233</v>
      </c>
      <c r="G351">
        <v>0</v>
      </c>
    </row>
    <row r="352" spans="1:7">
      <c r="A352">
        <v>4668</v>
      </c>
      <c r="B352" s="106" t="s">
        <v>1340</v>
      </c>
      <c r="C352">
        <v>0</v>
      </c>
      <c r="D352" s="106">
        <v>0.05</v>
      </c>
      <c r="E352" s="106">
        <v>0.05</v>
      </c>
      <c r="F352">
        <v>0.05</v>
      </c>
      <c r="G352">
        <v>0.05</v>
      </c>
    </row>
    <row r="353" spans="1:7">
      <c r="A353">
        <v>4671</v>
      </c>
      <c r="B353" s="106" t="s">
        <v>1341</v>
      </c>
      <c r="C353">
        <v>0</v>
      </c>
      <c r="D353" s="106">
        <v>0</v>
      </c>
      <c r="E353" s="106">
        <v>0</v>
      </c>
      <c r="F353">
        <v>0</v>
      </c>
      <c r="G353">
        <v>0</v>
      </c>
    </row>
    <row r="354" spans="1:7">
      <c r="A354">
        <v>4676</v>
      </c>
      <c r="B354" s="106" t="s">
        <v>1342</v>
      </c>
      <c r="C354">
        <v>0</v>
      </c>
      <c r="D354">
        <v>0.05</v>
      </c>
      <c r="E354">
        <v>0.05</v>
      </c>
      <c r="F354">
        <v>0.05</v>
      </c>
      <c r="G354">
        <v>0.05</v>
      </c>
    </row>
    <row r="355" spans="1:7">
      <c r="A355">
        <v>4678</v>
      </c>
      <c r="B355" s="106" t="s">
        <v>2544</v>
      </c>
      <c r="C355">
        <v>0</v>
      </c>
      <c r="D355">
        <v>0</v>
      </c>
      <c r="E355">
        <v>0</v>
      </c>
      <c r="F355">
        <v>0</v>
      </c>
      <c r="G355" s="106" t="s">
        <v>233</v>
      </c>
    </row>
    <row r="356" spans="1:7">
      <c r="A356">
        <v>4694</v>
      </c>
      <c r="B356" s="106" t="s">
        <v>2545</v>
      </c>
      <c r="C356">
        <v>0</v>
      </c>
      <c r="D356" s="106" t="s">
        <v>233</v>
      </c>
      <c r="E356" s="106" t="s">
        <v>233</v>
      </c>
      <c r="F356" s="106" t="s">
        <v>233</v>
      </c>
      <c r="G356" s="106" t="s">
        <v>233</v>
      </c>
    </row>
    <row r="357" spans="1:7">
      <c r="A357">
        <v>4696</v>
      </c>
      <c r="B357" s="106" t="s">
        <v>1343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>
      <c r="A358">
        <v>4704</v>
      </c>
      <c r="B358" s="106" t="s">
        <v>2546</v>
      </c>
      <c r="C358">
        <v>0</v>
      </c>
      <c r="D358" s="106">
        <v>0</v>
      </c>
      <c r="E358" s="106">
        <v>0</v>
      </c>
      <c r="F358" s="106">
        <v>0</v>
      </c>
      <c r="G358" s="106" t="s">
        <v>233</v>
      </c>
    </row>
    <row r="359" spans="1:7">
      <c r="A359">
        <v>4716</v>
      </c>
      <c r="B359" s="106" t="s">
        <v>1344</v>
      </c>
      <c r="C359">
        <v>0.6</v>
      </c>
      <c r="D359" s="106">
        <v>0.2</v>
      </c>
      <c r="E359" s="106">
        <v>0.2</v>
      </c>
      <c r="F359" s="106">
        <v>0.2</v>
      </c>
      <c r="G359">
        <v>0.2</v>
      </c>
    </row>
    <row r="360" spans="1:7">
      <c r="A360">
        <v>4719</v>
      </c>
      <c r="B360" s="106" t="s">
        <v>1345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>
      <c r="A361">
        <v>4725</v>
      </c>
      <c r="B361" s="106" t="s">
        <v>1346</v>
      </c>
      <c r="C361">
        <v>0.15</v>
      </c>
      <c r="D361">
        <v>0.05</v>
      </c>
      <c r="E361">
        <v>0.05</v>
      </c>
      <c r="F361">
        <v>0.05</v>
      </c>
      <c r="G361">
        <v>0.05</v>
      </c>
    </row>
    <row r="362" spans="1:7">
      <c r="A362">
        <v>4726</v>
      </c>
      <c r="B362" s="106" t="s">
        <v>2547</v>
      </c>
      <c r="C362">
        <v>0</v>
      </c>
      <c r="D362">
        <v>0</v>
      </c>
      <c r="E362">
        <v>0</v>
      </c>
      <c r="F362">
        <v>0</v>
      </c>
      <c r="G362" s="106" t="s">
        <v>233</v>
      </c>
    </row>
    <row r="363" spans="1:7">
      <c r="A363">
        <v>4732</v>
      </c>
      <c r="B363" s="106" t="s">
        <v>1347</v>
      </c>
      <c r="C363">
        <v>0</v>
      </c>
      <c r="D363" s="106">
        <v>0.05</v>
      </c>
      <c r="E363">
        <v>0.05</v>
      </c>
      <c r="F363" s="106">
        <v>0.05</v>
      </c>
      <c r="G363">
        <v>0.05</v>
      </c>
    </row>
    <row r="364" spans="1:7">
      <c r="A364">
        <v>4812</v>
      </c>
      <c r="B364" s="106" t="s">
        <v>1348</v>
      </c>
      <c r="C364">
        <v>0.3</v>
      </c>
      <c r="D364" s="106">
        <v>0.1</v>
      </c>
      <c r="E364">
        <v>0.1</v>
      </c>
      <c r="F364" s="106">
        <v>0.1</v>
      </c>
      <c r="G364">
        <v>0</v>
      </c>
    </row>
    <row r="365" spans="1:7">
      <c r="A365">
        <v>4820</v>
      </c>
      <c r="B365" s="106" t="s">
        <v>1349</v>
      </c>
      <c r="C365">
        <v>0.6</v>
      </c>
      <c r="D365">
        <v>0.05</v>
      </c>
      <c r="E365">
        <v>0.05</v>
      </c>
      <c r="F365" s="106">
        <v>0.05</v>
      </c>
      <c r="G365">
        <v>0.05</v>
      </c>
    </row>
    <row r="366" spans="1:7">
      <c r="A366">
        <v>4825</v>
      </c>
      <c r="B366" s="106" t="s">
        <v>1350</v>
      </c>
      <c r="C366">
        <v>0.3</v>
      </c>
      <c r="D366">
        <v>0.1</v>
      </c>
      <c r="E366">
        <v>0.1</v>
      </c>
      <c r="F366" s="106">
        <v>0.1</v>
      </c>
      <c r="G366">
        <v>0.1</v>
      </c>
    </row>
    <row r="367" spans="1:7">
      <c r="A367">
        <v>4826</v>
      </c>
      <c r="B367" s="106" t="s">
        <v>1351</v>
      </c>
      <c r="C367">
        <v>0</v>
      </c>
      <c r="D367">
        <v>0</v>
      </c>
      <c r="E367">
        <v>0.05</v>
      </c>
      <c r="F367">
        <v>0.05</v>
      </c>
      <c r="G367">
        <v>0.05</v>
      </c>
    </row>
    <row r="368" spans="1:7">
      <c r="A368">
        <v>4828</v>
      </c>
      <c r="B368" s="106" t="s">
        <v>1352</v>
      </c>
      <c r="C368">
        <v>0</v>
      </c>
      <c r="D368" s="106">
        <v>0</v>
      </c>
      <c r="E368" s="106">
        <v>0</v>
      </c>
      <c r="F368" s="106">
        <v>0</v>
      </c>
      <c r="G368" s="106">
        <v>0</v>
      </c>
    </row>
    <row r="369" spans="1:7">
      <c r="A369">
        <v>4839</v>
      </c>
      <c r="B369" s="106" t="s">
        <v>1353</v>
      </c>
      <c r="C369">
        <v>0</v>
      </c>
      <c r="D369" s="106">
        <v>0</v>
      </c>
      <c r="E369" s="106">
        <v>0</v>
      </c>
      <c r="F369" s="106">
        <v>0</v>
      </c>
      <c r="G369" s="106">
        <v>0</v>
      </c>
    </row>
    <row r="370" spans="1:7">
      <c r="A370">
        <v>4848</v>
      </c>
      <c r="B370" s="106" t="s">
        <v>1354</v>
      </c>
      <c r="C370">
        <v>0.15</v>
      </c>
      <c r="D370" s="106">
        <v>0.05</v>
      </c>
      <c r="E370">
        <v>0.05</v>
      </c>
      <c r="F370" s="106">
        <v>0.05</v>
      </c>
      <c r="G370" s="106">
        <v>0.05</v>
      </c>
    </row>
    <row r="371" spans="1:7">
      <c r="A371">
        <v>4849</v>
      </c>
      <c r="B371" s="106" t="s">
        <v>1042</v>
      </c>
      <c r="C371">
        <v>0.3</v>
      </c>
      <c r="D371" s="106">
        <v>0.1</v>
      </c>
      <c r="E371">
        <v>0.1</v>
      </c>
      <c r="F371" s="106">
        <v>0.1</v>
      </c>
      <c r="G371" s="106">
        <v>0.1</v>
      </c>
    </row>
    <row r="372" spans="1:7">
      <c r="A372">
        <v>4917</v>
      </c>
      <c r="B372" s="106" t="s">
        <v>1355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>
      <c r="A373">
        <v>4919</v>
      </c>
      <c r="B373" s="106" t="s">
        <v>1356</v>
      </c>
      <c r="C373">
        <v>0.3</v>
      </c>
      <c r="D373">
        <v>0.1</v>
      </c>
      <c r="E373" s="106">
        <v>0.1</v>
      </c>
      <c r="F373">
        <v>0.1</v>
      </c>
      <c r="G373" s="106">
        <v>0.1</v>
      </c>
    </row>
    <row r="374" spans="1:7">
      <c r="A374">
        <v>4928</v>
      </c>
      <c r="B374" s="106" t="s">
        <v>1357</v>
      </c>
      <c r="C374">
        <v>0</v>
      </c>
      <c r="D374">
        <v>0.05</v>
      </c>
      <c r="E374" s="106" t="s">
        <v>233</v>
      </c>
      <c r="F374" s="106" t="s">
        <v>233</v>
      </c>
      <c r="G374" s="106">
        <v>0.05</v>
      </c>
    </row>
    <row r="375" spans="1:7">
      <c r="A375">
        <v>4929</v>
      </c>
      <c r="B375" s="106" t="s">
        <v>1358</v>
      </c>
      <c r="C375">
        <v>0.15</v>
      </c>
      <c r="D375">
        <v>0.05</v>
      </c>
      <c r="E375" s="106">
        <v>0.05</v>
      </c>
      <c r="F375">
        <v>0.05</v>
      </c>
      <c r="G375">
        <v>0.05</v>
      </c>
    </row>
    <row r="376" spans="1:7">
      <c r="A376">
        <v>4951</v>
      </c>
      <c r="B376" s="106" t="s">
        <v>1359</v>
      </c>
      <c r="C376">
        <v>0</v>
      </c>
      <c r="D376">
        <v>0</v>
      </c>
      <c r="E376" s="106">
        <v>0</v>
      </c>
      <c r="F376">
        <v>0</v>
      </c>
      <c r="G376">
        <v>0</v>
      </c>
    </row>
    <row r="377" spans="1:7">
      <c r="A377">
        <v>4955</v>
      </c>
      <c r="B377" s="106" t="s">
        <v>1360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>
      <c r="A378">
        <v>4958</v>
      </c>
      <c r="B378" s="106" t="s">
        <v>1361</v>
      </c>
      <c r="C378">
        <v>0.15</v>
      </c>
      <c r="D378">
        <v>0.05</v>
      </c>
      <c r="E378">
        <v>0.05</v>
      </c>
      <c r="F378" s="106">
        <v>0.05</v>
      </c>
      <c r="G378" s="106">
        <v>0.05</v>
      </c>
    </row>
    <row r="379" spans="1:7">
      <c r="A379">
        <v>4963</v>
      </c>
      <c r="B379" s="106" t="s">
        <v>1362</v>
      </c>
      <c r="C379">
        <v>0</v>
      </c>
      <c r="D379" s="106" t="s">
        <v>233</v>
      </c>
      <c r="E379" s="106" t="s">
        <v>233</v>
      </c>
      <c r="F379" s="106" t="s">
        <v>233</v>
      </c>
      <c r="G379">
        <v>0</v>
      </c>
    </row>
    <row r="380" spans="1:7">
      <c r="A380">
        <v>4967</v>
      </c>
      <c r="B380" s="106" t="s">
        <v>1363</v>
      </c>
      <c r="C380">
        <v>0.45</v>
      </c>
      <c r="D380" s="106">
        <v>0.15</v>
      </c>
      <c r="E380">
        <v>0.15</v>
      </c>
      <c r="F380" s="106">
        <v>0.15</v>
      </c>
      <c r="G380">
        <v>0.15</v>
      </c>
    </row>
    <row r="381" spans="1:7">
      <c r="A381">
        <v>4968</v>
      </c>
      <c r="B381" s="106" t="s">
        <v>1364</v>
      </c>
      <c r="C381">
        <v>0</v>
      </c>
      <c r="D381" s="106">
        <v>0</v>
      </c>
      <c r="E381">
        <v>0</v>
      </c>
      <c r="F381" s="106">
        <v>0</v>
      </c>
      <c r="G381">
        <v>0</v>
      </c>
    </row>
    <row r="382" spans="1:7">
      <c r="A382">
        <v>4975</v>
      </c>
      <c r="B382" s="106" t="s">
        <v>1365</v>
      </c>
      <c r="C382">
        <v>0.15</v>
      </c>
      <c r="D382">
        <v>0.05</v>
      </c>
      <c r="E382">
        <v>0.05</v>
      </c>
      <c r="F382">
        <v>0.1</v>
      </c>
      <c r="G382">
        <v>0.1</v>
      </c>
    </row>
    <row r="383" spans="1:7">
      <c r="A383">
        <v>4985</v>
      </c>
      <c r="B383" s="106" t="s">
        <v>1366</v>
      </c>
      <c r="C383">
        <v>0.3</v>
      </c>
      <c r="D383">
        <v>0.1</v>
      </c>
      <c r="E383">
        <v>0.1</v>
      </c>
      <c r="F383">
        <v>0.1</v>
      </c>
      <c r="G383">
        <v>0.1</v>
      </c>
    </row>
    <row r="384" spans="1:7">
      <c r="A384">
        <v>4994</v>
      </c>
      <c r="B384" s="106" t="s">
        <v>1367</v>
      </c>
      <c r="C384">
        <v>0.15</v>
      </c>
      <c r="D384">
        <v>0.05</v>
      </c>
      <c r="E384">
        <v>0.05</v>
      </c>
      <c r="F384" s="106" t="s">
        <v>233</v>
      </c>
      <c r="G384">
        <v>0.05</v>
      </c>
    </row>
    <row r="385" spans="1:7">
      <c r="A385">
        <v>4996</v>
      </c>
      <c r="B385" s="106" t="s">
        <v>325</v>
      </c>
      <c r="C385">
        <v>0</v>
      </c>
      <c r="D385" s="106">
        <v>0</v>
      </c>
      <c r="E385" s="106">
        <v>0.05</v>
      </c>
      <c r="F385">
        <v>0.05</v>
      </c>
      <c r="G385">
        <v>0.05</v>
      </c>
    </row>
    <row r="386" spans="1:7">
      <c r="A386">
        <v>4997</v>
      </c>
      <c r="B386" s="106" t="s">
        <v>1368</v>
      </c>
      <c r="C386">
        <v>0</v>
      </c>
      <c r="D386" s="106">
        <v>0.05</v>
      </c>
      <c r="E386" s="106">
        <v>0</v>
      </c>
      <c r="F386">
        <v>0.05</v>
      </c>
      <c r="G386">
        <v>0</v>
      </c>
    </row>
    <row r="387" spans="1:7">
      <c r="A387">
        <v>5018</v>
      </c>
      <c r="B387" s="106" t="s">
        <v>1369</v>
      </c>
      <c r="C387">
        <v>0</v>
      </c>
      <c r="D387">
        <v>0</v>
      </c>
      <c r="E387">
        <v>0</v>
      </c>
      <c r="F387" s="106">
        <v>0</v>
      </c>
      <c r="G387">
        <v>0</v>
      </c>
    </row>
    <row r="388" spans="1:7">
      <c r="A388">
        <v>5020</v>
      </c>
      <c r="B388" s="106" t="s">
        <v>2548</v>
      </c>
      <c r="C388">
        <v>0</v>
      </c>
      <c r="D388" s="106" t="s">
        <v>233</v>
      </c>
      <c r="E388" s="106" t="s">
        <v>233</v>
      </c>
      <c r="F388" s="106">
        <v>0</v>
      </c>
      <c r="G388" s="106" t="s">
        <v>233</v>
      </c>
    </row>
    <row r="389" spans="1:7">
      <c r="A389">
        <v>5101</v>
      </c>
      <c r="B389" s="106" t="s">
        <v>2549</v>
      </c>
      <c r="C389">
        <v>0</v>
      </c>
      <c r="D389">
        <v>0</v>
      </c>
      <c r="E389" s="106">
        <v>0</v>
      </c>
      <c r="F389" s="106">
        <v>0.05</v>
      </c>
      <c r="G389" s="106" t="s">
        <v>233</v>
      </c>
    </row>
    <row r="390" spans="1:7">
      <c r="A390">
        <v>5105</v>
      </c>
      <c r="B390" s="106" t="s">
        <v>1370</v>
      </c>
      <c r="C390">
        <v>0.15</v>
      </c>
      <c r="D390">
        <v>0.05</v>
      </c>
      <c r="E390" s="106">
        <v>0.05</v>
      </c>
      <c r="F390" s="106">
        <v>0.05</v>
      </c>
      <c r="G390" s="106">
        <v>0.05</v>
      </c>
    </row>
    <row r="391" spans="1:7">
      <c r="A391">
        <v>5108</v>
      </c>
      <c r="B391" s="106" t="s">
        <v>1371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>
      <c r="A392">
        <v>5110</v>
      </c>
      <c r="B392" s="106" t="s">
        <v>127</v>
      </c>
      <c r="C392">
        <v>0</v>
      </c>
      <c r="D392">
        <v>0</v>
      </c>
      <c r="E392">
        <v>0.05</v>
      </c>
      <c r="F392">
        <v>0.05</v>
      </c>
      <c r="G392">
        <v>0</v>
      </c>
    </row>
    <row r="393" spans="1:7">
      <c r="A393">
        <v>5121</v>
      </c>
      <c r="B393" s="106" t="s">
        <v>1372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>
      <c r="A394">
        <v>5142</v>
      </c>
      <c r="B394" s="106" t="s">
        <v>1373</v>
      </c>
      <c r="C394">
        <v>0.15</v>
      </c>
      <c r="D394" s="106" t="s">
        <v>233</v>
      </c>
      <c r="E394">
        <v>0.05</v>
      </c>
      <c r="F394" s="106" t="s">
        <v>233</v>
      </c>
      <c r="G394">
        <v>0.05</v>
      </c>
    </row>
    <row r="395" spans="1:7">
      <c r="A395">
        <v>5185</v>
      </c>
      <c r="B395" s="106" t="s">
        <v>1374</v>
      </c>
      <c r="C395">
        <v>0.15</v>
      </c>
      <c r="D395">
        <v>0.05</v>
      </c>
      <c r="E395">
        <v>0.05</v>
      </c>
      <c r="F395">
        <v>0.05</v>
      </c>
      <c r="G395">
        <v>0.05</v>
      </c>
    </row>
    <row r="396" spans="1:7">
      <c r="A396">
        <v>5186</v>
      </c>
      <c r="B396" s="106" t="s">
        <v>1375</v>
      </c>
      <c r="C396">
        <v>0.3</v>
      </c>
      <c r="D396">
        <v>0.05</v>
      </c>
      <c r="E396">
        <v>0.05</v>
      </c>
      <c r="F396">
        <v>0</v>
      </c>
      <c r="G396" s="106">
        <v>0</v>
      </c>
    </row>
    <row r="397" spans="1:7">
      <c r="A397">
        <v>5191</v>
      </c>
      <c r="B397" s="106" t="s">
        <v>1376</v>
      </c>
      <c r="C397">
        <v>0.15</v>
      </c>
      <c r="D397">
        <v>0.05</v>
      </c>
      <c r="E397">
        <v>0.05</v>
      </c>
      <c r="F397">
        <v>0.05</v>
      </c>
      <c r="G397" s="106">
        <v>0.05</v>
      </c>
    </row>
    <row r="398" spans="1:7">
      <c r="A398">
        <v>5192</v>
      </c>
      <c r="B398" s="106" t="s">
        <v>1377</v>
      </c>
      <c r="C398">
        <v>0.15</v>
      </c>
      <c r="D398">
        <v>0.05</v>
      </c>
      <c r="E398">
        <v>0.05</v>
      </c>
      <c r="F398">
        <v>0.05</v>
      </c>
      <c r="G398">
        <v>0.05</v>
      </c>
    </row>
    <row r="399" spans="1:7">
      <c r="A399">
        <v>5195</v>
      </c>
      <c r="B399" s="106" t="s">
        <v>1378</v>
      </c>
      <c r="C399">
        <v>0</v>
      </c>
      <c r="D399">
        <v>0</v>
      </c>
      <c r="E399" s="106" t="s">
        <v>233</v>
      </c>
      <c r="F399">
        <v>0.05</v>
      </c>
      <c r="G399">
        <v>0</v>
      </c>
    </row>
    <row r="400" spans="1:7">
      <c r="A400">
        <v>5201</v>
      </c>
      <c r="B400" s="106" t="s">
        <v>1379</v>
      </c>
      <c r="C400">
        <v>0.15</v>
      </c>
      <c r="D400">
        <v>0.1</v>
      </c>
      <c r="E400">
        <v>0.1</v>
      </c>
      <c r="F400">
        <v>0.1</v>
      </c>
      <c r="G400">
        <v>0.1</v>
      </c>
    </row>
    <row r="401" spans="1:7">
      <c r="A401">
        <v>5210</v>
      </c>
      <c r="B401" s="106" t="s">
        <v>1380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>
      <c r="A402">
        <v>5214</v>
      </c>
      <c r="B402" s="106" t="s">
        <v>2550</v>
      </c>
      <c r="C402">
        <v>0</v>
      </c>
      <c r="D402" s="106" t="s">
        <v>233</v>
      </c>
      <c r="E402" s="106" t="s">
        <v>233</v>
      </c>
      <c r="F402" s="106" t="s">
        <v>233</v>
      </c>
      <c r="G402" s="106" t="s">
        <v>233</v>
      </c>
    </row>
    <row r="403" spans="1:7">
      <c r="A403">
        <v>5218</v>
      </c>
      <c r="B403" s="106" t="s">
        <v>1381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>
      <c r="A404">
        <v>5232</v>
      </c>
      <c r="B404" s="106" t="s">
        <v>1382</v>
      </c>
      <c r="C404">
        <v>0.3</v>
      </c>
      <c r="D404" s="106">
        <v>0.1</v>
      </c>
      <c r="E404">
        <v>0.1</v>
      </c>
      <c r="F404">
        <v>0.1</v>
      </c>
      <c r="G404">
        <v>0.1</v>
      </c>
    </row>
    <row r="405" spans="1:7">
      <c r="A405">
        <v>5269</v>
      </c>
      <c r="B405" s="106" t="s">
        <v>2551</v>
      </c>
      <c r="C405">
        <v>0</v>
      </c>
      <c r="D405" s="106">
        <v>0</v>
      </c>
      <c r="E405">
        <v>0</v>
      </c>
      <c r="F405">
        <v>0</v>
      </c>
      <c r="G405" s="106" t="s">
        <v>233</v>
      </c>
    </row>
    <row r="406" spans="1:7">
      <c r="A406">
        <v>5273</v>
      </c>
      <c r="B406" s="106" t="s">
        <v>1383</v>
      </c>
      <c r="C406">
        <v>0.3</v>
      </c>
      <c r="D406">
        <v>0.1</v>
      </c>
      <c r="E406">
        <v>0.1</v>
      </c>
      <c r="F406" s="106">
        <v>0.1</v>
      </c>
      <c r="G406" s="106">
        <v>0.1</v>
      </c>
    </row>
    <row r="407" spans="1:7">
      <c r="A407">
        <v>5301</v>
      </c>
      <c r="B407" s="106" t="s">
        <v>1384</v>
      </c>
      <c r="C407">
        <v>0.15</v>
      </c>
      <c r="D407">
        <v>0.05</v>
      </c>
      <c r="E407">
        <v>0.05</v>
      </c>
      <c r="F407" s="106">
        <v>0.05</v>
      </c>
      <c r="G407" s="106">
        <v>0.05</v>
      </c>
    </row>
    <row r="408" spans="1:7">
      <c r="A408">
        <v>5302</v>
      </c>
      <c r="B408" s="106" t="s">
        <v>1385</v>
      </c>
      <c r="C408">
        <v>0.3</v>
      </c>
      <c r="D408">
        <v>0.1</v>
      </c>
      <c r="E408" s="106">
        <v>0.1</v>
      </c>
      <c r="F408">
        <v>0.1</v>
      </c>
      <c r="G408">
        <v>0.1</v>
      </c>
    </row>
    <row r="409" spans="1:7">
      <c r="A409">
        <v>5310</v>
      </c>
      <c r="B409" s="106" t="s">
        <v>1386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>
      <c r="A410">
        <v>5332</v>
      </c>
      <c r="B410" s="106" t="s">
        <v>1387</v>
      </c>
      <c r="C410">
        <v>0.3</v>
      </c>
      <c r="D410">
        <v>0.1</v>
      </c>
      <c r="E410">
        <v>0.1</v>
      </c>
      <c r="F410">
        <v>0.1</v>
      </c>
      <c r="G410">
        <v>0.1</v>
      </c>
    </row>
    <row r="411" spans="1:7">
      <c r="A411">
        <v>5333</v>
      </c>
      <c r="B411" s="106" t="s">
        <v>331</v>
      </c>
      <c r="C411">
        <v>0</v>
      </c>
      <c r="D411">
        <v>0</v>
      </c>
      <c r="E411">
        <v>0</v>
      </c>
      <c r="F411">
        <v>0</v>
      </c>
      <c r="G411" s="106" t="s">
        <v>233</v>
      </c>
    </row>
    <row r="412" spans="1:7">
      <c r="A412">
        <v>5344</v>
      </c>
      <c r="B412" s="106" t="s">
        <v>1388</v>
      </c>
      <c r="C412">
        <v>0.45</v>
      </c>
      <c r="D412">
        <v>0.15</v>
      </c>
      <c r="E412">
        <v>0.15</v>
      </c>
      <c r="F412">
        <v>0.15</v>
      </c>
      <c r="G412">
        <v>0.15</v>
      </c>
    </row>
    <row r="413" spans="1:7">
      <c r="A413">
        <v>5352</v>
      </c>
      <c r="B413" s="106" t="s">
        <v>1389</v>
      </c>
      <c r="C413">
        <v>0.45</v>
      </c>
      <c r="D413">
        <v>0.15</v>
      </c>
      <c r="E413">
        <v>0.15</v>
      </c>
      <c r="F413">
        <v>0.15</v>
      </c>
      <c r="G413">
        <v>0.15</v>
      </c>
    </row>
    <row r="414" spans="1:7">
      <c r="A414">
        <v>5358</v>
      </c>
      <c r="B414" s="106" t="s">
        <v>1390</v>
      </c>
      <c r="C414">
        <v>0.15</v>
      </c>
      <c r="D414">
        <v>0</v>
      </c>
      <c r="E414">
        <v>0</v>
      </c>
      <c r="F414">
        <v>0</v>
      </c>
      <c r="G414">
        <v>0</v>
      </c>
    </row>
    <row r="415" spans="1:7">
      <c r="A415">
        <v>5384</v>
      </c>
      <c r="B415" s="106" t="s">
        <v>1391</v>
      </c>
      <c r="C415">
        <v>0.15</v>
      </c>
      <c r="D415" s="106" t="s">
        <v>233</v>
      </c>
      <c r="E415">
        <v>0.05</v>
      </c>
      <c r="F415" s="106" t="s">
        <v>233</v>
      </c>
      <c r="G415">
        <v>0.05</v>
      </c>
    </row>
    <row r="416" spans="1:7">
      <c r="A416">
        <v>5393</v>
      </c>
      <c r="B416" s="106" t="s">
        <v>330</v>
      </c>
      <c r="C416">
        <v>0.15</v>
      </c>
      <c r="D416">
        <v>0.05</v>
      </c>
      <c r="E416">
        <v>0.05</v>
      </c>
      <c r="F416" s="106">
        <v>0.05</v>
      </c>
      <c r="G416" s="106">
        <v>0.05</v>
      </c>
    </row>
    <row r="417" spans="1:7">
      <c r="A417">
        <v>5401</v>
      </c>
      <c r="B417" s="106" t="s">
        <v>1392</v>
      </c>
      <c r="C417">
        <v>0</v>
      </c>
      <c r="D417" s="106" t="s">
        <v>233</v>
      </c>
      <c r="E417" s="106" t="s">
        <v>233</v>
      </c>
      <c r="F417">
        <v>0.05</v>
      </c>
      <c r="G417" s="106">
        <v>0</v>
      </c>
    </row>
    <row r="418" spans="1:7">
      <c r="A418">
        <v>5408</v>
      </c>
      <c r="B418" s="106" t="s">
        <v>1393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>
      <c r="A419">
        <v>5410</v>
      </c>
      <c r="B419" s="106" t="s">
        <v>1394</v>
      </c>
      <c r="C419">
        <v>0.15</v>
      </c>
      <c r="D419">
        <v>0.05</v>
      </c>
      <c r="E419">
        <v>0.05</v>
      </c>
      <c r="F419">
        <v>0.05</v>
      </c>
      <c r="G419">
        <v>0.05</v>
      </c>
    </row>
    <row r="420" spans="1:7">
      <c r="A420">
        <v>5411</v>
      </c>
      <c r="B420" s="106" t="s">
        <v>1395</v>
      </c>
      <c r="C420">
        <v>0</v>
      </c>
      <c r="D420">
        <v>0</v>
      </c>
      <c r="E420">
        <v>0</v>
      </c>
      <c r="F420" s="106" t="s">
        <v>233</v>
      </c>
      <c r="G420">
        <v>0</v>
      </c>
    </row>
    <row r="421" spans="1:7">
      <c r="A421">
        <v>5440</v>
      </c>
      <c r="B421" s="106" t="s">
        <v>1396</v>
      </c>
      <c r="C421">
        <v>0.15</v>
      </c>
      <c r="D421">
        <v>0</v>
      </c>
      <c r="E421">
        <v>0</v>
      </c>
      <c r="F421">
        <v>0</v>
      </c>
      <c r="G421">
        <v>0</v>
      </c>
    </row>
    <row r="422" spans="1:7">
      <c r="A422">
        <v>5451</v>
      </c>
      <c r="B422" s="106" t="s">
        <v>1397</v>
      </c>
      <c r="C422">
        <v>0.15</v>
      </c>
      <c r="D422">
        <v>0.05</v>
      </c>
      <c r="E422">
        <v>0.05</v>
      </c>
      <c r="F422">
        <v>0.05</v>
      </c>
      <c r="G422">
        <v>0.05</v>
      </c>
    </row>
    <row r="423" spans="1:7">
      <c r="A423">
        <v>5463</v>
      </c>
      <c r="B423" s="106" t="s">
        <v>141</v>
      </c>
      <c r="C423">
        <v>0.15</v>
      </c>
      <c r="D423">
        <v>0.05</v>
      </c>
      <c r="E423">
        <v>0.05</v>
      </c>
      <c r="F423">
        <v>0.05</v>
      </c>
      <c r="G423">
        <v>0.05</v>
      </c>
    </row>
    <row r="424" spans="1:7">
      <c r="A424">
        <v>5471</v>
      </c>
      <c r="B424" s="106" t="s">
        <v>301</v>
      </c>
      <c r="C424">
        <v>0.3</v>
      </c>
      <c r="D424">
        <v>0.1</v>
      </c>
      <c r="E424">
        <v>0.1</v>
      </c>
      <c r="F424">
        <v>0.1</v>
      </c>
      <c r="G424" s="106">
        <v>0.1</v>
      </c>
    </row>
    <row r="425" spans="1:7">
      <c r="A425">
        <v>5476</v>
      </c>
      <c r="B425" s="106" t="s">
        <v>1398</v>
      </c>
      <c r="C425">
        <v>0</v>
      </c>
      <c r="D425" s="106">
        <v>0</v>
      </c>
      <c r="E425">
        <v>0</v>
      </c>
      <c r="F425" s="106" t="s">
        <v>233</v>
      </c>
      <c r="G425" s="106">
        <v>0</v>
      </c>
    </row>
    <row r="426" spans="1:7">
      <c r="A426">
        <v>5480</v>
      </c>
      <c r="B426" s="106" t="s">
        <v>1399</v>
      </c>
      <c r="C426">
        <v>0.15</v>
      </c>
      <c r="D426" s="106">
        <v>0</v>
      </c>
      <c r="E426">
        <v>0.05</v>
      </c>
      <c r="F426" s="106">
        <v>0</v>
      </c>
      <c r="G426">
        <v>0.05</v>
      </c>
    </row>
    <row r="427" spans="1:7">
      <c r="A427">
        <v>5481</v>
      </c>
      <c r="B427" s="106" t="s">
        <v>1400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>
      <c r="A428">
        <v>5482</v>
      </c>
      <c r="B428" s="106" t="s">
        <v>1401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>
      <c r="A429">
        <v>5486</v>
      </c>
      <c r="B429" s="106" t="s">
        <v>1402</v>
      </c>
      <c r="C429">
        <v>0.15</v>
      </c>
      <c r="D429">
        <v>0.05</v>
      </c>
      <c r="E429">
        <v>0.05</v>
      </c>
      <c r="F429">
        <v>0.05</v>
      </c>
      <c r="G429">
        <v>0.05</v>
      </c>
    </row>
    <row r="430" spans="1:7">
      <c r="A430">
        <v>5602</v>
      </c>
      <c r="B430" s="106" t="s">
        <v>1403</v>
      </c>
      <c r="C430">
        <v>0.15</v>
      </c>
      <c r="D430">
        <v>0.05</v>
      </c>
      <c r="E430">
        <v>0.05</v>
      </c>
      <c r="F430">
        <v>0.05</v>
      </c>
      <c r="G430">
        <v>0.05</v>
      </c>
    </row>
    <row r="431" spans="1:7">
      <c r="A431">
        <v>5603</v>
      </c>
      <c r="B431" s="106" t="s">
        <v>1404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>
      <c r="A432">
        <v>5631</v>
      </c>
      <c r="B432" s="106" t="s">
        <v>1405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>
      <c r="A433">
        <v>5632</v>
      </c>
      <c r="B433" s="106" t="s">
        <v>1406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>
      <c r="A434">
        <v>5659</v>
      </c>
      <c r="B434" s="106" t="s">
        <v>1407</v>
      </c>
      <c r="C434">
        <v>0</v>
      </c>
      <c r="D434">
        <v>0</v>
      </c>
      <c r="E434">
        <v>0.05</v>
      </c>
      <c r="F434">
        <v>0.05</v>
      </c>
      <c r="G434">
        <v>0</v>
      </c>
    </row>
    <row r="435" spans="1:7">
      <c r="A435">
        <v>5711</v>
      </c>
      <c r="B435" s="106" t="s">
        <v>1408</v>
      </c>
      <c r="C435">
        <v>0.15</v>
      </c>
      <c r="D435">
        <v>0.05</v>
      </c>
      <c r="E435">
        <v>0</v>
      </c>
      <c r="F435">
        <v>0.05</v>
      </c>
      <c r="G435">
        <v>0.05</v>
      </c>
    </row>
    <row r="436" spans="1:7">
      <c r="A436">
        <v>5713</v>
      </c>
      <c r="B436" s="106" t="s">
        <v>2552</v>
      </c>
      <c r="C436">
        <v>0.3</v>
      </c>
      <c r="D436">
        <v>0.1</v>
      </c>
      <c r="E436">
        <v>0.1</v>
      </c>
      <c r="F436">
        <v>0.1</v>
      </c>
      <c r="G436" s="106" t="s">
        <v>233</v>
      </c>
    </row>
    <row r="437" spans="1:7">
      <c r="A437">
        <v>5714</v>
      </c>
      <c r="B437" s="106" t="s">
        <v>1409</v>
      </c>
      <c r="C437">
        <v>0.3</v>
      </c>
      <c r="D437" s="106">
        <v>0.1</v>
      </c>
      <c r="E437" s="106">
        <v>0.1</v>
      </c>
      <c r="F437" s="106">
        <v>0.1</v>
      </c>
      <c r="G437" s="106">
        <v>0</v>
      </c>
    </row>
    <row r="438" spans="1:7">
      <c r="A438">
        <v>5741</v>
      </c>
      <c r="B438" s="106" t="s">
        <v>1410</v>
      </c>
      <c r="C438">
        <v>0.15</v>
      </c>
      <c r="D438" s="106">
        <v>0.05</v>
      </c>
      <c r="E438" s="106">
        <v>0.05</v>
      </c>
      <c r="F438" s="106">
        <v>0.05</v>
      </c>
      <c r="G438" s="106">
        <v>0.05</v>
      </c>
    </row>
    <row r="439" spans="1:7">
      <c r="A439">
        <v>5802</v>
      </c>
      <c r="B439" s="106" t="s">
        <v>130</v>
      </c>
      <c r="C439">
        <v>0</v>
      </c>
      <c r="D439" s="106">
        <v>0</v>
      </c>
      <c r="E439" s="106">
        <v>0</v>
      </c>
      <c r="F439">
        <v>0</v>
      </c>
      <c r="G439" s="106" t="s">
        <v>233</v>
      </c>
    </row>
    <row r="440" spans="1:7">
      <c r="A440">
        <v>5805</v>
      </c>
      <c r="B440" s="106" t="s">
        <v>1411</v>
      </c>
      <c r="C440">
        <v>0</v>
      </c>
      <c r="D440" s="106" t="s">
        <v>233</v>
      </c>
      <c r="E440">
        <v>0.05</v>
      </c>
      <c r="F440" s="106" t="s">
        <v>233</v>
      </c>
      <c r="G440">
        <v>0.05</v>
      </c>
    </row>
    <row r="441" spans="1:7">
      <c r="A441">
        <v>5807</v>
      </c>
      <c r="B441" s="106" t="s">
        <v>1412</v>
      </c>
      <c r="C441">
        <v>0.15</v>
      </c>
      <c r="D441">
        <v>0.05</v>
      </c>
      <c r="E441">
        <v>0.05</v>
      </c>
      <c r="F441">
        <v>0.05</v>
      </c>
      <c r="G441">
        <v>0.05</v>
      </c>
    </row>
    <row r="442" spans="1:7">
      <c r="A442">
        <v>5809</v>
      </c>
      <c r="B442" s="106" t="s">
        <v>1413</v>
      </c>
      <c r="C442">
        <v>0</v>
      </c>
      <c r="D442">
        <v>0</v>
      </c>
      <c r="E442" s="106" t="s">
        <v>233</v>
      </c>
      <c r="F442">
        <v>0</v>
      </c>
      <c r="G442">
        <v>0</v>
      </c>
    </row>
    <row r="443" spans="1:7">
      <c r="A443">
        <v>5852</v>
      </c>
      <c r="B443" s="106" t="s">
        <v>1414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>
      <c r="A444">
        <v>5901</v>
      </c>
      <c r="B444" s="106" t="s">
        <v>319</v>
      </c>
      <c r="C444">
        <v>0</v>
      </c>
      <c r="D444">
        <v>0</v>
      </c>
      <c r="E444">
        <v>0</v>
      </c>
      <c r="F444">
        <v>0.05</v>
      </c>
      <c r="G444" s="106" t="s">
        <v>233</v>
      </c>
    </row>
    <row r="445" spans="1:7">
      <c r="A445">
        <v>5902</v>
      </c>
      <c r="B445" s="106" t="s">
        <v>1415</v>
      </c>
      <c r="C445">
        <v>0.15</v>
      </c>
      <c r="D445">
        <v>0.05</v>
      </c>
      <c r="E445">
        <v>0.05</v>
      </c>
      <c r="F445">
        <v>0</v>
      </c>
      <c r="G445" s="106">
        <v>0.05</v>
      </c>
    </row>
    <row r="446" spans="1:7">
      <c r="A446">
        <v>5911</v>
      </c>
      <c r="B446" s="106" t="s">
        <v>1416</v>
      </c>
      <c r="C446">
        <v>0</v>
      </c>
      <c r="D446">
        <v>0</v>
      </c>
      <c r="E446">
        <v>0</v>
      </c>
      <c r="F446">
        <v>0</v>
      </c>
      <c r="G446" s="106">
        <v>0</v>
      </c>
    </row>
    <row r="447" spans="1:7">
      <c r="A447">
        <v>5932</v>
      </c>
      <c r="B447" s="106" t="s">
        <v>1417</v>
      </c>
      <c r="C447">
        <v>0.15</v>
      </c>
      <c r="D447">
        <v>0.05</v>
      </c>
      <c r="E447">
        <v>0.05</v>
      </c>
      <c r="F447">
        <v>0.05</v>
      </c>
      <c r="G447">
        <v>0.05</v>
      </c>
    </row>
    <row r="448" spans="1:7">
      <c r="A448">
        <v>5933</v>
      </c>
      <c r="B448" s="106" t="s">
        <v>1418</v>
      </c>
      <c r="C448">
        <v>0</v>
      </c>
      <c r="D448" s="106" t="s">
        <v>233</v>
      </c>
      <c r="E448" s="106" t="s">
        <v>233</v>
      </c>
      <c r="F448">
        <v>0</v>
      </c>
      <c r="G448">
        <v>0</v>
      </c>
    </row>
    <row r="449" spans="1:7">
      <c r="A449">
        <v>5943</v>
      </c>
      <c r="B449" s="106" t="s">
        <v>1419</v>
      </c>
      <c r="C449">
        <v>0.15</v>
      </c>
      <c r="D449">
        <v>0</v>
      </c>
      <c r="E449">
        <v>0.05</v>
      </c>
      <c r="F449">
        <v>0</v>
      </c>
      <c r="G449">
        <v>0.05</v>
      </c>
    </row>
    <row r="450" spans="1:7">
      <c r="A450">
        <v>5946</v>
      </c>
      <c r="B450" s="106" t="s">
        <v>1420</v>
      </c>
      <c r="C450">
        <v>0</v>
      </c>
      <c r="D450">
        <v>0.05</v>
      </c>
      <c r="E450">
        <v>0</v>
      </c>
      <c r="F450">
        <v>0.05</v>
      </c>
      <c r="G450">
        <v>0</v>
      </c>
    </row>
    <row r="451" spans="1:7">
      <c r="A451">
        <v>5947</v>
      </c>
      <c r="B451" s="106" t="s">
        <v>322</v>
      </c>
      <c r="C451">
        <v>0.45</v>
      </c>
      <c r="D451">
        <v>0.15</v>
      </c>
      <c r="E451">
        <v>0.15</v>
      </c>
      <c r="F451">
        <v>0.15</v>
      </c>
      <c r="G451">
        <v>0</v>
      </c>
    </row>
    <row r="452" spans="1:7">
      <c r="A452">
        <v>5949</v>
      </c>
      <c r="B452" s="106" t="s">
        <v>1421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>
      <c r="A453">
        <v>5951</v>
      </c>
      <c r="B453" s="106" t="s">
        <v>1422</v>
      </c>
      <c r="C453">
        <v>0.15</v>
      </c>
      <c r="D453">
        <v>0.05</v>
      </c>
      <c r="E453">
        <v>0.05</v>
      </c>
      <c r="F453">
        <v>0.05</v>
      </c>
      <c r="G453">
        <v>0.05</v>
      </c>
    </row>
    <row r="454" spans="1:7">
      <c r="A454">
        <v>5957</v>
      </c>
      <c r="B454" s="106" t="s">
        <v>1423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>
      <c r="A455">
        <v>5976</v>
      </c>
      <c r="B455" s="106" t="s">
        <v>1424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>
      <c r="A456">
        <v>5981</v>
      </c>
      <c r="B456" s="106" t="s">
        <v>1425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>
      <c r="A457">
        <v>5991</v>
      </c>
      <c r="B457" s="106" t="s">
        <v>1426</v>
      </c>
      <c r="C457">
        <v>0.15</v>
      </c>
      <c r="D457" s="106">
        <v>0.05</v>
      </c>
      <c r="E457">
        <v>0.05</v>
      </c>
      <c r="F457">
        <v>0.05</v>
      </c>
      <c r="G457" s="106">
        <v>0.05</v>
      </c>
    </row>
    <row r="458" spans="1:7">
      <c r="A458">
        <v>5998</v>
      </c>
      <c r="B458" s="106" t="s">
        <v>1427</v>
      </c>
      <c r="C458">
        <v>0.15</v>
      </c>
      <c r="D458" s="106">
        <v>0.05</v>
      </c>
      <c r="E458">
        <v>0.05</v>
      </c>
      <c r="F458">
        <v>0.05</v>
      </c>
      <c r="G458" s="106">
        <v>0</v>
      </c>
    </row>
    <row r="459" spans="1:7">
      <c r="A459">
        <v>6005</v>
      </c>
      <c r="B459" s="106" t="s">
        <v>1428</v>
      </c>
      <c r="C459">
        <v>0.3</v>
      </c>
      <c r="D459">
        <v>0.1</v>
      </c>
      <c r="E459">
        <v>0.1</v>
      </c>
      <c r="F459">
        <v>0.1</v>
      </c>
      <c r="G459">
        <v>0.1</v>
      </c>
    </row>
    <row r="460" spans="1:7">
      <c r="A460">
        <v>6028</v>
      </c>
      <c r="B460" s="106" t="s">
        <v>1053</v>
      </c>
      <c r="C460">
        <v>0.45</v>
      </c>
      <c r="D460">
        <v>0.15</v>
      </c>
      <c r="E460">
        <v>0.15</v>
      </c>
      <c r="F460">
        <v>0.15</v>
      </c>
      <c r="G460">
        <v>0.15</v>
      </c>
    </row>
    <row r="461" spans="1:7">
      <c r="A461">
        <v>6037</v>
      </c>
      <c r="B461" s="106" t="s">
        <v>1429</v>
      </c>
      <c r="C461">
        <v>0</v>
      </c>
      <c r="D461" s="106" t="s">
        <v>233</v>
      </c>
      <c r="E461">
        <v>0</v>
      </c>
      <c r="F461">
        <v>0</v>
      </c>
      <c r="G461">
        <v>0</v>
      </c>
    </row>
    <row r="462" spans="1:7">
      <c r="A462">
        <v>6047</v>
      </c>
      <c r="B462" s="106" t="s">
        <v>1430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>
      <c r="A463">
        <v>6048</v>
      </c>
      <c r="B463" s="106" t="s">
        <v>1431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>
      <c r="A464">
        <v>6054</v>
      </c>
      <c r="B464" s="106" t="s">
        <v>1432</v>
      </c>
      <c r="C464">
        <v>0.15</v>
      </c>
      <c r="D464">
        <v>0.05</v>
      </c>
      <c r="E464">
        <v>0.05</v>
      </c>
      <c r="F464">
        <v>0.05</v>
      </c>
      <c r="G464">
        <v>0</v>
      </c>
    </row>
    <row r="465" spans="1:7">
      <c r="A465">
        <v>6055</v>
      </c>
      <c r="B465" s="106" t="s">
        <v>1433</v>
      </c>
      <c r="C465">
        <v>0.15</v>
      </c>
      <c r="D465">
        <v>0.05</v>
      </c>
      <c r="E465">
        <v>0.05</v>
      </c>
      <c r="F465">
        <v>0.05</v>
      </c>
      <c r="G465">
        <v>0.05</v>
      </c>
    </row>
    <row r="466" spans="1:7">
      <c r="A466">
        <v>6058</v>
      </c>
      <c r="B466" s="106" t="s">
        <v>1434</v>
      </c>
      <c r="C466">
        <v>0.15</v>
      </c>
      <c r="D466">
        <v>0.05</v>
      </c>
      <c r="E466">
        <v>0.05</v>
      </c>
      <c r="F466">
        <v>0.05</v>
      </c>
      <c r="G466">
        <v>0.05</v>
      </c>
    </row>
    <row r="467" spans="1:7">
      <c r="A467">
        <v>6088</v>
      </c>
      <c r="B467" s="106" t="s">
        <v>1435</v>
      </c>
      <c r="C467">
        <v>0.6</v>
      </c>
      <c r="D467" s="106">
        <v>0.05</v>
      </c>
      <c r="E467" s="106">
        <v>0.05</v>
      </c>
      <c r="F467" s="106">
        <v>0.05</v>
      </c>
      <c r="G467" s="106">
        <v>0.05</v>
      </c>
    </row>
    <row r="468" spans="1:7">
      <c r="A468">
        <v>6093</v>
      </c>
      <c r="B468" s="106" t="s">
        <v>1436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>
      <c r="A469">
        <v>6098</v>
      </c>
      <c r="B469" s="106" t="s">
        <v>336</v>
      </c>
      <c r="C469">
        <v>0.3</v>
      </c>
      <c r="D469">
        <v>0.1</v>
      </c>
      <c r="E469">
        <v>0.1</v>
      </c>
      <c r="F469" s="106">
        <v>0.1</v>
      </c>
      <c r="G469" s="106">
        <v>0.1</v>
      </c>
    </row>
    <row r="470" spans="1:7">
      <c r="A470">
        <v>6099</v>
      </c>
      <c r="B470" s="106" t="s">
        <v>1437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>
      <c r="A471">
        <v>6101</v>
      </c>
      <c r="B471" s="106" t="s">
        <v>1438</v>
      </c>
      <c r="C471">
        <v>0.15</v>
      </c>
      <c r="D471">
        <v>0.05</v>
      </c>
      <c r="E471">
        <v>0.05</v>
      </c>
      <c r="F471">
        <v>0.05</v>
      </c>
      <c r="G471">
        <v>0.05</v>
      </c>
    </row>
    <row r="472" spans="1:7">
      <c r="A472">
        <v>6103</v>
      </c>
      <c r="B472" s="106" t="s">
        <v>1439</v>
      </c>
      <c r="C472">
        <v>0.3</v>
      </c>
      <c r="D472">
        <v>0.1</v>
      </c>
      <c r="E472">
        <v>0.1</v>
      </c>
      <c r="F472">
        <v>0.15</v>
      </c>
      <c r="G472">
        <v>0.1</v>
      </c>
    </row>
    <row r="473" spans="1:7">
      <c r="A473">
        <v>6104</v>
      </c>
      <c r="B473" s="106" t="s">
        <v>1440</v>
      </c>
      <c r="C473">
        <v>0.15</v>
      </c>
      <c r="D473">
        <v>0</v>
      </c>
      <c r="E473">
        <v>0.05</v>
      </c>
      <c r="F473">
        <v>0.05</v>
      </c>
      <c r="G473">
        <v>0</v>
      </c>
    </row>
    <row r="474" spans="1:7">
      <c r="A474">
        <v>6113</v>
      </c>
      <c r="B474" s="106" t="s">
        <v>2553</v>
      </c>
      <c r="C474">
        <v>0</v>
      </c>
      <c r="D474" s="106" t="s">
        <v>233</v>
      </c>
      <c r="E474" s="106" t="s">
        <v>233</v>
      </c>
      <c r="F474">
        <v>0</v>
      </c>
      <c r="G474" s="106" t="s">
        <v>233</v>
      </c>
    </row>
    <row r="475" spans="1:7">
      <c r="A475">
        <v>6118</v>
      </c>
      <c r="B475" s="106" t="s">
        <v>1441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>
      <c r="A476">
        <v>6134</v>
      </c>
      <c r="B476" s="106" t="s">
        <v>782</v>
      </c>
      <c r="C476">
        <v>0.15</v>
      </c>
      <c r="D476">
        <v>0.05</v>
      </c>
      <c r="E476">
        <v>0.05</v>
      </c>
      <c r="F476">
        <v>0.05</v>
      </c>
      <c r="G476">
        <v>0.05</v>
      </c>
    </row>
    <row r="477" spans="1:7">
      <c r="A477">
        <v>6135</v>
      </c>
      <c r="B477" s="106" t="s">
        <v>306</v>
      </c>
      <c r="C477">
        <v>0</v>
      </c>
      <c r="D477">
        <v>0.05</v>
      </c>
      <c r="E477">
        <v>0.1</v>
      </c>
      <c r="F477">
        <v>0.1</v>
      </c>
      <c r="G477">
        <v>0.1</v>
      </c>
    </row>
    <row r="478" spans="1:7">
      <c r="A478">
        <v>6136</v>
      </c>
      <c r="B478" s="106" t="s">
        <v>1442</v>
      </c>
      <c r="C478">
        <v>0.15</v>
      </c>
      <c r="D478">
        <v>0</v>
      </c>
      <c r="E478">
        <v>0.05</v>
      </c>
      <c r="F478">
        <v>0.05</v>
      </c>
      <c r="G478">
        <v>0.05</v>
      </c>
    </row>
    <row r="479" spans="1:7">
      <c r="A479">
        <v>6140</v>
      </c>
      <c r="B479" s="106" t="s">
        <v>1443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>
      <c r="A480">
        <v>6143</v>
      </c>
      <c r="B480" s="106" t="s">
        <v>1444</v>
      </c>
      <c r="C480">
        <v>0</v>
      </c>
      <c r="D480">
        <v>0.05</v>
      </c>
      <c r="E480">
        <v>0.05</v>
      </c>
      <c r="F480">
        <v>0.05</v>
      </c>
      <c r="G480">
        <v>0.05</v>
      </c>
    </row>
    <row r="481" spans="1:7">
      <c r="A481">
        <v>6146</v>
      </c>
      <c r="B481" s="106" t="s">
        <v>1445</v>
      </c>
      <c r="C481">
        <v>1.35</v>
      </c>
      <c r="D481">
        <v>0.45</v>
      </c>
      <c r="E481">
        <v>0.45</v>
      </c>
      <c r="F481">
        <v>0.45</v>
      </c>
      <c r="G481">
        <v>0.45</v>
      </c>
    </row>
    <row r="482" spans="1:7">
      <c r="A482">
        <v>6151</v>
      </c>
      <c r="B482" s="106" t="s">
        <v>1446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>
      <c r="A483">
        <v>6157</v>
      </c>
      <c r="B483" s="106" t="s">
        <v>1447</v>
      </c>
      <c r="C483">
        <v>0.15</v>
      </c>
      <c r="D483">
        <v>0.05</v>
      </c>
      <c r="E483">
        <v>0.05</v>
      </c>
      <c r="F483">
        <v>0.05</v>
      </c>
      <c r="G483" s="106">
        <v>0.05</v>
      </c>
    </row>
    <row r="484" spans="1:7">
      <c r="A484">
        <v>6165</v>
      </c>
      <c r="B484" s="106" t="s">
        <v>1448</v>
      </c>
      <c r="C484">
        <v>0</v>
      </c>
      <c r="D484">
        <v>0</v>
      </c>
      <c r="E484">
        <v>0</v>
      </c>
      <c r="F484">
        <v>0</v>
      </c>
      <c r="G484" s="106">
        <v>0</v>
      </c>
    </row>
    <row r="485" spans="1:7">
      <c r="A485">
        <v>6184</v>
      </c>
      <c r="B485" s="106" t="s">
        <v>1449</v>
      </c>
      <c r="C485">
        <v>0.15</v>
      </c>
      <c r="D485">
        <v>0.05</v>
      </c>
      <c r="E485">
        <v>0.05</v>
      </c>
      <c r="F485">
        <v>0.05</v>
      </c>
      <c r="G485">
        <v>0.05</v>
      </c>
    </row>
    <row r="486" spans="1:7">
      <c r="A486">
        <v>6187</v>
      </c>
      <c r="B486" s="106" t="s">
        <v>1450</v>
      </c>
      <c r="C486">
        <v>0</v>
      </c>
      <c r="D486" s="106" t="s">
        <v>233</v>
      </c>
      <c r="E486" s="106" t="s">
        <v>233</v>
      </c>
      <c r="F486" s="106" t="s">
        <v>233</v>
      </c>
      <c r="G486">
        <v>0</v>
      </c>
    </row>
    <row r="487" spans="1:7">
      <c r="A487">
        <v>6194</v>
      </c>
      <c r="B487" s="106" t="s">
        <v>1451</v>
      </c>
      <c r="C487">
        <v>0.3</v>
      </c>
      <c r="D487">
        <v>0.1</v>
      </c>
      <c r="E487">
        <v>0.1</v>
      </c>
      <c r="F487">
        <v>0.1</v>
      </c>
      <c r="G487">
        <v>0.1</v>
      </c>
    </row>
    <row r="488" spans="1:7">
      <c r="A488">
        <v>6196</v>
      </c>
      <c r="B488" s="106" t="s">
        <v>1452</v>
      </c>
      <c r="C488">
        <v>0.3</v>
      </c>
      <c r="D488">
        <v>0.1</v>
      </c>
      <c r="E488">
        <v>0.1</v>
      </c>
      <c r="F488">
        <v>0.1</v>
      </c>
      <c r="G488">
        <v>0.1</v>
      </c>
    </row>
    <row r="489" spans="1:7">
      <c r="A489">
        <v>6200</v>
      </c>
      <c r="B489" s="106" t="s">
        <v>1453</v>
      </c>
      <c r="C489">
        <v>0.3</v>
      </c>
      <c r="D489" s="106">
        <v>0.1</v>
      </c>
      <c r="E489">
        <v>0.1</v>
      </c>
      <c r="F489" s="106">
        <v>0.1</v>
      </c>
      <c r="G489">
        <v>0.1</v>
      </c>
    </row>
    <row r="490" spans="1:7">
      <c r="A490">
        <v>6203</v>
      </c>
      <c r="B490" s="106" t="s">
        <v>2554</v>
      </c>
      <c r="C490">
        <v>0</v>
      </c>
      <c r="D490" s="106" t="s">
        <v>233</v>
      </c>
      <c r="E490" s="106">
        <v>0</v>
      </c>
      <c r="F490" s="106" t="s">
        <v>233</v>
      </c>
      <c r="G490" s="106" t="s">
        <v>233</v>
      </c>
    </row>
    <row r="491" spans="1:7">
      <c r="A491">
        <v>6205</v>
      </c>
      <c r="B491" s="106" t="s">
        <v>1454</v>
      </c>
      <c r="C491">
        <v>0</v>
      </c>
      <c r="D491">
        <v>0.05</v>
      </c>
      <c r="E491" s="106">
        <v>0</v>
      </c>
      <c r="F491" s="106">
        <v>0.05</v>
      </c>
      <c r="G491">
        <v>0</v>
      </c>
    </row>
    <row r="492" spans="1:7">
      <c r="A492">
        <v>6217</v>
      </c>
      <c r="B492" s="106" t="s">
        <v>1455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>
      <c r="A493">
        <v>6218</v>
      </c>
      <c r="B493" s="106" t="s">
        <v>1456</v>
      </c>
      <c r="C493">
        <v>0</v>
      </c>
      <c r="D493" s="106">
        <v>0</v>
      </c>
      <c r="E493" s="106">
        <v>0</v>
      </c>
      <c r="F493" s="106">
        <v>0</v>
      </c>
      <c r="G493">
        <v>0</v>
      </c>
    </row>
    <row r="494" spans="1:7">
      <c r="A494">
        <v>6222</v>
      </c>
      <c r="B494" s="106" t="s">
        <v>1457</v>
      </c>
      <c r="C494">
        <v>0</v>
      </c>
      <c r="D494" s="106">
        <v>0</v>
      </c>
      <c r="E494" s="106">
        <v>0</v>
      </c>
      <c r="F494" s="106">
        <v>0</v>
      </c>
      <c r="G494" s="106">
        <v>0</v>
      </c>
    </row>
    <row r="495" spans="1:7">
      <c r="A495">
        <v>6237</v>
      </c>
      <c r="B495" s="106" t="s">
        <v>1458</v>
      </c>
      <c r="C495">
        <v>0.15</v>
      </c>
      <c r="D495">
        <v>0.05</v>
      </c>
      <c r="E495" s="106">
        <v>0.05</v>
      </c>
      <c r="F495" s="106">
        <v>0.05</v>
      </c>
      <c r="G495" s="106">
        <v>0.05</v>
      </c>
    </row>
    <row r="496" spans="1:7">
      <c r="A496">
        <v>6240</v>
      </c>
      <c r="B496" s="106" t="s">
        <v>1459</v>
      </c>
      <c r="C496">
        <v>0.15</v>
      </c>
      <c r="D496">
        <v>0.05</v>
      </c>
      <c r="E496">
        <v>0.05</v>
      </c>
      <c r="F496" s="106">
        <v>0.05</v>
      </c>
      <c r="G496">
        <v>0.05</v>
      </c>
    </row>
    <row r="497" spans="1:7">
      <c r="A497">
        <v>6247</v>
      </c>
      <c r="B497" s="106" t="s">
        <v>1460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>
      <c r="A498">
        <v>6250</v>
      </c>
      <c r="B498" s="106" t="s">
        <v>1461</v>
      </c>
      <c r="C498">
        <v>0</v>
      </c>
      <c r="D498" s="106" t="s">
        <v>233</v>
      </c>
      <c r="E498">
        <v>0</v>
      </c>
      <c r="F498">
        <v>0</v>
      </c>
      <c r="G498">
        <v>0</v>
      </c>
    </row>
    <row r="499" spans="1:7">
      <c r="A499">
        <v>6258</v>
      </c>
      <c r="B499" s="106" t="s">
        <v>1462</v>
      </c>
      <c r="C499">
        <v>0.45</v>
      </c>
      <c r="D499">
        <v>0.15</v>
      </c>
      <c r="E499">
        <v>0.2</v>
      </c>
      <c r="F499">
        <v>0.2</v>
      </c>
      <c r="G499">
        <v>0.2</v>
      </c>
    </row>
    <row r="500" spans="1:7">
      <c r="A500">
        <v>6262</v>
      </c>
      <c r="B500" s="106" t="s">
        <v>1463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>
      <c r="A501">
        <v>6266</v>
      </c>
      <c r="B501" s="106" t="s">
        <v>2555</v>
      </c>
      <c r="C501">
        <v>0</v>
      </c>
      <c r="D501">
        <v>0</v>
      </c>
      <c r="E501">
        <v>0</v>
      </c>
      <c r="F501">
        <v>0</v>
      </c>
      <c r="G501" s="106" t="s">
        <v>233</v>
      </c>
    </row>
    <row r="502" spans="1:7">
      <c r="A502">
        <v>6269</v>
      </c>
      <c r="B502" s="106" t="s">
        <v>1464</v>
      </c>
      <c r="C502">
        <v>0</v>
      </c>
      <c r="D502">
        <v>0.05</v>
      </c>
      <c r="E502">
        <v>0</v>
      </c>
      <c r="F502">
        <v>0</v>
      </c>
      <c r="G502">
        <v>0</v>
      </c>
    </row>
    <row r="503" spans="1:7">
      <c r="A503">
        <v>6273</v>
      </c>
      <c r="B503" s="106" t="s">
        <v>1465</v>
      </c>
      <c r="C503">
        <v>2.5499999999999998</v>
      </c>
      <c r="D503">
        <v>0.85</v>
      </c>
      <c r="E503">
        <v>0.9</v>
      </c>
      <c r="F503">
        <v>0.9</v>
      </c>
      <c r="G503">
        <v>0.85</v>
      </c>
    </row>
    <row r="504" spans="1:7">
      <c r="A504">
        <v>6274</v>
      </c>
      <c r="B504" s="106" t="s">
        <v>1466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>
      <c r="A505">
        <v>6278</v>
      </c>
      <c r="B505" s="106" t="s">
        <v>1467</v>
      </c>
      <c r="C505">
        <v>0.15</v>
      </c>
      <c r="D505">
        <v>0.05</v>
      </c>
      <c r="E505">
        <v>0.05</v>
      </c>
      <c r="F505">
        <v>0.05</v>
      </c>
      <c r="G505">
        <v>0.05</v>
      </c>
    </row>
    <row r="506" spans="1:7">
      <c r="A506">
        <v>6284</v>
      </c>
      <c r="B506" s="106" t="s">
        <v>1468</v>
      </c>
      <c r="C506">
        <v>0.3</v>
      </c>
      <c r="D506" s="106">
        <v>0.1</v>
      </c>
      <c r="E506" s="106">
        <v>0.1</v>
      </c>
      <c r="F506" s="106">
        <v>0.1</v>
      </c>
      <c r="G506" s="106">
        <v>0.1</v>
      </c>
    </row>
    <row r="507" spans="1:7">
      <c r="A507">
        <v>6287</v>
      </c>
      <c r="B507" s="106" t="s">
        <v>784</v>
      </c>
      <c r="C507">
        <v>0.3</v>
      </c>
      <c r="D507" s="106">
        <v>0.1</v>
      </c>
      <c r="E507" s="106">
        <v>0.1</v>
      </c>
      <c r="F507" s="106">
        <v>0.1</v>
      </c>
      <c r="G507" s="106">
        <v>0.1</v>
      </c>
    </row>
    <row r="508" spans="1:7">
      <c r="A508">
        <v>6298</v>
      </c>
      <c r="B508" s="106" t="s">
        <v>2556</v>
      </c>
      <c r="C508">
        <v>0</v>
      </c>
      <c r="D508">
        <v>0</v>
      </c>
      <c r="E508" s="106">
        <v>0</v>
      </c>
      <c r="F508" s="106">
        <v>0</v>
      </c>
      <c r="G508" s="106" t="s">
        <v>233</v>
      </c>
    </row>
    <row r="509" spans="1:7">
      <c r="A509">
        <v>6301</v>
      </c>
      <c r="B509" s="106" t="s">
        <v>109</v>
      </c>
      <c r="C509">
        <v>0.15</v>
      </c>
      <c r="D509">
        <v>0</v>
      </c>
      <c r="E509">
        <v>0</v>
      </c>
      <c r="F509">
        <v>0.05</v>
      </c>
      <c r="G509">
        <v>0</v>
      </c>
    </row>
    <row r="510" spans="1:7">
      <c r="A510">
        <v>6302</v>
      </c>
      <c r="B510" s="106" t="s">
        <v>1054</v>
      </c>
      <c r="C510">
        <v>0</v>
      </c>
      <c r="D510">
        <v>0</v>
      </c>
      <c r="E510">
        <v>0</v>
      </c>
      <c r="F510">
        <v>0</v>
      </c>
      <c r="G510" s="106" t="s">
        <v>233</v>
      </c>
    </row>
    <row r="511" spans="1:7">
      <c r="A511">
        <v>6305</v>
      </c>
      <c r="B511" s="106" t="s">
        <v>33</v>
      </c>
      <c r="C511">
        <v>0.15</v>
      </c>
      <c r="D511">
        <v>0.1</v>
      </c>
      <c r="E511">
        <v>0.1</v>
      </c>
      <c r="F511">
        <v>0.1</v>
      </c>
      <c r="G511">
        <v>0.1</v>
      </c>
    </row>
    <row r="512" spans="1:7">
      <c r="A512">
        <v>6310</v>
      </c>
      <c r="B512" s="106" t="s">
        <v>1469</v>
      </c>
      <c r="C512">
        <v>0</v>
      </c>
      <c r="D512">
        <v>0</v>
      </c>
      <c r="E512">
        <v>0</v>
      </c>
      <c r="F512">
        <v>0.05</v>
      </c>
      <c r="G512">
        <v>0</v>
      </c>
    </row>
    <row r="513" spans="1:7">
      <c r="A513">
        <v>6315</v>
      </c>
      <c r="B513" s="106" t="s">
        <v>1470</v>
      </c>
      <c r="C513">
        <v>0.15</v>
      </c>
      <c r="D513">
        <v>0.05</v>
      </c>
      <c r="E513">
        <v>0.05</v>
      </c>
      <c r="F513">
        <v>0.05</v>
      </c>
      <c r="G513">
        <v>0.05</v>
      </c>
    </row>
    <row r="514" spans="1:7">
      <c r="A514">
        <v>6316</v>
      </c>
      <c r="B514" s="106" t="s">
        <v>1471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>
      <c r="A515">
        <v>6325</v>
      </c>
      <c r="B515" s="106" t="s">
        <v>1472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>
      <c r="A516">
        <v>6326</v>
      </c>
      <c r="B516" s="106" t="s">
        <v>1473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>
      <c r="A517">
        <v>6330</v>
      </c>
      <c r="B517" s="106" t="s">
        <v>1474</v>
      </c>
      <c r="C517">
        <v>0.15</v>
      </c>
      <c r="D517">
        <v>0</v>
      </c>
      <c r="E517">
        <v>0.05</v>
      </c>
      <c r="F517">
        <v>0</v>
      </c>
      <c r="G517">
        <v>0.05</v>
      </c>
    </row>
    <row r="518" spans="1:7">
      <c r="A518">
        <v>6331</v>
      </c>
      <c r="B518" s="106" t="s">
        <v>1475</v>
      </c>
      <c r="C518">
        <v>0</v>
      </c>
      <c r="D518" s="106">
        <v>0</v>
      </c>
      <c r="E518" s="106">
        <v>0</v>
      </c>
      <c r="F518">
        <v>0</v>
      </c>
      <c r="G518">
        <v>0</v>
      </c>
    </row>
    <row r="519" spans="1:7">
      <c r="A519">
        <v>6332</v>
      </c>
      <c r="B519" s="106" t="s">
        <v>1476</v>
      </c>
      <c r="C519">
        <v>0.15</v>
      </c>
      <c r="D519" s="106">
        <v>0.05</v>
      </c>
      <c r="E519" s="106">
        <v>0.05</v>
      </c>
      <c r="F519">
        <v>0.05</v>
      </c>
      <c r="G519">
        <v>0.05</v>
      </c>
    </row>
    <row r="520" spans="1:7">
      <c r="A520">
        <v>6339</v>
      </c>
      <c r="B520" s="106" t="s">
        <v>2557</v>
      </c>
      <c r="C520">
        <v>0.15</v>
      </c>
      <c r="D520" s="106">
        <v>0.05</v>
      </c>
      <c r="E520" s="106" t="s">
        <v>233</v>
      </c>
      <c r="F520">
        <v>0.05</v>
      </c>
      <c r="G520" s="106" t="s">
        <v>233</v>
      </c>
    </row>
    <row r="521" spans="1:7">
      <c r="A521">
        <v>6349</v>
      </c>
      <c r="B521" s="106" t="s">
        <v>1477</v>
      </c>
      <c r="C521">
        <v>0.15</v>
      </c>
      <c r="D521" s="106">
        <v>0.05</v>
      </c>
      <c r="E521" s="106">
        <v>0.05</v>
      </c>
      <c r="F521">
        <v>0.05</v>
      </c>
      <c r="G521">
        <v>0.05</v>
      </c>
    </row>
    <row r="522" spans="1:7">
      <c r="A522">
        <v>6351</v>
      </c>
      <c r="B522" s="106" t="s">
        <v>1478</v>
      </c>
      <c r="C522">
        <v>0.15</v>
      </c>
      <c r="D522">
        <v>0.05</v>
      </c>
      <c r="E522">
        <v>0.05</v>
      </c>
      <c r="F522">
        <v>0.05</v>
      </c>
      <c r="G522">
        <v>0.05</v>
      </c>
    </row>
    <row r="523" spans="1:7">
      <c r="A523">
        <v>6358</v>
      </c>
      <c r="B523" s="106" t="s">
        <v>1479</v>
      </c>
      <c r="C523">
        <v>0.15</v>
      </c>
      <c r="D523">
        <v>0.1</v>
      </c>
      <c r="E523">
        <v>0.05</v>
      </c>
      <c r="F523">
        <v>0.05</v>
      </c>
      <c r="G523">
        <v>0.05</v>
      </c>
    </row>
    <row r="524" spans="1:7">
      <c r="A524">
        <v>6361</v>
      </c>
      <c r="B524" s="106" t="s">
        <v>1480</v>
      </c>
      <c r="C524">
        <v>0.15</v>
      </c>
      <c r="D524">
        <v>0.1</v>
      </c>
      <c r="E524">
        <v>0.1</v>
      </c>
      <c r="F524">
        <v>0.1</v>
      </c>
      <c r="G524">
        <v>0.1</v>
      </c>
    </row>
    <row r="525" spans="1:7">
      <c r="A525">
        <v>6362</v>
      </c>
      <c r="B525" s="106" t="s">
        <v>1481</v>
      </c>
      <c r="C525">
        <v>0.15</v>
      </c>
      <c r="D525">
        <v>0.05</v>
      </c>
      <c r="E525">
        <v>0.05</v>
      </c>
      <c r="F525">
        <v>0.05</v>
      </c>
      <c r="G525">
        <v>0.05</v>
      </c>
    </row>
    <row r="526" spans="1:7">
      <c r="A526">
        <v>6363</v>
      </c>
      <c r="B526" s="106" t="s">
        <v>1482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>
      <c r="A527">
        <v>6367</v>
      </c>
      <c r="B527" s="106" t="s">
        <v>1483</v>
      </c>
      <c r="C527">
        <v>0.9</v>
      </c>
      <c r="D527" s="106">
        <v>0.3</v>
      </c>
      <c r="E527">
        <v>0.3</v>
      </c>
      <c r="F527">
        <v>0.3</v>
      </c>
      <c r="G527">
        <v>0.3</v>
      </c>
    </row>
    <row r="528" spans="1:7">
      <c r="A528">
        <v>6368</v>
      </c>
      <c r="B528" s="106" t="s">
        <v>1484</v>
      </c>
      <c r="C528">
        <v>0</v>
      </c>
      <c r="D528" s="106">
        <v>0</v>
      </c>
      <c r="E528" s="106" t="s">
        <v>233</v>
      </c>
      <c r="F528">
        <v>0</v>
      </c>
      <c r="G528">
        <v>0</v>
      </c>
    </row>
    <row r="529" spans="1:7">
      <c r="A529">
        <v>6370</v>
      </c>
      <c r="B529" s="106" t="s">
        <v>1485</v>
      </c>
      <c r="C529">
        <v>0</v>
      </c>
      <c r="D529" s="106" t="s">
        <v>233</v>
      </c>
      <c r="E529">
        <v>0.05</v>
      </c>
      <c r="F529">
        <v>0</v>
      </c>
      <c r="G529">
        <v>0</v>
      </c>
    </row>
    <row r="530" spans="1:7">
      <c r="A530">
        <v>6371</v>
      </c>
      <c r="B530" s="106" t="s">
        <v>108</v>
      </c>
      <c r="C530">
        <v>0.3</v>
      </c>
      <c r="D530">
        <v>0.1</v>
      </c>
      <c r="E530">
        <v>0.1</v>
      </c>
      <c r="F530" s="106">
        <v>0.1</v>
      </c>
      <c r="G530">
        <v>0</v>
      </c>
    </row>
    <row r="531" spans="1:7">
      <c r="A531">
        <v>6373</v>
      </c>
      <c r="B531" s="106" t="s">
        <v>1486</v>
      </c>
      <c r="C531">
        <v>0</v>
      </c>
      <c r="D531">
        <v>0</v>
      </c>
      <c r="E531">
        <v>0</v>
      </c>
      <c r="F531" s="106">
        <v>0</v>
      </c>
      <c r="G531">
        <v>0</v>
      </c>
    </row>
    <row r="532" spans="1:7">
      <c r="A532">
        <v>6379</v>
      </c>
      <c r="B532" s="106" t="s">
        <v>2558</v>
      </c>
      <c r="C532">
        <v>0</v>
      </c>
      <c r="D532" s="106" t="s">
        <v>233</v>
      </c>
      <c r="E532" s="106" t="s">
        <v>233</v>
      </c>
      <c r="F532">
        <v>0</v>
      </c>
      <c r="G532" s="106" t="s">
        <v>233</v>
      </c>
    </row>
    <row r="533" spans="1:7">
      <c r="A533">
        <v>6381</v>
      </c>
      <c r="B533" s="106" t="s">
        <v>1487</v>
      </c>
      <c r="C533">
        <v>0.15</v>
      </c>
      <c r="D533">
        <v>0.05</v>
      </c>
      <c r="E533">
        <v>0.05</v>
      </c>
      <c r="F533">
        <v>0.05</v>
      </c>
      <c r="G533">
        <v>0.05</v>
      </c>
    </row>
    <row r="534" spans="1:7">
      <c r="A534">
        <v>6383</v>
      </c>
      <c r="B534" s="106" t="s">
        <v>1063</v>
      </c>
      <c r="C534">
        <v>0.45</v>
      </c>
      <c r="D534">
        <v>0.15</v>
      </c>
      <c r="E534">
        <v>0.15</v>
      </c>
      <c r="F534">
        <v>0.15</v>
      </c>
      <c r="G534">
        <v>0.15</v>
      </c>
    </row>
    <row r="535" spans="1:7">
      <c r="A535">
        <v>6393</v>
      </c>
      <c r="B535" s="106" t="s">
        <v>1488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>
      <c r="A536">
        <v>6407</v>
      </c>
      <c r="B536" s="106" t="s">
        <v>1489</v>
      </c>
      <c r="C536">
        <v>0.15</v>
      </c>
      <c r="D536">
        <v>0.05</v>
      </c>
      <c r="E536" s="106">
        <v>0.05</v>
      </c>
      <c r="F536">
        <v>0.05</v>
      </c>
      <c r="G536" s="106">
        <v>0.05</v>
      </c>
    </row>
    <row r="537" spans="1:7">
      <c r="A537">
        <v>6412</v>
      </c>
      <c r="B537" s="106" t="s">
        <v>1490</v>
      </c>
      <c r="C537">
        <v>0</v>
      </c>
      <c r="D537">
        <v>0</v>
      </c>
      <c r="E537" s="106">
        <v>0</v>
      </c>
      <c r="F537">
        <v>0</v>
      </c>
      <c r="G537" s="106">
        <v>0</v>
      </c>
    </row>
    <row r="538" spans="1:7">
      <c r="A538">
        <v>6413</v>
      </c>
      <c r="B538" s="106" t="s">
        <v>1491</v>
      </c>
      <c r="C538">
        <v>0.15</v>
      </c>
      <c r="D538">
        <v>0.05</v>
      </c>
      <c r="E538">
        <v>0.05</v>
      </c>
      <c r="F538">
        <v>0.05</v>
      </c>
      <c r="G538">
        <v>0.05</v>
      </c>
    </row>
    <row r="539" spans="1:7">
      <c r="A539">
        <v>6417</v>
      </c>
      <c r="B539" s="106" t="s">
        <v>2559</v>
      </c>
      <c r="C539">
        <v>0</v>
      </c>
      <c r="D539">
        <v>0</v>
      </c>
      <c r="E539">
        <v>0</v>
      </c>
      <c r="F539">
        <v>0</v>
      </c>
      <c r="G539" s="106" t="s">
        <v>233</v>
      </c>
    </row>
    <row r="540" spans="1:7">
      <c r="A540">
        <v>6428</v>
      </c>
      <c r="B540" s="106" t="s">
        <v>1492</v>
      </c>
      <c r="C540">
        <v>0.15</v>
      </c>
      <c r="D540">
        <v>0.05</v>
      </c>
      <c r="E540">
        <v>0.05</v>
      </c>
      <c r="F540">
        <v>0.05</v>
      </c>
      <c r="G540">
        <v>0.05</v>
      </c>
    </row>
    <row r="541" spans="1:7">
      <c r="A541">
        <v>6430</v>
      </c>
      <c r="B541" s="106" t="s">
        <v>1493</v>
      </c>
      <c r="C541">
        <v>0.15</v>
      </c>
      <c r="D541">
        <v>0.05</v>
      </c>
      <c r="E541">
        <v>0.05</v>
      </c>
      <c r="F541">
        <v>0.05</v>
      </c>
      <c r="G541">
        <v>0.05</v>
      </c>
    </row>
    <row r="542" spans="1:7">
      <c r="A542">
        <v>6436</v>
      </c>
      <c r="B542" s="106" t="s">
        <v>1494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>
      <c r="A543">
        <v>6444</v>
      </c>
      <c r="B543" s="106" t="s">
        <v>1495</v>
      </c>
      <c r="C543">
        <v>0.15</v>
      </c>
      <c r="D543">
        <v>0.05</v>
      </c>
      <c r="E543">
        <v>0.05</v>
      </c>
      <c r="F543">
        <v>0.05</v>
      </c>
      <c r="G543">
        <v>0.05</v>
      </c>
    </row>
    <row r="544" spans="1:7">
      <c r="A544">
        <v>6448</v>
      </c>
      <c r="B544" s="106" t="s">
        <v>794</v>
      </c>
      <c r="C544">
        <v>0.15</v>
      </c>
      <c r="D544">
        <v>0.05</v>
      </c>
      <c r="E544">
        <v>0.05</v>
      </c>
      <c r="F544">
        <v>0.05</v>
      </c>
      <c r="G544">
        <v>0.05</v>
      </c>
    </row>
    <row r="545" spans="1:7">
      <c r="A545">
        <v>6454</v>
      </c>
      <c r="B545" s="106" t="s">
        <v>1496</v>
      </c>
      <c r="C545">
        <v>0.15</v>
      </c>
      <c r="D545">
        <v>0.05</v>
      </c>
      <c r="E545">
        <v>0.05</v>
      </c>
      <c r="F545">
        <v>0.05</v>
      </c>
      <c r="G545">
        <v>0.05</v>
      </c>
    </row>
    <row r="546" spans="1:7">
      <c r="A546">
        <v>6457</v>
      </c>
      <c r="B546" s="106" t="s">
        <v>312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>
      <c r="A547">
        <v>6459</v>
      </c>
      <c r="B547" s="106" t="s">
        <v>1497</v>
      </c>
      <c r="C547">
        <v>0</v>
      </c>
      <c r="D547">
        <v>0</v>
      </c>
      <c r="E547" s="106" t="s">
        <v>233</v>
      </c>
      <c r="F547" s="106" t="s">
        <v>233</v>
      </c>
      <c r="G547">
        <v>0.05</v>
      </c>
    </row>
    <row r="548" spans="1:7">
      <c r="A548">
        <v>6463</v>
      </c>
      <c r="B548" s="106" t="s">
        <v>1498</v>
      </c>
      <c r="C548">
        <v>0.15</v>
      </c>
      <c r="D548">
        <v>0.05</v>
      </c>
      <c r="E548">
        <v>0.05</v>
      </c>
      <c r="F548">
        <v>0.05</v>
      </c>
      <c r="G548">
        <v>0.05</v>
      </c>
    </row>
    <row r="549" spans="1:7">
      <c r="A549">
        <v>6465</v>
      </c>
      <c r="B549" s="106" t="s">
        <v>785</v>
      </c>
      <c r="C549">
        <v>0.6</v>
      </c>
      <c r="D549" s="106">
        <v>0.2</v>
      </c>
      <c r="E549">
        <v>0.2</v>
      </c>
      <c r="F549" s="106">
        <v>0.2</v>
      </c>
      <c r="G549" s="106">
        <v>0.2</v>
      </c>
    </row>
    <row r="550" spans="1:7">
      <c r="A550">
        <v>6472</v>
      </c>
      <c r="B550" s="106" t="s">
        <v>133</v>
      </c>
      <c r="C550">
        <v>0</v>
      </c>
      <c r="D550" s="106">
        <v>0.05</v>
      </c>
      <c r="E550">
        <v>0</v>
      </c>
      <c r="F550" s="106">
        <v>0.05</v>
      </c>
      <c r="G550" s="106">
        <v>0</v>
      </c>
    </row>
    <row r="551" spans="1:7">
      <c r="A551">
        <v>6474</v>
      </c>
      <c r="B551" s="106" t="s">
        <v>313</v>
      </c>
      <c r="C551">
        <v>0</v>
      </c>
      <c r="D551">
        <v>0.1</v>
      </c>
      <c r="E551">
        <v>0.1</v>
      </c>
      <c r="F551">
        <v>0.1</v>
      </c>
      <c r="G551">
        <v>0.05</v>
      </c>
    </row>
    <row r="552" spans="1:7">
      <c r="A552">
        <v>6479</v>
      </c>
      <c r="B552" s="106" t="s">
        <v>1045</v>
      </c>
      <c r="C552">
        <v>0.15</v>
      </c>
      <c r="D552">
        <v>0.05</v>
      </c>
      <c r="E552">
        <v>0.05</v>
      </c>
      <c r="F552">
        <v>0.05</v>
      </c>
      <c r="G552">
        <v>0.05</v>
      </c>
    </row>
    <row r="553" spans="1:7">
      <c r="A553">
        <v>6480</v>
      </c>
      <c r="B553" s="106" t="s">
        <v>1499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>
      <c r="A554">
        <v>6482</v>
      </c>
      <c r="B554" s="106" t="s">
        <v>1500</v>
      </c>
      <c r="C554">
        <v>0.15</v>
      </c>
      <c r="D554">
        <v>0.05</v>
      </c>
      <c r="E554">
        <v>0.05</v>
      </c>
      <c r="F554">
        <v>0</v>
      </c>
      <c r="G554">
        <v>0.05</v>
      </c>
    </row>
    <row r="555" spans="1:7">
      <c r="A555">
        <v>6485</v>
      </c>
      <c r="B555" s="106" t="s">
        <v>2560</v>
      </c>
      <c r="C555">
        <v>0</v>
      </c>
      <c r="D555" s="106" t="s">
        <v>233</v>
      </c>
      <c r="E555" s="106">
        <v>0</v>
      </c>
      <c r="F555">
        <v>0</v>
      </c>
      <c r="G555" s="106" t="s">
        <v>233</v>
      </c>
    </row>
    <row r="556" spans="1:7">
      <c r="A556">
        <v>6490</v>
      </c>
      <c r="B556" s="106" t="s">
        <v>1501</v>
      </c>
      <c r="C556">
        <v>0.15</v>
      </c>
      <c r="D556">
        <v>0.05</v>
      </c>
      <c r="E556" s="106">
        <v>0.05</v>
      </c>
      <c r="F556">
        <v>0.05</v>
      </c>
      <c r="G556">
        <v>0.05</v>
      </c>
    </row>
    <row r="557" spans="1:7">
      <c r="A557">
        <v>6501</v>
      </c>
      <c r="B557" s="106" t="s">
        <v>2561</v>
      </c>
      <c r="C557">
        <v>0</v>
      </c>
      <c r="D557" s="106" t="s">
        <v>233</v>
      </c>
      <c r="E557" s="106" t="s">
        <v>233</v>
      </c>
      <c r="F557" s="106" t="s">
        <v>233</v>
      </c>
      <c r="G557" s="106" t="s">
        <v>233</v>
      </c>
    </row>
    <row r="558" spans="1:7">
      <c r="A558">
        <v>6505</v>
      </c>
      <c r="B558" s="106" t="s">
        <v>1502</v>
      </c>
      <c r="C558">
        <v>0</v>
      </c>
      <c r="D558" s="106">
        <v>0.05</v>
      </c>
      <c r="E558">
        <v>0</v>
      </c>
      <c r="F558" s="106">
        <v>0.05</v>
      </c>
      <c r="G558">
        <v>0</v>
      </c>
    </row>
    <row r="559" spans="1:7">
      <c r="A559">
        <v>6506</v>
      </c>
      <c r="B559" s="106" t="s">
        <v>1503</v>
      </c>
      <c r="C559">
        <v>0.3</v>
      </c>
      <c r="D559">
        <v>0.1</v>
      </c>
      <c r="E559">
        <v>0.1</v>
      </c>
      <c r="F559">
        <v>0.1</v>
      </c>
      <c r="G559">
        <v>0.1</v>
      </c>
    </row>
    <row r="560" spans="1:7">
      <c r="A560">
        <v>6508</v>
      </c>
      <c r="B560" s="106" t="s">
        <v>1504</v>
      </c>
      <c r="C560">
        <v>0.15</v>
      </c>
      <c r="D560">
        <v>0.05</v>
      </c>
      <c r="E560">
        <v>0.05</v>
      </c>
      <c r="F560" s="106">
        <v>0.05</v>
      </c>
      <c r="G560" s="106">
        <v>0.05</v>
      </c>
    </row>
    <row r="561" spans="1:7">
      <c r="A561">
        <v>6535</v>
      </c>
      <c r="B561" s="106" t="s">
        <v>1505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>
      <c r="A562">
        <v>6547</v>
      </c>
      <c r="B562" s="106" t="s">
        <v>1506</v>
      </c>
      <c r="C562">
        <v>0.15</v>
      </c>
      <c r="D562">
        <v>0.05</v>
      </c>
      <c r="E562">
        <v>0.05</v>
      </c>
      <c r="F562">
        <v>0.05</v>
      </c>
      <c r="G562">
        <v>0.05</v>
      </c>
    </row>
    <row r="563" spans="1:7">
      <c r="A563">
        <v>6551</v>
      </c>
      <c r="B563" s="106" t="s">
        <v>1507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>
      <c r="A564">
        <v>6552</v>
      </c>
      <c r="B564" s="106" t="s">
        <v>1508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>
      <c r="A565">
        <v>6586</v>
      </c>
      <c r="B565" s="106" t="s">
        <v>1509</v>
      </c>
      <c r="C565">
        <v>0</v>
      </c>
      <c r="D565">
        <v>0</v>
      </c>
      <c r="E565">
        <v>0</v>
      </c>
      <c r="F565">
        <v>0.1</v>
      </c>
      <c r="G565">
        <v>0</v>
      </c>
    </row>
    <row r="566" spans="1:7">
      <c r="A566">
        <v>6588</v>
      </c>
      <c r="B566" s="106" t="s">
        <v>788</v>
      </c>
      <c r="C566">
        <v>0.3</v>
      </c>
      <c r="D566">
        <v>0.1</v>
      </c>
      <c r="E566">
        <v>0.1</v>
      </c>
      <c r="F566">
        <v>0.1</v>
      </c>
      <c r="G566">
        <v>0.05</v>
      </c>
    </row>
    <row r="567" spans="1:7">
      <c r="A567">
        <v>6617</v>
      </c>
      <c r="B567" s="106" t="s">
        <v>1510</v>
      </c>
      <c r="C567">
        <v>0.15</v>
      </c>
      <c r="D567" s="106" t="s">
        <v>233</v>
      </c>
      <c r="E567">
        <v>0.05</v>
      </c>
      <c r="F567" s="106" t="s">
        <v>233</v>
      </c>
      <c r="G567">
        <v>0.05</v>
      </c>
    </row>
    <row r="568" spans="1:7">
      <c r="A568">
        <v>6622</v>
      </c>
      <c r="B568" s="106" t="s">
        <v>1511</v>
      </c>
      <c r="C568">
        <v>0.3</v>
      </c>
      <c r="D568">
        <v>0.1</v>
      </c>
      <c r="E568">
        <v>0.1</v>
      </c>
      <c r="F568">
        <v>0.1</v>
      </c>
      <c r="G568">
        <v>0.1</v>
      </c>
    </row>
    <row r="569" spans="1:7">
      <c r="A569">
        <v>6638</v>
      </c>
      <c r="B569" s="106" t="s">
        <v>2562</v>
      </c>
      <c r="C569">
        <v>0</v>
      </c>
      <c r="D569" s="106" t="s">
        <v>233</v>
      </c>
      <c r="E569">
        <v>0</v>
      </c>
      <c r="F569">
        <v>0</v>
      </c>
      <c r="G569" s="106" t="s">
        <v>233</v>
      </c>
    </row>
    <row r="570" spans="1:7">
      <c r="A570">
        <v>6640</v>
      </c>
      <c r="B570" s="106" t="s">
        <v>1512</v>
      </c>
      <c r="C570">
        <v>0.6</v>
      </c>
      <c r="D570">
        <v>0.1</v>
      </c>
      <c r="E570" s="106">
        <v>0.1</v>
      </c>
      <c r="F570" s="106">
        <v>0.1</v>
      </c>
      <c r="G570" s="106">
        <v>0.1</v>
      </c>
    </row>
    <row r="571" spans="1:7">
      <c r="A571">
        <v>6641</v>
      </c>
      <c r="B571" s="106" t="s">
        <v>1513</v>
      </c>
      <c r="C571">
        <v>0.15</v>
      </c>
      <c r="D571">
        <v>0.05</v>
      </c>
      <c r="E571" s="106">
        <v>0.05</v>
      </c>
      <c r="F571" s="106">
        <v>0.05</v>
      </c>
      <c r="G571" s="106">
        <v>0</v>
      </c>
    </row>
    <row r="572" spans="1:7">
      <c r="A572">
        <v>6645</v>
      </c>
      <c r="B572" s="106" t="s">
        <v>1514</v>
      </c>
      <c r="C572">
        <v>0.45</v>
      </c>
      <c r="D572">
        <v>0.15</v>
      </c>
      <c r="E572" s="106">
        <v>0.15</v>
      </c>
      <c r="F572">
        <v>0.15</v>
      </c>
      <c r="G572">
        <v>0.15</v>
      </c>
    </row>
    <row r="573" spans="1:7">
      <c r="A573">
        <v>6652</v>
      </c>
      <c r="B573" s="106" t="s">
        <v>1515</v>
      </c>
      <c r="C573">
        <v>0.15</v>
      </c>
      <c r="D573">
        <v>0.05</v>
      </c>
      <c r="E573" s="106">
        <v>0.05</v>
      </c>
      <c r="F573">
        <v>0.05</v>
      </c>
      <c r="G573">
        <v>0.05</v>
      </c>
    </row>
    <row r="574" spans="1:7">
      <c r="A574">
        <v>6653</v>
      </c>
      <c r="B574" s="106" t="s">
        <v>1516</v>
      </c>
      <c r="C574">
        <v>0</v>
      </c>
      <c r="D574">
        <v>0</v>
      </c>
      <c r="E574">
        <v>0.05</v>
      </c>
      <c r="F574">
        <v>0.05</v>
      </c>
      <c r="G574">
        <v>0.05</v>
      </c>
    </row>
    <row r="575" spans="1:7">
      <c r="A575">
        <v>6654</v>
      </c>
      <c r="B575" s="106" t="s">
        <v>1517</v>
      </c>
      <c r="C575">
        <v>0</v>
      </c>
      <c r="D575" s="106" t="s">
        <v>233</v>
      </c>
      <c r="E575" s="106" t="s">
        <v>233</v>
      </c>
      <c r="F575">
        <v>0</v>
      </c>
      <c r="G575">
        <v>0</v>
      </c>
    </row>
    <row r="576" spans="1:7">
      <c r="A576">
        <v>6674</v>
      </c>
      <c r="B576" s="106" t="s">
        <v>327</v>
      </c>
      <c r="C576">
        <v>0</v>
      </c>
      <c r="D576">
        <v>0</v>
      </c>
      <c r="E576" s="106">
        <v>0</v>
      </c>
      <c r="F576" s="106">
        <v>0</v>
      </c>
      <c r="G576" s="106">
        <v>0</v>
      </c>
    </row>
    <row r="577" spans="1:7">
      <c r="A577">
        <v>6676</v>
      </c>
      <c r="B577" s="106" t="s">
        <v>1518</v>
      </c>
      <c r="C577">
        <v>0</v>
      </c>
      <c r="D577">
        <v>0</v>
      </c>
      <c r="E577" s="106">
        <v>0</v>
      </c>
      <c r="F577" s="106">
        <v>0</v>
      </c>
      <c r="G577" s="106">
        <v>0</v>
      </c>
    </row>
    <row r="578" spans="1:7">
      <c r="A578">
        <v>6702</v>
      </c>
      <c r="B578" s="106" t="s">
        <v>329</v>
      </c>
      <c r="C578">
        <v>0.6</v>
      </c>
      <c r="D578">
        <v>0.2</v>
      </c>
      <c r="E578" s="106">
        <v>0.2</v>
      </c>
      <c r="F578">
        <v>0.2</v>
      </c>
      <c r="G578" s="106">
        <v>0.2</v>
      </c>
    </row>
    <row r="579" spans="1:7">
      <c r="A579">
        <v>6704</v>
      </c>
      <c r="B579" s="106" t="s">
        <v>1519</v>
      </c>
      <c r="C579">
        <v>0.15</v>
      </c>
      <c r="D579">
        <v>0</v>
      </c>
      <c r="E579">
        <v>0.05</v>
      </c>
      <c r="F579" s="106" t="s">
        <v>233</v>
      </c>
      <c r="G579">
        <v>0.05</v>
      </c>
    </row>
    <row r="580" spans="1:7">
      <c r="A580">
        <v>6706</v>
      </c>
      <c r="B580" s="106" t="s">
        <v>1520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>
      <c r="A581">
        <v>6707</v>
      </c>
      <c r="B581" s="106" t="s">
        <v>1521</v>
      </c>
      <c r="C581">
        <v>0</v>
      </c>
      <c r="D581">
        <v>0.1</v>
      </c>
      <c r="E581">
        <v>0</v>
      </c>
      <c r="F581">
        <v>0</v>
      </c>
      <c r="G581">
        <v>0</v>
      </c>
    </row>
    <row r="582" spans="1:7">
      <c r="A582">
        <v>6715</v>
      </c>
      <c r="B582" s="106" t="s">
        <v>1522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>
      <c r="A583">
        <v>6723</v>
      </c>
      <c r="B583" s="106" t="s">
        <v>1523</v>
      </c>
      <c r="C583">
        <v>0.15</v>
      </c>
      <c r="D583">
        <v>0.05</v>
      </c>
      <c r="E583">
        <v>0.05</v>
      </c>
      <c r="F583">
        <v>0.05</v>
      </c>
      <c r="G583">
        <v>0.05</v>
      </c>
    </row>
    <row r="584" spans="1:7">
      <c r="A584">
        <v>6724</v>
      </c>
      <c r="B584" s="106" t="s">
        <v>1524</v>
      </c>
      <c r="C584">
        <v>0.15</v>
      </c>
      <c r="D584">
        <v>0.05</v>
      </c>
      <c r="E584">
        <v>0.05</v>
      </c>
      <c r="F584" s="106">
        <v>0.05</v>
      </c>
      <c r="G584">
        <v>0.05</v>
      </c>
    </row>
    <row r="585" spans="1:7">
      <c r="A585">
        <v>6741</v>
      </c>
      <c r="B585" s="106" t="s">
        <v>2563</v>
      </c>
      <c r="C585">
        <v>0</v>
      </c>
      <c r="D585">
        <v>0</v>
      </c>
      <c r="E585" s="106" t="s">
        <v>233</v>
      </c>
      <c r="F585" s="106" t="s">
        <v>233</v>
      </c>
      <c r="G585" s="106" t="s">
        <v>233</v>
      </c>
    </row>
    <row r="586" spans="1:7">
      <c r="A586">
        <v>6742</v>
      </c>
      <c r="B586" s="106" t="s">
        <v>1525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>
      <c r="A587">
        <v>6748</v>
      </c>
      <c r="B587" s="106" t="s">
        <v>1526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>
      <c r="A588">
        <v>6750</v>
      </c>
      <c r="B588" s="106" t="s">
        <v>1527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>
      <c r="A589">
        <v>6754</v>
      </c>
      <c r="B589" s="106" t="s">
        <v>1528</v>
      </c>
      <c r="C589">
        <v>0.15</v>
      </c>
      <c r="D589">
        <v>0.05</v>
      </c>
      <c r="E589">
        <v>0.05</v>
      </c>
      <c r="F589">
        <v>0.05</v>
      </c>
      <c r="G589">
        <v>0.05</v>
      </c>
    </row>
    <row r="590" spans="1:7">
      <c r="A590">
        <v>6755</v>
      </c>
      <c r="B590" s="106" t="s">
        <v>1005</v>
      </c>
      <c r="C590">
        <v>0.15</v>
      </c>
      <c r="D590" s="106">
        <v>0.05</v>
      </c>
      <c r="E590">
        <v>0.05</v>
      </c>
      <c r="F590">
        <v>0.05</v>
      </c>
      <c r="G590">
        <v>0.05</v>
      </c>
    </row>
    <row r="591" spans="1:7">
      <c r="A591">
        <v>6758</v>
      </c>
      <c r="B591" s="106" t="s">
        <v>1529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>
      <c r="A592">
        <v>6762</v>
      </c>
      <c r="B592" s="106" t="s">
        <v>1530</v>
      </c>
      <c r="C592">
        <v>0.6</v>
      </c>
      <c r="D592">
        <v>0.25</v>
      </c>
      <c r="E592">
        <v>0.25</v>
      </c>
      <c r="F592">
        <v>0.25</v>
      </c>
      <c r="G592">
        <v>0.2</v>
      </c>
    </row>
    <row r="593" spans="1:7">
      <c r="A593">
        <v>6763</v>
      </c>
      <c r="B593" s="106" t="s">
        <v>1531</v>
      </c>
      <c r="C593">
        <v>0.15</v>
      </c>
      <c r="D593">
        <v>0.05</v>
      </c>
      <c r="E593">
        <v>0.05</v>
      </c>
      <c r="F593">
        <v>0.05</v>
      </c>
      <c r="G593">
        <v>0.05</v>
      </c>
    </row>
    <row r="594" spans="1:7">
      <c r="A594">
        <v>6770</v>
      </c>
      <c r="B594" s="106" t="s">
        <v>26</v>
      </c>
      <c r="C594">
        <v>0.15</v>
      </c>
      <c r="D594">
        <v>0.05</v>
      </c>
      <c r="E594">
        <v>0.05</v>
      </c>
      <c r="F594">
        <v>0.05</v>
      </c>
      <c r="G594">
        <v>0.05</v>
      </c>
    </row>
    <row r="595" spans="1:7">
      <c r="A595">
        <v>6785</v>
      </c>
      <c r="B595" s="106" t="s">
        <v>1532</v>
      </c>
      <c r="C595">
        <v>0.15</v>
      </c>
      <c r="D595">
        <v>0</v>
      </c>
      <c r="E595">
        <v>0.05</v>
      </c>
      <c r="F595" s="106" t="s">
        <v>233</v>
      </c>
      <c r="G595">
        <v>0.05</v>
      </c>
    </row>
    <row r="596" spans="1:7">
      <c r="A596">
        <v>6794</v>
      </c>
      <c r="B596" s="106" t="s">
        <v>1533</v>
      </c>
      <c r="C596">
        <v>0.15</v>
      </c>
      <c r="D596">
        <v>0.05</v>
      </c>
      <c r="E596">
        <v>0.05</v>
      </c>
      <c r="F596">
        <v>0.05</v>
      </c>
      <c r="G596">
        <v>0.05</v>
      </c>
    </row>
    <row r="597" spans="1:7">
      <c r="A597">
        <v>6798</v>
      </c>
      <c r="B597" s="106" t="s">
        <v>1534</v>
      </c>
      <c r="C597">
        <v>0.15</v>
      </c>
      <c r="D597">
        <v>0.05</v>
      </c>
      <c r="E597">
        <v>0.05</v>
      </c>
      <c r="F597">
        <v>0.05</v>
      </c>
      <c r="G597">
        <v>0.05</v>
      </c>
    </row>
    <row r="598" spans="1:7">
      <c r="A598">
        <v>6803</v>
      </c>
      <c r="B598" s="106" t="s">
        <v>2564</v>
      </c>
      <c r="C598">
        <v>0</v>
      </c>
      <c r="D598">
        <v>0.05</v>
      </c>
      <c r="E598" s="106" t="s">
        <v>233</v>
      </c>
      <c r="F598" s="106">
        <v>0.05</v>
      </c>
      <c r="G598" s="106" t="s">
        <v>233</v>
      </c>
    </row>
    <row r="599" spans="1:7">
      <c r="A599">
        <v>6804</v>
      </c>
      <c r="B599" s="106" t="s">
        <v>1535</v>
      </c>
      <c r="C599">
        <v>0.15</v>
      </c>
      <c r="D599">
        <v>0.05</v>
      </c>
      <c r="E599">
        <v>0.05</v>
      </c>
      <c r="F599" s="106">
        <v>0.05</v>
      </c>
      <c r="G599">
        <v>0.05</v>
      </c>
    </row>
    <row r="600" spans="1:7">
      <c r="A600">
        <v>6806</v>
      </c>
      <c r="B600" s="106" t="s">
        <v>1536</v>
      </c>
      <c r="C600">
        <v>0.75</v>
      </c>
      <c r="D600">
        <v>0.25</v>
      </c>
      <c r="E600">
        <v>0.25</v>
      </c>
      <c r="F600">
        <v>0.25</v>
      </c>
      <c r="G600">
        <v>0.25</v>
      </c>
    </row>
    <row r="601" spans="1:7">
      <c r="A601">
        <v>6807</v>
      </c>
      <c r="B601" s="106" t="s">
        <v>332</v>
      </c>
      <c r="C601">
        <v>0.15</v>
      </c>
      <c r="D601">
        <v>0.05</v>
      </c>
      <c r="E601">
        <v>0.05</v>
      </c>
      <c r="F601">
        <v>0.05</v>
      </c>
      <c r="G601">
        <v>0.05</v>
      </c>
    </row>
    <row r="602" spans="1:7">
      <c r="A602">
        <v>6814</v>
      </c>
      <c r="B602" s="106" t="s">
        <v>1537</v>
      </c>
      <c r="C602">
        <v>0.15</v>
      </c>
      <c r="D602" s="106" t="s">
        <v>233</v>
      </c>
      <c r="E602">
        <v>0.05</v>
      </c>
      <c r="F602" s="106" t="s">
        <v>233</v>
      </c>
      <c r="G602">
        <v>0.05</v>
      </c>
    </row>
    <row r="603" spans="1:7">
      <c r="A603">
        <v>6817</v>
      </c>
      <c r="B603" s="106" t="s">
        <v>1538</v>
      </c>
      <c r="C603">
        <v>0</v>
      </c>
      <c r="D603" s="106">
        <v>0</v>
      </c>
      <c r="E603" s="106">
        <v>0</v>
      </c>
      <c r="F603" s="106">
        <v>0</v>
      </c>
      <c r="G603" s="106">
        <v>0</v>
      </c>
    </row>
    <row r="604" spans="1:7">
      <c r="A604">
        <v>6823</v>
      </c>
      <c r="B604" s="106" t="s">
        <v>1539</v>
      </c>
      <c r="C604">
        <v>0.15</v>
      </c>
      <c r="D604" s="106">
        <v>0.05</v>
      </c>
      <c r="E604" s="106">
        <v>0</v>
      </c>
      <c r="F604" s="106">
        <v>0</v>
      </c>
      <c r="G604" s="106">
        <v>0</v>
      </c>
    </row>
    <row r="605" spans="1:7">
      <c r="A605">
        <v>6839</v>
      </c>
      <c r="B605" s="106" t="s">
        <v>1540</v>
      </c>
      <c r="C605">
        <v>0.15</v>
      </c>
      <c r="D605">
        <v>0.05</v>
      </c>
      <c r="E605">
        <v>0.05</v>
      </c>
      <c r="F605">
        <v>0.05</v>
      </c>
      <c r="G605">
        <v>0.05</v>
      </c>
    </row>
    <row r="606" spans="1:7">
      <c r="A606">
        <v>6845</v>
      </c>
      <c r="B606" s="106" t="s">
        <v>305</v>
      </c>
      <c r="C606">
        <v>0.15</v>
      </c>
      <c r="D606">
        <v>0.05</v>
      </c>
      <c r="E606">
        <v>0.05</v>
      </c>
      <c r="F606">
        <v>0.05</v>
      </c>
      <c r="G606">
        <v>0.05</v>
      </c>
    </row>
    <row r="607" spans="1:7">
      <c r="A607">
        <v>6848</v>
      </c>
      <c r="B607" s="106" t="s">
        <v>1541</v>
      </c>
      <c r="C607">
        <v>0.15</v>
      </c>
      <c r="D607">
        <v>0.05</v>
      </c>
      <c r="E607" s="106">
        <v>0.05</v>
      </c>
      <c r="F607" s="106">
        <v>0.05</v>
      </c>
      <c r="G607">
        <v>0</v>
      </c>
    </row>
    <row r="608" spans="1:7">
      <c r="A608">
        <v>6850</v>
      </c>
      <c r="B608" s="106" t="s">
        <v>2565</v>
      </c>
      <c r="C608">
        <v>0</v>
      </c>
      <c r="D608">
        <v>0</v>
      </c>
      <c r="E608" s="106" t="s">
        <v>233</v>
      </c>
      <c r="F608" s="106">
        <v>0.05</v>
      </c>
      <c r="G608" s="106" t="s">
        <v>233</v>
      </c>
    </row>
    <row r="609" spans="1:7">
      <c r="A609">
        <v>6853</v>
      </c>
      <c r="B609" s="106" t="s">
        <v>1542</v>
      </c>
      <c r="C609">
        <v>0.15</v>
      </c>
      <c r="D609">
        <v>0.05</v>
      </c>
      <c r="E609">
        <v>0.05</v>
      </c>
      <c r="F609">
        <v>0</v>
      </c>
      <c r="G609">
        <v>0</v>
      </c>
    </row>
    <row r="610" spans="1:7">
      <c r="A610">
        <v>6856</v>
      </c>
      <c r="B610" s="106" t="s">
        <v>328</v>
      </c>
      <c r="C610">
        <v>0.45</v>
      </c>
      <c r="D610">
        <v>0.15</v>
      </c>
      <c r="E610">
        <v>0.15</v>
      </c>
      <c r="F610">
        <v>0.15</v>
      </c>
      <c r="G610">
        <v>0.15</v>
      </c>
    </row>
    <row r="611" spans="1:7">
      <c r="A611">
        <v>6857</v>
      </c>
      <c r="B611" s="106" t="s">
        <v>1543</v>
      </c>
      <c r="C611">
        <v>0.3</v>
      </c>
      <c r="D611">
        <v>0.1</v>
      </c>
      <c r="E611">
        <v>0.1</v>
      </c>
      <c r="F611">
        <v>0.1</v>
      </c>
      <c r="G611">
        <v>0.1</v>
      </c>
    </row>
    <row r="612" spans="1:7">
      <c r="A612">
        <v>6861</v>
      </c>
      <c r="B612" s="106" t="s">
        <v>1544</v>
      </c>
      <c r="C612">
        <v>1.95</v>
      </c>
      <c r="D612">
        <v>0.7</v>
      </c>
      <c r="E612">
        <v>0.7</v>
      </c>
      <c r="F612">
        <v>0.7</v>
      </c>
      <c r="G612">
        <v>0.65</v>
      </c>
    </row>
    <row r="613" spans="1:7">
      <c r="A613">
        <v>6871</v>
      </c>
      <c r="B613" s="106" t="s">
        <v>1545</v>
      </c>
      <c r="C613">
        <v>0.15</v>
      </c>
      <c r="D613">
        <v>0.05</v>
      </c>
      <c r="E613">
        <v>0.05</v>
      </c>
      <c r="F613">
        <v>0.05</v>
      </c>
      <c r="G613">
        <v>0.05</v>
      </c>
    </row>
    <row r="614" spans="1:7">
      <c r="A614">
        <v>6875</v>
      </c>
      <c r="B614" s="106" t="s">
        <v>1546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>
      <c r="A615">
        <v>6879</v>
      </c>
      <c r="B615" s="106" t="s">
        <v>1547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>
      <c r="A616">
        <v>6901</v>
      </c>
      <c r="B616" s="106" t="s">
        <v>1548</v>
      </c>
      <c r="C616">
        <v>0</v>
      </c>
      <c r="D616">
        <v>0.05</v>
      </c>
      <c r="E616">
        <v>0</v>
      </c>
      <c r="F616">
        <v>0</v>
      </c>
      <c r="G616">
        <v>0</v>
      </c>
    </row>
    <row r="617" spans="1:7">
      <c r="A617">
        <v>6902</v>
      </c>
      <c r="B617" s="106" t="s">
        <v>1549</v>
      </c>
      <c r="C617">
        <v>0.3</v>
      </c>
      <c r="D617">
        <v>0.1</v>
      </c>
      <c r="E617">
        <v>0</v>
      </c>
      <c r="F617">
        <v>0.1</v>
      </c>
      <c r="G617">
        <v>0</v>
      </c>
    </row>
    <row r="618" spans="1:7">
      <c r="A618">
        <v>6908</v>
      </c>
      <c r="B618" s="106" t="s">
        <v>2566</v>
      </c>
      <c r="C618">
        <v>0</v>
      </c>
      <c r="D618" s="106" t="s">
        <v>233</v>
      </c>
      <c r="E618">
        <v>0</v>
      </c>
      <c r="F618" s="106" t="s">
        <v>233</v>
      </c>
      <c r="G618" s="106" t="s">
        <v>233</v>
      </c>
    </row>
    <row r="619" spans="1:7">
      <c r="A619">
        <v>6915</v>
      </c>
      <c r="B619" s="106" t="s">
        <v>1550</v>
      </c>
      <c r="C619">
        <v>0</v>
      </c>
      <c r="D619">
        <v>0.05</v>
      </c>
      <c r="E619">
        <v>0</v>
      </c>
      <c r="F619">
        <v>0.05</v>
      </c>
      <c r="G619">
        <v>0</v>
      </c>
    </row>
    <row r="620" spans="1:7">
      <c r="A620">
        <v>6916</v>
      </c>
      <c r="B620" s="106" t="s">
        <v>1551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>
      <c r="A621">
        <v>6920</v>
      </c>
      <c r="B621" s="106" t="s">
        <v>86</v>
      </c>
      <c r="C621">
        <v>0</v>
      </c>
      <c r="D621" s="106" t="s">
        <v>233</v>
      </c>
      <c r="E621">
        <v>0</v>
      </c>
      <c r="F621">
        <v>0</v>
      </c>
      <c r="G621">
        <v>0</v>
      </c>
    </row>
    <row r="622" spans="1:7">
      <c r="A622">
        <v>6923</v>
      </c>
      <c r="B622" s="106" t="s">
        <v>112</v>
      </c>
      <c r="C622">
        <v>0.15</v>
      </c>
      <c r="D622">
        <v>0.05</v>
      </c>
      <c r="E622">
        <v>0.05</v>
      </c>
      <c r="F622">
        <v>0.05</v>
      </c>
      <c r="G622">
        <v>0.05</v>
      </c>
    </row>
    <row r="623" spans="1:7">
      <c r="A623">
        <v>6926</v>
      </c>
      <c r="B623" s="106" t="s">
        <v>1552</v>
      </c>
      <c r="C623">
        <v>0.15</v>
      </c>
      <c r="D623">
        <v>0.05</v>
      </c>
      <c r="E623">
        <v>0.05</v>
      </c>
      <c r="F623">
        <v>0.05</v>
      </c>
      <c r="G623">
        <v>0.05</v>
      </c>
    </row>
    <row r="624" spans="1:7">
      <c r="A624">
        <v>6929</v>
      </c>
      <c r="B624" s="106" t="s">
        <v>1553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>
      <c r="A625">
        <v>6941</v>
      </c>
      <c r="B625" s="106" t="s">
        <v>1554</v>
      </c>
      <c r="C625">
        <v>0.15</v>
      </c>
      <c r="D625">
        <v>0.05</v>
      </c>
      <c r="E625">
        <v>0.05</v>
      </c>
      <c r="F625" s="106">
        <v>0.05</v>
      </c>
      <c r="G625" s="106">
        <v>0.05</v>
      </c>
    </row>
    <row r="626" spans="1:7">
      <c r="A626">
        <v>6947</v>
      </c>
      <c r="B626" s="106" t="s">
        <v>1555</v>
      </c>
      <c r="C626">
        <v>0.15</v>
      </c>
      <c r="D626">
        <v>0.05</v>
      </c>
      <c r="E626">
        <v>0.05</v>
      </c>
      <c r="F626" s="106">
        <v>0.05</v>
      </c>
      <c r="G626" s="106">
        <v>0.05</v>
      </c>
    </row>
    <row r="627" spans="1:7">
      <c r="A627">
        <v>6951</v>
      </c>
      <c r="B627" s="106" t="s">
        <v>320</v>
      </c>
      <c r="C627">
        <v>0.3</v>
      </c>
      <c r="D627">
        <v>0.1</v>
      </c>
      <c r="E627">
        <v>0.1</v>
      </c>
      <c r="F627">
        <v>0.05</v>
      </c>
      <c r="G627">
        <v>0.05</v>
      </c>
    </row>
    <row r="628" spans="1:7">
      <c r="A628">
        <v>6952</v>
      </c>
      <c r="B628" s="106" t="s">
        <v>790</v>
      </c>
      <c r="C628">
        <v>0.15</v>
      </c>
      <c r="D628">
        <v>0.05</v>
      </c>
      <c r="E628">
        <v>0.05</v>
      </c>
      <c r="F628">
        <v>0.05</v>
      </c>
      <c r="G628">
        <v>0.05</v>
      </c>
    </row>
    <row r="629" spans="1:7">
      <c r="A629">
        <v>6954</v>
      </c>
      <c r="B629" s="106" t="s">
        <v>1556</v>
      </c>
      <c r="C629">
        <v>1.05</v>
      </c>
      <c r="D629">
        <v>0.4</v>
      </c>
      <c r="E629">
        <v>0.4</v>
      </c>
      <c r="F629">
        <v>0.4</v>
      </c>
      <c r="G629">
        <v>0.35</v>
      </c>
    </row>
    <row r="630" spans="1:7">
      <c r="A630">
        <v>6958</v>
      </c>
      <c r="B630" s="106" t="s">
        <v>1557</v>
      </c>
      <c r="C630">
        <v>0.15</v>
      </c>
      <c r="D630" s="106">
        <v>0.05</v>
      </c>
      <c r="E630">
        <v>0.05</v>
      </c>
      <c r="F630">
        <v>0.05</v>
      </c>
      <c r="G630">
        <v>0.05</v>
      </c>
    </row>
    <row r="631" spans="1:7">
      <c r="A631">
        <v>6961</v>
      </c>
      <c r="B631" s="106" t="s">
        <v>1558</v>
      </c>
      <c r="C631">
        <v>0</v>
      </c>
      <c r="D631" s="106">
        <v>0</v>
      </c>
      <c r="E631" s="106">
        <v>0</v>
      </c>
      <c r="F631" s="106">
        <v>0</v>
      </c>
      <c r="G631" s="106">
        <v>0</v>
      </c>
    </row>
    <row r="632" spans="1:7">
      <c r="A632">
        <v>6962</v>
      </c>
      <c r="B632" s="106" t="s">
        <v>1559</v>
      </c>
      <c r="C632">
        <v>1.5</v>
      </c>
      <c r="D632" s="106">
        <v>0.5</v>
      </c>
      <c r="E632" s="106">
        <v>0.5</v>
      </c>
      <c r="F632" s="106">
        <v>0.05</v>
      </c>
      <c r="G632" s="106">
        <v>0.05</v>
      </c>
    </row>
    <row r="633" spans="1:7">
      <c r="A633">
        <v>6965</v>
      </c>
      <c r="B633" s="106" t="s">
        <v>795</v>
      </c>
      <c r="C633">
        <v>0</v>
      </c>
      <c r="D633">
        <v>0</v>
      </c>
      <c r="E633" s="106" t="s">
        <v>233</v>
      </c>
      <c r="F633">
        <v>0</v>
      </c>
      <c r="G633" s="106" t="s">
        <v>233</v>
      </c>
    </row>
    <row r="634" spans="1:7">
      <c r="A634">
        <v>6967</v>
      </c>
      <c r="B634" s="106" t="s">
        <v>1560</v>
      </c>
      <c r="C634">
        <v>0.15</v>
      </c>
      <c r="D634">
        <v>0.05</v>
      </c>
      <c r="E634">
        <v>0.05</v>
      </c>
      <c r="F634">
        <v>0.05</v>
      </c>
      <c r="G634">
        <v>0.05</v>
      </c>
    </row>
    <row r="635" spans="1:7">
      <c r="A635">
        <v>6971</v>
      </c>
      <c r="B635" s="106" t="s">
        <v>1561</v>
      </c>
      <c r="C635">
        <v>0.45</v>
      </c>
      <c r="D635">
        <v>0.15</v>
      </c>
      <c r="E635">
        <v>0.15</v>
      </c>
      <c r="F635">
        <v>0.15</v>
      </c>
      <c r="G635">
        <v>0.15</v>
      </c>
    </row>
    <row r="636" spans="1:7">
      <c r="A636">
        <v>6976</v>
      </c>
      <c r="B636" s="106" t="s">
        <v>1562</v>
      </c>
      <c r="C636">
        <v>0.3</v>
      </c>
      <c r="D636" s="106">
        <v>0.1</v>
      </c>
      <c r="E636" s="106">
        <v>0.1</v>
      </c>
      <c r="F636" s="106">
        <v>0.1</v>
      </c>
      <c r="G636" s="106">
        <v>0.1</v>
      </c>
    </row>
    <row r="637" spans="1:7">
      <c r="A637">
        <v>6981</v>
      </c>
      <c r="B637" s="106" t="s">
        <v>2567</v>
      </c>
      <c r="C637">
        <v>0</v>
      </c>
      <c r="D637" s="106">
        <v>0</v>
      </c>
      <c r="E637" s="106" t="s">
        <v>233</v>
      </c>
      <c r="F637" s="106">
        <v>0</v>
      </c>
      <c r="G637" s="106" t="s">
        <v>233</v>
      </c>
    </row>
    <row r="638" spans="1:7">
      <c r="A638">
        <v>6986</v>
      </c>
      <c r="B638" s="106" t="s">
        <v>1563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>
      <c r="A639">
        <v>6988</v>
      </c>
      <c r="B639" s="106" t="s">
        <v>138</v>
      </c>
      <c r="C639">
        <v>0.3</v>
      </c>
      <c r="D639">
        <v>0.1</v>
      </c>
      <c r="E639">
        <v>0.1</v>
      </c>
      <c r="F639">
        <v>0.15</v>
      </c>
      <c r="G639">
        <v>0.1</v>
      </c>
    </row>
    <row r="640" spans="1:7">
      <c r="A640">
        <v>6989</v>
      </c>
      <c r="B640" s="106" t="s">
        <v>1564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>
      <c r="A641">
        <v>6995</v>
      </c>
      <c r="B641" s="106" t="s">
        <v>91</v>
      </c>
      <c r="C641">
        <v>0.15</v>
      </c>
      <c r="D641">
        <v>0.05</v>
      </c>
      <c r="E641">
        <v>0.05</v>
      </c>
      <c r="F641">
        <v>0.05</v>
      </c>
      <c r="G641">
        <v>0.05</v>
      </c>
    </row>
    <row r="642" spans="1:7">
      <c r="A642">
        <v>7003</v>
      </c>
      <c r="B642" s="106" t="s">
        <v>1565</v>
      </c>
      <c r="C642">
        <v>0.15</v>
      </c>
      <c r="D642">
        <v>0.05</v>
      </c>
      <c r="E642" s="106">
        <v>0.05</v>
      </c>
      <c r="F642" s="106">
        <v>0.05</v>
      </c>
      <c r="G642" s="106">
        <v>0.05</v>
      </c>
    </row>
    <row r="643" spans="1:7">
      <c r="A643">
        <v>7012</v>
      </c>
      <c r="B643" s="106" t="s">
        <v>1566</v>
      </c>
      <c r="C643">
        <v>0.15</v>
      </c>
      <c r="D643">
        <v>0.05</v>
      </c>
      <c r="E643" s="106">
        <v>0.05</v>
      </c>
      <c r="F643" s="106">
        <v>0.05</v>
      </c>
      <c r="G643" s="106">
        <v>0.05</v>
      </c>
    </row>
    <row r="644" spans="1:7">
      <c r="A644">
        <v>7014</v>
      </c>
      <c r="B644" s="106" t="s">
        <v>1567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>
      <c r="A645">
        <v>7022</v>
      </c>
      <c r="B645" s="106" t="s">
        <v>1568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>
      <c r="A646">
        <v>7030</v>
      </c>
      <c r="B646" s="106" t="s">
        <v>1569</v>
      </c>
      <c r="C646">
        <v>0</v>
      </c>
      <c r="D646" s="106">
        <v>0</v>
      </c>
      <c r="E646">
        <v>0</v>
      </c>
      <c r="F646">
        <v>0</v>
      </c>
      <c r="G646">
        <v>0</v>
      </c>
    </row>
    <row r="647" spans="1:7">
      <c r="A647">
        <v>7102</v>
      </c>
      <c r="B647" s="106" t="s">
        <v>1570</v>
      </c>
      <c r="C647">
        <v>0.15</v>
      </c>
      <c r="D647">
        <v>0.05</v>
      </c>
      <c r="E647">
        <v>0.05</v>
      </c>
      <c r="F647">
        <v>0.05</v>
      </c>
      <c r="G647">
        <v>0.05</v>
      </c>
    </row>
    <row r="648" spans="1:7">
      <c r="A648">
        <v>7105</v>
      </c>
      <c r="B648" s="106" t="s">
        <v>1571</v>
      </c>
      <c r="C648">
        <v>0.15</v>
      </c>
      <c r="D648">
        <v>0.05</v>
      </c>
      <c r="E648">
        <v>0.05</v>
      </c>
      <c r="F648">
        <v>0.05</v>
      </c>
      <c r="G648">
        <v>0.05</v>
      </c>
    </row>
    <row r="649" spans="1:7">
      <c r="A649">
        <v>7150</v>
      </c>
      <c r="B649" s="106" t="s">
        <v>1572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>
      <c r="A650">
        <v>7164</v>
      </c>
      <c r="B650" s="106" t="s">
        <v>1573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>
      <c r="A651">
        <v>7173</v>
      </c>
      <c r="B651" s="106" t="s">
        <v>1574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>
      <c r="A652">
        <v>7180</v>
      </c>
      <c r="B652" s="106" t="s">
        <v>1575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>
      <c r="A653">
        <v>7181</v>
      </c>
      <c r="B653" s="106" t="s">
        <v>136</v>
      </c>
      <c r="C653">
        <v>0.15</v>
      </c>
      <c r="D653">
        <v>0.05</v>
      </c>
      <c r="E653">
        <v>0.05</v>
      </c>
      <c r="F653">
        <v>0.05</v>
      </c>
      <c r="G653">
        <v>0.05</v>
      </c>
    </row>
    <row r="654" spans="1:7">
      <c r="A654">
        <v>7182</v>
      </c>
      <c r="B654" s="106" t="s">
        <v>2568</v>
      </c>
      <c r="C654">
        <v>0</v>
      </c>
      <c r="D654">
        <v>0</v>
      </c>
      <c r="E654">
        <v>0</v>
      </c>
      <c r="F654">
        <v>0</v>
      </c>
      <c r="G654" s="106" t="s">
        <v>233</v>
      </c>
    </row>
    <row r="655" spans="1:7">
      <c r="A655">
        <v>7184</v>
      </c>
      <c r="B655" s="106" t="s">
        <v>1576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>
      <c r="A656">
        <v>7186</v>
      </c>
      <c r="B656" s="106" t="s">
        <v>1034</v>
      </c>
      <c r="C656">
        <v>0.15</v>
      </c>
      <c r="D656">
        <v>0.05</v>
      </c>
      <c r="E656" s="106">
        <v>0.05</v>
      </c>
      <c r="F656">
        <v>0.05</v>
      </c>
      <c r="G656">
        <v>0</v>
      </c>
    </row>
    <row r="657" spans="1:7">
      <c r="A657">
        <v>7187</v>
      </c>
      <c r="B657" s="106" t="s">
        <v>1577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>
      <c r="A658">
        <v>7189</v>
      </c>
      <c r="B658" s="106" t="s">
        <v>81</v>
      </c>
      <c r="C658">
        <v>0.15</v>
      </c>
      <c r="D658">
        <v>0.05</v>
      </c>
      <c r="E658">
        <v>0.05</v>
      </c>
      <c r="F658">
        <v>0.05</v>
      </c>
      <c r="G658">
        <v>0</v>
      </c>
    </row>
    <row r="659" spans="1:7">
      <c r="A659">
        <v>7190</v>
      </c>
      <c r="B659" s="106" t="s">
        <v>1578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>
      <c r="A660">
        <v>7191</v>
      </c>
      <c r="B660" s="106" t="s">
        <v>1579</v>
      </c>
      <c r="C660">
        <v>0</v>
      </c>
      <c r="D660" s="106" t="s">
        <v>233</v>
      </c>
      <c r="E660">
        <v>0</v>
      </c>
      <c r="F660" s="106" t="s">
        <v>233</v>
      </c>
      <c r="G660">
        <v>0</v>
      </c>
    </row>
    <row r="661" spans="1:7">
      <c r="A661">
        <v>7201</v>
      </c>
      <c r="B661" s="106" t="s">
        <v>1580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>
      <c r="A662">
        <v>7202</v>
      </c>
      <c r="B662" s="106" t="s">
        <v>1581</v>
      </c>
      <c r="C662">
        <v>0.15</v>
      </c>
      <c r="D662">
        <v>0</v>
      </c>
      <c r="E662">
        <v>0.05</v>
      </c>
      <c r="F662">
        <v>0.05</v>
      </c>
      <c r="G662">
        <v>0.05</v>
      </c>
    </row>
    <row r="663" spans="1:7">
      <c r="A663">
        <v>7203</v>
      </c>
      <c r="B663" s="106" t="s">
        <v>326</v>
      </c>
      <c r="C663">
        <v>0.45</v>
      </c>
      <c r="D663">
        <v>0.15</v>
      </c>
      <c r="E663">
        <v>0.15</v>
      </c>
      <c r="F663">
        <v>0.15</v>
      </c>
      <c r="G663">
        <v>0.15</v>
      </c>
    </row>
    <row r="664" spans="1:7">
      <c r="A664">
        <v>7205</v>
      </c>
      <c r="B664" s="106" t="s">
        <v>117</v>
      </c>
      <c r="C664">
        <v>0.15</v>
      </c>
      <c r="D664">
        <v>0.05</v>
      </c>
      <c r="E664">
        <v>0.05</v>
      </c>
      <c r="F664">
        <v>0.05</v>
      </c>
      <c r="G664">
        <v>0.05</v>
      </c>
    </row>
    <row r="665" spans="1:7">
      <c r="A665">
        <v>7212</v>
      </c>
      <c r="B665" s="106" t="s">
        <v>2569</v>
      </c>
      <c r="C665">
        <v>0</v>
      </c>
      <c r="D665" s="106" t="s">
        <v>233</v>
      </c>
      <c r="E665">
        <v>0</v>
      </c>
      <c r="F665" s="106" t="s">
        <v>233</v>
      </c>
      <c r="G665" s="106" t="s">
        <v>233</v>
      </c>
    </row>
    <row r="666" spans="1:7">
      <c r="A666">
        <v>7220</v>
      </c>
      <c r="B666" s="106" t="s">
        <v>1582</v>
      </c>
      <c r="C666">
        <v>0.15</v>
      </c>
      <c r="D666" s="106">
        <v>0.05</v>
      </c>
      <c r="E666" s="106">
        <v>0.05</v>
      </c>
      <c r="F666" s="106">
        <v>0.05</v>
      </c>
      <c r="G666" s="106">
        <v>0.05</v>
      </c>
    </row>
    <row r="667" spans="1:7">
      <c r="A667">
        <v>7222</v>
      </c>
      <c r="B667" s="106" t="s">
        <v>1583</v>
      </c>
      <c r="C667">
        <v>0.15</v>
      </c>
      <c r="D667">
        <v>0.05</v>
      </c>
      <c r="E667" s="106">
        <v>0.05</v>
      </c>
      <c r="F667">
        <v>0.05</v>
      </c>
      <c r="G667" s="106">
        <v>0.05</v>
      </c>
    </row>
    <row r="668" spans="1:7">
      <c r="A668">
        <v>7224</v>
      </c>
      <c r="B668" s="106" t="s">
        <v>1584</v>
      </c>
      <c r="C668">
        <v>0</v>
      </c>
      <c r="D668">
        <v>0.05</v>
      </c>
      <c r="E668">
        <v>0</v>
      </c>
      <c r="F668">
        <v>0</v>
      </c>
      <c r="G668">
        <v>0</v>
      </c>
    </row>
    <row r="669" spans="1:7">
      <c r="A669">
        <v>7226</v>
      </c>
      <c r="B669" s="106" t="s">
        <v>1585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>
      <c r="A670">
        <v>7231</v>
      </c>
      <c r="B670" s="106" t="s">
        <v>1586</v>
      </c>
      <c r="C670">
        <v>0</v>
      </c>
      <c r="D670">
        <v>0</v>
      </c>
      <c r="E670">
        <v>0</v>
      </c>
      <c r="F670">
        <v>0.05</v>
      </c>
      <c r="G670">
        <v>0</v>
      </c>
    </row>
    <row r="671" spans="1:7">
      <c r="A671">
        <v>7236</v>
      </c>
      <c r="B671" s="106" t="s">
        <v>1587</v>
      </c>
      <c r="C671">
        <v>0</v>
      </c>
      <c r="D671">
        <v>0</v>
      </c>
      <c r="E671">
        <v>0</v>
      </c>
      <c r="F671" s="106" t="s">
        <v>233</v>
      </c>
      <c r="G671">
        <v>0</v>
      </c>
    </row>
    <row r="672" spans="1:7">
      <c r="A672">
        <v>7239</v>
      </c>
      <c r="B672" s="106" t="s">
        <v>1588</v>
      </c>
      <c r="C672">
        <v>0.15</v>
      </c>
      <c r="D672">
        <v>0.05</v>
      </c>
      <c r="E672">
        <v>0.05</v>
      </c>
      <c r="F672">
        <v>0.05</v>
      </c>
      <c r="G672">
        <v>0.05</v>
      </c>
    </row>
    <row r="673" spans="1:7">
      <c r="A673">
        <v>7240</v>
      </c>
      <c r="B673" s="106" t="s">
        <v>1589</v>
      </c>
      <c r="C673">
        <v>0.15</v>
      </c>
      <c r="D673">
        <v>0.05</v>
      </c>
      <c r="E673">
        <v>0.05</v>
      </c>
      <c r="F673">
        <v>0.05</v>
      </c>
      <c r="G673">
        <v>0.05</v>
      </c>
    </row>
    <row r="674" spans="1:7">
      <c r="A674">
        <v>7244</v>
      </c>
      <c r="B674" s="106" t="s">
        <v>1590</v>
      </c>
      <c r="C674">
        <v>0.15</v>
      </c>
      <c r="D674">
        <v>0.05</v>
      </c>
      <c r="E674">
        <v>0.05</v>
      </c>
      <c r="F674">
        <v>0.05</v>
      </c>
      <c r="G674">
        <v>0.05</v>
      </c>
    </row>
    <row r="675" spans="1:7">
      <c r="A675">
        <v>7256</v>
      </c>
      <c r="B675" s="106" t="s">
        <v>2570</v>
      </c>
      <c r="C675">
        <v>0</v>
      </c>
      <c r="D675" s="106" t="s">
        <v>233</v>
      </c>
      <c r="E675">
        <v>0</v>
      </c>
      <c r="F675" s="106" t="s">
        <v>233</v>
      </c>
      <c r="G675" s="106" t="s">
        <v>233</v>
      </c>
    </row>
    <row r="676" spans="1:7">
      <c r="A676">
        <v>7261</v>
      </c>
      <c r="B676" s="106" t="s">
        <v>1055</v>
      </c>
      <c r="C676">
        <v>0</v>
      </c>
      <c r="D676">
        <v>0</v>
      </c>
      <c r="E676">
        <v>0</v>
      </c>
      <c r="F676">
        <v>0.05</v>
      </c>
      <c r="G676">
        <v>0</v>
      </c>
    </row>
    <row r="677" spans="1:7">
      <c r="A677">
        <v>7267</v>
      </c>
      <c r="B677" s="106" t="s">
        <v>118</v>
      </c>
      <c r="C677">
        <v>0.15</v>
      </c>
      <c r="D677">
        <v>0.05</v>
      </c>
      <c r="E677">
        <v>0.1</v>
      </c>
      <c r="F677">
        <v>0.1</v>
      </c>
      <c r="G677" s="106" t="s">
        <v>233</v>
      </c>
    </row>
    <row r="678" spans="1:7">
      <c r="A678">
        <v>7269</v>
      </c>
      <c r="B678" s="106" t="s">
        <v>2571</v>
      </c>
      <c r="C678">
        <v>0</v>
      </c>
      <c r="D678" s="106">
        <v>0</v>
      </c>
      <c r="E678">
        <v>0</v>
      </c>
      <c r="F678">
        <v>0.1</v>
      </c>
      <c r="G678" s="106" t="s">
        <v>233</v>
      </c>
    </row>
    <row r="679" spans="1:7">
      <c r="A679">
        <v>7272</v>
      </c>
      <c r="B679" s="106" t="s">
        <v>298</v>
      </c>
      <c r="C679">
        <v>0</v>
      </c>
      <c r="D679" s="106" t="s">
        <v>233</v>
      </c>
      <c r="E679">
        <v>0.05</v>
      </c>
      <c r="F679">
        <v>0.05</v>
      </c>
      <c r="G679">
        <v>0</v>
      </c>
    </row>
    <row r="680" spans="1:7">
      <c r="A680">
        <v>7277</v>
      </c>
      <c r="B680" s="106" t="s">
        <v>1591</v>
      </c>
      <c r="C680">
        <v>0.15</v>
      </c>
      <c r="D680">
        <v>0</v>
      </c>
      <c r="E680">
        <v>0</v>
      </c>
      <c r="F680">
        <v>0</v>
      </c>
      <c r="G680">
        <v>0</v>
      </c>
    </row>
    <row r="681" spans="1:7">
      <c r="A681">
        <v>7278</v>
      </c>
      <c r="B681" s="106" t="s">
        <v>83</v>
      </c>
      <c r="C681">
        <v>0.15</v>
      </c>
      <c r="D681">
        <v>0.05</v>
      </c>
      <c r="E681">
        <v>0.05</v>
      </c>
      <c r="F681">
        <v>0</v>
      </c>
      <c r="G681">
        <v>0.05</v>
      </c>
    </row>
    <row r="682" spans="1:7">
      <c r="A682">
        <v>7280</v>
      </c>
      <c r="B682" s="106" t="s">
        <v>1592</v>
      </c>
      <c r="C682">
        <v>0.15</v>
      </c>
      <c r="D682">
        <v>0.05</v>
      </c>
      <c r="E682">
        <v>0.05</v>
      </c>
      <c r="F682">
        <v>0.05</v>
      </c>
      <c r="G682">
        <v>0.05</v>
      </c>
    </row>
    <row r="683" spans="1:7">
      <c r="A683">
        <v>7282</v>
      </c>
      <c r="B683" s="106" t="s">
        <v>786</v>
      </c>
      <c r="C683">
        <v>0.15</v>
      </c>
      <c r="D683">
        <v>0.05</v>
      </c>
      <c r="E683">
        <v>0.05</v>
      </c>
      <c r="F683">
        <v>0.05</v>
      </c>
      <c r="G683">
        <v>0.05</v>
      </c>
    </row>
    <row r="684" spans="1:7">
      <c r="A684">
        <v>7283</v>
      </c>
      <c r="B684" s="106" t="s">
        <v>1593</v>
      </c>
      <c r="C684">
        <v>0</v>
      </c>
      <c r="D684">
        <v>0</v>
      </c>
      <c r="E684" s="106" t="s">
        <v>233</v>
      </c>
      <c r="F684">
        <v>0.05</v>
      </c>
      <c r="G684">
        <v>0</v>
      </c>
    </row>
    <row r="685" spans="1:7">
      <c r="A685">
        <v>7294</v>
      </c>
      <c r="B685" s="106" t="s">
        <v>2572</v>
      </c>
      <c r="C685">
        <v>0.15</v>
      </c>
      <c r="D685">
        <v>0.05</v>
      </c>
      <c r="E685">
        <v>0.05</v>
      </c>
      <c r="F685">
        <v>0.05</v>
      </c>
      <c r="G685" s="106" t="s">
        <v>233</v>
      </c>
    </row>
    <row r="686" spans="1:7">
      <c r="A686">
        <v>7296</v>
      </c>
      <c r="B686" s="106" t="s">
        <v>1594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>
      <c r="A687">
        <v>7309</v>
      </c>
      <c r="B687" s="106" t="s">
        <v>1595</v>
      </c>
      <c r="C687">
        <v>0.9</v>
      </c>
      <c r="D687">
        <v>0.3</v>
      </c>
      <c r="E687">
        <v>0.3</v>
      </c>
      <c r="F687">
        <v>0.3</v>
      </c>
      <c r="G687">
        <v>0.3</v>
      </c>
    </row>
    <row r="688" spans="1:7">
      <c r="A688">
        <v>7313</v>
      </c>
      <c r="B688" s="106" t="s">
        <v>1596</v>
      </c>
      <c r="C688">
        <v>0.3</v>
      </c>
      <c r="D688">
        <v>0.05</v>
      </c>
      <c r="E688">
        <v>0.1</v>
      </c>
      <c r="F688">
        <v>0.1</v>
      </c>
      <c r="G688">
        <v>0.1</v>
      </c>
    </row>
    <row r="689" spans="1:7">
      <c r="A689">
        <v>7321</v>
      </c>
      <c r="B689" s="106" t="s">
        <v>1597</v>
      </c>
      <c r="C689">
        <v>0.15</v>
      </c>
      <c r="D689">
        <v>0.05</v>
      </c>
      <c r="E689">
        <v>0.05</v>
      </c>
      <c r="F689">
        <v>0.05</v>
      </c>
      <c r="G689" s="106">
        <v>0.05</v>
      </c>
    </row>
    <row r="690" spans="1:7">
      <c r="A690">
        <v>7322</v>
      </c>
      <c r="B690" s="106" t="s">
        <v>2573</v>
      </c>
      <c r="C690">
        <v>0.15</v>
      </c>
      <c r="D690">
        <v>0</v>
      </c>
      <c r="E690">
        <v>0.05</v>
      </c>
      <c r="F690" s="106" t="s">
        <v>233</v>
      </c>
      <c r="G690" s="106" t="s">
        <v>233</v>
      </c>
    </row>
    <row r="691" spans="1:7">
      <c r="A691">
        <v>7416</v>
      </c>
      <c r="B691" s="106" t="s">
        <v>1598</v>
      </c>
      <c r="C691">
        <v>0.15</v>
      </c>
      <c r="D691">
        <v>0.05</v>
      </c>
      <c r="E691">
        <v>0.05</v>
      </c>
      <c r="F691">
        <v>0.05</v>
      </c>
      <c r="G691">
        <v>0.05</v>
      </c>
    </row>
    <row r="692" spans="1:7">
      <c r="A692">
        <v>7420</v>
      </c>
      <c r="B692" s="106" t="s">
        <v>1599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>
      <c r="A693">
        <v>7427</v>
      </c>
      <c r="B693" s="106" t="s">
        <v>1600</v>
      </c>
      <c r="C693">
        <v>0.15</v>
      </c>
      <c r="D693">
        <v>0.05</v>
      </c>
      <c r="E693">
        <v>0.05</v>
      </c>
      <c r="F693">
        <v>0.05</v>
      </c>
      <c r="G693">
        <v>0.05</v>
      </c>
    </row>
    <row r="694" spans="1:7">
      <c r="A694">
        <v>7442</v>
      </c>
      <c r="B694" s="106" t="s">
        <v>1601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>
      <c r="A695">
        <v>7445</v>
      </c>
      <c r="B695" s="106" t="s">
        <v>1602</v>
      </c>
      <c r="C695">
        <v>0.15</v>
      </c>
      <c r="D695">
        <v>0.05</v>
      </c>
      <c r="E695">
        <v>0.05</v>
      </c>
      <c r="F695">
        <v>0.05</v>
      </c>
      <c r="G695">
        <v>0.05</v>
      </c>
    </row>
    <row r="696" spans="1:7">
      <c r="A696">
        <v>7451</v>
      </c>
      <c r="B696" s="106" t="s">
        <v>1603</v>
      </c>
      <c r="C696">
        <v>0</v>
      </c>
      <c r="D696">
        <v>0.05</v>
      </c>
      <c r="E696">
        <v>0</v>
      </c>
      <c r="F696">
        <v>0</v>
      </c>
      <c r="G696" s="106">
        <v>0</v>
      </c>
    </row>
    <row r="697" spans="1:7">
      <c r="A697">
        <v>7453</v>
      </c>
      <c r="B697" s="106" t="s">
        <v>104</v>
      </c>
      <c r="C697">
        <v>0</v>
      </c>
      <c r="D697">
        <v>0</v>
      </c>
      <c r="E697">
        <v>0</v>
      </c>
      <c r="F697">
        <v>0</v>
      </c>
      <c r="G697" s="106">
        <v>0</v>
      </c>
    </row>
    <row r="698" spans="1:7">
      <c r="A698">
        <v>7458</v>
      </c>
      <c r="B698" s="106" t="s">
        <v>1604</v>
      </c>
      <c r="C698">
        <v>0.3</v>
      </c>
      <c r="D698">
        <v>0.1</v>
      </c>
      <c r="E698">
        <v>0.05</v>
      </c>
      <c r="F698">
        <v>0.1</v>
      </c>
      <c r="G698">
        <v>0.1</v>
      </c>
    </row>
    <row r="699" spans="1:7">
      <c r="A699">
        <v>7459</v>
      </c>
      <c r="B699" s="106" t="s">
        <v>1605</v>
      </c>
      <c r="C699">
        <v>0.15</v>
      </c>
      <c r="D699">
        <v>0.05</v>
      </c>
      <c r="E699">
        <v>0.05</v>
      </c>
      <c r="F699">
        <v>0.05</v>
      </c>
      <c r="G699">
        <v>0.05</v>
      </c>
    </row>
    <row r="700" spans="1:7">
      <c r="A700">
        <v>7463</v>
      </c>
      <c r="B700" s="106" t="s">
        <v>1606</v>
      </c>
      <c r="C700">
        <v>0.15</v>
      </c>
      <c r="D700">
        <v>0.05</v>
      </c>
      <c r="E700">
        <v>0.05</v>
      </c>
      <c r="F700">
        <v>0.05</v>
      </c>
      <c r="G700">
        <v>0.05</v>
      </c>
    </row>
    <row r="701" spans="1:7">
      <c r="A701">
        <v>7475</v>
      </c>
      <c r="B701" s="106" t="s">
        <v>1607</v>
      </c>
      <c r="C701">
        <v>0.15</v>
      </c>
      <c r="D701" s="106">
        <v>0.05</v>
      </c>
      <c r="E701" s="106">
        <v>0.05</v>
      </c>
      <c r="F701" s="106">
        <v>0.05</v>
      </c>
      <c r="G701" s="106">
        <v>0.05</v>
      </c>
    </row>
    <row r="702" spans="1:7">
      <c r="A702">
        <v>7476</v>
      </c>
      <c r="B702" s="106" t="s">
        <v>1608</v>
      </c>
      <c r="C702">
        <v>0</v>
      </c>
      <c r="D702" s="106">
        <v>0.2</v>
      </c>
      <c r="E702" s="106">
        <v>0.15</v>
      </c>
      <c r="F702" s="106">
        <v>0</v>
      </c>
      <c r="G702" s="106">
        <v>0</v>
      </c>
    </row>
    <row r="703" spans="1:7">
      <c r="A703">
        <v>7480</v>
      </c>
      <c r="B703" s="106" t="s">
        <v>1609</v>
      </c>
      <c r="C703">
        <v>0.15</v>
      </c>
      <c r="D703">
        <v>0.05</v>
      </c>
      <c r="E703">
        <v>0.05</v>
      </c>
      <c r="F703">
        <v>0.05</v>
      </c>
      <c r="G703">
        <v>0.05</v>
      </c>
    </row>
    <row r="704" spans="1:7">
      <c r="A704">
        <v>7482</v>
      </c>
      <c r="B704" s="106" t="s">
        <v>1610</v>
      </c>
      <c r="C704">
        <v>0.15</v>
      </c>
      <c r="D704">
        <v>0.05</v>
      </c>
      <c r="E704">
        <v>0.05</v>
      </c>
      <c r="F704">
        <v>0.05</v>
      </c>
      <c r="G704">
        <v>0.05</v>
      </c>
    </row>
    <row r="705" spans="1:7">
      <c r="A705">
        <v>7487</v>
      </c>
      <c r="B705" s="106" t="s">
        <v>1611</v>
      </c>
      <c r="C705">
        <v>0.15</v>
      </c>
      <c r="D705">
        <v>0.05</v>
      </c>
      <c r="E705">
        <v>0.05</v>
      </c>
      <c r="F705">
        <v>0.05</v>
      </c>
      <c r="G705">
        <v>0.05</v>
      </c>
    </row>
    <row r="706" spans="1:7">
      <c r="A706">
        <v>7494</v>
      </c>
      <c r="B706" s="106" t="s">
        <v>1612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>
      <c r="A707">
        <v>7506</v>
      </c>
      <c r="B707" s="106" t="s">
        <v>1613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>
      <c r="A708">
        <v>7508</v>
      </c>
      <c r="B708" s="106" t="s">
        <v>2574</v>
      </c>
      <c r="C708">
        <v>0</v>
      </c>
      <c r="D708">
        <v>0</v>
      </c>
      <c r="E708" s="106" t="s">
        <v>233</v>
      </c>
      <c r="F708" s="106" t="s">
        <v>233</v>
      </c>
      <c r="G708" s="106" t="s">
        <v>233</v>
      </c>
    </row>
    <row r="709" spans="1:7">
      <c r="A709">
        <v>7510</v>
      </c>
      <c r="B709" s="106" t="s">
        <v>1614</v>
      </c>
      <c r="C709">
        <v>0</v>
      </c>
      <c r="D709" s="106" t="s">
        <v>233</v>
      </c>
      <c r="E709">
        <v>0</v>
      </c>
      <c r="F709" s="106" t="s">
        <v>233</v>
      </c>
      <c r="G709" s="106">
        <v>0</v>
      </c>
    </row>
    <row r="710" spans="1:7">
      <c r="A710">
        <v>7512</v>
      </c>
      <c r="B710" s="106" t="s">
        <v>2575</v>
      </c>
      <c r="C710">
        <v>0</v>
      </c>
      <c r="D710">
        <v>0</v>
      </c>
      <c r="E710">
        <v>0</v>
      </c>
      <c r="F710" s="106" t="s">
        <v>233</v>
      </c>
      <c r="G710" s="106" t="s">
        <v>233</v>
      </c>
    </row>
    <row r="711" spans="1:7">
      <c r="A711">
        <v>7522</v>
      </c>
      <c r="B711" s="106" t="s">
        <v>1615</v>
      </c>
      <c r="C711">
        <v>0</v>
      </c>
      <c r="D711">
        <v>0</v>
      </c>
      <c r="E711">
        <v>0</v>
      </c>
      <c r="F711" s="106">
        <v>0</v>
      </c>
      <c r="G711">
        <v>0</v>
      </c>
    </row>
    <row r="712" spans="1:7">
      <c r="A712">
        <v>7524</v>
      </c>
      <c r="B712" s="106" t="s">
        <v>1616</v>
      </c>
      <c r="C712">
        <v>0</v>
      </c>
      <c r="D712">
        <v>0</v>
      </c>
      <c r="E712">
        <v>0</v>
      </c>
      <c r="F712" s="106">
        <v>0</v>
      </c>
      <c r="G712">
        <v>0</v>
      </c>
    </row>
    <row r="713" spans="1:7">
      <c r="A713">
        <v>7532</v>
      </c>
      <c r="B713" s="106" t="s">
        <v>1617</v>
      </c>
      <c r="C713">
        <v>0.15</v>
      </c>
      <c r="D713">
        <v>0</v>
      </c>
      <c r="E713">
        <v>0</v>
      </c>
      <c r="F713">
        <v>0</v>
      </c>
      <c r="G713">
        <v>0</v>
      </c>
    </row>
    <row r="714" spans="1:7">
      <c r="A714">
        <v>7545</v>
      </c>
      <c r="B714" s="106" t="s">
        <v>1618</v>
      </c>
      <c r="C714">
        <v>0.15</v>
      </c>
      <c r="D714">
        <v>0.05</v>
      </c>
      <c r="E714">
        <v>0.05</v>
      </c>
      <c r="F714">
        <v>0.05</v>
      </c>
      <c r="G714">
        <v>0.05</v>
      </c>
    </row>
    <row r="715" spans="1:7">
      <c r="A715">
        <v>7570</v>
      </c>
      <c r="B715" s="106" t="s">
        <v>1619</v>
      </c>
      <c r="C715">
        <v>0.15</v>
      </c>
      <c r="D715">
        <v>0</v>
      </c>
      <c r="E715">
        <v>0.05</v>
      </c>
      <c r="F715">
        <v>0</v>
      </c>
      <c r="G715">
        <v>0.05</v>
      </c>
    </row>
    <row r="716" spans="1:7">
      <c r="A716">
        <v>7593</v>
      </c>
      <c r="B716" s="106" t="s">
        <v>1620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>
      <c r="A717">
        <v>7599</v>
      </c>
      <c r="B717" s="106" t="s">
        <v>1621</v>
      </c>
      <c r="C717">
        <v>0.15</v>
      </c>
      <c r="D717">
        <v>0.05</v>
      </c>
      <c r="E717">
        <v>0.05</v>
      </c>
      <c r="F717">
        <v>0.05</v>
      </c>
      <c r="G717">
        <v>0</v>
      </c>
    </row>
    <row r="718" spans="1:7">
      <c r="A718">
        <v>7601</v>
      </c>
      <c r="B718" s="106" t="s">
        <v>1622</v>
      </c>
      <c r="C718">
        <v>0.15</v>
      </c>
      <c r="D718">
        <v>0.05</v>
      </c>
      <c r="E718">
        <v>0.05</v>
      </c>
      <c r="F718">
        <v>0</v>
      </c>
      <c r="G718">
        <v>0</v>
      </c>
    </row>
    <row r="719" spans="1:7">
      <c r="A719">
        <v>7606</v>
      </c>
      <c r="B719" s="106" t="s">
        <v>2576</v>
      </c>
      <c r="C719">
        <v>0</v>
      </c>
      <c r="D719" s="106" t="s">
        <v>233</v>
      </c>
      <c r="E719" s="106" t="s">
        <v>233</v>
      </c>
      <c r="F719" s="106" t="s">
        <v>233</v>
      </c>
      <c r="G719" s="106" t="s">
        <v>233</v>
      </c>
    </row>
    <row r="720" spans="1:7">
      <c r="A720">
        <v>7609</v>
      </c>
      <c r="B720" s="106" t="s">
        <v>2577</v>
      </c>
      <c r="C720">
        <v>0</v>
      </c>
      <c r="D720">
        <v>0</v>
      </c>
      <c r="E720">
        <v>0</v>
      </c>
      <c r="F720" s="106" t="s">
        <v>233</v>
      </c>
      <c r="G720" s="106" t="s">
        <v>233</v>
      </c>
    </row>
    <row r="721" spans="1:7">
      <c r="A721">
        <v>7611</v>
      </c>
      <c r="B721" s="106" t="s">
        <v>1623</v>
      </c>
      <c r="C721">
        <v>0.15</v>
      </c>
      <c r="D721">
        <v>0.05</v>
      </c>
      <c r="E721">
        <v>0.05</v>
      </c>
      <c r="F721">
        <v>0.05</v>
      </c>
      <c r="G721">
        <v>0.05</v>
      </c>
    </row>
    <row r="722" spans="1:7">
      <c r="A722">
        <v>7613</v>
      </c>
      <c r="B722" s="106" t="s">
        <v>1624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>
      <c r="A723">
        <v>7615</v>
      </c>
      <c r="B723" s="106" t="s">
        <v>1625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>
      <c r="A724">
        <v>7616</v>
      </c>
      <c r="B724" s="106" t="s">
        <v>1626</v>
      </c>
      <c r="C724">
        <v>0.15</v>
      </c>
      <c r="D724">
        <v>0.05</v>
      </c>
      <c r="E724">
        <v>0.05</v>
      </c>
      <c r="F724">
        <v>0.05</v>
      </c>
      <c r="G724">
        <v>0.05</v>
      </c>
    </row>
    <row r="725" spans="1:7">
      <c r="A725">
        <v>7628</v>
      </c>
      <c r="B725" s="106" t="s">
        <v>1627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>
      <c r="A726">
        <v>7630</v>
      </c>
      <c r="B726" s="106" t="s">
        <v>1628</v>
      </c>
      <c r="C726">
        <v>0.3</v>
      </c>
      <c r="D726">
        <v>0.1</v>
      </c>
      <c r="E726">
        <v>0.1</v>
      </c>
      <c r="F726">
        <v>0.1</v>
      </c>
      <c r="G726">
        <v>0.1</v>
      </c>
    </row>
    <row r="727" spans="1:7">
      <c r="A727">
        <v>7637</v>
      </c>
      <c r="B727" s="106" t="s">
        <v>1629</v>
      </c>
      <c r="C727">
        <v>0</v>
      </c>
      <c r="D727" s="106" t="s">
        <v>233</v>
      </c>
      <c r="E727">
        <v>0</v>
      </c>
      <c r="F727">
        <v>0</v>
      </c>
      <c r="G727">
        <v>0</v>
      </c>
    </row>
    <row r="728" spans="1:7">
      <c r="A728">
        <v>7640</v>
      </c>
      <c r="B728" s="106" t="s">
        <v>1630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>
      <c r="A729">
        <v>7649</v>
      </c>
      <c r="B729" s="106" t="s">
        <v>2578</v>
      </c>
      <c r="C729">
        <v>0</v>
      </c>
      <c r="D729">
        <v>0</v>
      </c>
      <c r="E729" s="106" t="s">
        <v>233</v>
      </c>
      <c r="F729" s="106" t="s">
        <v>233</v>
      </c>
      <c r="G729" s="106" t="s">
        <v>233</v>
      </c>
    </row>
    <row r="730" spans="1:7">
      <c r="A730">
        <v>7701</v>
      </c>
      <c r="B730" s="106" t="s">
        <v>1631</v>
      </c>
      <c r="C730">
        <v>0.3</v>
      </c>
      <c r="D730">
        <v>0.1</v>
      </c>
      <c r="E730">
        <v>0.1</v>
      </c>
      <c r="F730" s="106">
        <v>0.05</v>
      </c>
      <c r="G730" s="106">
        <v>0.05</v>
      </c>
    </row>
    <row r="731" spans="1:7">
      <c r="A731">
        <v>7702</v>
      </c>
      <c r="B731" s="106" t="s">
        <v>1632</v>
      </c>
      <c r="C731">
        <v>0.15</v>
      </c>
      <c r="D731">
        <v>0.05</v>
      </c>
      <c r="E731">
        <v>0.05</v>
      </c>
      <c r="F731" s="106">
        <v>0.05</v>
      </c>
      <c r="G731" s="106">
        <v>0</v>
      </c>
    </row>
    <row r="732" spans="1:7">
      <c r="A732">
        <v>7723</v>
      </c>
      <c r="B732" s="106" t="s">
        <v>1633</v>
      </c>
      <c r="C732">
        <v>0.15</v>
      </c>
      <c r="D732" s="106">
        <v>0.05</v>
      </c>
      <c r="E732" s="106">
        <v>0.05</v>
      </c>
      <c r="F732" s="106">
        <v>0</v>
      </c>
      <c r="G732">
        <v>0</v>
      </c>
    </row>
    <row r="733" spans="1:7">
      <c r="A733">
        <v>7729</v>
      </c>
      <c r="B733" s="106" t="s">
        <v>1036</v>
      </c>
      <c r="C733">
        <v>0.3</v>
      </c>
      <c r="D733" s="106">
        <v>0.1</v>
      </c>
      <c r="E733" s="106">
        <v>0.1</v>
      </c>
      <c r="F733" s="106">
        <v>0.1</v>
      </c>
      <c r="G733">
        <v>0.1</v>
      </c>
    </row>
    <row r="734" spans="1:7">
      <c r="A734">
        <v>7730</v>
      </c>
      <c r="B734" s="106" t="s">
        <v>1634</v>
      </c>
      <c r="C734">
        <v>0</v>
      </c>
      <c r="D734">
        <v>0</v>
      </c>
      <c r="E734">
        <v>0.05</v>
      </c>
      <c r="F734">
        <v>0</v>
      </c>
      <c r="G734">
        <v>0</v>
      </c>
    </row>
    <row r="735" spans="1:7">
      <c r="A735">
        <v>7733</v>
      </c>
      <c r="B735" s="106" t="s">
        <v>1635</v>
      </c>
      <c r="C735">
        <v>0.15</v>
      </c>
      <c r="D735">
        <v>0.05</v>
      </c>
      <c r="E735">
        <v>0.05</v>
      </c>
      <c r="F735">
        <v>0.05</v>
      </c>
      <c r="G735">
        <v>0.05</v>
      </c>
    </row>
    <row r="736" spans="1:7">
      <c r="A736">
        <v>7735</v>
      </c>
      <c r="B736" s="106" t="s">
        <v>2579</v>
      </c>
      <c r="C736">
        <v>0.45</v>
      </c>
      <c r="D736" s="106" t="s">
        <v>233</v>
      </c>
      <c r="E736">
        <v>0.15</v>
      </c>
      <c r="F736">
        <v>0.15</v>
      </c>
      <c r="G736" s="106" t="s">
        <v>233</v>
      </c>
    </row>
    <row r="737" spans="1:7">
      <c r="A737">
        <v>7740</v>
      </c>
      <c r="B737" s="106" t="s">
        <v>1636</v>
      </c>
      <c r="C737">
        <v>0.15</v>
      </c>
      <c r="D737">
        <v>0.05</v>
      </c>
      <c r="E737">
        <v>0.05</v>
      </c>
      <c r="F737">
        <v>0.05</v>
      </c>
      <c r="G737">
        <v>0.05</v>
      </c>
    </row>
    <row r="738" spans="1:7">
      <c r="A738">
        <v>7741</v>
      </c>
      <c r="B738" s="106" t="s">
        <v>2580</v>
      </c>
      <c r="C738">
        <v>0.6</v>
      </c>
      <c r="D738">
        <v>0.2</v>
      </c>
      <c r="E738" s="106" t="s">
        <v>233</v>
      </c>
      <c r="F738" s="106" t="s">
        <v>233</v>
      </c>
      <c r="G738" s="106" t="s">
        <v>233</v>
      </c>
    </row>
    <row r="739" spans="1:7">
      <c r="A739">
        <v>7743</v>
      </c>
      <c r="B739" s="106" t="s">
        <v>1637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>
      <c r="A740">
        <v>7747</v>
      </c>
      <c r="B740" s="106" t="s">
        <v>1638</v>
      </c>
      <c r="C740">
        <v>0.3</v>
      </c>
      <c r="D740">
        <v>0.05</v>
      </c>
      <c r="E740" s="106">
        <v>0.05</v>
      </c>
      <c r="F740">
        <v>0.05</v>
      </c>
      <c r="G740" s="106">
        <v>0.1</v>
      </c>
    </row>
    <row r="741" spans="1:7">
      <c r="A741">
        <v>7752</v>
      </c>
      <c r="B741" s="106" t="s">
        <v>1639</v>
      </c>
      <c r="C741">
        <v>0.15</v>
      </c>
      <c r="D741">
        <v>0.05</v>
      </c>
      <c r="E741">
        <v>0.05</v>
      </c>
      <c r="F741">
        <v>0.05</v>
      </c>
      <c r="G741">
        <v>0.05</v>
      </c>
    </row>
    <row r="742" spans="1:7">
      <c r="A742">
        <v>7762</v>
      </c>
      <c r="B742" s="106" t="s">
        <v>107</v>
      </c>
      <c r="C742">
        <v>0.15</v>
      </c>
      <c r="D742">
        <v>0.05</v>
      </c>
      <c r="E742">
        <v>0.05</v>
      </c>
      <c r="F742">
        <v>0.05</v>
      </c>
      <c r="G742">
        <v>0</v>
      </c>
    </row>
    <row r="743" spans="1:7">
      <c r="A743">
        <v>7769</v>
      </c>
      <c r="B743" s="106" t="s">
        <v>1640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>
      <c r="A744">
        <v>7782</v>
      </c>
      <c r="B744" s="106" t="s">
        <v>1641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>
      <c r="A745">
        <v>7817</v>
      </c>
      <c r="B745" s="106" t="s">
        <v>1057</v>
      </c>
      <c r="C745">
        <v>0</v>
      </c>
      <c r="D745" s="106">
        <v>0</v>
      </c>
      <c r="E745">
        <v>0</v>
      </c>
      <c r="F745" s="106">
        <v>0</v>
      </c>
      <c r="G745" s="106" t="s">
        <v>233</v>
      </c>
    </row>
    <row r="746" spans="1:7">
      <c r="A746">
        <v>7819</v>
      </c>
      <c r="B746" s="106" t="s">
        <v>1642</v>
      </c>
      <c r="C746">
        <v>0</v>
      </c>
      <c r="D746" s="106">
        <v>0</v>
      </c>
      <c r="E746">
        <v>0</v>
      </c>
      <c r="F746" s="106">
        <v>0</v>
      </c>
      <c r="G746" s="106">
        <v>0.05</v>
      </c>
    </row>
    <row r="747" spans="1:7">
      <c r="A747">
        <v>7822</v>
      </c>
      <c r="B747" s="106" t="s">
        <v>1643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>
      <c r="A748">
        <v>7840</v>
      </c>
      <c r="B748" s="106" t="s">
        <v>1644</v>
      </c>
      <c r="C748">
        <v>0.15</v>
      </c>
      <c r="D748">
        <v>0.05</v>
      </c>
      <c r="E748">
        <v>0.05</v>
      </c>
      <c r="F748">
        <v>0.05</v>
      </c>
      <c r="G748">
        <v>0.05</v>
      </c>
    </row>
    <row r="749" spans="1:7">
      <c r="A749">
        <v>7844</v>
      </c>
      <c r="B749" s="106" t="s">
        <v>1645</v>
      </c>
      <c r="C749">
        <v>0</v>
      </c>
      <c r="D749" s="106">
        <v>0</v>
      </c>
      <c r="E749">
        <v>0</v>
      </c>
      <c r="F749" s="106">
        <v>0</v>
      </c>
      <c r="G749">
        <v>0</v>
      </c>
    </row>
    <row r="750" spans="1:7">
      <c r="A750">
        <v>7846</v>
      </c>
      <c r="B750" s="106" t="s">
        <v>1646</v>
      </c>
      <c r="C750">
        <v>0.3</v>
      </c>
      <c r="D750" s="106">
        <v>0.1</v>
      </c>
      <c r="E750">
        <v>0.1</v>
      </c>
      <c r="F750" s="106">
        <v>0.1</v>
      </c>
      <c r="G750">
        <v>0.1</v>
      </c>
    </row>
    <row r="751" spans="1:7">
      <c r="A751">
        <v>7856</v>
      </c>
      <c r="B751" s="106" t="s">
        <v>1647</v>
      </c>
      <c r="C751">
        <v>0</v>
      </c>
      <c r="D751" s="106" t="s">
        <v>233</v>
      </c>
      <c r="E751">
        <v>0</v>
      </c>
      <c r="F751" s="106">
        <v>0</v>
      </c>
      <c r="G751">
        <v>0</v>
      </c>
    </row>
    <row r="752" spans="1:7">
      <c r="A752">
        <v>7860</v>
      </c>
      <c r="B752" s="106" t="s">
        <v>1648</v>
      </c>
      <c r="C752">
        <v>0</v>
      </c>
      <c r="D752">
        <v>0.05</v>
      </c>
      <c r="E752">
        <v>0</v>
      </c>
      <c r="F752" s="106">
        <v>0.05</v>
      </c>
      <c r="G752">
        <v>0</v>
      </c>
    </row>
    <row r="753" spans="1:7">
      <c r="A753">
        <v>7862</v>
      </c>
      <c r="B753" s="106" t="s">
        <v>1649</v>
      </c>
      <c r="C753">
        <v>0.15</v>
      </c>
      <c r="D753">
        <v>0.05</v>
      </c>
      <c r="E753">
        <v>0.05</v>
      </c>
      <c r="F753" s="106">
        <v>0.05</v>
      </c>
      <c r="G753" s="106">
        <v>0.05</v>
      </c>
    </row>
    <row r="754" spans="1:7">
      <c r="A754">
        <v>7885</v>
      </c>
      <c r="B754" s="106" t="s">
        <v>1650</v>
      </c>
      <c r="C754">
        <v>0.15</v>
      </c>
      <c r="D754">
        <v>0.05</v>
      </c>
      <c r="E754">
        <v>0.05</v>
      </c>
      <c r="F754" s="106">
        <v>0.05</v>
      </c>
      <c r="G754" s="106">
        <v>0.05</v>
      </c>
    </row>
    <row r="755" spans="1:7">
      <c r="A755">
        <v>7898</v>
      </c>
      <c r="B755" s="106" t="s">
        <v>1651</v>
      </c>
      <c r="C755">
        <v>0.15</v>
      </c>
      <c r="D755">
        <v>0</v>
      </c>
      <c r="E755" s="106">
        <v>0.05</v>
      </c>
      <c r="F755">
        <v>0</v>
      </c>
      <c r="G755" s="106">
        <v>0.05</v>
      </c>
    </row>
    <row r="756" spans="1:7">
      <c r="A756">
        <v>7911</v>
      </c>
      <c r="B756" s="106" t="s">
        <v>1652</v>
      </c>
      <c r="C756">
        <v>0.15</v>
      </c>
      <c r="D756">
        <v>0.05</v>
      </c>
      <c r="E756" s="106">
        <v>0.05</v>
      </c>
      <c r="F756">
        <v>0.05</v>
      </c>
      <c r="G756" s="106">
        <v>0.05</v>
      </c>
    </row>
    <row r="757" spans="1:7">
      <c r="A757">
        <v>7912</v>
      </c>
      <c r="B757" s="106" t="s">
        <v>1653</v>
      </c>
      <c r="C757">
        <v>0</v>
      </c>
      <c r="D757">
        <v>0</v>
      </c>
      <c r="E757">
        <v>0</v>
      </c>
      <c r="F757" s="106" t="s">
        <v>233</v>
      </c>
      <c r="G757">
        <v>0.05</v>
      </c>
    </row>
    <row r="758" spans="1:7">
      <c r="A758">
        <v>7915</v>
      </c>
      <c r="B758" s="106" t="s">
        <v>2581</v>
      </c>
      <c r="C758">
        <v>0</v>
      </c>
      <c r="D758">
        <v>0</v>
      </c>
      <c r="E758">
        <v>0</v>
      </c>
      <c r="F758">
        <v>0</v>
      </c>
      <c r="G758" s="106" t="s">
        <v>233</v>
      </c>
    </row>
    <row r="759" spans="1:7">
      <c r="A759">
        <v>7916</v>
      </c>
      <c r="B759" s="106" t="s">
        <v>1654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>
      <c r="A760">
        <v>7917</v>
      </c>
      <c r="B760" s="106" t="s">
        <v>1655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>
      <c r="A761">
        <v>7931</v>
      </c>
      <c r="B761" s="106" t="s">
        <v>1656</v>
      </c>
      <c r="C761">
        <v>0.15</v>
      </c>
      <c r="D761" s="106" t="s">
        <v>233</v>
      </c>
      <c r="E761" s="106" t="s">
        <v>233</v>
      </c>
      <c r="F761" s="106" t="s">
        <v>233</v>
      </c>
      <c r="G761">
        <v>0</v>
      </c>
    </row>
    <row r="762" spans="1:7">
      <c r="A762">
        <v>7936</v>
      </c>
      <c r="B762" s="106" t="s">
        <v>1657</v>
      </c>
      <c r="C762">
        <v>0.15</v>
      </c>
      <c r="D762">
        <v>0.05</v>
      </c>
      <c r="E762">
        <v>0.05</v>
      </c>
      <c r="F762" s="106">
        <v>0.05</v>
      </c>
      <c r="G762" s="106">
        <v>0.05</v>
      </c>
    </row>
    <row r="763" spans="1:7">
      <c r="A763">
        <v>7937</v>
      </c>
      <c r="B763" s="106" t="s">
        <v>1658</v>
      </c>
      <c r="C763">
        <v>0.15</v>
      </c>
      <c r="D763">
        <v>0.05</v>
      </c>
      <c r="E763">
        <v>0.05</v>
      </c>
      <c r="F763" s="106">
        <v>0.05</v>
      </c>
      <c r="G763" s="106">
        <v>0.05</v>
      </c>
    </row>
    <row r="764" spans="1:7">
      <c r="A764">
        <v>7942</v>
      </c>
      <c r="B764" s="106" t="s">
        <v>2582</v>
      </c>
      <c r="C764">
        <v>0</v>
      </c>
      <c r="D764">
        <v>0</v>
      </c>
      <c r="E764">
        <v>0</v>
      </c>
      <c r="F764">
        <v>0</v>
      </c>
      <c r="G764" s="106" t="s">
        <v>233</v>
      </c>
    </row>
    <row r="765" spans="1:7">
      <c r="A765">
        <v>7949</v>
      </c>
      <c r="B765" s="106" t="s">
        <v>1659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>
      <c r="A766">
        <v>7951</v>
      </c>
      <c r="B766" s="106" t="s">
        <v>1660</v>
      </c>
      <c r="C766">
        <v>0.45</v>
      </c>
      <c r="D766">
        <v>0.15</v>
      </c>
      <c r="E766">
        <v>0.15</v>
      </c>
      <c r="F766">
        <v>0.15</v>
      </c>
      <c r="G766">
        <v>0.1</v>
      </c>
    </row>
    <row r="767" spans="1:7">
      <c r="A767">
        <v>7952</v>
      </c>
      <c r="B767" s="106" t="s">
        <v>1661</v>
      </c>
      <c r="C767">
        <v>0.3</v>
      </c>
      <c r="D767">
        <v>0.1</v>
      </c>
      <c r="E767">
        <v>0.1</v>
      </c>
      <c r="F767">
        <v>0.1</v>
      </c>
      <c r="G767">
        <v>0.1</v>
      </c>
    </row>
    <row r="768" spans="1:7">
      <c r="A768">
        <v>7955</v>
      </c>
      <c r="B768" s="106" t="s">
        <v>1662</v>
      </c>
      <c r="C768">
        <v>0</v>
      </c>
      <c r="D768">
        <v>0</v>
      </c>
      <c r="E768">
        <v>0</v>
      </c>
      <c r="F768" s="106" t="s">
        <v>233</v>
      </c>
      <c r="G768">
        <v>0</v>
      </c>
    </row>
    <row r="769" spans="1:7">
      <c r="A769">
        <v>7962</v>
      </c>
      <c r="B769" s="106" t="s">
        <v>1663</v>
      </c>
      <c r="C769">
        <v>0.15</v>
      </c>
      <c r="D769">
        <v>0.05</v>
      </c>
      <c r="E769">
        <v>0.05</v>
      </c>
      <c r="F769" s="106">
        <v>0.05</v>
      </c>
      <c r="G769">
        <v>0.05</v>
      </c>
    </row>
    <row r="770" spans="1:7">
      <c r="A770">
        <v>7965</v>
      </c>
      <c r="B770" s="106" t="s">
        <v>1664</v>
      </c>
      <c r="C770">
        <v>1.65</v>
      </c>
      <c r="D770">
        <v>0.2</v>
      </c>
      <c r="E770" s="106">
        <v>0.15</v>
      </c>
      <c r="F770" s="106">
        <v>0.55000000000000004</v>
      </c>
      <c r="G770" s="106">
        <v>0.05</v>
      </c>
    </row>
    <row r="771" spans="1:7">
      <c r="A771">
        <v>7970</v>
      </c>
      <c r="B771" s="106" t="s">
        <v>1665</v>
      </c>
      <c r="C771">
        <v>0</v>
      </c>
      <c r="D771">
        <v>0</v>
      </c>
      <c r="E771" s="106">
        <v>0</v>
      </c>
      <c r="F771" s="106">
        <v>0</v>
      </c>
      <c r="G771" s="106">
        <v>0</v>
      </c>
    </row>
    <row r="772" spans="1:7">
      <c r="A772">
        <v>7979</v>
      </c>
      <c r="B772" s="106" t="s">
        <v>1666</v>
      </c>
      <c r="C772">
        <v>0</v>
      </c>
      <c r="D772" s="106" t="s">
        <v>233</v>
      </c>
      <c r="E772">
        <v>0</v>
      </c>
      <c r="F772" s="106" t="s">
        <v>233</v>
      </c>
      <c r="G772">
        <v>0</v>
      </c>
    </row>
    <row r="773" spans="1:7">
      <c r="A773">
        <v>7981</v>
      </c>
      <c r="B773" s="106" t="s">
        <v>1667</v>
      </c>
      <c r="C773">
        <v>0.15</v>
      </c>
      <c r="D773">
        <v>0.05</v>
      </c>
      <c r="E773">
        <v>0.05</v>
      </c>
      <c r="F773">
        <v>0.05</v>
      </c>
      <c r="G773">
        <v>0</v>
      </c>
    </row>
    <row r="774" spans="1:7">
      <c r="A774">
        <v>7984</v>
      </c>
      <c r="B774" s="106" t="s">
        <v>1668</v>
      </c>
      <c r="C774">
        <v>0.15</v>
      </c>
      <c r="D774">
        <v>0.05</v>
      </c>
      <c r="E774">
        <v>0.05</v>
      </c>
      <c r="F774">
        <v>0</v>
      </c>
      <c r="G774">
        <v>0.05</v>
      </c>
    </row>
    <row r="775" spans="1:7">
      <c r="A775">
        <v>7988</v>
      </c>
      <c r="B775" s="106" t="s">
        <v>1669</v>
      </c>
      <c r="C775">
        <v>0.15</v>
      </c>
      <c r="D775">
        <v>0.05</v>
      </c>
      <c r="E775">
        <v>0.05</v>
      </c>
      <c r="F775">
        <v>0.05</v>
      </c>
      <c r="G775">
        <v>0.05</v>
      </c>
    </row>
    <row r="776" spans="1:7">
      <c r="A776">
        <v>7989</v>
      </c>
      <c r="B776" s="106" t="s">
        <v>2583</v>
      </c>
      <c r="C776">
        <v>0</v>
      </c>
      <c r="D776">
        <v>0.05</v>
      </c>
      <c r="E776">
        <v>0.05</v>
      </c>
      <c r="F776">
        <v>0.05</v>
      </c>
      <c r="G776" s="106" t="s">
        <v>233</v>
      </c>
    </row>
    <row r="777" spans="1:7">
      <c r="A777">
        <v>7994</v>
      </c>
      <c r="B777" s="106" t="s">
        <v>1670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>
      <c r="A778">
        <v>7999</v>
      </c>
      <c r="B778" s="106" t="s">
        <v>1671</v>
      </c>
      <c r="C778">
        <v>0.15</v>
      </c>
      <c r="D778">
        <v>0.05</v>
      </c>
      <c r="E778">
        <v>0.05</v>
      </c>
      <c r="F778">
        <v>0.05</v>
      </c>
      <c r="G778">
        <v>0.05</v>
      </c>
    </row>
    <row r="779" spans="1:7">
      <c r="A779">
        <v>8001</v>
      </c>
      <c r="B779" s="106" t="s">
        <v>1672</v>
      </c>
      <c r="C779">
        <v>0.15</v>
      </c>
      <c r="D779">
        <v>0.05</v>
      </c>
      <c r="E779">
        <v>0.05</v>
      </c>
      <c r="F779">
        <v>0.05</v>
      </c>
      <c r="G779">
        <v>0.05</v>
      </c>
    </row>
    <row r="780" spans="1:7">
      <c r="A780">
        <v>8008</v>
      </c>
      <c r="B780" s="106" t="s">
        <v>1673</v>
      </c>
      <c r="C780">
        <v>0.15</v>
      </c>
      <c r="D780">
        <v>0.05</v>
      </c>
      <c r="E780">
        <v>0.05</v>
      </c>
      <c r="F780">
        <v>0.05</v>
      </c>
      <c r="G780">
        <v>0.05</v>
      </c>
    </row>
    <row r="781" spans="1:7">
      <c r="A781">
        <v>8011</v>
      </c>
      <c r="B781" s="106" t="s">
        <v>1674</v>
      </c>
      <c r="C781">
        <v>0.15</v>
      </c>
      <c r="D781">
        <v>0.05</v>
      </c>
      <c r="E781">
        <v>0.05</v>
      </c>
      <c r="F781">
        <v>0.05</v>
      </c>
      <c r="G781">
        <v>0.05</v>
      </c>
    </row>
    <row r="782" spans="1:7">
      <c r="A782">
        <v>8014</v>
      </c>
      <c r="B782" s="106" t="s">
        <v>2584</v>
      </c>
      <c r="C782">
        <v>0</v>
      </c>
      <c r="D782">
        <v>0</v>
      </c>
      <c r="E782">
        <v>0</v>
      </c>
      <c r="F782" s="106" t="s">
        <v>233</v>
      </c>
      <c r="G782" s="106" t="s">
        <v>233</v>
      </c>
    </row>
    <row r="783" spans="1:7">
      <c r="A783">
        <v>8015</v>
      </c>
      <c r="B783" s="106" t="s">
        <v>1675</v>
      </c>
      <c r="C783">
        <v>0.15</v>
      </c>
      <c r="D783">
        <v>0</v>
      </c>
      <c r="E783">
        <v>0</v>
      </c>
      <c r="F783">
        <v>0</v>
      </c>
      <c r="G783">
        <v>0</v>
      </c>
    </row>
    <row r="784" spans="1:7">
      <c r="A784">
        <v>8016</v>
      </c>
      <c r="B784" s="106" t="s">
        <v>1676</v>
      </c>
      <c r="C784">
        <v>0.15</v>
      </c>
      <c r="D784">
        <v>0.05</v>
      </c>
      <c r="E784">
        <v>0.05</v>
      </c>
      <c r="F784">
        <v>0.05</v>
      </c>
      <c r="G784">
        <v>0.05</v>
      </c>
    </row>
    <row r="785" spans="1:7">
      <c r="A785">
        <v>8028</v>
      </c>
      <c r="B785" s="106" t="s">
        <v>1677</v>
      </c>
      <c r="C785">
        <v>0.15</v>
      </c>
      <c r="D785">
        <v>0.05</v>
      </c>
      <c r="E785">
        <v>0.05</v>
      </c>
      <c r="F785">
        <v>0.05</v>
      </c>
      <c r="G785">
        <v>0.05</v>
      </c>
    </row>
    <row r="786" spans="1:7">
      <c r="A786">
        <v>8031</v>
      </c>
      <c r="B786" s="106" t="s">
        <v>1678</v>
      </c>
      <c r="C786">
        <v>0.15</v>
      </c>
      <c r="D786">
        <v>0.05</v>
      </c>
      <c r="E786">
        <v>0.05</v>
      </c>
      <c r="F786">
        <v>0.05</v>
      </c>
      <c r="G786">
        <v>0.05</v>
      </c>
    </row>
    <row r="787" spans="1:7">
      <c r="A787">
        <v>8032</v>
      </c>
      <c r="B787" s="106" t="s">
        <v>1679</v>
      </c>
      <c r="C787">
        <v>0.3</v>
      </c>
      <c r="D787">
        <v>0.1</v>
      </c>
      <c r="E787">
        <v>0.1</v>
      </c>
      <c r="F787">
        <v>0.1</v>
      </c>
      <c r="G787">
        <v>0</v>
      </c>
    </row>
    <row r="788" spans="1:7">
      <c r="A788">
        <v>8035</v>
      </c>
      <c r="B788" s="106" t="s">
        <v>1680</v>
      </c>
      <c r="C788">
        <v>1.35</v>
      </c>
      <c r="D788">
        <v>0.45</v>
      </c>
      <c r="E788">
        <v>0.45</v>
      </c>
      <c r="F788">
        <v>0.45</v>
      </c>
      <c r="G788">
        <v>0.4</v>
      </c>
    </row>
    <row r="789" spans="1:7">
      <c r="A789">
        <v>8041</v>
      </c>
      <c r="B789" s="106" t="s">
        <v>1681</v>
      </c>
      <c r="C789">
        <v>0.15</v>
      </c>
      <c r="D789">
        <v>0.05</v>
      </c>
      <c r="E789">
        <v>0.05</v>
      </c>
      <c r="F789">
        <v>0.05</v>
      </c>
      <c r="G789">
        <v>0.05</v>
      </c>
    </row>
    <row r="790" spans="1:7">
      <c r="A790">
        <v>8043</v>
      </c>
      <c r="B790" s="106" t="s">
        <v>1682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>
      <c r="A791">
        <v>8050</v>
      </c>
      <c r="B791" s="106" t="s">
        <v>1683</v>
      </c>
      <c r="C791">
        <v>0.15</v>
      </c>
      <c r="D791">
        <v>0.05</v>
      </c>
      <c r="E791">
        <v>0.05</v>
      </c>
      <c r="F791">
        <v>0.05</v>
      </c>
      <c r="G791">
        <v>0.05</v>
      </c>
    </row>
    <row r="792" spans="1:7">
      <c r="A792">
        <v>8051</v>
      </c>
      <c r="B792" s="106" t="s">
        <v>2585</v>
      </c>
      <c r="C792">
        <v>0.15</v>
      </c>
      <c r="D792">
        <v>0.05</v>
      </c>
      <c r="E792">
        <v>0.05</v>
      </c>
      <c r="F792">
        <v>0.05</v>
      </c>
      <c r="G792" s="106" t="s">
        <v>233</v>
      </c>
    </row>
    <row r="793" spans="1:7">
      <c r="A793">
        <v>8057</v>
      </c>
      <c r="B793" s="106" t="s">
        <v>1684</v>
      </c>
      <c r="C793">
        <v>0.45</v>
      </c>
      <c r="D793">
        <v>0.15</v>
      </c>
      <c r="E793">
        <v>0.15</v>
      </c>
      <c r="F793">
        <v>0.15</v>
      </c>
      <c r="G793">
        <v>0.15</v>
      </c>
    </row>
    <row r="794" spans="1:7">
      <c r="A794">
        <v>8059</v>
      </c>
      <c r="B794" s="106" t="s">
        <v>1685</v>
      </c>
      <c r="C794">
        <v>0</v>
      </c>
      <c r="D794">
        <v>0.05</v>
      </c>
      <c r="E794">
        <v>0.1</v>
      </c>
      <c r="F794">
        <v>0.1</v>
      </c>
      <c r="G794">
        <v>0</v>
      </c>
    </row>
    <row r="795" spans="1:7">
      <c r="A795">
        <v>8068</v>
      </c>
      <c r="B795" s="106" t="s">
        <v>1686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>
      <c r="A796">
        <v>8074</v>
      </c>
      <c r="B796" s="106" t="s">
        <v>1687</v>
      </c>
      <c r="C796">
        <v>0</v>
      </c>
      <c r="D796">
        <v>0</v>
      </c>
      <c r="E796" s="106" t="s">
        <v>233</v>
      </c>
      <c r="F796">
        <v>0</v>
      </c>
      <c r="G796">
        <v>0</v>
      </c>
    </row>
    <row r="797" spans="1:7">
      <c r="A797">
        <v>8075</v>
      </c>
      <c r="B797" s="106" t="s">
        <v>1688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>
      <c r="A798">
        <v>8077</v>
      </c>
      <c r="B798" s="106" t="s">
        <v>1689</v>
      </c>
      <c r="C798">
        <v>0.15</v>
      </c>
      <c r="D798">
        <v>0.05</v>
      </c>
      <c r="E798">
        <v>0.05</v>
      </c>
      <c r="F798">
        <v>0</v>
      </c>
      <c r="G798">
        <v>0</v>
      </c>
    </row>
    <row r="799" spans="1:7">
      <c r="A799">
        <v>8079</v>
      </c>
      <c r="B799" s="106" t="s">
        <v>1690</v>
      </c>
      <c r="C799">
        <v>0.3</v>
      </c>
      <c r="D799">
        <v>0.1</v>
      </c>
      <c r="E799">
        <v>0.1</v>
      </c>
      <c r="F799">
        <v>0.1</v>
      </c>
      <c r="G799">
        <v>0.1</v>
      </c>
    </row>
    <row r="800" spans="1:7">
      <c r="A800">
        <v>8086</v>
      </c>
      <c r="B800" s="106" t="s">
        <v>1044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>
      <c r="A801">
        <v>8089</v>
      </c>
      <c r="B801" s="106" t="s">
        <v>1691</v>
      </c>
      <c r="C801">
        <v>0.15</v>
      </c>
      <c r="D801">
        <v>0.05</v>
      </c>
      <c r="E801">
        <v>0.05</v>
      </c>
      <c r="F801">
        <v>0.05</v>
      </c>
      <c r="G801" s="106">
        <v>0.05</v>
      </c>
    </row>
    <row r="802" spans="1:7">
      <c r="A802">
        <v>8093</v>
      </c>
      <c r="B802" s="106" t="s">
        <v>1692</v>
      </c>
      <c r="C802">
        <v>0.15</v>
      </c>
      <c r="D802">
        <v>0.05</v>
      </c>
      <c r="E802">
        <v>0.05</v>
      </c>
      <c r="F802">
        <v>0.05</v>
      </c>
      <c r="G802">
        <v>0.05</v>
      </c>
    </row>
    <row r="803" spans="1:7">
      <c r="A803">
        <v>8096</v>
      </c>
      <c r="B803" s="106" t="s">
        <v>2586</v>
      </c>
      <c r="C803">
        <v>0</v>
      </c>
      <c r="D803">
        <v>0</v>
      </c>
      <c r="E803">
        <v>0</v>
      </c>
      <c r="F803">
        <v>0.1</v>
      </c>
      <c r="G803" s="106" t="s">
        <v>233</v>
      </c>
    </row>
    <row r="804" spans="1:7">
      <c r="A804">
        <v>8097</v>
      </c>
      <c r="B804" s="106" t="s">
        <v>1693</v>
      </c>
      <c r="C804">
        <v>0.15</v>
      </c>
      <c r="D804">
        <v>0.05</v>
      </c>
      <c r="E804">
        <v>0.05</v>
      </c>
      <c r="F804">
        <v>0</v>
      </c>
      <c r="G804">
        <v>0</v>
      </c>
    </row>
    <row r="805" spans="1:7">
      <c r="A805">
        <v>8098</v>
      </c>
      <c r="B805" s="106" t="s">
        <v>1694</v>
      </c>
      <c r="C805">
        <v>0.15</v>
      </c>
      <c r="D805">
        <v>0.05</v>
      </c>
      <c r="E805">
        <v>0.05</v>
      </c>
      <c r="F805">
        <v>0.05</v>
      </c>
      <c r="G805">
        <v>0.05</v>
      </c>
    </row>
    <row r="806" spans="1:7">
      <c r="A806">
        <v>8101</v>
      </c>
      <c r="B806" s="106" t="s">
        <v>1695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>
      <c r="A807">
        <v>8103</v>
      </c>
      <c r="B807" s="106" t="s">
        <v>1696</v>
      </c>
      <c r="C807">
        <v>0.15</v>
      </c>
      <c r="D807">
        <v>0.05</v>
      </c>
      <c r="E807">
        <v>0.05</v>
      </c>
      <c r="F807">
        <v>0.05</v>
      </c>
      <c r="G807">
        <v>0.05</v>
      </c>
    </row>
    <row r="808" spans="1:7">
      <c r="A808">
        <v>8111</v>
      </c>
      <c r="B808" s="106" t="s">
        <v>2587</v>
      </c>
      <c r="C808">
        <v>0</v>
      </c>
      <c r="D808">
        <v>0</v>
      </c>
      <c r="E808">
        <v>0</v>
      </c>
      <c r="F808" s="106" t="s">
        <v>233</v>
      </c>
      <c r="G808" s="106" t="s">
        <v>233</v>
      </c>
    </row>
    <row r="809" spans="1:7">
      <c r="A809">
        <v>8113</v>
      </c>
      <c r="B809" s="106" t="s">
        <v>1697</v>
      </c>
      <c r="C809">
        <v>0.3</v>
      </c>
      <c r="D809">
        <v>0.1</v>
      </c>
      <c r="E809">
        <v>0</v>
      </c>
      <c r="F809">
        <v>0</v>
      </c>
      <c r="G809">
        <v>0</v>
      </c>
    </row>
    <row r="810" spans="1:7">
      <c r="A810">
        <v>8114</v>
      </c>
      <c r="B810" s="106" t="s">
        <v>1698</v>
      </c>
      <c r="C810">
        <v>0.15</v>
      </c>
      <c r="D810">
        <v>0.05</v>
      </c>
      <c r="E810">
        <v>0.05</v>
      </c>
      <c r="F810">
        <v>0.05</v>
      </c>
      <c r="G810">
        <v>0.05</v>
      </c>
    </row>
    <row r="811" spans="1:7">
      <c r="A811">
        <v>8130</v>
      </c>
      <c r="B811" s="106" t="s">
        <v>1699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>
      <c r="A812">
        <v>8131</v>
      </c>
      <c r="B812" s="106" t="s">
        <v>1700</v>
      </c>
      <c r="C812">
        <v>0.15</v>
      </c>
      <c r="D812">
        <v>0.05</v>
      </c>
      <c r="E812">
        <v>0.05</v>
      </c>
      <c r="F812">
        <v>0.05</v>
      </c>
      <c r="G812">
        <v>0.05</v>
      </c>
    </row>
    <row r="813" spans="1:7">
      <c r="A813">
        <v>8132</v>
      </c>
      <c r="B813" s="106" t="s">
        <v>1701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>
      <c r="A814">
        <v>8137</v>
      </c>
      <c r="B814" s="106" t="s">
        <v>1702</v>
      </c>
      <c r="C814">
        <v>0.15</v>
      </c>
      <c r="D814">
        <v>0.05</v>
      </c>
      <c r="E814">
        <v>0.05</v>
      </c>
      <c r="F814">
        <v>0.05</v>
      </c>
      <c r="G814">
        <v>0.05</v>
      </c>
    </row>
    <row r="815" spans="1:7">
      <c r="A815">
        <v>8140</v>
      </c>
      <c r="B815" s="106" t="s">
        <v>1703</v>
      </c>
      <c r="C815">
        <v>0.15</v>
      </c>
      <c r="D815">
        <v>0.05</v>
      </c>
      <c r="E815">
        <v>0.05</v>
      </c>
      <c r="F815">
        <v>0.05</v>
      </c>
      <c r="G815">
        <v>0.05</v>
      </c>
    </row>
    <row r="816" spans="1:7">
      <c r="A816">
        <v>8141</v>
      </c>
      <c r="B816" s="106" t="s">
        <v>1704</v>
      </c>
      <c r="C816">
        <v>0.15</v>
      </c>
      <c r="D816">
        <v>0.05</v>
      </c>
      <c r="E816">
        <v>0.05</v>
      </c>
      <c r="F816">
        <v>0.05</v>
      </c>
      <c r="G816">
        <v>0.05</v>
      </c>
    </row>
    <row r="817" spans="1:7">
      <c r="A817">
        <v>8142</v>
      </c>
      <c r="B817" s="106" t="s">
        <v>1705</v>
      </c>
      <c r="C817">
        <v>0.15</v>
      </c>
      <c r="D817">
        <v>0.05</v>
      </c>
      <c r="E817">
        <v>0.05</v>
      </c>
      <c r="F817">
        <v>0.05</v>
      </c>
      <c r="G817">
        <v>0.05</v>
      </c>
    </row>
    <row r="818" spans="1:7">
      <c r="A818">
        <v>8150</v>
      </c>
      <c r="B818" s="106" t="s">
        <v>1706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>
      <c r="A819">
        <v>8153</v>
      </c>
      <c r="B819" s="106" t="s">
        <v>1707</v>
      </c>
      <c r="C819">
        <v>0.3</v>
      </c>
      <c r="D819">
        <v>0.1</v>
      </c>
      <c r="E819">
        <v>0.1</v>
      </c>
      <c r="F819" s="106">
        <v>0.1</v>
      </c>
      <c r="G819" s="106">
        <v>0.1</v>
      </c>
    </row>
    <row r="820" spans="1:7">
      <c r="A820">
        <v>8158</v>
      </c>
      <c r="B820" s="106" t="s">
        <v>1708</v>
      </c>
      <c r="C820">
        <v>0.15</v>
      </c>
      <c r="D820">
        <v>0.05</v>
      </c>
      <c r="E820">
        <v>0.05</v>
      </c>
      <c r="F820" s="106">
        <v>0.05</v>
      </c>
      <c r="G820" s="106">
        <v>0.05</v>
      </c>
    </row>
    <row r="821" spans="1:7">
      <c r="A821">
        <v>8160</v>
      </c>
      <c r="B821" s="106" t="s">
        <v>1709</v>
      </c>
      <c r="C821">
        <v>0.15</v>
      </c>
      <c r="D821">
        <v>0.05</v>
      </c>
      <c r="E821">
        <v>0.05</v>
      </c>
      <c r="F821">
        <v>0.05</v>
      </c>
      <c r="G821">
        <v>0.05</v>
      </c>
    </row>
    <row r="822" spans="1:7">
      <c r="A822">
        <v>8163</v>
      </c>
      <c r="B822" s="106" t="s">
        <v>1710</v>
      </c>
      <c r="C822">
        <v>0.15</v>
      </c>
      <c r="D822">
        <v>0.05</v>
      </c>
      <c r="E822">
        <v>0.05</v>
      </c>
      <c r="F822">
        <v>0.05</v>
      </c>
      <c r="G822">
        <v>0.05</v>
      </c>
    </row>
    <row r="823" spans="1:7">
      <c r="A823">
        <v>8165</v>
      </c>
      <c r="B823" s="106" t="s">
        <v>1711</v>
      </c>
      <c r="C823">
        <v>0.15</v>
      </c>
      <c r="D823">
        <v>0.05</v>
      </c>
      <c r="E823">
        <v>0</v>
      </c>
      <c r="F823">
        <v>0.05</v>
      </c>
      <c r="G823">
        <v>0</v>
      </c>
    </row>
    <row r="824" spans="1:7">
      <c r="A824">
        <v>8168</v>
      </c>
      <c r="B824" s="106" t="s">
        <v>1712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>
      <c r="A825">
        <v>8173</v>
      </c>
      <c r="B825" s="106" t="s">
        <v>1713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>
      <c r="A826">
        <v>8174</v>
      </c>
      <c r="B826" s="106" t="s">
        <v>1714</v>
      </c>
      <c r="C826">
        <v>0.3</v>
      </c>
      <c r="D826">
        <v>0.1</v>
      </c>
      <c r="E826">
        <v>0.1</v>
      </c>
      <c r="F826">
        <v>0.1</v>
      </c>
      <c r="G826">
        <v>0.1</v>
      </c>
    </row>
    <row r="827" spans="1:7">
      <c r="A827">
        <v>8179</v>
      </c>
      <c r="B827" s="106" t="s">
        <v>1715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>
      <c r="A828">
        <v>8182</v>
      </c>
      <c r="B828" s="106" t="s">
        <v>1716</v>
      </c>
      <c r="C828">
        <v>0.15</v>
      </c>
      <c r="D828">
        <v>0.05</v>
      </c>
      <c r="E828">
        <v>0.05</v>
      </c>
      <c r="F828">
        <v>0.05</v>
      </c>
      <c r="G828">
        <v>0.05</v>
      </c>
    </row>
    <row r="829" spans="1:7">
      <c r="A829">
        <v>8184</v>
      </c>
      <c r="B829" s="106" t="s">
        <v>1717</v>
      </c>
      <c r="C829">
        <v>0.15</v>
      </c>
      <c r="D829">
        <v>0.1</v>
      </c>
      <c r="E829">
        <v>0.05</v>
      </c>
      <c r="F829">
        <v>0.05</v>
      </c>
      <c r="G829">
        <v>0.1</v>
      </c>
    </row>
    <row r="830" spans="1:7">
      <c r="A830">
        <v>8185</v>
      </c>
      <c r="B830" s="106" t="s">
        <v>1718</v>
      </c>
      <c r="C830">
        <v>0.15</v>
      </c>
      <c r="D830">
        <v>0.05</v>
      </c>
      <c r="E830">
        <v>0.05</v>
      </c>
      <c r="F830">
        <v>0.05</v>
      </c>
      <c r="G830">
        <v>0.05</v>
      </c>
    </row>
    <row r="831" spans="1:7">
      <c r="A831">
        <v>8194</v>
      </c>
      <c r="B831" s="106" t="s">
        <v>1719</v>
      </c>
      <c r="C831">
        <v>0.15</v>
      </c>
      <c r="D831">
        <v>0.05</v>
      </c>
      <c r="E831">
        <v>0.05</v>
      </c>
      <c r="F831">
        <v>0.05</v>
      </c>
      <c r="G831">
        <v>0.05</v>
      </c>
    </row>
    <row r="832" spans="1:7">
      <c r="A832">
        <v>8200</v>
      </c>
      <c r="B832" s="106" t="s">
        <v>1720</v>
      </c>
      <c r="C832">
        <v>0</v>
      </c>
      <c r="D832">
        <v>0</v>
      </c>
      <c r="E832">
        <v>0.05</v>
      </c>
      <c r="F832">
        <v>0</v>
      </c>
      <c r="G832">
        <v>0</v>
      </c>
    </row>
    <row r="833" spans="1:7">
      <c r="A833">
        <v>8203</v>
      </c>
      <c r="B833" s="106" t="s">
        <v>1721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>
      <c r="A834">
        <v>8214</v>
      </c>
      <c r="B834" s="106" t="s">
        <v>1722</v>
      </c>
      <c r="C834">
        <v>0.15</v>
      </c>
      <c r="D834">
        <v>0.05</v>
      </c>
      <c r="E834">
        <v>0.05</v>
      </c>
      <c r="F834">
        <v>0.05</v>
      </c>
      <c r="G834">
        <v>0.05</v>
      </c>
    </row>
    <row r="835" spans="1:7">
      <c r="A835">
        <v>8217</v>
      </c>
      <c r="B835" s="106" t="s">
        <v>1723</v>
      </c>
      <c r="C835">
        <v>0.15</v>
      </c>
      <c r="D835">
        <v>0.1</v>
      </c>
      <c r="E835">
        <v>0.1</v>
      </c>
      <c r="F835">
        <v>0.05</v>
      </c>
      <c r="G835">
        <v>0.05</v>
      </c>
    </row>
    <row r="836" spans="1:7">
      <c r="A836">
        <v>8227</v>
      </c>
      <c r="B836" s="106" t="s">
        <v>1724</v>
      </c>
      <c r="C836">
        <v>0.6</v>
      </c>
      <c r="D836">
        <v>0.2</v>
      </c>
      <c r="E836">
        <v>0.15</v>
      </c>
      <c r="F836">
        <v>0.15</v>
      </c>
      <c r="G836">
        <v>0.2</v>
      </c>
    </row>
    <row r="837" spans="1:7">
      <c r="A837">
        <v>8230</v>
      </c>
      <c r="B837" s="106" t="s">
        <v>1725</v>
      </c>
      <c r="C837">
        <v>0.15</v>
      </c>
      <c r="D837">
        <v>0.05</v>
      </c>
      <c r="E837">
        <v>0.05</v>
      </c>
      <c r="F837">
        <v>0.05</v>
      </c>
      <c r="G837">
        <v>0.05</v>
      </c>
    </row>
    <row r="838" spans="1:7">
      <c r="A838">
        <v>8233</v>
      </c>
      <c r="B838" s="106" t="s">
        <v>1726</v>
      </c>
      <c r="C838">
        <v>0</v>
      </c>
      <c r="D838">
        <v>0.05</v>
      </c>
      <c r="E838" s="106" t="s">
        <v>233</v>
      </c>
      <c r="F838">
        <v>0.05</v>
      </c>
      <c r="G838">
        <v>0</v>
      </c>
    </row>
    <row r="839" spans="1:7">
      <c r="A839">
        <v>8237</v>
      </c>
      <c r="B839" s="106" t="s">
        <v>1727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>
      <c r="A840">
        <v>8242</v>
      </c>
      <c r="B840" s="106" t="s">
        <v>1728</v>
      </c>
      <c r="C840">
        <v>0.15</v>
      </c>
      <c r="D840">
        <v>0.05</v>
      </c>
      <c r="E840">
        <v>0.05</v>
      </c>
      <c r="F840">
        <v>0.05</v>
      </c>
      <c r="G840">
        <v>0</v>
      </c>
    </row>
    <row r="841" spans="1:7">
      <c r="A841">
        <v>8244</v>
      </c>
      <c r="B841" s="106" t="s">
        <v>1729</v>
      </c>
      <c r="C841">
        <v>0.3</v>
      </c>
      <c r="D841">
        <v>0.1</v>
      </c>
      <c r="E841">
        <v>0.1</v>
      </c>
      <c r="F841">
        <v>0.1</v>
      </c>
      <c r="G841">
        <v>0.1</v>
      </c>
    </row>
    <row r="842" spans="1:7">
      <c r="A842">
        <v>8251</v>
      </c>
      <c r="B842" s="106" t="s">
        <v>1730</v>
      </c>
      <c r="C842">
        <v>0.15</v>
      </c>
      <c r="D842">
        <v>0.05</v>
      </c>
      <c r="E842">
        <v>0.05</v>
      </c>
      <c r="F842">
        <v>0.05</v>
      </c>
      <c r="G842">
        <v>0.05</v>
      </c>
    </row>
    <row r="843" spans="1:7">
      <c r="A843">
        <v>8252</v>
      </c>
      <c r="B843" s="106" t="s">
        <v>1731</v>
      </c>
      <c r="C843">
        <v>0.15</v>
      </c>
      <c r="D843">
        <v>0.05</v>
      </c>
      <c r="E843">
        <v>0.05</v>
      </c>
      <c r="F843">
        <v>0.05</v>
      </c>
      <c r="G843">
        <v>0.05</v>
      </c>
    </row>
    <row r="844" spans="1:7">
      <c r="A844">
        <v>8253</v>
      </c>
      <c r="B844" s="106" t="s">
        <v>1004</v>
      </c>
      <c r="C844">
        <v>0.15</v>
      </c>
      <c r="D844">
        <v>0.05</v>
      </c>
      <c r="E844">
        <v>0.05</v>
      </c>
      <c r="F844">
        <v>0.05</v>
      </c>
      <c r="G844">
        <v>0.05</v>
      </c>
    </row>
    <row r="845" spans="1:7">
      <c r="A845">
        <v>8267</v>
      </c>
      <c r="B845" s="106" t="s">
        <v>302</v>
      </c>
      <c r="C845">
        <v>0.15</v>
      </c>
      <c r="D845">
        <v>0.05</v>
      </c>
      <c r="E845">
        <v>0.05</v>
      </c>
      <c r="F845">
        <v>0.05</v>
      </c>
      <c r="G845">
        <v>0.05</v>
      </c>
    </row>
    <row r="846" spans="1:7">
      <c r="A846">
        <v>8273</v>
      </c>
      <c r="B846" s="106" t="s">
        <v>2588</v>
      </c>
      <c r="C846">
        <v>0</v>
      </c>
      <c r="D846">
        <v>0</v>
      </c>
      <c r="E846">
        <v>0</v>
      </c>
      <c r="F846" s="106">
        <v>0</v>
      </c>
      <c r="G846" s="106" t="s">
        <v>233</v>
      </c>
    </row>
    <row r="847" spans="1:7">
      <c r="A847">
        <v>8275</v>
      </c>
      <c r="B847" s="106" t="s">
        <v>1732</v>
      </c>
      <c r="C847">
        <v>0</v>
      </c>
      <c r="D847">
        <v>0</v>
      </c>
      <c r="E847">
        <v>0</v>
      </c>
      <c r="F847" s="106">
        <v>0</v>
      </c>
      <c r="G847" s="106">
        <v>0</v>
      </c>
    </row>
    <row r="848" spans="1:7">
      <c r="A848">
        <v>8276</v>
      </c>
      <c r="B848" s="106" t="s">
        <v>1733</v>
      </c>
      <c r="C848">
        <v>0.15</v>
      </c>
      <c r="D848">
        <v>0.05</v>
      </c>
      <c r="E848">
        <v>0.05</v>
      </c>
      <c r="F848">
        <v>0.05</v>
      </c>
      <c r="G848">
        <v>0.05</v>
      </c>
    </row>
    <row r="849" spans="1:7">
      <c r="A849">
        <v>8278</v>
      </c>
      <c r="B849" s="106" t="s">
        <v>1734</v>
      </c>
      <c r="C849">
        <v>0.15</v>
      </c>
      <c r="D849">
        <v>0.05</v>
      </c>
      <c r="E849">
        <v>0.05</v>
      </c>
      <c r="F849" s="106">
        <v>0.05</v>
      </c>
      <c r="G849">
        <v>0</v>
      </c>
    </row>
    <row r="850" spans="1:7">
      <c r="A850">
        <v>8279</v>
      </c>
      <c r="B850" s="106" t="s">
        <v>1735</v>
      </c>
      <c r="C850">
        <v>0.3</v>
      </c>
      <c r="D850">
        <v>0.1</v>
      </c>
      <c r="E850">
        <v>0.1</v>
      </c>
      <c r="F850" s="106">
        <v>0.1</v>
      </c>
      <c r="G850">
        <v>0.1</v>
      </c>
    </row>
    <row r="851" spans="1:7">
      <c r="A851">
        <v>8281</v>
      </c>
      <c r="B851" s="106" t="s">
        <v>1736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>
      <c r="A852">
        <v>8282</v>
      </c>
      <c r="B852" s="106" t="s">
        <v>1737</v>
      </c>
      <c r="C852">
        <v>0.15</v>
      </c>
      <c r="D852">
        <v>0.05</v>
      </c>
      <c r="E852">
        <v>0.05</v>
      </c>
      <c r="F852">
        <v>0.05</v>
      </c>
      <c r="G852">
        <v>0.05</v>
      </c>
    </row>
    <row r="853" spans="1:7">
      <c r="A853">
        <v>8283</v>
      </c>
      <c r="B853" s="106" t="s">
        <v>1738</v>
      </c>
      <c r="C853">
        <v>0.3</v>
      </c>
      <c r="D853">
        <v>0</v>
      </c>
      <c r="E853">
        <v>0</v>
      </c>
      <c r="F853">
        <v>0</v>
      </c>
      <c r="G853">
        <v>0.1</v>
      </c>
    </row>
    <row r="854" spans="1:7">
      <c r="A854">
        <v>8289</v>
      </c>
      <c r="B854" s="106" t="s">
        <v>1739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>
      <c r="A855">
        <v>8303</v>
      </c>
      <c r="B855" s="106" t="s">
        <v>1740</v>
      </c>
      <c r="C855">
        <v>0</v>
      </c>
      <c r="D855">
        <v>0.05</v>
      </c>
      <c r="E855">
        <v>0.05</v>
      </c>
      <c r="F855">
        <v>0.05</v>
      </c>
      <c r="G855">
        <v>0.05</v>
      </c>
    </row>
    <row r="856" spans="1:7">
      <c r="A856">
        <v>8308</v>
      </c>
      <c r="B856" s="106" t="s">
        <v>102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>
      <c r="A857">
        <v>8309</v>
      </c>
      <c r="B857" s="106" t="s">
        <v>1741</v>
      </c>
      <c r="C857">
        <v>0.3</v>
      </c>
      <c r="D857">
        <v>0.1</v>
      </c>
      <c r="E857">
        <v>0.1</v>
      </c>
      <c r="F857" s="106">
        <v>0.1</v>
      </c>
      <c r="G857">
        <v>0.1</v>
      </c>
    </row>
    <row r="858" spans="1:7">
      <c r="A858">
        <v>8316</v>
      </c>
      <c r="B858" s="106" t="s">
        <v>1006</v>
      </c>
      <c r="C858">
        <v>0</v>
      </c>
      <c r="D858">
        <v>0</v>
      </c>
      <c r="E858">
        <v>0</v>
      </c>
      <c r="F858" s="106">
        <v>0</v>
      </c>
      <c r="G858">
        <v>0</v>
      </c>
    </row>
    <row r="859" spans="1:7">
      <c r="A859">
        <v>8331</v>
      </c>
      <c r="B859" s="106" t="s">
        <v>1742</v>
      </c>
      <c r="C859">
        <v>0.15</v>
      </c>
      <c r="D859">
        <v>0.05</v>
      </c>
      <c r="E859">
        <v>0.05</v>
      </c>
      <c r="F859">
        <v>0.05</v>
      </c>
      <c r="G859">
        <v>0.05</v>
      </c>
    </row>
    <row r="860" spans="1:7">
      <c r="A860">
        <v>8334</v>
      </c>
      <c r="B860" s="106" t="s">
        <v>1743</v>
      </c>
      <c r="C860">
        <v>0</v>
      </c>
      <c r="D860" s="106" t="s">
        <v>233</v>
      </c>
      <c r="E860">
        <v>0</v>
      </c>
      <c r="F860" s="106">
        <v>0</v>
      </c>
      <c r="G860">
        <v>0</v>
      </c>
    </row>
    <row r="861" spans="1:7">
      <c r="A861">
        <v>8337</v>
      </c>
      <c r="B861" s="106" t="s">
        <v>1744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>
      <c r="A862">
        <v>8338</v>
      </c>
      <c r="B862" s="106" t="s">
        <v>1745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>
      <c r="A863">
        <v>8341</v>
      </c>
      <c r="B863" s="106" t="s">
        <v>1746</v>
      </c>
      <c r="C863">
        <v>0.15</v>
      </c>
      <c r="D863">
        <v>0.05</v>
      </c>
      <c r="E863">
        <v>0.05</v>
      </c>
      <c r="F863">
        <v>0.05</v>
      </c>
      <c r="G863">
        <v>0.05</v>
      </c>
    </row>
    <row r="864" spans="1:7">
      <c r="A864">
        <v>8342</v>
      </c>
      <c r="B864" s="106" t="s">
        <v>1747</v>
      </c>
      <c r="C864">
        <v>0.15</v>
      </c>
      <c r="D864">
        <v>0.05</v>
      </c>
      <c r="E864">
        <v>0.05</v>
      </c>
      <c r="F864">
        <v>0.05</v>
      </c>
      <c r="G864">
        <v>0.05</v>
      </c>
    </row>
    <row r="865" spans="1:7">
      <c r="A865">
        <v>8343</v>
      </c>
      <c r="B865" s="106" t="s">
        <v>1748</v>
      </c>
      <c r="C865">
        <v>0.15</v>
      </c>
      <c r="D865">
        <v>0.05</v>
      </c>
      <c r="E865">
        <v>0.05</v>
      </c>
      <c r="F865">
        <v>0.05</v>
      </c>
      <c r="G865">
        <v>0.05</v>
      </c>
    </row>
    <row r="866" spans="1:7">
      <c r="A866">
        <v>8344</v>
      </c>
      <c r="B866" s="106" t="s">
        <v>1749</v>
      </c>
      <c r="C866">
        <v>0.15</v>
      </c>
      <c r="D866">
        <v>0.05</v>
      </c>
      <c r="E866">
        <v>0.05</v>
      </c>
      <c r="F866">
        <v>0.05</v>
      </c>
      <c r="G866">
        <v>0.05</v>
      </c>
    </row>
    <row r="867" spans="1:7">
      <c r="A867">
        <v>8345</v>
      </c>
      <c r="B867" s="106" t="s">
        <v>1750</v>
      </c>
      <c r="C867">
        <v>0.15</v>
      </c>
      <c r="D867">
        <v>0.05</v>
      </c>
      <c r="E867">
        <v>0.05</v>
      </c>
      <c r="F867">
        <v>0.05</v>
      </c>
      <c r="G867">
        <v>0.05</v>
      </c>
    </row>
    <row r="868" spans="1:7">
      <c r="A868">
        <v>8346</v>
      </c>
      <c r="B868" s="106" t="s">
        <v>1751</v>
      </c>
      <c r="C868">
        <v>0</v>
      </c>
      <c r="D868" s="106">
        <v>0.05</v>
      </c>
      <c r="E868">
        <v>0</v>
      </c>
      <c r="F868" s="106">
        <v>0.05</v>
      </c>
      <c r="G868">
        <v>0</v>
      </c>
    </row>
    <row r="869" spans="1:7">
      <c r="A869">
        <v>8350</v>
      </c>
      <c r="B869" s="106" t="s">
        <v>1752</v>
      </c>
      <c r="C869">
        <v>0</v>
      </c>
      <c r="D869" s="106">
        <v>0</v>
      </c>
      <c r="E869">
        <v>0</v>
      </c>
      <c r="F869" s="106">
        <v>0</v>
      </c>
      <c r="G869">
        <v>0</v>
      </c>
    </row>
    <row r="870" spans="1:7">
      <c r="A870">
        <v>8354</v>
      </c>
      <c r="B870" s="106" t="s">
        <v>2589</v>
      </c>
      <c r="C870">
        <v>0.15</v>
      </c>
      <c r="D870" s="106">
        <v>0.05</v>
      </c>
      <c r="E870">
        <v>0.05</v>
      </c>
      <c r="F870" s="106">
        <v>0.05</v>
      </c>
      <c r="G870" s="106" t="s">
        <v>233</v>
      </c>
    </row>
    <row r="871" spans="1:7">
      <c r="A871">
        <v>8355</v>
      </c>
      <c r="B871" s="106" t="s">
        <v>1753</v>
      </c>
      <c r="C871">
        <v>0.15</v>
      </c>
      <c r="D871">
        <v>0.05</v>
      </c>
      <c r="E871">
        <v>0.05</v>
      </c>
      <c r="F871">
        <v>0.05</v>
      </c>
      <c r="G871">
        <v>0.05</v>
      </c>
    </row>
    <row r="872" spans="1:7">
      <c r="A872">
        <v>8356</v>
      </c>
      <c r="B872" s="106" t="s">
        <v>1754</v>
      </c>
      <c r="C872">
        <v>0.15</v>
      </c>
      <c r="D872">
        <v>0.05</v>
      </c>
      <c r="E872">
        <v>0.05</v>
      </c>
      <c r="F872">
        <v>0.05</v>
      </c>
      <c r="G872">
        <v>0.05</v>
      </c>
    </row>
    <row r="873" spans="1:7">
      <c r="A873">
        <v>8358</v>
      </c>
      <c r="B873" s="106" t="s">
        <v>1755</v>
      </c>
      <c r="C873">
        <v>0</v>
      </c>
      <c r="D873">
        <v>0.05</v>
      </c>
      <c r="E873">
        <v>0</v>
      </c>
      <c r="F873">
        <v>0.05</v>
      </c>
      <c r="G873">
        <v>0</v>
      </c>
    </row>
    <row r="874" spans="1:7">
      <c r="A874">
        <v>8359</v>
      </c>
      <c r="B874" s="106" t="s">
        <v>1062</v>
      </c>
      <c r="C874">
        <v>0.15</v>
      </c>
      <c r="D874">
        <v>0.05</v>
      </c>
      <c r="E874">
        <v>0.05</v>
      </c>
      <c r="F874" s="106">
        <v>0.05</v>
      </c>
      <c r="G874">
        <v>0.05</v>
      </c>
    </row>
    <row r="875" spans="1:7">
      <c r="A875">
        <v>8361</v>
      </c>
      <c r="B875" s="106" t="s">
        <v>1756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>
      <c r="A876">
        <v>8362</v>
      </c>
      <c r="B876" s="106" t="s">
        <v>1757</v>
      </c>
      <c r="C876">
        <v>0.15</v>
      </c>
      <c r="D876">
        <v>0.05</v>
      </c>
      <c r="E876">
        <v>0.05</v>
      </c>
      <c r="F876">
        <v>0.05</v>
      </c>
      <c r="G876">
        <v>0.05</v>
      </c>
    </row>
    <row r="877" spans="1:7">
      <c r="A877">
        <v>8363</v>
      </c>
      <c r="B877" s="106" t="s">
        <v>1758</v>
      </c>
      <c r="C877">
        <v>0.3</v>
      </c>
      <c r="D877">
        <v>0.1</v>
      </c>
      <c r="E877">
        <v>0.1</v>
      </c>
      <c r="F877">
        <v>0.1</v>
      </c>
      <c r="G877">
        <v>0.1</v>
      </c>
    </row>
    <row r="878" spans="1:7">
      <c r="A878">
        <v>8364</v>
      </c>
      <c r="B878" s="106" t="s">
        <v>1759</v>
      </c>
      <c r="C878">
        <v>0.15</v>
      </c>
      <c r="D878">
        <v>0.05</v>
      </c>
      <c r="E878">
        <v>0.05</v>
      </c>
      <c r="F878">
        <v>0.05</v>
      </c>
      <c r="G878">
        <v>0.05</v>
      </c>
    </row>
    <row r="879" spans="1:7">
      <c r="A879">
        <v>8365</v>
      </c>
      <c r="B879" s="106" t="s">
        <v>1760</v>
      </c>
      <c r="C879">
        <v>0.15</v>
      </c>
      <c r="D879">
        <v>0.05</v>
      </c>
      <c r="E879">
        <v>0.05</v>
      </c>
      <c r="F879">
        <v>0.05</v>
      </c>
      <c r="G879">
        <v>0.05</v>
      </c>
    </row>
    <row r="880" spans="1:7">
      <c r="A880">
        <v>8366</v>
      </c>
      <c r="B880" s="106" t="s">
        <v>1761</v>
      </c>
      <c r="C880">
        <v>0.15</v>
      </c>
      <c r="D880">
        <v>0.05</v>
      </c>
      <c r="E880">
        <v>0.05</v>
      </c>
      <c r="F880" s="106">
        <v>0.05</v>
      </c>
      <c r="G880" s="106">
        <v>0.05</v>
      </c>
    </row>
    <row r="881" spans="1:7">
      <c r="A881">
        <v>8367</v>
      </c>
      <c r="B881" s="106" t="s">
        <v>1762</v>
      </c>
      <c r="C881">
        <v>0.15</v>
      </c>
      <c r="D881">
        <v>0.05</v>
      </c>
      <c r="E881" s="106">
        <v>0.05</v>
      </c>
      <c r="F881" s="106">
        <v>0.05</v>
      </c>
      <c r="G881" s="106">
        <v>0.05</v>
      </c>
    </row>
    <row r="882" spans="1:7">
      <c r="A882">
        <v>8368</v>
      </c>
      <c r="B882" s="106" t="s">
        <v>2590</v>
      </c>
      <c r="C882">
        <v>0.15</v>
      </c>
      <c r="D882">
        <v>0.05</v>
      </c>
      <c r="E882" s="106">
        <v>0</v>
      </c>
      <c r="F882" s="106">
        <v>0</v>
      </c>
      <c r="G882" s="106" t="s">
        <v>233</v>
      </c>
    </row>
    <row r="883" spans="1:7">
      <c r="A883">
        <v>8369</v>
      </c>
      <c r="B883" s="106" t="s">
        <v>1763</v>
      </c>
      <c r="C883">
        <v>0.3</v>
      </c>
      <c r="D883">
        <v>0.1</v>
      </c>
      <c r="E883">
        <v>0.1</v>
      </c>
      <c r="F883">
        <v>0.1</v>
      </c>
      <c r="G883" s="106">
        <v>0.1</v>
      </c>
    </row>
    <row r="884" spans="1:7">
      <c r="A884">
        <v>8370</v>
      </c>
      <c r="B884" s="106" t="s">
        <v>1764</v>
      </c>
      <c r="C884">
        <v>0.15</v>
      </c>
      <c r="D884">
        <v>0.05</v>
      </c>
      <c r="E884">
        <v>0.05</v>
      </c>
      <c r="F884">
        <v>0.05</v>
      </c>
      <c r="G884" s="106">
        <v>0.05</v>
      </c>
    </row>
    <row r="885" spans="1:7">
      <c r="A885">
        <v>8377</v>
      </c>
      <c r="B885" s="106" t="s">
        <v>94</v>
      </c>
      <c r="C885">
        <v>0</v>
      </c>
      <c r="D885">
        <v>0</v>
      </c>
      <c r="E885">
        <v>0</v>
      </c>
      <c r="F885">
        <v>0.05</v>
      </c>
      <c r="G885" s="106" t="s">
        <v>233</v>
      </c>
    </row>
    <row r="886" spans="1:7">
      <c r="A886">
        <v>8379</v>
      </c>
      <c r="B886" s="106" t="s">
        <v>1765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>
      <c r="A887">
        <v>8382</v>
      </c>
      <c r="B887" s="106" t="s">
        <v>1766</v>
      </c>
      <c r="C887">
        <v>0.15</v>
      </c>
      <c r="D887" s="106">
        <v>0.05</v>
      </c>
      <c r="E887">
        <v>0.05</v>
      </c>
      <c r="F887" s="106">
        <v>0.05</v>
      </c>
      <c r="G887" s="106">
        <v>0.05</v>
      </c>
    </row>
    <row r="888" spans="1:7">
      <c r="A888">
        <v>8383</v>
      </c>
      <c r="B888" s="106" t="s">
        <v>1767</v>
      </c>
      <c r="C888">
        <v>0</v>
      </c>
      <c r="D888" s="106" t="s">
        <v>233</v>
      </c>
      <c r="E888">
        <v>0</v>
      </c>
      <c r="F888" s="106">
        <v>0</v>
      </c>
      <c r="G888" s="106">
        <v>0.05</v>
      </c>
    </row>
    <row r="889" spans="1:7">
      <c r="A889">
        <v>8385</v>
      </c>
      <c r="B889" s="106" t="s">
        <v>1768</v>
      </c>
      <c r="C889">
        <v>0</v>
      </c>
      <c r="D889">
        <v>0</v>
      </c>
      <c r="E889">
        <v>0</v>
      </c>
      <c r="F889">
        <v>0.05</v>
      </c>
      <c r="G889">
        <v>0</v>
      </c>
    </row>
    <row r="890" spans="1:7">
      <c r="A890">
        <v>8387</v>
      </c>
      <c r="B890" s="106" t="s">
        <v>1769</v>
      </c>
      <c r="C890">
        <v>0.15</v>
      </c>
      <c r="D890">
        <v>0.05</v>
      </c>
      <c r="E890">
        <v>0.05</v>
      </c>
      <c r="F890">
        <v>0.05</v>
      </c>
      <c r="G890">
        <v>0.05</v>
      </c>
    </row>
    <row r="891" spans="1:7">
      <c r="A891">
        <v>8388</v>
      </c>
      <c r="B891" s="106" t="s">
        <v>1770</v>
      </c>
      <c r="C891">
        <v>0.15</v>
      </c>
      <c r="D891">
        <v>0.05</v>
      </c>
      <c r="E891">
        <v>0.05</v>
      </c>
      <c r="F891">
        <v>0.05</v>
      </c>
      <c r="G891">
        <v>0.05</v>
      </c>
    </row>
    <row r="892" spans="1:7">
      <c r="A892">
        <v>8393</v>
      </c>
      <c r="B892" s="106" t="s">
        <v>1771</v>
      </c>
      <c r="C892">
        <v>0.15</v>
      </c>
      <c r="D892">
        <v>0.05</v>
      </c>
      <c r="E892">
        <v>0.05</v>
      </c>
      <c r="F892">
        <v>0.05</v>
      </c>
      <c r="G892">
        <v>0.05</v>
      </c>
    </row>
    <row r="893" spans="1:7">
      <c r="A893">
        <v>8395</v>
      </c>
      <c r="B893" s="106" t="s">
        <v>1772</v>
      </c>
      <c r="C893">
        <v>0.15</v>
      </c>
      <c r="D893">
        <v>0</v>
      </c>
      <c r="E893">
        <v>0.05</v>
      </c>
      <c r="F893">
        <v>0</v>
      </c>
      <c r="G893">
        <v>0.05</v>
      </c>
    </row>
    <row r="894" spans="1:7">
      <c r="A894">
        <v>8397</v>
      </c>
      <c r="B894" s="106" t="s">
        <v>1773</v>
      </c>
      <c r="C894">
        <v>0.3</v>
      </c>
      <c r="D894">
        <v>0.1</v>
      </c>
      <c r="E894">
        <v>0.1</v>
      </c>
      <c r="F894">
        <v>0.1</v>
      </c>
      <c r="G894">
        <v>0.1</v>
      </c>
    </row>
    <row r="895" spans="1:7">
      <c r="A895">
        <v>8399</v>
      </c>
      <c r="B895" s="106" t="s">
        <v>1774</v>
      </c>
      <c r="C895">
        <v>0.15</v>
      </c>
      <c r="D895">
        <v>0.05</v>
      </c>
      <c r="E895">
        <v>0.05</v>
      </c>
      <c r="F895">
        <v>0.05</v>
      </c>
      <c r="G895">
        <v>0.05</v>
      </c>
    </row>
    <row r="896" spans="1:7">
      <c r="A896">
        <v>8410</v>
      </c>
      <c r="B896" s="106" t="s">
        <v>1048</v>
      </c>
      <c r="C896">
        <v>0.15</v>
      </c>
      <c r="D896">
        <v>0.05</v>
      </c>
      <c r="E896">
        <v>0.05</v>
      </c>
      <c r="F896">
        <v>0.05</v>
      </c>
      <c r="G896">
        <v>0.05</v>
      </c>
    </row>
    <row r="897" spans="1:7">
      <c r="A897">
        <v>8416</v>
      </c>
      <c r="B897" s="106" t="s">
        <v>1775</v>
      </c>
      <c r="C897">
        <v>0</v>
      </c>
      <c r="D897">
        <v>0.05</v>
      </c>
      <c r="E897">
        <v>0</v>
      </c>
      <c r="F897">
        <v>0.05</v>
      </c>
      <c r="G897">
        <v>0</v>
      </c>
    </row>
    <row r="898" spans="1:7">
      <c r="A898">
        <v>8418</v>
      </c>
      <c r="B898" s="106" t="s">
        <v>2591</v>
      </c>
      <c r="C898">
        <v>0</v>
      </c>
      <c r="D898">
        <v>0</v>
      </c>
      <c r="E898" s="106" t="s">
        <v>233</v>
      </c>
      <c r="F898">
        <v>0</v>
      </c>
      <c r="G898" s="106" t="s">
        <v>233</v>
      </c>
    </row>
    <row r="899" spans="1:7">
      <c r="A899">
        <v>8424</v>
      </c>
      <c r="B899" s="106" t="s">
        <v>1776</v>
      </c>
      <c r="C899">
        <v>0</v>
      </c>
      <c r="D899" s="106" t="s">
        <v>233</v>
      </c>
      <c r="E899">
        <v>0</v>
      </c>
      <c r="F899">
        <v>0</v>
      </c>
      <c r="G899">
        <v>0</v>
      </c>
    </row>
    <row r="900" spans="1:7">
      <c r="A900">
        <v>8425</v>
      </c>
      <c r="B900" s="106" t="s">
        <v>1777</v>
      </c>
      <c r="C900">
        <v>0.3</v>
      </c>
      <c r="D900" s="106" t="s">
        <v>233</v>
      </c>
      <c r="E900">
        <v>0.1</v>
      </c>
      <c r="F900" s="106" t="s">
        <v>233</v>
      </c>
      <c r="G900">
        <v>0.05</v>
      </c>
    </row>
    <row r="901" spans="1:7">
      <c r="A901">
        <v>8439</v>
      </c>
      <c r="B901" s="106" t="s">
        <v>1778</v>
      </c>
      <c r="C901">
        <v>0.3</v>
      </c>
      <c r="D901">
        <v>0.1</v>
      </c>
      <c r="E901">
        <v>0.1</v>
      </c>
      <c r="F901">
        <v>0.1</v>
      </c>
      <c r="G901">
        <v>0.1</v>
      </c>
    </row>
    <row r="902" spans="1:7">
      <c r="A902">
        <v>8521</v>
      </c>
      <c r="B902" s="106" t="s">
        <v>1779</v>
      </c>
      <c r="C902">
        <v>0.15</v>
      </c>
      <c r="D902">
        <v>0.05</v>
      </c>
      <c r="E902" s="106" t="s">
        <v>233</v>
      </c>
      <c r="F902">
        <v>0</v>
      </c>
      <c r="G902">
        <v>0.05</v>
      </c>
    </row>
    <row r="903" spans="1:7">
      <c r="A903">
        <v>8522</v>
      </c>
      <c r="B903" s="106" t="s">
        <v>1780</v>
      </c>
      <c r="C903">
        <v>0.3</v>
      </c>
      <c r="D903">
        <v>0.1</v>
      </c>
      <c r="E903">
        <v>0.1</v>
      </c>
      <c r="F903">
        <v>0.1</v>
      </c>
      <c r="G903">
        <v>0.05</v>
      </c>
    </row>
    <row r="904" spans="1:7">
      <c r="A904">
        <v>8527</v>
      </c>
      <c r="B904" s="106" t="s">
        <v>2592</v>
      </c>
      <c r="C904">
        <v>0</v>
      </c>
      <c r="D904">
        <v>0</v>
      </c>
      <c r="E904">
        <v>0.1</v>
      </c>
      <c r="F904">
        <v>0</v>
      </c>
      <c r="G904" s="106" t="s">
        <v>233</v>
      </c>
    </row>
    <row r="905" spans="1:7">
      <c r="A905">
        <v>8530</v>
      </c>
      <c r="B905" s="106" t="s">
        <v>1781</v>
      </c>
      <c r="C905">
        <v>0.15</v>
      </c>
      <c r="D905">
        <v>0.05</v>
      </c>
      <c r="E905">
        <v>0.05</v>
      </c>
      <c r="F905">
        <v>0.05</v>
      </c>
      <c r="G905" s="106">
        <v>0.05</v>
      </c>
    </row>
    <row r="906" spans="1:7">
      <c r="A906">
        <v>8537</v>
      </c>
      <c r="B906" s="106" t="s">
        <v>1782</v>
      </c>
      <c r="C906">
        <v>0.15</v>
      </c>
      <c r="D906">
        <v>0.05</v>
      </c>
      <c r="E906">
        <v>0.05</v>
      </c>
      <c r="F906" s="106">
        <v>0.05</v>
      </c>
      <c r="G906" s="106">
        <v>0.05</v>
      </c>
    </row>
    <row r="907" spans="1:7">
      <c r="A907">
        <v>8541</v>
      </c>
      <c r="B907" s="106" t="s">
        <v>1783</v>
      </c>
      <c r="C907">
        <v>0.15</v>
      </c>
      <c r="D907">
        <v>0.05</v>
      </c>
      <c r="E907">
        <v>0.05</v>
      </c>
      <c r="F907" s="106">
        <v>0.05</v>
      </c>
      <c r="G907" s="106">
        <v>0.05</v>
      </c>
    </row>
    <row r="908" spans="1:7">
      <c r="A908">
        <v>8542</v>
      </c>
      <c r="B908" s="106" t="s">
        <v>1784</v>
      </c>
      <c r="C908">
        <v>0.15</v>
      </c>
      <c r="D908">
        <v>0.05</v>
      </c>
      <c r="E908">
        <v>0.05</v>
      </c>
      <c r="F908">
        <v>0</v>
      </c>
      <c r="G908">
        <v>0</v>
      </c>
    </row>
    <row r="909" spans="1:7">
      <c r="A909">
        <v>8544</v>
      </c>
      <c r="B909" s="106" t="s">
        <v>1785</v>
      </c>
      <c r="C909">
        <v>0</v>
      </c>
      <c r="D909" s="106">
        <v>0.05</v>
      </c>
      <c r="E909">
        <v>0</v>
      </c>
      <c r="F909" s="106">
        <v>0</v>
      </c>
      <c r="G909" s="106">
        <v>0</v>
      </c>
    </row>
    <row r="910" spans="1:7">
      <c r="A910">
        <v>8551</v>
      </c>
      <c r="B910" s="106" t="s">
        <v>1786</v>
      </c>
      <c r="C910">
        <v>0.15</v>
      </c>
      <c r="D910" s="106">
        <v>0.05</v>
      </c>
      <c r="E910">
        <v>0.05</v>
      </c>
      <c r="F910" s="106">
        <v>0.05</v>
      </c>
      <c r="G910" s="106">
        <v>0.05</v>
      </c>
    </row>
    <row r="911" spans="1:7">
      <c r="A911">
        <v>8558</v>
      </c>
      <c r="B911" s="106" t="s">
        <v>1787</v>
      </c>
      <c r="C911">
        <v>0.15</v>
      </c>
      <c r="D911" s="106">
        <v>0.05</v>
      </c>
      <c r="E911">
        <v>0.05</v>
      </c>
      <c r="F911">
        <v>0.05</v>
      </c>
      <c r="G911">
        <v>0.05</v>
      </c>
    </row>
    <row r="912" spans="1:7">
      <c r="A912">
        <v>8562</v>
      </c>
      <c r="B912" s="106" t="s">
        <v>1788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>
      <c r="A913">
        <v>8563</v>
      </c>
      <c r="B913" s="106" t="s">
        <v>1789</v>
      </c>
      <c r="C913">
        <v>0.15</v>
      </c>
      <c r="D913">
        <v>0.05</v>
      </c>
      <c r="E913">
        <v>0.05</v>
      </c>
      <c r="F913">
        <v>0.05</v>
      </c>
      <c r="G913">
        <v>0</v>
      </c>
    </row>
    <row r="914" spans="1:7">
      <c r="A914">
        <v>8566</v>
      </c>
      <c r="B914" s="106" t="s">
        <v>1790</v>
      </c>
      <c r="C914">
        <v>0.3</v>
      </c>
      <c r="D914">
        <v>0.1</v>
      </c>
      <c r="E914">
        <v>0.1</v>
      </c>
      <c r="F914">
        <v>0.1</v>
      </c>
      <c r="G914">
        <v>0.1</v>
      </c>
    </row>
    <row r="915" spans="1:7">
      <c r="A915">
        <v>8589</v>
      </c>
      <c r="B915" s="106" t="s">
        <v>1791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>
      <c r="A916">
        <v>8593</v>
      </c>
      <c r="B916" s="106" t="s">
        <v>309</v>
      </c>
      <c r="C916">
        <v>0</v>
      </c>
      <c r="D916">
        <v>0</v>
      </c>
      <c r="E916">
        <v>0.05</v>
      </c>
      <c r="F916">
        <v>0.05</v>
      </c>
      <c r="G916">
        <v>0.05</v>
      </c>
    </row>
    <row r="917" spans="1:7">
      <c r="A917">
        <v>8595</v>
      </c>
      <c r="B917" s="106" t="s">
        <v>1792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>
      <c r="A918">
        <v>8601</v>
      </c>
      <c r="B918" s="106" t="s">
        <v>27</v>
      </c>
      <c r="C918">
        <v>0.15</v>
      </c>
      <c r="D918">
        <v>0</v>
      </c>
      <c r="E918">
        <v>0.05</v>
      </c>
      <c r="F918">
        <v>0.05</v>
      </c>
      <c r="G918" s="106" t="s">
        <v>233</v>
      </c>
    </row>
    <row r="919" spans="1:7">
      <c r="A919">
        <v>8604</v>
      </c>
      <c r="B919" s="106" t="s">
        <v>791</v>
      </c>
      <c r="C919">
        <v>0</v>
      </c>
      <c r="D919">
        <v>0</v>
      </c>
      <c r="E919" s="106">
        <v>0</v>
      </c>
      <c r="F919" s="106">
        <v>0</v>
      </c>
      <c r="G919" s="106">
        <v>0</v>
      </c>
    </row>
    <row r="920" spans="1:7">
      <c r="A920">
        <v>8613</v>
      </c>
      <c r="B920" s="106" t="s">
        <v>1793</v>
      </c>
      <c r="C920">
        <v>0</v>
      </c>
      <c r="D920">
        <v>0</v>
      </c>
      <c r="E920" s="106">
        <v>0</v>
      </c>
      <c r="F920" s="106">
        <v>0</v>
      </c>
      <c r="G920" s="106">
        <v>0</v>
      </c>
    </row>
    <row r="921" spans="1:7">
      <c r="A921">
        <v>8614</v>
      </c>
      <c r="B921" s="106" t="s">
        <v>2593</v>
      </c>
      <c r="C921">
        <v>0</v>
      </c>
      <c r="D921" s="106">
        <v>0</v>
      </c>
      <c r="E921">
        <v>0</v>
      </c>
      <c r="F921">
        <v>0</v>
      </c>
      <c r="G921" s="106" t="s">
        <v>233</v>
      </c>
    </row>
    <row r="922" spans="1:7">
      <c r="A922">
        <v>8622</v>
      </c>
      <c r="B922" s="106" t="s">
        <v>1794</v>
      </c>
      <c r="C922">
        <v>0</v>
      </c>
      <c r="D922" s="106">
        <v>0</v>
      </c>
      <c r="E922">
        <v>0</v>
      </c>
      <c r="F922">
        <v>0.05</v>
      </c>
      <c r="G922" s="106">
        <v>0.05</v>
      </c>
    </row>
    <row r="923" spans="1:7">
      <c r="A923">
        <v>8624</v>
      </c>
      <c r="B923" s="106" t="s">
        <v>1795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>
      <c r="A924">
        <v>8628</v>
      </c>
      <c r="B924" s="106" t="s">
        <v>1796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>
      <c r="A925">
        <v>8630</v>
      </c>
      <c r="B925" s="106" t="s">
        <v>1797</v>
      </c>
      <c r="C925">
        <v>0.3</v>
      </c>
      <c r="D925">
        <v>0.1</v>
      </c>
      <c r="E925">
        <v>0.05</v>
      </c>
      <c r="F925">
        <v>0.1</v>
      </c>
      <c r="G925">
        <v>0.1</v>
      </c>
    </row>
    <row r="926" spans="1:7">
      <c r="A926">
        <v>8692</v>
      </c>
      <c r="B926" s="106" t="s">
        <v>1798</v>
      </c>
      <c r="C926">
        <v>0</v>
      </c>
      <c r="D926" s="106" t="s">
        <v>233</v>
      </c>
      <c r="E926">
        <v>0</v>
      </c>
      <c r="F926">
        <v>0</v>
      </c>
      <c r="G926">
        <v>0</v>
      </c>
    </row>
    <row r="927" spans="1:7">
      <c r="A927">
        <v>8697</v>
      </c>
      <c r="B927" s="106" t="s">
        <v>1799</v>
      </c>
      <c r="C927">
        <v>0.15</v>
      </c>
      <c r="D927">
        <v>0.05</v>
      </c>
      <c r="E927">
        <v>0.05</v>
      </c>
      <c r="F927">
        <v>0.05</v>
      </c>
      <c r="G927">
        <v>0.05</v>
      </c>
    </row>
    <row r="928" spans="1:7">
      <c r="A928">
        <v>8698</v>
      </c>
      <c r="B928" s="106" t="s">
        <v>1800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>
      <c r="A929">
        <v>8708</v>
      </c>
      <c r="B929" s="106" t="s">
        <v>1801</v>
      </c>
      <c r="C929">
        <v>0.15</v>
      </c>
      <c r="D929">
        <v>0.05</v>
      </c>
      <c r="E929">
        <v>0.05</v>
      </c>
      <c r="F929">
        <v>0.05</v>
      </c>
      <c r="G929">
        <v>0.05</v>
      </c>
    </row>
    <row r="930" spans="1:7">
      <c r="A930">
        <v>8714</v>
      </c>
      <c r="B930" s="106" t="s">
        <v>1802</v>
      </c>
      <c r="C930">
        <v>0</v>
      </c>
      <c r="D930">
        <v>0</v>
      </c>
      <c r="E930">
        <v>0</v>
      </c>
      <c r="F930" s="106">
        <v>0</v>
      </c>
      <c r="G930">
        <v>0</v>
      </c>
    </row>
    <row r="931" spans="1:7">
      <c r="A931">
        <v>8715</v>
      </c>
      <c r="B931" s="106" t="s">
        <v>1803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>
      <c r="A932">
        <v>8725</v>
      </c>
      <c r="B932" s="106" t="s">
        <v>1804</v>
      </c>
      <c r="C932">
        <v>0</v>
      </c>
      <c r="D932">
        <v>0.05</v>
      </c>
      <c r="E932">
        <v>0.1</v>
      </c>
      <c r="F932">
        <v>0.05</v>
      </c>
      <c r="G932">
        <v>0</v>
      </c>
    </row>
    <row r="933" spans="1:7">
      <c r="A933">
        <v>8729</v>
      </c>
      <c r="B933" s="106" t="s">
        <v>1805</v>
      </c>
      <c r="C933">
        <v>0.15</v>
      </c>
      <c r="D933">
        <v>0.05</v>
      </c>
      <c r="E933">
        <v>0.05</v>
      </c>
      <c r="F933">
        <v>0.05</v>
      </c>
      <c r="G933">
        <v>0.05</v>
      </c>
    </row>
    <row r="934" spans="1:7">
      <c r="A934">
        <v>8750</v>
      </c>
      <c r="B934" s="106" t="s">
        <v>32</v>
      </c>
      <c r="C934">
        <v>0</v>
      </c>
      <c r="D934">
        <v>0.05</v>
      </c>
      <c r="E934" s="106" t="s">
        <v>233</v>
      </c>
      <c r="F934" s="106" t="s">
        <v>233</v>
      </c>
      <c r="G934" s="106" t="s">
        <v>233</v>
      </c>
    </row>
    <row r="935" spans="1:7">
      <c r="A935">
        <v>8766</v>
      </c>
      <c r="B935" s="106" t="s">
        <v>1806</v>
      </c>
      <c r="C935">
        <v>0.3</v>
      </c>
      <c r="D935">
        <v>0.1</v>
      </c>
      <c r="E935">
        <v>0.1</v>
      </c>
      <c r="F935">
        <v>0.1</v>
      </c>
      <c r="G935">
        <v>0.1</v>
      </c>
    </row>
    <row r="936" spans="1:7">
      <c r="A936">
        <v>8795</v>
      </c>
      <c r="B936" s="106" t="s">
        <v>134</v>
      </c>
      <c r="C936">
        <v>0.15</v>
      </c>
      <c r="D936">
        <v>0.05</v>
      </c>
      <c r="E936">
        <v>0.05</v>
      </c>
      <c r="F936">
        <v>0.05</v>
      </c>
      <c r="G936">
        <v>0.05</v>
      </c>
    </row>
    <row r="937" spans="1:7">
      <c r="A937">
        <v>8798</v>
      </c>
      <c r="B937" s="106" t="s">
        <v>1807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>
      <c r="A938">
        <v>8803</v>
      </c>
      <c r="B938" s="106" t="s">
        <v>1808</v>
      </c>
      <c r="C938">
        <v>0.15</v>
      </c>
      <c r="D938">
        <v>0.05</v>
      </c>
      <c r="E938">
        <v>0.05</v>
      </c>
      <c r="F938">
        <v>0.05</v>
      </c>
      <c r="G938">
        <v>0.05</v>
      </c>
    </row>
    <row r="939" spans="1:7">
      <c r="A939">
        <v>8804</v>
      </c>
      <c r="B939" s="106" t="s">
        <v>1809</v>
      </c>
      <c r="C939">
        <v>0.15</v>
      </c>
      <c r="D939">
        <v>0.05</v>
      </c>
      <c r="E939">
        <v>0.05</v>
      </c>
      <c r="F939">
        <v>0.05</v>
      </c>
      <c r="G939">
        <v>0.05</v>
      </c>
    </row>
    <row r="940" spans="1:7">
      <c r="A940">
        <v>8806</v>
      </c>
      <c r="B940" s="106" t="s">
        <v>1810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>
      <c r="A941">
        <v>8850</v>
      </c>
      <c r="B941" s="106" t="s">
        <v>2594</v>
      </c>
      <c r="C941">
        <v>0</v>
      </c>
      <c r="D941">
        <v>0</v>
      </c>
      <c r="E941">
        <v>0</v>
      </c>
      <c r="F941">
        <v>0</v>
      </c>
      <c r="G941" s="106" t="s">
        <v>233</v>
      </c>
    </row>
    <row r="942" spans="1:7">
      <c r="A942">
        <v>8871</v>
      </c>
      <c r="B942" s="106" t="s">
        <v>1811</v>
      </c>
      <c r="C942">
        <v>0.15</v>
      </c>
      <c r="D942" s="106" t="s">
        <v>233</v>
      </c>
      <c r="E942">
        <v>0.05</v>
      </c>
      <c r="F942" s="106" t="s">
        <v>233</v>
      </c>
      <c r="G942">
        <v>0.05</v>
      </c>
    </row>
    <row r="943" spans="1:7">
      <c r="A943">
        <v>8876</v>
      </c>
      <c r="B943" s="106" t="s">
        <v>1812</v>
      </c>
      <c r="C943">
        <v>0.15</v>
      </c>
      <c r="D943">
        <v>0.05</v>
      </c>
      <c r="E943">
        <v>0.05</v>
      </c>
      <c r="F943">
        <v>0.05</v>
      </c>
      <c r="G943">
        <v>0.05</v>
      </c>
    </row>
    <row r="944" spans="1:7">
      <c r="A944">
        <v>8877</v>
      </c>
      <c r="B944" s="106" t="s">
        <v>2595</v>
      </c>
      <c r="C944">
        <v>0</v>
      </c>
      <c r="D944" s="106" t="s">
        <v>233</v>
      </c>
      <c r="E944" s="106" t="s">
        <v>233</v>
      </c>
      <c r="F944" s="106" t="s">
        <v>233</v>
      </c>
      <c r="G944" s="106" t="s">
        <v>233</v>
      </c>
    </row>
    <row r="945" spans="1:7">
      <c r="A945">
        <v>8892</v>
      </c>
      <c r="B945" s="106" t="s">
        <v>1813</v>
      </c>
      <c r="C945">
        <v>0.15</v>
      </c>
      <c r="D945">
        <v>0</v>
      </c>
      <c r="E945">
        <v>0.05</v>
      </c>
      <c r="F945">
        <v>0</v>
      </c>
      <c r="G945">
        <v>0.05</v>
      </c>
    </row>
    <row r="946" spans="1:7">
      <c r="A946">
        <v>8897</v>
      </c>
      <c r="B946" s="106" t="s">
        <v>1814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>
      <c r="A947">
        <v>8904</v>
      </c>
      <c r="B947" s="106" t="s">
        <v>1815</v>
      </c>
      <c r="C947">
        <v>0.15</v>
      </c>
      <c r="D947">
        <v>0.05</v>
      </c>
      <c r="E947">
        <v>0</v>
      </c>
      <c r="F947">
        <v>0.05</v>
      </c>
      <c r="G947">
        <v>0.05</v>
      </c>
    </row>
    <row r="948" spans="1:7">
      <c r="A948">
        <v>8917</v>
      </c>
      <c r="B948" s="106" t="s">
        <v>1816</v>
      </c>
      <c r="C948">
        <v>0.15</v>
      </c>
      <c r="D948">
        <v>0</v>
      </c>
      <c r="E948" s="106" t="s">
        <v>233</v>
      </c>
      <c r="F948">
        <v>0.05</v>
      </c>
      <c r="G948">
        <v>0</v>
      </c>
    </row>
    <row r="949" spans="1:7">
      <c r="A949">
        <v>8920</v>
      </c>
      <c r="B949" s="106" t="s">
        <v>2596</v>
      </c>
      <c r="C949">
        <v>0</v>
      </c>
      <c r="D949">
        <v>0</v>
      </c>
      <c r="E949" s="106" t="s">
        <v>233</v>
      </c>
      <c r="F949" s="106" t="s">
        <v>233</v>
      </c>
      <c r="G949" s="106" t="s">
        <v>233</v>
      </c>
    </row>
    <row r="950" spans="1:7">
      <c r="A950">
        <v>8923</v>
      </c>
      <c r="B950" s="106" t="s">
        <v>1817</v>
      </c>
      <c r="C950">
        <v>0.15</v>
      </c>
      <c r="D950">
        <v>0.05</v>
      </c>
      <c r="E950">
        <v>0.05</v>
      </c>
      <c r="F950">
        <v>0.05</v>
      </c>
      <c r="G950">
        <v>0.05</v>
      </c>
    </row>
    <row r="951" spans="1:7">
      <c r="A951">
        <v>8928</v>
      </c>
      <c r="B951" s="106" t="s">
        <v>1818</v>
      </c>
      <c r="C951">
        <v>0.3</v>
      </c>
      <c r="D951">
        <v>0.05</v>
      </c>
      <c r="E951">
        <v>0.1</v>
      </c>
      <c r="F951">
        <v>0.05</v>
      </c>
      <c r="G951">
        <v>0.05</v>
      </c>
    </row>
    <row r="952" spans="1:7">
      <c r="A952">
        <v>8935</v>
      </c>
      <c r="B952" s="106" t="s">
        <v>2597</v>
      </c>
      <c r="C952">
        <v>0</v>
      </c>
      <c r="D952">
        <v>0</v>
      </c>
      <c r="E952" s="106" t="s">
        <v>233</v>
      </c>
      <c r="F952" s="106" t="s">
        <v>233</v>
      </c>
      <c r="G952" s="106" t="s">
        <v>233</v>
      </c>
    </row>
    <row r="953" spans="1:7">
      <c r="A953">
        <v>8940</v>
      </c>
      <c r="B953" s="106" t="s">
        <v>1819</v>
      </c>
      <c r="C953">
        <v>0.15</v>
      </c>
      <c r="D953">
        <v>0.05</v>
      </c>
      <c r="E953">
        <v>0.05</v>
      </c>
      <c r="F953">
        <v>0.05</v>
      </c>
      <c r="G953">
        <v>0.05</v>
      </c>
    </row>
    <row r="954" spans="1:7">
      <c r="A954">
        <v>8999</v>
      </c>
      <c r="B954" s="106" t="s">
        <v>1820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>
      <c r="A955">
        <v>9001</v>
      </c>
      <c r="B955" s="106" t="s">
        <v>1821</v>
      </c>
      <c r="C955">
        <v>0.3</v>
      </c>
      <c r="D955">
        <v>0.1</v>
      </c>
      <c r="E955">
        <v>0.1</v>
      </c>
      <c r="F955">
        <v>0.1</v>
      </c>
      <c r="G955">
        <v>0.1</v>
      </c>
    </row>
    <row r="956" spans="1:7">
      <c r="A956">
        <v>9003</v>
      </c>
      <c r="B956" s="106" t="s">
        <v>1822</v>
      </c>
      <c r="C956">
        <v>0</v>
      </c>
      <c r="D956" s="106" t="s">
        <v>233</v>
      </c>
      <c r="E956">
        <v>0</v>
      </c>
      <c r="F956" s="106" t="s">
        <v>233</v>
      </c>
      <c r="G956">
        <v>0</v>
      </c>
    </row>
    <row r="957" spans="1:7">
      <c r="A957">
        <v>9005</v>
      </c>
      <c r="B957" s="106" t="s">
        <v>1823</v>
      </c>
      <c r="C957">
        <v>0.15</v>
      </c>
      <c r="D957">
        <v>0.05</v>
      </c>
      <c r="E957">
        <v>0.05</v>
      </c>
      <c r="F957">
        <v>0.05</v>
      </c>
      <c r="G957">
        <v>0.05</v>
      </c>
    </row>
    <row r="958" spans="1:7">
      <c r="A958">
        <v>9006</v>
      </c>
      <c r="B958" s="106" t="s">
        <v>1824</v>
      </c>
      <c r="C958">
        <v>0.15</v>
      </c>
      <c r="D958">
        <v>0.05</v>
      </c>
      <c r="E958">
        <v>0.05</v>
      </c>
      <c r="F958">
        <v>0.05</v>
      </c>
      <c r="G958">
        <v>0.05</v>
      </c>
    </row>
    <row r="959" spans="1:7">
      <c r="A959">
        <v>9007</v>
      </c>
      <c r="B959" s="106" t="s">
        <v>1825</v>
      </c>
      <c r="C959">
        <v>0.15</v>
      </c>
      <c r="D959">
        <v>0.05</v>
      </c>
      <c r="E959">
        <v>0.05</v>
      </c>
      <c r="F959" s="106">
        <v>0.05</v>
      </c>
      <c r="G959">
        <v>0.05</v>
      </c>
    </row>
    <row r="960" spans="1:7">
      <c r="A960">
        <v>9008</v>
      </c>
      <c r="B960" s="106" t="s">
        <v>1826</v>
      </c>
      <c r="C960">
        <v>0</v>
      </c>
      <c r="D960">
        <v>0</v>
      </c>
      <c r="E960">
        <v>0</v>
      </c>
      <c r="F960" s="106">
        <v>0</v>
      </c>
      <c r="G960">
        <v>0</v>
      </c>
    </row>
    <row r="961" spans="1:7">
      <c r="A961">
        <v>9009</v>
      </c>
      <c r="B961" s="106" t="s">
        <v>1827</v>
      </c>
      <c r="C961">
        <v>0.3</v>
      </c>
      <c r="D961">
        <v>0.1</v>
      </c>
      <c r="E961">
        <v>0.1</v>
      </c>
      <c r="F961">
        <v>0.1</v>
      </c>
      <c r="G961">
        <v>0.1</v>
      </c>
    </row>
    <row r="962" spans="1:7">
      <c r="A962">
        <v>9010</v>
      </c>
      <c r="B962" s="106" t="s">
        <v>1828</v>
      </c>
      <c r="C962">
        <v>0.3</v>
      </c>
      <c r="D962">
        <v>0.1</v>
      </c>
      <c r="E962">
        <v>0.1</v>
      </c>
      <c r="F962">
        <v>0.1</v>
      </c>
      <c r="G962">
        <v>0.1</v>
      </c>
    </row>
    <row r="963" spans="1:7">
      <c r="A963">
        <v>9014</v>
      </c>
      <c r="B963" s="106" t="s">
        <v>1829</v>
      </c>
      <c r="C963">
        <v>0.15</v>
      </c>
      <c r="D963">
        <v>0.05</v>
      </c>
      <c r="E963">
        <v>0.05</v>
      </c>
      <c r="F963" s="106">
        <v>0.05</v>
      </c>
      <c r="G963">
        <v>0.05</v>
      </c>
    </row>
    <row r="964" spans="1:7">
      <c r="A964">
        <v>9021</v>
      </c>
      <c r="B964" s="106" t="s">
        <v>1830</v>
      </c>
      <c r="C964">
        <v>0.6</v>
      </c>
      <c r="D964">
        <v>0.2</v>
      </c>
      <c r="E964" s="106">
        <v>0.2</v>
      </c>
      <c r="F964" s="106">
        <v>0.2</v>
      </c>
      <c r="G964" s="106">
        <v>0.2</v>
      </c>
    </row>
    <row r="965" spans="1:7">
      <c r="A965">
        <v>9031</v>
      </c>
      <c r="B965" s="106" t="s">
        <v>1831</v>
      </c>
      <c r="C965">
        <v>0.15</v>
      </c>
      <c r="D965">
        <v>0.05</v>
      </c>
      <c r="E965" s="106">
        <v>0.05</v>
      </c>
      <c r="F965">
        <v>0.05</v>
      </c>
      <c r="G965" s="106">
        <v>0.05</v>
      </c>
    </row>
    <row r="966" spans="1:7">
      <c r="A966">
        <v>9039</v>
      </c>
      <c r="B966" s="106" t="s">
        <v>1832</v>
      </c>
      <c r="C966">
        <v>0.45</v>
      </c>
      <c r="D966" s="106">
        <v>0.15</v>
      </c>
      <c r="E966">
        <v>0.15</v>
      </c>
      <c r="F966">
        <v>0.15</v>
      </c>
      <c r="G966">
        <v>0.15</v>
      </c>
    </row>
    <row r="967" spans="1:7">
      <c r="A967">
        <v>9041</v>
      </c>
      <c r="B967" s="106" t="s">
        <v>1833</v>
      </c>
      <c r="C967">
        <v>0.3</v>
      </c>
      <c r="D967" s="106">
        <v>0.1</v>
      </c>
      <c r="E967">
        <v>0.1</v>
      </c>
      <c r="F967">
        <v>0.1</v>
      </c>
      <c r="G967">
        <v>0.1</v>
      </c>
    </row>
    <row r="968" spans="1:7">
      <c r="A968">
        <v>9042</v>
      </c>
      <c r="B968" s="106" t="s">
        <v>1834</v>
      </c>
      <c r="C968">
        <v>0.3</v>
      </c>
      <c r="D968">
        <v>0.1</v>
      </c>
      <c r="E968">
        <v>0.1</v>
      </c>
      <c r="F968">
        <v>0.1</v>
      </c>
      <c r="G968">
        <v>0.1</v>
      </c>
    </row>
    <row r="969" spans="1:7">
      <c r="A969">
        <v>9044</v>
      </c>
      <c r="B969" s="106" t="s">
        <v>1835</v>
      </c>
      <c r="C969">
        <v>0</v>
      </c>
      <c r="D969">
        <v>0</v>
      </c>
      <c r="E969">
        <v>0</v>
      </c>
      <c r="F969">
        <v>0.05</v>
      </c>
      <c r="G969">
        <v>0</v>
      </c>
    </row>
    <row r="970" spans="1:7">
      <c r="A970">
        <v>9045</v>
      </c>
      <c r="B970" s="106" t="s">
        <v>1836</v>
      </c>
      <c r="C970">
        <v>0.3</v>
      </c>
      <c r="D970">
        <v>0.1</v>
      </c>
      <c r="E970">
        <v>0.1</v>
      </c>
      <c r="F970">
        <v>0.1</v>
      </c>
      <c r="G970">
        <v>0.1</v>
      </c>
    </row>
    <row r="971" spans="1:7">
      <c r="A971">
        <v>9046</v>
      </c>
      <c r="B971" s="106" t="s">
        <v>1837</v>
      </c>
      <c r="C971">
        <v>0.3</v>
      </c>
      <c r="D971">
        <v>0.1</v>
      </c>
      <c r="E971">
        <v>0.1</v>
      </c>
      <c r="F971">
        <v>0.1</v>
      </c>
      <c r="G971">
        <v>0.1</v>
      </c>
    </row>
    <row r="972" spans="1:7">
      <c r="A972">
        <v>9048</v>
      </c>
      <c r="B972" s="106" t="s">
        <v>1838</v>
      </c>
      <c r="C972">
        <v>0.3</v>
      </c>
      <c r="D972">
        <v>0.1</v>
      </c>
      <c r="E972">
        <v>0.05</v>
      </c>
      <c r="F972">
        <v>0.1</v>
      </c>
      <c r="G972">
        <v>0.1</v>
      </c>
    </row>
    <row r="973" spans="1:7">
      <c r="A973">
        <v>9052</v>
      </c>
      <c r="B973" s="106" t="s">
        <v>1839</v>
      </c>
      <c r="C973">
        <v>0.15</v>
      </c>
      <c r="D973">
        <v>0.05</v>
      </c>
      <c r="E973">
        <v>0.05</v>
      </c>
      <c r="F973">
        <v>0.05</v>
      </c>
      <c r="G973">
        <v>0.05</v>
      </c>
    </row>
    <row r="974" spans="1:7">
      <c r="A974">
        <v>9058</v>
      </c>
      <c r="B974" s="106" t="s">
        <v>1840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>
      <c r="A975">
        <v>9062</v>
      </c>
      <c r="B975" s="106" t="s">
        <v>789</v>
      </c>
      <c r="C975">
        <v>0.45</v>
      </c>
      <c r="D975">
        <v>0.15</v>
      </c>
      <c r="E975">
        <v>0.15</v>
      </c>
      <c r="F975">
        <v>0.15</v>
      </c>
      <c r="G975">
        <v>0.15</v>
      </c>
    </row>
    <row r="976" spans="1:7">
      <c r="A976">
        <v>9065</v>
      </c>
      <c r="B976" s="106" t="s">
        <v>1841</v>
      </c>
      <c r="C976">
        <v>0</v>
      </c>
      <c r="D976" s="106">
        <v>0</v>
      </c>
      <c r="E976">
        <v>0</v>
      </c>
      <c r="F976" s="106">
        <v>0</v>
      </c>
      <c r="G976">
        <v>0</v>
      </c>
    </row>
    <row r="977" spans="1:7">
      <c r="A977">
        <v>9066</v>
      </c>
      <c r="B977" s="106" t="s">
        <v>1842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>
      <c r="A978">
        <v>9068</v>
      </c>
      <c r="B978" s="106" t="s">
        <v>2598</v>
      </c>
      <c r="C978">
        <v>0</v>
      </c>
      <c r="D978">
        <v>0</v>
      </c>
      <c r="E978" s="106" t="s">
        <v>233</v>
      </c>
      <c r="F978" s="106" t="s">
        <v>233</v>
      </c>
      <c r="G978" s="106" t="s">
        <v>233</v>
      </c>
    </row>
    <row r="979" spans="1:7">
      <c r="A979">
        <v>9069</v>
      </c>
      <c r="B979" s="106" t="s">
        <v>1843</v>
      </c>
      <c r="C979">
        <v>0</v>
      </c>
      <c r="D979" s="106" t="s">
        <v>233</v>
      </c>
      <c r="E979">
        <v>0</v>
      </c>
      <c r="F979">
        <v>0.05</v>
      </c>
      <c r="G979">
        <v>0</v>
      </c>
    </row>
    <row r="980" spans="1:7">
      <c r="A980">
        <v>9070</v>
      </c>
      <c r="B980" s="106" t="s">
        <v>1844</v>
      </c>
      <c r="C980">
        <v>0.3</v>
      </c>
      <c r="D980">
        <v>0.1</v>
      </c>
      <c r="E980">
        <v>0.1</v>
      </c>
      <c r="F980">
        <v>0.1</v>
      </c>
      <c r="G980">
        <v>0.1</v>
      </c>
    </row>
    <row r="981" spans="1:7">
      <c r="A981">
        <v>9075</v>
      </c>
      <c r="B981" s="106" t="s">
        <v>1845</v>
      </c>
      <c r="C981">
        <v>0.15</v>
      </c>
      <c r="D981">
        <v>0.1</v>
      </c>
      <c r="E981">
        <v>0.1</v>
      </c>
      <c r="F981">
        <v>0.1</v>
      </c>
      <c r="G981">
        <v>0.1</v>
      </c>
    </row>
    <row r="982" spans="1:7">
      <c r="A982">
        <v>9076</v>
      </c>
      <c r="B982" s="106" t="s">
        <v>1846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>
      <c r="A983">
        <v>9081</v>
      </c>
      <c r="B983" s="106" t="s">
        <v>2599</v>
      </c>
      <c r="C983">
        <v>0</v>
      </c>
      <c r="D983">
        <v>0</v>
      </c>
      <c r="E983">
        <v>0</v>
      </c>
      <c r="F983">
        <v>0</v>
      </c>
      <c r="G983" s="106" t="s">
        <v>233</v>
      </c>
    </row>
    <row r="984" spans="1:7">
      <c r="A984">
        <v>9090</v>
      </c>
      <c r="B984" s="106" t="s">
        <v>1847</v>
      </c>
      <c r="C984">
        <v>0.15</v>
      </c>
      <c r="D984">
        <v>0.05</v>
      </c>
      <c r="E984">
        <v>0.05</v>
      </c>
      <c r="F984" s="106">
        <v>0.05</v>
      </c>
      <c r="G984" s="106">
        <v>0.05</v>
      </c>
    </row>
    <row r="985" spans="1:7">
      <c r="A985">
        <v>9099</v>
      </c>
      <c r="B985" s="106" t="s">
        <v>1848</v>
      </c>
      <c r="C985">
        <v>0</v>
      </c>
      <c r="D985">
        <v>0</v>
      </c>
      <c r="E985">
        <v>0</v>
      </c>
      <c r="F985" s="106">
        <v>0</v>
      </c>
      <c r="G985" s="106">
        <v>0</v>
      </c>
    </row>
    <row r="986" spans="1:7">
      <c r="A986">
        <v>9101</v>
      </c>
      <c r="B986" s="106" t="s">
        <v>1849</v>
      </c>
      <c r="C986">
        <v>0.15</v>
      </c>
      <c r="D986">
        <v>0.05</v>
      </c>
      <c r="E986">
        <v>0.05</v>
      </c>
      <c r="F986">
        <v>0.05</v>
      </c>
      <c r="G986">
        <v>0.05</v>
      </c>
    </row>
    <row r="987" spans="1:7">
      <c r="A987">
        <v>9104</v>
      </c>
      <c r="B987" s="106" t="s">
        <v>1850</v>
      </c>
      <c r="C987">
        <v>0.15</v>
      </c>
      <c r="D987">
        <v>0.1</v>
      </c>
      <c r="E987">
        <v>0.05</v>
      </c>
      <c r="F987">
        <v>0.05</v>
      </c>
      <c r="G987">
        <v>0.05</v>
      </c>
    </row>
    <row r="988" spans="1:7">
      <c r="A988">
        <v>9107</v>
      </c>
      <c r="B988" s="106" t="s">
        <v>1851</v>
      </c>
      <c r="C988">
        <v>0</v>
      </c>
      <c r="D988" s="106">
        <v>0.05</v>
      </c>
      <c r="E988">
        <v>0</v>
      </c>
      <c r="F988">
        <v>0</v>
      </c>
      <c r="G988">
        <v>0</v>
      </c>
    </row>
    <row r="989" spans="1:7">
      <c r="A989">
        <v>9130</v>
      </c>
      <c r="B989" s="106" t="s">
        <v>1852</v>
      </c>
      <c r="C989">
        <v>0.15</v>
      </c>
      <c r="D989" s="106">
        <v>0.05</v>
      </c>
      <c r="E989">
        <v>0.05</v>
      </c>
      <c r="F989" s="106">
        <v>0.05</v>
      </c>
      <c r="G989">
        <v>0.05</v>
      </c>
    </row>
    <row r="990" spans="1:7">
      <c r="A990">
        <v>9142</v>
      </c>
      <c r="B990" s="106" t="s">
        <v>1853</v>
      </c>
      <c r="C990">
        <v>0.3</v>
      </c>
      <c r="D990">
        <v>0.1</v>
      </c>
      <c r="E990">
        <v>0.1</v>
      </c>
      <c r="F990" s="106">
        <v>0.1</v>
      </c>
      <c r="G990">
        <v>0.1</v>
      </c>
    </row>
    <row r="991" spans="1:7">
      <c r="A991">
        <v>9232</v>
      </c>
      <c r="B991" s="106" t="s">
        <v>1854</v>
      </c>
      <c r="C991">
        <v>0.15</v>
      </c>
      <c r="D991">
        <v>0.05</v>
      </c>
      <c r="E991" s="106">
        <v>0.05</v>
      </c>
      <c r="F991">
        <v>0.05</v>
      </c>
      <c r="G991">
        <v>0.05</v>
      </c>
    </row>
    <row r="992" spans="1:7">
      <c r="A992">
        <v>9260</v>
      </c>
      <c r="B992" s="106" t="s">
        <v>1855</v>
      </c>
      <c r="C992">
        <v>0.3</v>
      </c>
      <c r="D992">
        <v>0.1</v>
      </c>
      <c r="E992" s="106">
        <v>0.1</v>
      </c>
      <c r="F992">
        <v>0.1</v>
      </c>
      <c r="G992">
        <v>0.1</v>
      </c>
    </row>
    <row r="993" spans="1:7">
      <c r="A993">
        <v>9267</v>
      </c>
      <c r="B993" s="106" t="s">
        <v>1856</v>
      </c>
      <c r="C993">
        <v>3.6</v>
      </c>
      <c r="D993">
        <v>0.1</v>
      </c>
      <c r="E993">
        <v>0.05</v>
      </c>
      <c r="F993">
        <v>0.05</v>
      </c>
      <c r="G993">
        <v>0.05</v>
      </c>
    </row>
    <row r="994" spans="1:7">
      <c r="A994">
        <v>9277</v>
      </c>
      <c r="B994" s="106" t="s">
        <v>1857</v>
      </c>
      <c r="C994">
        <v>0.15</v>
      </c>
      <c r="D994">
        <v>0</v>
      </c>
      <c r="E994">
        <v>0</v>
      </c>
      <c r="F994">
        <v>0</v>
      </c>
      <c r="G994">
        <v>0</v>
      </c>
    </row>
    <row r="995" spans="1:7">
      <c r="A995">
        <v>9303</v>
      </c>
      <c r="B995" s="106" t="s">
        <v>1858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>
      <c r="A996">
        <v>9306</v>
      </c>
      <c r="B996" s="106" t="s">
        <v>1859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>
      <c r="A997">
        <v>9308</v>
      </c>
      <c r="B997" s="106" t="s">
        <v>1860</v>
      </c>
      <c r="C997">
        <v>0.15</v>
      </c>
      <c r="D997">
        <v>0.05</v>
      </c>
      <c r="E997">
        <v>0.05</v>
      </c>
      <c r="F997" s="106">
        <v>0.05</v>
      </c>
      <c r="G997">
        <v>0.05</v>
      </c>
    </row>
    <row r="998" spans="1:7">
      <c r="A998">
        <v>9310</v>
      </c>
      <c r="B998" s="106" t="s">
        <v>1861</v>
      </c>
      <c r="C998">
        <v>0</v>
      </c>
      <c r="D998">
        <v>0</v>
      </c>
      <c r="E998">
        <v>0</v>
      </c>
      <c r="F998" s="106">
        <v>0</v>
      </c>
      <c r="G998">
        <v>0</v>
      </c>
    </row>
    <row r="999" spans="1:7">
      <c r="A999">
        <v>9351</v>
      </c>
      <c r="B999" s="106" t="s">
        <v>1862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>
      <c r="A1000">
        <v>9366</v>
      </c>
      <c r="B1000" s="106" t="s">
        <v>1863</v>
      </c>
      <c r="C1000">
        <v>0</v>
      </c>
      <c r="D1000" s="106" t="s">
        <v>233</v>
      </c>
      <c r="E1000">
        <v>0</v>
      </c>
      <c r="F1000" s="106" t="s">
        <v>233</v>
      </c>
      <c r="G1000">
        <v>0</v>
      </c>
    </row>
    <row r="1001" spans="1:7">
      <c r="A1001">
        <v>9375</v>
      </c>
      <c r="B1001" s="106" t="s">
        <v>1864</v>
      </c>
      <c r="C1001">
        <v>0.15</v>
      </c>
      <c r="D1001" s="106">
        <v>0.05</v>
      </c>
      <c r="E1001" s="106">
        <v>0.05</v>
      </c>
      <c r="F1001" s="106">
        <v>0.05</v>
      </c>
      <c r="G1001" s="106">
        <v>0</v>
      </c>
    </row>
    <row r="1002" spans="1:7">
      <c r="A1002">
        <v>9384</v>
      </c>
      <c r="B1002" s="106" t="s">
        <v>1865</v>
      </c>
      <c r="C1002">
        <v>0.15</v>
      </c>
      <c r="D1002" s="106">
        <v>0.05</v>
      </c>
      <c r="E1002" s="106">
        <v>0</v>
      </c>
      <c r="F1002" s="106">
        <v>0</v>
      </c>
      <c r="G1002" s="106">
        <v>0</v>
      </c>
    </row>
    <row r="1003" spans="1:7">
      <c r="A1003">
        <v>9401</v>
      </c>
      <c r="B1003" s="106" t="s">
        <v>1866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>
      <c r="A1004">
        <v>9405</v>
      </c>
      <c r="B1004" s="106" t="s">
        <v>2600</v>
      </c>
      <c r="C1004">
        <v>0</v>
      </c>
      <c r="D1004" s="106">
        <v>0</v>
      </c>
      <c r="E1004">
        <v>0</v>
      </c>
      <c r="F1004">
        <v>0</v>
      </c>
      <c r="G1004" s="106" t="s">
        <v>233</v>
      </c>
    </row>
    <row r="1005" spans="1:7">
      <c r="A1005">
        <v>9409</v>
      </c>
      <c r="B1005" s="106" t="s">
        <v>1867</v>
      </c>
      <c r="C1005">
        <v>0.15</v>
      </c>
      <c r="D1005" s="106">
        <v>0.05</v>
      </c>
      <c r="E1005">
        <v>0.05</v>
      </c>
      <c r="F1005">
        <v>0.05</v>
      </c>
      <c r="G1005">
        <v>0.05</v>
      </c>
    </row>
    <row r="1006" spans="1:7">
      <c r="A1006">
        <v>9412</v>
      </c>
      <c r="B1006" s="106" t="s">
        <v>1056</v>
      </c>
      <c r="C1006">
        <v>0.15</v>
      </c>
      <c r="D1006">
        <v>0.05</v>
      </c>
      <c r="E1006">
        <v>0.05</v>
      </c>
      <c r="F1006">
        <v>0.05</v>
      </c>
      <c r="G1006">
        <v>0</v>
      </c>
    </row>
    <row r="1007" spans="1:7">
      <c r="A1007">
        <v>9413</v>
      </c>
      <c r="B1007" s="106" t="s">
        <v>1868</v>
      </c>
      <c r="C1007">
        <v>0.15</v>
      </c>
      <c r="D1007" s="106">
        <v>0.05</v>
      </c>
      <c r="E1007" s="106">
        <v>0.05</v>
      </c>
      <c r="F1007" s="106">
        <v>0.05</v>
      </c>
      <c r="G1007" s="106">
        <v>0.05</v>
      </c>
    </row>
    <row r="1008" spans="1:7">
      <c r="A1008">
        <v>9414</v>
      </c>
      <c r="B1008" s="106" t="s">
        <v>1869</v>
      </c>
      <c r="C1008">
        <v>0.15</v>
      </c>
      <c r="D1008" s="106">
        <v>0</v>
      </c>
      <c r="E1008" s="106">
        <v>0.05</v>
      </c>
      <c r="F1008" s="106">
        <v>0.05</v>
      </c>
      <c r="G1008" s="106">
        <v>0</v>
      </c>
    </row>
    <row r="1009" spans="1:7">
      <c r="A1009">
        <v>9416</v>
      </c>
      <c r="B1009" s="106" t="s">
        <v>1870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>
      <c r="A1010">
        <v>9417</v>
      </c>
      <c r="B1010" s="106" t="s">
        <v>1871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>
      <c r="A1011">
        <v>9419</v>
      </c>
      <c r="B1011" s="106" t="s">
        <v>2601</v>
      </c>
      <c r="C1011">
        <v>0</v>
      </c>
      <c r="D1011" s="106">
        <v>0</v>
      </c>
      <c r="E1011" s="106">
        <v>0</v>
      </c>
      <c r="F1011" s="106" t="s">
        <v>233</v>
      </c>
      <c r="G1011" s="106" t="s">
        <v>233</v>
      </c>
    </row>
    <row r="1012" spans="1:7">
      <c r="A1012">
        <v>9422</v>
      </c>
      <c r="B1012" s="106" t="s">
        <v>1872</v>
      </c>
      <c r="C1012">
        <v>0</v>
      </c>
      <c r="D1012" s="106">
        <v>0</v>
      </c>
      <c r="E1012" s="106">
        <v>0</v>
      </c>
      <c r="F1012" s="106" t="s">
        <v>233</v>
      </c>
      <c r="G1012" s="106">
        <v>0.05</v>
      </c>
    </row>
    <row r="1013" spans="1:7">
      <c r="A1013">
        <v>9428</v>
      </c>
      <c r="B1013" s="106" t="s">
        <v>2602</v>
      </c>
      <c r="C1013">
        <v>0</v>
      </c>
      <c r="D1013" s="106" t="s">
        <v>233</v>
      </c>
      <c r="E1013" s="106" t="s">
        <v>233</v>
      </c>
      <c r="F1013" s="106" t="s">
        <v>233</v>
      </c>
      <c r="G1013" s="106" t="s">
        <v>233</v>
      </c>
    </row>
    <row r="1014" spans="1:7">
      <c r="A1014">
        <v>9432</v>
      </c>
      <c r="B1014" s="106" t="s">
        <v>1873</v>
      </c>
      <c r="C1014">
        <v>0.3</v>
      </c>
      <c r="D1014">
        <v>0.05</v>
      </c>
      <c r="E1014" s="106">
        <v>0.1</v>
      </c>
      <c r="F1014" s="106">
        <v>0.1</v>
      </c>
      <c r="G1014" s="106">
        <v>0.1</v>
      </c>
    </row>
    <row r="1015" spans="1:7">
      <c r="A1015">
        <v>9433</v>
      </c>
      <c r="B1015" s="106" t="s">
        <v>1043</v>
      </c>
      <c r="C1015">
        <v>0.15</v>
      </c>
      <c r="D1015">
        <v>0.1</v>
      </c>
      <c r="E1015" s="106">
        <v>0.1</v>
      </c>
      <c r="F1015" s="106">
        <v>0.05</v>
      </c>
      <c r="G1015" s="106">
        <v>0.05</v>
      </c>
    </row>
    <row r="1016" spans="1:7">
      <c r="A1016">
        <v>9437</v>
      </c>
      <c r="B1016" s="106" t="s">
        <v>849</v>
      </c>
      <c r="C1016">
        <v>0.15</v>
      </c>
      <c r="D1016">
        <v>0.05</v>
      </c>
      <c r="E1016">
        <v>0</v>
      </c>
      <c r="F1016">
        <v>0</v>
      </c>
      <c r="G1016">
        <v>0.05</v>
      </c>
    </row>
    <row r="1017" spans="1:7">
      <c r="A1017">
        <v>9438</v>
      </c>
      <c r="B1017" s="106" t="s">
        <v>1874</v>
      </c>
      <c r="C1017">
        <v>0</v>
      </c>
      <c r="D1017">
        <v>0</v>
      </c>
      <c r="E1017">
        <v>0</v>
      </c>
      <c r="F1017" s="106">
        <v>0</v>
      </c>
      <c r="G1017">
        <v>0</v>
      </c>
    </row>
    <row r="1018" spans="1:7">
      <c r="A1018">
        <v>9449</v>
      </c>
      <c r="B1018" s="106" t="s">
        <v>1875</v>
      </c>
      <c r="C1018">
        <v>0.15</v>
      </c>
      <c r="D1018">
        <v>0.05</v>
      </c>
      <c r="E1018">
        <v>0.05</v>
      </c>
      <c r="F1018" s="106">
        <v>0.05</v>
      </c>
      <c r="G1018">
        <v>0.05</v>
      </c>
    </row>
    <row r="1019" spans="1:7">
      <c r="A1019">
        <v>9450</v>
      </c>
      <c r="B1019" s="106" t="s">
        <v>1876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>
      <c r="A1020">
        <v>9468</v>
      </c>
      <c r="B1020" s="106" t="s">
        <v>1877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>
      <c r="A1021">
        <v>9470</v>
      </c>
      <c r="B1021" s="106" t="s">
        <v>1878</v>
      </c>
      <c r="C1021">
        <v>0.45</v>
      </c>
      <c r="D1021" s="106">
        <v>0.15</v>
      </c>
      <c r="E1021">
        <v>0.15</v>
      </c>
      <c r="F1021" s="106">
        <v>0.15</v>
      </c>
      <c r="G1021">
        <v>0.15</v>
      </c>
    </row>
    <row r="1022" spans="1:7">
      <c r="A1022">
        <v>9475</v>
      </c>
      <c r="B1022" s="106" t="s">
        <v>1879</v>
      </c>
      <c r="C1022">
        <v>0.15</v>
      </c>
      <c r="D1022" s="106">
        <v>0.05</v>
      </c>
      <c r="E1022">
        <v>0.05</v>
      </c>
      <c r="F1022" s="106">
        <v>0.05</v>
      </c>
      <c r="G1022">
        <v>0.05</v>
      </c>
    </row>
    <row r="1023" spans="1:7">
      <c r="A1023">
        <v>9479</v>
      </c>
      <c r="B1023" s="106" t="s">
        <v>2603</v>
      </c>
      <c r="C1023">
        <v>0</v>
      </c>
      <c r="D1023" s="106" t="s">
        <v>233</v>
      </c>
      <c r="E1023">
        <v>0</v>
      </c>
      <c r="F1023" s="106" t="s">
        <v>233</v>
      </c>
      <c r="G1023" s="106" t="s">
        <v>233</v>
      </c>
    </row>
    <row r="1024" spans="1:7">
      <c r="A1024">
        <v>9504</v>
      </c>
      <c r="B1024" s="106" t="s">
        <v>1880</v>
      </c>
      <c r="C1024">
        <v>0.15</v>
      </c>
      <c r="D1024">
        <v>0.05</v>
      </c>
      <c r="E1024">
        <v>0.05</v>
      </c>
      <c r="F1024">
        <v>0.05</v>
      </c>
      <c r="G1024">
        <v>0.05</v>
      </c>
    </row>
    <row r="1025" spans="1:7">
      <c r="A1025">
        <v>9506</v>
      </c>
      <c r="B1025" s="106" t="s">
        <v>1881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>
      <c r="A1026">
        <v>9507</v>
      </c>
      <c r="B1026" s="106" t="s">
        <v>2604</v>
      </c>
      <c r="C1026">
        <v>0</v>
      </c>
      <c r="D1026" s="106" t="s">
        <v>233</v>
      </c>
      <c r="E1026" s="106" t="s">
        <v>233</v>
      </c>
      <c r="F1026" s="106" t="s">
        <v>233</v>
      </c>
      <c r="G1026" s="106" t="s">
        <v>233</v>
      </c>
    </row>
    <row r="1027" spans="1:7">
      <c r="A1027">
        <v>9513</v>
      </c>
      <c r="B1027" s="106" t="s">
        <v>1882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>
      <c r="A1028">
        <v>9517</v>
      </c>
      <c r="B1028" s="106" t="s">
        <v>1883</v>
      </c>
      <c r="C1028">
        <v>0</v>
      </c>
      <c r="D1028">
        <v>0.05</v>
      </c>
      <c r="E1028">
        <v>0</v>
      </c>
      <c r="F1028">
        <v>0</v>
      </c>
      <c r="G1028">
        <v>0</v>
      </c>
    </row>
    <row r="1029" spans="1:7">
      <c r="A1029">
        <v>9519</v>
      </c>
      <c r="B1029" s="106" t="s">
        <v>1884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>
      <c r="A1030">
        <v>9531</v>
      </c>
      <c r="B1030" s="106" t="s">
        <v>2605</v>
      </c>
      <c r="C1030">
        <v>0</v>
      </c>
      <c r="D1030" s="106" t="s">
        <v>233</v>
      </c>
      <c r="E1030" s="106" t="s">
        <v>233</v>
      </c>
      <c r="F1030" s="106" t="s">
        <v>233</v>
      </c>
      <c r="G1030" s="106" t="s">
        <v>233</v>
      </c>
    </row>
    <row r="1031" spans="1:7">
      <c r="A1031">
        <v>9532</v>
      </c>
      <c r="B1031" s="106" t="s">
        <v>1885</v>
      </c>
      <c r="C1031">
        <v>0.15</v>
      </c>
      <c r="D1031">
        <v>0.05</v>
      </c>
      <c r="E1031">
        <v>0.05</v>
      </c>
      <c r="F1031">
        <v>0.05</v>
      </c>
      <c r="G1031">
        <v>0.05</v>
      </c>
    </row>
    <row r="1032" spans="1:7">
      <c r="A1032">
        <v>9533</v>
      </c>
      <c r="B1032" s="106" t="s">
        <v>1886</v>
      </c>
      <c r="C1032">
        <v>0.3</v>
      </c>
      <c r="D1032">
        <v>0.1</v>
      </c>
      <c r="E1032">
        <v>0.1</v>
      </c>
      <c r="F1032">
        <v>0.1</v>
      </c>
      <c r="G1032">
        <v>0.1</v>
      </c>
    </row>
    <row r="1033" spans="1:7">
      <c r="A1033">
        <v>9535</v>
      </c>
      <c r="B1033" s="106" t="s">
        <v>1887</v>
      </c>
      <c r="C1033">
        <v>0.15</v>
      </c>
      <c r="D1033">
        <v>0</v>
      </c>
      <c r="E1033">
        <v>0.05</v>
      </c>
      <c r="F1033">
        <v>0</v>
      </c>
      <c r="G1033">
        <v>0</v>
      </c>
    </row>
    <row r="1034" spans="1:7">
      <c r="A1034">
        <v>9536</v>
      </c>
      <c r="B1034" s="106" t="s">
        <v>1888</v>
      </c>
      <c r="C1034">
        <v>0.15</v>
      </c>
      <c r="D1034">
        <v>0.05</v>
      </c>
      <c r="E1034">
        <v>0.05</v>
      </c>
      <c r="F1034">
        <v>0.05</v>
      </c>
      <c r="G1034">
        <v>0.05</v>
      </c>
    </row>
    <row r="1035" spans="1:7">
      <c r="A1035">
        <v>9543</v>
      </c>
      <c r="B1035" s="106" t="s">
        <v>1889</v>
      </c>
      <c r="C1035">
        <v>0.15</v>
      </c>
      <c r="D1035">
        <v>0.05</v>
      </c>
      <c r="E1035">
        <v>0.05</v>
      </c>
      <c r="F1035">
        <v>0.05</v>
      </c>
      <c r="G1035">
        <v>0.05</v>
      </c>
    </row>
    <row r="1036" spans="1:7">
      <c r="A1036">
        <v>9551</v>
      </c>
      <c r="B1036" s="106" t="s">
        <v>1890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>
      <c r="A1037">
        <v>9601</v>
      </c>
      <c r="B1037" s="106" t="s">
        <v>1891</v>
      </c>
      <c r="C1037">
        <v>0.9</v>
      </c>
      <c r="D1037">
        <v>0.3</v>
      </c>
      <c r="E1037">
        <v>0.3</v>
      </c>
      <c r="F1037">
        <v>0.3</v>
      </c>
      <c r="G1037">
        <v>0.3</v>
      </c>
    </row>
    <row r="1038" spans="1:7">
      <c r="A1038">
        <v>9602</v>
      </c>
      <c r="B1038" s="106" t="s">
        <v>2606</v>
      </c>
      <c r="C1038">
        <v>0</v>
      </c>
      <c r="D1038" s="106" t="s">
        <v>233</v>
      </c>
      <c r="E1038" s="106" t="s">
        <v>233</v>
      </c>
      <c r="F1038" s="106" t="s">
        <v>233</v>
      </c>
      <c r="G1038" s="106" t="s">
        <v>233</v>
      </c>
    </row>
    <row r="1039" spans="1:7">
      <c r="A1039">
        <v>9605</v>
      </c>
      <c r="B1039" s="106" t="s">
        <v>1892</v>
      </c>
      <c r="C1039">
        <v>0.9</v>
      </c>
      <c r="D1039">
        <v>0.3</v>
      </c>
      <c r="E1039">
        <v>0.3</v>
      </c>
      <c r="F1039">
        <v>0.3</v>
      </c>
      <c r="G1039">
        <v>0.3</v>
      </c>
    </row>
    <row r="1040" spans="1:7">
      <c r="A1040">
        <v>9613</v>
      </c>
      <c r="B1040" s="106" t="s">
        <v>1893</v>
      </c>
      <c r="C1040">
        <v>0</v>
      </c>
      <c r="D1040" s="106" t="s">
        <v>233</v>
      </c>
      <c r="E1040" s="106" t="s">
        <v>233</v>
      </c>
      <c r="F1040" s="106" t="s">
        <v>233</v>
      </c>
      <c r="G1040">
        <v>0</v>
      </c>
    </row>
    <row r="1041" spans="1:7">
      <c r="A1041">
        <v>9619</v>
      </c>
      <c r="B1041" s="106" t="s">
        <v>1894</v>
      </c>
      <c r="C1041">
        <v>0</v>
      </c>
      <c r="D1041" s="106">
        <v>0</v>
      </c>
      <c r="E1041" s="106">
        <v>0</v>
      </c>
      <c r="F1041">
        <v>0</v>
      </c>
      <c r="G1041">
        <v>0</v>
      </c>
    </row>
    <row r="1042" spans="1:7">
      <c r="A1042">
        <v>9622</v>
      </c>
      <c r="B1042" s="106" t="s">
        <v>1895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>
      <c r="A1043">
        <v>9627</v>
      </c>
      <c r="B1043" s="106" t="s">
        <v>1896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>
      <c r="A1044">
        <v>9663</v>
      </c>
      <c r="B1044" s="106" t="s">
        <v>1897</v>
      </c>
      <c r="C1044">
        <v>0.45</v>
      </c>
      <c r="D1044">
        <v>0.15</v>
      </c>
      <c r="E1044">
        <v>0.15</v>
      </c>
      <c r="F1044">
        <v>0.15</v>
      </c>
      <c r="G1044">
        <v>0.15</v>
      </c>
    </row>
    <row r="1045" spans="1:7">
      <c r="A1045">
        <v>9675</v>
      </c>
      <c r="B1045" s="106" t="s">
        <v>1898</v>
      </c>
      <c r="C1045">
        <v>0.15</v>
      </c>
      <c r="D1045">
        <v>0.05</v>
      </c>
      <c r="E1045">
        <v>0.05</v>
      </c>
      <c r="F1045">
        <v>0.05</v>
      </c>
      <c r="G1045">
        <v>0.05</v>
      </c>
    </row>
    <row r="1046" spans="1:7">
      <c r="A1046">
        <v>9681</v>
      </c>
      <c r="B1046" s="106" t="s">
        <v>1899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>
      <c r="A1047">
        <v>9697</v>
      </c>
      <c r="B1047" s="106" t="s">
        <v>1900</v>
      </c>
      <c r="C1047">
        <v>0.15</v>
      </c>
      <c r="D1047">
        <v>0.05</v>
      </c>
      <c r="E1047">
        <v>0</v>
      </c>
      <c r="F1047">
        <v>0</v>
      </c>
      <c r="G1047">
        <v>0</v>
      </c>
    </row>
    <row r="1048" spans="1:7">
      <c r="A1048">
        <v>9706</v>
      </c>
      <c r="B1048" s="106" t="s">
        <v>334</v>
      </c>
      <c r="C1048">
        <v>0.3</v>
      </c>
      <c r="D1048">
        <v>0.15</v>
      </c>
      <c r="E1048">
        <v>0.1</v>
      </c>
      <c r="F1048">
        <v>0.1</v>
      </c>
      <c r="G1048">
        <v>0.1</v>
      </c>
    </row>
    <row r="1049" spans="1:7">
      <c r="A1049">
        <v>9715</v>
      </c>
      <c r="B1049" s="106" t="s">
        <v>1901</v>
      </c>
      <c r="C1049">
        <v>0</v>
      </c>
      <c r="D1049" s="106" t="s">
        <v>233</v>
      </c>
      <c r="E1049">
        <v>0</v>
      </c>
      <c r="F1049" s="106" t="s">
        <v>233</v>
      </c>
      <c r="G1049">
        <v>0</v>
      </c>
    </row>
    <row r="1050" spans="1:7">
      <c r="A1050">
        <v>9717</v>
      </c>
      <c r="B1050" s="106" t="s">
        <v>1902</v>
      </c>
      <c r="C1050">
        <v>0</v>
      </c>
      <c r="D1050">
        <v>0.05</v>
      </c>
      <c r="E1050">
        <v>0</v>
      </c>
      <c r="F1050">
        <v>0</v>
      </c>
      <c r="G1050">
        <v>0</v>
      </c>
    </row>
    <row r="1051" spans="1:7">
      <c r="A1051">
        <v>9726</v>
      </c>
      <c r="B1051" s="106" t="s">
        <v>1903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>
      <c r="A1052">
        <v>9729</v>
      </c>
      <c r="B1052" s="106" t="s">
        <v>1904</v>
      </c>
      <c r="C1052">
        <v>0.15</v>
      </c>
      <c r="D1052">
        <v>0.05</v>
      </c>
      <c r="E1052">
        <v>0.05</v>
      </c>
      <c r="F1052">
        <v>0.05</v>
      </c>
      <c r="G1052">
        <v>0.05</v>
      </c>
    </row>
    <row r="1053" spans="1:7">
      <c r="A1053">
        <v>9735</v>
      </c>
      <c r="B1053" s="106" t="s">
        <v>2607</v>
      </c>
      <c r="C1053">
        <v>0</v>
      </c>
      <c r="D1053">
        <v>0</v>
      </c>
      <c r="E1053">
        <v>0</v>
      </c>
      <c r="F1053">
        <v>0</v>
      </c>
      <c r="G1053" s="106" t="s">
        <v>233</v>
      </c>
    </row>
    <row r="1054" spans="1:7">
      <c r="A1054">
        <v>9740</v>
      </c>
      <c r="B1054" s="106" t="s">
        <v>1905</v>
      </c>
      <c r="C1054">
        <v>0.45</v>
      </c>
      <c r="D1054">
        <v>0.15</v>
      </c>
      <c r="E1054">
        <v>0.15</v>
      </c>
      <c r="F1054">
        <v>0.15</v>
      </c>
      <c r="G1054">
        <v>0.15</v>
      </c>
    </row>
    <row r="1055" spans="1:7">
      <c r="A1055">
        <v>9743</v>
      </c>
      <c r="B1055" s="106" t="s">
        <v>1906</v>
      </c>
      <c r="C1055">
        <v>0.15</v>
      </c>
      <c r="D1055" s="106" t="s">
        <v>233</v>
      </c>
      <c r="E1055">
        <v>0.05</v>
      </c>
      <c r="F1055" s="106" t="s">
        <v>233</v>
      </c>
      <c r="G1055">
        <v>0.05</v>
      </c>
    </row>
    <row r="1056" spans="1:7">
      <c r="A1056">
        <v>9744</v>
      </c>
      <c r="B1056" s="106" t="s">
        <v>1907</v>
      </c>
      <c r="C1056">
        <v>0.3</v>
      </c>
      <c r="D1056">
        <v>0.1</v>
      </c>
      <c r="E1056">
        <v>0.1</v>
      </c>
      <c r="F1056">
        <v>0.1</v>
      </c>
      <c r="G1056">
        <v>0.1</v>
      </c>
    </row>
    <row r="1057" spans="1:7">
      <c r="A1057">
        <v>9746</v>
      </c>
      <c r="B1057" s="106" t="s">
        <v>1029</v>
      </c>
      <c r="C1057">
        <v>0.3</v>
      </c>
      <c r="D1057">
        <v>0.1</v>
      </c>
      <c r="E1057">
        <v>0.1</v>
      </c>
      <c r="F1057">
        <v>0.1</v>
      </c>
      <c r="G1057">
        <v>0</v>
      </c>
    </row>
    <row r="1058" spans="1:7">
      <c r="A1058">
        <v>9759</v>
      </c>
      <c r="B1058" s="106" t="s">
        <v>847</v>
      </c>
      <c r="C1058">
        <v>0.3</v>
      </c>
      <c r="D1058">
        <v>0.05</v>
      </c>
      <c r="E1058">
        <v>0.05</v>
      </c>
      <c r="F1058">
        <v>0.05</v>
      </c>
      <c r="G1058">
        <v>0.05</v>
      </c>
    </row>
    <row r="1059" spans="1:7">
      <c r="A1059">
        <v>9765</v>
      </c>
      <c r="B1059" s="106" t="s">
        <v>1908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>
      <c r="A1060">
        <v>9783</v>
      </c>
      <c r="B1060" s="106" t="s">
        <v>2608</v>
      </c>
      <c r="C1060">
        <v>0</v>
      </c>
      <c r="D1060">
        <v>0</v>
      </c>
      <c r="E1060" s="106" t="s">
        <v>233</v>
      </c>
      <c r="F1060" s="106" t="s">
        <v>233</v>
      </c>
      <c r="G1060" s="106" t="s">
        <v>233</v>
      </c>
    </row>
    <row r="1061" spans="1:7">
      <c r="A1061">
        <v>9787</v>
      </c>
      <c r="B1061" s="106" t="s">
        <v>1909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>
      <c r="A1062">
        <v>9788</v>
      </c>
      <c r="B1062" s="106" t="s">
        <v>1910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>
      <c r="A1063">
        <v>9790</v>
      </c>
      <c r="B1063" s="106" t="s">
        <v>1911</v>
      </c>
      <c r="C1063">
        <v>0</v>
      </c>
      <c r="D1063">
        <v>0</v>
      </c>
      <c r="E1063">
        <v>0.05</v>
      </c>
      <c r="F1063">
        <v>0.1</v>
      </c>
      <c r="G1063">
        <v>0.1</v>
      </c>
    </row>
    <row r="1064" spans="1:7">
      <c r="A1064">
        <v>9824</v>
      </c>
      <c r="B1064" s="106" t="s">
        <v>1912</v>
      </c>
      <c r="C1064">
        <v>0.15</v>
      </c>
      <c r="D1064">
        <v>0.1</v>
      </c>
      <c r="E1064">
        <v>0.1</v>
      </c>
      <c r="F1064">
        <v>0.1</v>
      </c>
      <c r="G1064">
        <v>0.05</v>
      </c>
    </row>
    <row r="1065" spans="1:7">
      <c r="A1065">
        <v>9830</v>
      </c>
      <c r="B1065" s="106" t="s">
        <v>1913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>
      <c r="A1066">
        <v>9831</v>
      </c>
      <c r="B1066" s="106" t="s">
        <v>1914</v>
      </c>
      <c r="C1066">
        <v>0.15</v>
      </c>
      <c r="D1066">
        <v>0</v>
      </c>
      <c r="E1066" s="106" t="s">
        <v>233</v>
      </c>
      <c r="F1066">
        <v>0.05</v>
      </c>
      <c r="G1066">
        <v>0.05</v>
      </c>
    </row>
    <row r="1067" spans="1:7">
      <c r="A1067">
        <v>9837</v>
      </c>
      <c r="B1067" s="106" t="s">
        <v>1915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>
      <c r="A1068">
        <v>9843</v>
      </c>
      <c r="B1068" s="106" t="s">
        <v>1916</v>
      </c>
      <c r="C1068">
        <v>0.9</v>
      </c>
      <c r="D1068">
        <v>0.3</v>
      </c>
      <c r="E1068">
        <v>0.3</v>
      </c>
      <c r="F1068">
        <v>0.3</v>
      </c>
      <c r="G1068">
        <v>0.3</v>
      </c>
    </row>
    <row r="1069" spans="1:7">
      <c r="A1069">
        <v>9850</v>
      </c>
      <c r="B1069" s="106" t="s">
        <v>1917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>
      <c r="A1070">
        <v>9854</v>
      </c>
      <c r="B1070" s="106" t="s">
        <v>1918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>
      <c r="A1071">
        <v>9856</v>
      </c>
      <c r="B1071" s="106" t="s">
        <v>1919</v>
      </c>
      <c r="C1071">
        <v>0.15</v>
      </c>
      <c r="D1071">
        <v>0.05</v>
      </c>
      <c r="E1071">
        <v>0.05</v>
      </c>
      <c r="F1071">
        <v>0.05</v>
      </c>
      <c r="G1071">
        <v>0.05</v>
      </c>
    </row>
    <row r="1072" spans="1:7">
      <c r="A1072">
        <v>9861</v>
      </c>
      <c r="B1072" s="106" t="s">
        <v>1920</v>
      </c>
      <c r="C1072">
        <v>0.15</v>
      </c>
      <c r="D1072">
        <v>0.05</v>
      </c>
      <c r="E1072">
        <v>0.05</v>
      </c>
      <c r="F1072">
        <v>0.05</v>
      </c>
      <c r="G1072">
        <v>0.05</v>
      </c>
    </row>
    <row r="1073" spans="1:7">
      <c r="A1073">
        <v>9869</v>
      </c>
      <c r="B1073" s="106" t="s">
        <v>1921</v>
      </c>
      <c r="C1073">
        <v>0</v>
      </c>
      <c r="D1073">
        <v>0.1</v>
      </c>
      <c r="E1073">
        <v>0</v>
      </c>
      <c r="F1073">
        <v>0</v>
      </c>
      <c r="G1073">
        <v>0</v>
      </c>
    </row>
    <row r="1074" spans="1:7">
      <c r="A1074">
        <v>9872</v>
      </c>
      <c r="B1074" s="106" t="s">
        <v>1922</v>
      </c>
      <c r="C1074">
        <v>0.15</v>
      </c>
      <c r="D1074">
        <v>0.05</v>
      </c>
      <c r="E1074">
        <v>0.05</v>
      </c>
      <c r="F1074">
        <v>0.05</v>
      </c>
      <c r="G1074">
        <v>0.05</v>
      </c>
    </row>
    <row r="1075" spans="1:7">
      <c r="A1075">
        <v>9882</v>
      </c>
      <c r="B1075" s="106" t="s">
        <v>1923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>
      <c r="A1076">
        <v>9896</v>
      </c>
      <c r="B1076" s="106" t="s">
        <v>1924</v>
      </c>
      <c r="C1076">
        <v>0</v>
      </c>
      <c r="D1076">
        <v>0</v>
      </c>
      <c r="E1076">
        <v>0.05</v>
      </c>
      <c r="F1076">
        <v>0.05</v>
      </c>
      <c r="G1076">
        <v>0.05</v>
      </c>
    </row>
    <row r="1077" spans="1:7">
      <c r="A1077">
        <v>9900</v>
      </c>
      <c r="B1077" s="106" t="s">
        <v>1925</v>
      </c>
      <c r="C1077">
        <v>0.15</v>
      </c>
      <c r="D1077">
        <v>0.05</v>
      </c>
      <c r="E1077">
        <v>0.05</v>
      </c>
      <c r="F1077">
        <v>0.05</v>
      </c>
      <c r="G1077">
        <v>0.05</v>
      </c>
    </row>
    <row r="1078" spans="1:7">
      <c r="A1078">
        <v>9902</v>
      </c>
      <c r="B1078" s="106" t="s">
        <v>1926</v>
      </c>
      <c r="C1078">
        <v>0.15</v>
      </c>
      <c r="D1078">
        <v>0.05</v>
      </c>
      <c r="E1078">
        <v>0.05</v>
      </c>
      <c r="F1078">
        <v>0.05</v>
      </c>
      <c r="G1078">
        <v>0.05</v>
      </c>
    </row>
    <row r="1079" spans="1:7">
      <c r="A1079">
        <v>9919</v>
      </c>
      <c r="B1079" s="106" t="s">
        <v>1927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>
      <c r="A1080">
        <v>9930</v>
      </c>
      <c r="B1080" s="106" t="s">
        <v>1928</v>
      </c>
      <c r="C1080">
        <v>0.15</v>
      </c>
      <c r="D1080">
        <v>0</v>
      </c>
      <c r="E1080">
        <v>0</v>
      </c>
      <c r="F1080">
        <v>0</v>
      </c>
      <c r="G1080">
        <v>0</v>
      </c>
    </row>
    <row r="1081" spans="1:7">
      <c r="A1081">
        <v>9945</v>
      </c>
      <c r="B1081" s="106" t="s">
        <v>1929</v>
      </c>
      <c r="C1081">
        <v>0.15</v>
      </c>
      <c r="D1081">
        <v>0.05</v>
      </c>
      <c r="E1081">
        <v>0.05</v>
      </c>
      <c r="F1081">
        <v>0.05</v>
      </c>
      <c r="G1081">
        <v>0.05</v>
      </c>
    </row>
    <row r="1082" spans="1:7">
      <c r="A1082">
        <v>9946</v>
      </c>
      <c r="B1082" s="106" t="s">
        <v>1930</v>
      </c>
      <c r="C1082">
        <v>0.15</v>
      </c>
      <c r="D1082">
        <v>0.05</v>
      </c>
      <c r="E1082">
        <v>0.05</v>
      </c>
      <c r="F1082">
        <v>0.05</v>
      </c>
      <c r="G1082">
        <v>0.05</v>
      </c>
    </row>
    <row r="1083" spans="1:7">
      <c r="A1083">
        <v>9948</v>
      </c>
      <c r="B1083" s="106" t="s">
        <v>1931</v>
      </c>
      <c r="C1083">
        <v>0.15</v>
      </c>
      <c r="D1083">
        <v>0</v>
      </c>
      <c r="E1083">
        <v>0</v>
      </c>
      <c r="F1083">
        <v>0</v>
      </c>
      <c r="G1083">
        <v>0</v>
      </c>
    </row>
    <row r="1084" spans="1:7">
      <c r="A1084">
        <v>9962</v>
      </c>
      <c r="B1084" s="106" t="s">
        <v>1932</v>
      </c>
      <c r="C1084">
        <v>0</v>
      </c>
      <c r="D1084">
        <v>0</v>
      </c>
      <c r="E1084">
        <v>0</v>
      </c>
      <c r="F1084">
        <v>0.05</v>
      </c>
      <c r="G1084">
        <v>0.05</v>
      </c>
    </row>
    <row r="1085" spans="1:7">
      <c r="A1085">
        <v>9974</v>
      </c>
      <c r="B1085" s="106" t="s">
        <v>2609</v>
      </c>
      <c r="C1085">
        <v>0.3</v>
      </c>
      <c r="D1085">
        <v>0</v>
      </c>
      <c r="E1085">
        <v>0</v>
      </c>
      <c r="F1085">
        <v>0</v>
      </c>
      <c r="G1085" s="106" t="s">
        <v>233</v>
      </c>
    </row>
    <row r="1086" spans="1:7">
      <c r="A1086">
        <v>9979</v>
      </c>
      <c r="B1086" s="106" t="s">
        <v>1933</v>
      </c>
      <c r="C1086">
        <v>0.15</v>
      </c>
      <c r="D1086">
        <v>0.05</v>
      </c>
      <c r="E1086">
        <v>0.05</v>
      </c>
      <c r="F1086">
        <v>0.05</v>
      </c>
      <c r="G1086">
        <v>0.05</v>
      </c>
    </row>
    <row r="1087" spans="1:7">
      <c r="A1087">
        <v>9982</v>
      </c>
      <c r="B1087" s="106" t="s">
        <v>1934</v>
      </c>
      <c r="C1087">
        <v>0.15</v>
      </c>
      <c r="D1087">
        <v>0.05</v>
      </c>
      <c r="E1087">
        <v>0.05</v>
      </c>
      <c r="F1087">
        <v>0.05</v>
      </c>
      <c r="G1087">
        <v>0.05</v>
      </c>
    </row>
    <row r="1088" spans="1:7">
      <c r="A1088">
        <v>9983</v>
      </c>
      <c r="B1088" s="106" t="s">
        <v>1935</v>
      </c>
      <c r="C1088">
        <v>14.55</v>
      </c>
      <c r="D1088">
        <v>135.4</v>
      </c>
      <c r="E1088">
        <v>1.25</v>
      </c>
      <c r="F1088">
        <v>1.25</v>
      </c>
      <c r="G1088">
        <v>0</v>
      </c>
    </row>
    <row r="1089" spans="1:7">
      <c r="A1089">
        <v>9989</v>
      </c>
      <c r="B1089" s="106" t="s">
        <v>1050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>
      <c r="A1090">
        <v>9991</v>
      </c>
      <c r="B1090" s="106" t="s">
        <v>2610</v>
      </c>
      <c r="C1090">
        <v>0</v>
      </c>
      <c r="D1090">
        <v>0</v>
      </c>
      <c r="E1090">
        <v>0</v>
      </c>
      <c r="F1090">
        <v>0</v>
      </c>
      <c r="G1090" s="106" t="s">
        <v>233</v>
      </c>
    </row>
    <row r="1091" spans="1:7">
      <c r="A1091">
        <v>9994</v>
      </c>
      <c r="B1091" s="106" t="s">
        <v>1936</v>
      </c>
      <c r="C1091">
        <v>0</v>
      </c>
      <c r="D1091">
        <v>0</v>
      </c>
      <c r="E1091">
        <v>0</v>
      </c>
      <c r="F1091">
        <v>0</v>
      </c>
      <c r="G1091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表紙-</vt:lpstr>
      <vt:lpstr>建玉管理</vt:lpstr>
      <vt:lpstr>取引履歴</vt:lpstr>
      <vt:lpstr>資産状況</vt:lpstr>
      <vt:lpstr>損益分析</vt:lpstr>
      <vt:lpstr>監視</vt:lpstr>
      <vt:lpstr>シミュレーション</vt:lpstr>
      <vt:lpstr>Search Result</vt:lpstr>
      <vt:lpstr>グラフ</vt:lpstr>
      <vt:lpstr>BACK_TEST</vt:lpstr>
      <vt:lpstr>個別計算</vt:lpstr>
      <vt:lpstr>日経サヤ計算</vt:lpstr>
      <vt:lpstr>code</vt:lpstr>
      <vt:lpstr>元データ</vt:lpstr>
      <vt:lpstr>改訂欄</vt:lpstr>
      <vt:lpstr>Fee_Refer</vt:lpstr>
      <vt:lpstr>Faiue</vt:lpstr>
      <vt:lpstr>Fiscal_date</vt:lpstr>
      <vt:lpstr>gyakunipo_data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2019-12-19T11:34:47Z</dcterms:modified>
</cp:coreProperties>
</file>